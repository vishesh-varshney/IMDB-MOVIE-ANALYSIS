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a980769d3bf982/Documents/"/>
    </mc:Choice>
  </mc:AlternateContent>
  <xr:revisionPtr revIDLastSave="1" documentId="8_{7A756675-2CEC-43DF-83D4-44F5115A491C}" xr6:coauthVersionLast="47" xr6:coauthVersionMax="47" xr10:uidLastSave="{4B808FBB-FE99-4294-8390-CA47B80EC0F9}"/>
  <bookViews>
    <workbookView xWindow="-120" yWindow="-120" windowWidth="20730" windowHeight="11040" activeTab="5" xr2:uid="{E3908816-E4F4-4A84-9E94-3678CCE81EE8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imdb_clean" sheetId="1" r:id="rId6"/>
  </sheets>
  <calcPr calcId="0"/>
  <pivotCaches>
    <pivotCache cacheId="13" r:id="rId7"/>
  </pivotCaches>
</workbook>
</file>

<file path=xl/calcChain.xml><?xml version="1.0" encoding="utf-8"?>
<calcChain xmlns="http://schemas.openxmlformats.org/spreadsheetml/2006/main">
  <c r="I6" i="6" l="1"/>
  <c r="G2" i="6"/>
  <c r="F2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" i="6"/>
</calcChain>
</file>

<file path=xl/sharedStrings.xml><?xml version="1.0" encoding="utf-8"?>
<sst xmlns="http://schemas.openxmlformats.org/spreadsheetml/2006/main" count="36220" uniqueCount="6778">
  <si>
    <t>director_name</t>
  </si>
  <si>
    <t>duration</t>
  </si>
  <si>
    <t>gross</t>
  </si>
  <si>
    <t>movie_title</t>
  </si>
  <si>
    <t>language</t>
  </si>
  <si>
    <t>country</t>
  </si>
  <si>
    <t>budget</t>
  </si>
  <si>
    <t>imdb_score</t>
  </si>
  <si>
    <t>genres</t>
  </si>
  <si>
    <t xml:space="preserve"> genre</t>
  </si>
  <si>
    <t>count of genres</t>
  </si>
  <si>
    <t>Mark Waters</t>
  </si>
  <si>
    <t>Freaky FridayÂ </t>
  </si>
  <si>
    <t>English</t>
  </si>
  <si>
    <t>USA</t>
  </si>
  <si>
    <t>Comedy</t>
  </si>
  <si>
    <t>Family</t>
  </si>
  <si>
    <t>Fantasy</t>
  </si>
  <si>
    <t>Music</t>
  </si>
  <si>
    <t>Romance</t>
  </si>
  <si>
    <t>Takashi Shimizu</t>
  </si>
  <si>
    <t>The GrudgeÂ </t>
  </si>
  <si>
    <t>Horror</t>
  </si>
  <si>
    <t>Mystery</t>
  </si>
  <si>
    <t>Thriller</t>
  </si>
  <si>
    <t>Judd Apatow</t>
  </si>
  <si>
    <t>TrainwreckÂ </t>
  </si>
  <si>
    <t>Japan</t>
  </si>
  <si>
    <t>Adventure</t>
  </si>
  <si>
    <t>David Zucker</t>
  </si>
  <si>
    <t>Scary Movie 3Â </t>
  </si>
  <si>
    <t>Drama</t>
  </si>
  <si>
    <t>Adam Shankman</t>
  </si>
  <si>
    <t>Bedtime StoriesÂ </t>
  </si>
  <si>
    <t>Action</t>
  </si>
  <si>
    <t>Leonard Nimoy</t>
  </si>
  <si>
    <t>Star Trek IV: The Voyage HomeÂ </t>
  </si>
  <si>
    <t>Sci-Fi</t>
  </si>
  <si>
    <t>Crime</t>
  </si>
  <si>
    <t>Ryan Coogler</t>
  </si>
  <si>
    <t>CreedÂ </t>
  </si>
  <si>
    <t>Sport</t>
  </si>
  <si>
    <t>Biography</t>
  </si>
  <si>
    <t>John Cornell</t>
  </si>
  <si>
    <t>Crocodile Dundee IIÂ </t>
  </si>
  <si>
    <t>Australia</t>
  </si>
  <si>
    <t>Animation</t>
  </si>
  <si>
    <t>The 40-Year-Old VirginÂ </t>
  </si>
  <si>
    <t>Peter Billingsley</t>
  </si>
  <si>
    <t>Couples RetreatÂ </t>
  </si>
  <si>
    <t>Joel Schumacher</t>
  </si>
  <si>
    <t>A Time to KillÂ </t>
  </si>
  <si>
    <t>Documentary</t>
  </si>
  <si>
    <t>Steve Oedekerk</t>
  </si>
  <si>
    <t>Ace Ventura: When Nature CallsÂ </t>
  </si>
  <si>
    <t>Garry Marshall</t>
  </si>
  <si>
    <t>The Princess DiariesÂ </t>
  </si>
  <si>
    <t>Richard Lester</t>
  </si>
  <si>
    <t>Superman IIÂ </t>
  </si>
  <si>
    <t>Musical</t>
  </si>
  <si>
    <t>Tim Hill</t>
  </si>
  <si>
    <t>HopÂ </t>
  </si>
  <si>
    <t>Quentin Tarantino</t>
  </si>
  <si>
    <t>Pulp FictionÂ </t>
  </si>
  <si>
    <t>History</t>
  </si>
  <si>
    <t>Oren Peli</t>
  </si>
  <si>
    <t>Paranormal ActivityÂ </t>
  </si>
  <si>
    <t>Penny Marshall</t>
  </si>
  <si>
    <t>A League of Their OwnÂ </t>
  </si>
  <si>
    <t>Western</t>
  </si>
  <si>
    <t>Clay Kaytis</t>
  </si>
  <si>
    <t>The Angry Birds MovieÂ </t>
  </si>
  <si>
    <t>Game-Show</t>
  </si>
  <si>
    <t>Paul Greengrass</t>
  </si>
  <si>
    <t>Captain PhillipsÂ </t>
  </si>
  <si>
    <t>Film-Noir</t>
  </si>
  <si>
    <t>Darren Aronofsky</t>
  </si>
  <si>
    <t>Black SwanÂ </t>
  </si>
  <si>
    <t>Donald Petrie</t>
  </si>
  <si>
    <t>Miss CongenialityÂ </t>
  </si>
  <si>
    <t>Peter Lord</t>
  </si>
  <si>
    <t>Chicken RunÂ </t>
  </si>
  <si>
    <t>UK</t>
  </si>
  <si>
    <t>War</t>
  </si>
  <si>
    <t>Harold Ramis</t>
  </si>
  <si>
    <t>Analyze ThisÂ </t>
  </si>
  <si>
    <t>Short</t>
  </si>
  <si>
    <t>Martin Campbell</t>
  </si>
  <si>
    <t>GoldenEyeÂ </t>
  </si>
  <si>
    <t>Reality-TV</t>
  </si>
  <si>
    <t>Bruce Beresford</t>
  </si>
  <si>
    <t>Driving Miss DaisyÂ </t>
  </si>
  <si>
    <t>News</t>
  </si>
  <si>
    <t>F. Gary Gray</t>
  </si>
  <si>
    <t>The Italian JobÂ </t>
  </si>
  <si>
    <t>How to Lose a Guy in 10 DaysÂ </t>
  </si>
  <si>
    <t>Bob Clark</t>
  </si>
  <si>
    <t>Porky'sÂ </t>
  </si>
  <si>
    <t>Canada</t>
  </si>
  <si>
    <t>Hugh Wilson</t>
  </si>
  <si>
    <t>The First Wives ClubÂ </t>
  </si>
  <si>
    <t>Neil Jordan</t>
  </si>
  <si>
    <t>Interview with the Vampire: The Vampire ChroniclesÂ </t>
  </si>
  <si>
    <t>Sam Weisman</t>
  </si>
  <si>
    <t>George of the JungleÂ </t>
  </si>
  <si>
    <t>Jon Turteltaub</t>
  </si>
  <si>
    <t>PhenomenonÂ </t>
  </si>
  <si>
    <t>Jesse Dylan</t>
  </si>
  <si>
    <t>American WeddingÂ </t>
  </si>
  <si>
    <t>Steve Carr</t>
  </si>
  <si>
    <t>Daddy Day CareÂ </t>
  </si>
  <si>
    <t>Sam Mendes</t>
  </si>
  <si>
    <t>Road to PerditionÂ </t>
  </si>
  <si>
    <t>Henry Joost</t>
  </si>
  <si>
    <t>Paranormal Activity 3Â </t>
  </si>
  <si>
    <t>Brad Peyton</t>
  </si>
  <si>
    <t>Journey 2: The Mysterious IslandÂ </t>
  </si>
  <si>
    <t>Bill Condon</t>
  </si>
  <si>
    <t>DreamgirlsÂ </t>
  </si>
  <si>
    <t>Dennis Dugan</t>
  </si>
  <si>
    <t>Just Go with ItÂ </t>
  </si>
  <si>
    <t>Wes Craven</t>
  </si>
  <si>
    <t>ScreamÂ </t>
  </si>
  <si>
    <t>Sylvester Stallone</t>
  </si>
  <si>
    <t>The ExpendablesÂ </t>
  </si>
  <si>
    <t>Jeannot Szwarc</t>
  </si>
  <si>
    <t>Jaws 2Â </t>
  </si>
  <si>
    <t>James Algar</t>
  </si>
  <si>
    <t>BambiÂ </t>
  </si>
  <si>
    <t>David Fincher</t>
  </si>
  <si>
    <t>The Girl with the Dragon TattooÂ </t>
  </si>
  <si>
    <t>Wes Ball</t>
  </si>
  <si>
    <t>The Maze RunnerÂ </t>
  </si>
  <si>
    <t>James Wan</t>
  </si>
  <si>
    <t>The Conjuring 2Â </t>
  </si>
  <si>
    <t>George Roy Hill</t>
  </si>
  <si>
    <t>Butch Cassidy and the Sundance KidÂ </t>
  </si>
  <si>
    <t>Robert Stevenson</t>
  </si>
  <si>
    <t>Mary PoppinsÂ </t>
  </si>
  <si>
    <t>Jeff Tremaine</t>
  </si>
  <si>
    <t>Bad GrandpaÂ </t>
  </si>
  <si>
    <t>Paul Weitz</t>
  </si>
  <si>
    <t>American PieÂ </t>
  </si>
  <si>
    <t>Eric Brevig</t>
  </si>
  <si>
    <t>Journey to the Center of the EarthÂ </t>
  </si>
  <si>
    <t>Dominic Sena</t>
  </si>
  <si>
    <t>Gone in Sixty SecondsÂ </t>
  </si>
  <si>
    <t>Antoine Fuqua</t>
  </si>
  <si>
    <t>The EqualizerÂ </t>
  </si>
  <si>
    <t>Evan Goldberg</t>
  </si>
  <si>
    <t>This Is the EndÂ </t>
  </si>
  <si>
    <t>Scream 2Â </t>
  </si>
  <si>
    <t>Brenda Chapman</t>
  </si>
  <si>
    <t>The Prince of EgyptÂ </t>
  </si>
  <si>
    <t>Clint Eastwood</t>
  </si>
  <si>
    <t>UnforgivenÂ </t>
  </si>
  <si>
    <t>D.J. Caruso</t>
  </si>
  <si>
    <t>Eagle EyeÂ </t>
  </si>
  <si>
    <t>Simon West</t>
  </si>
  <si>
    <t>Con AirÂ </t>
  </si>
  <si>
    <t>Robert Zemeckis</t>
  </si>
  <si>
    <t>ContactÂ </t>
  </si>
  <si>
    <t>Alan J. Pakula</t>
  </si>
  <si>
    <t>The Pelican BriefÂ </t>
  </si>
  <si>
    <t>Cameron Crowe</t>
  </si>
  <si>
    <t>Vanilla SkyÂ </t>
  </si>
  <si>
    <t>Igor Kovalyov</t>
  </si>
  <si>
    <t>The Rugrats MovieÂ </t>
  </si>
  <si>
    <t>Adam McKay</t>
  </si>
  <si>
    <t>Step BrothersÂ </t>
  </si>
  <si>
    <t>Todd Phillips</t>
  </si>
  <si>
    <t>Due DateÂ </t>
  </si>
  <si>
    <t>Million Dollar BabyÂ </t>
  </si>
  <si>
    <t>Brad Silberling</t>
  </si>
  <si>
    <t>CasperÂ </t>
  </si>
  <si>
    <t>Jake Kasdan</t>
  </si>
  <si>
    <t>Bad TeacherÂ </t>
  </si>
  <si>
    <t>John Madden</t>
  </si>
  <si>
    <t>Shakespeare in LoveÂ </t>
  </si>
  <si>
    <t>Yogi BearÂ </t>
  </si>
  <si>
    <t>Se7enÂ </t>
  </si>
  <si>
    <t>You Don't Mess with the ZohanÂ </t>
  </si>
  <si>
    <t>John McTiernan</t>
  </si>
  <si>
    <t>Die Hard with a VengeanceÂ </t>
  </si>
  <si>
    <t>Michael Mann</t>
  </si>
  <si>
    <t>CollateralÂ </t>
  </si>
  <si>
    <t>Olympus Has FallenÂ </t>
  </si>
  <si>
    <t>Shawn Levy</t>
  </si>
  <si>
    <t>Date NightÂ </t>
  </si>
  <si>
    <t>Peyton Reed</t>
  </si>
  <si>
    <t>Yes ManÂ </t>
  </si>
  <si>
    <t>David Kellogg</t>
  </si>
  <si>
    <t>Inspector GadgetÂ </t>
  </si>
  <si>
    <t>The Social NetworkÂ </t>
  </si>
  <si>
    <t>Alejandro AmenÃ¡bar</t>
  </si>
  <si>
    <t>The OthersÂ </t>
  </si>
  <si>
    <t>Steven Spielberg</t>
  </si>
  <si>
    <t>Schindler's ListÂ </t>
  </si>
  <si>
    <t>Peter Weir</t>
  </si>
  <si>
    <t>Dead Poets SocietyÂ </t>
  </si>
  <si>
    <t>Kathryn Bigelow</t>
  </si>
  <si>
    <t>Zero Dark ThirtyÂ </t>
  </si>
  <si>
    <t>Anthony Minghella</t>
  </si>
  <si>
    <t>Cold MountainÂ </t>
  </si>
  <si>
    <t>Panic RoomÂ </t>
  </si>
  <si>
    <t>The Princess Diaries 2: Royal EngagementÂ </t>
  </si>
  <si>
    <t>Robert Luketic</t>
  </si>
  <si>
    <t>Legally BlondeÂ </t>
  </si>
  <si>
    <t>Brian Helgeland</t>
  </si>
  <si>
    <t>42Â </t>
  </si>
  <si>
    <t>M. Night Shyamalan</t>
  </si>
  <si>
    <t>UnbreakableÂ </t>
  </si>
  <si>
    <t>Adrian Lyne</t>
  </si>
  <si>
    <t>FlashdanceÂ </t>
  </si>
  <si>
    <t>Albert Hughes</t>
  </si>
  <si>
    <t>The Book of EliÂ </t>
  </si>
  <si>
    <t>Raja Gosnell</t>
  </si>
  <si>
    <t>Beverly Hills ChihuahuaÂ </t>
  </si>
  <si>
    <t>The Color PurpleÂ </t>
  </si>
  <si>
    <t>Nora Ephron</t>
  </si>
  <si>
    <t>Julie &amp; JuliaÂ </t>
  </si>
  <si>
    <t>Ken Kwapis</t>
  </si>
  <si>
    <t>He's Just Not That Into YouÂ </t>
  </si>
  <si>
    <t>Wayne Wang</t>
  </si>
  <si>
    <t>Maid in ManhattanÂ </t>
  </si>
  <si>
    <t>The Mask of ZorroÂ </t>
  </si>
  <si>
    <t>FlightÂ </t>
  </si>
  <si>
    <t>Joe Roth</t>
  </si>
  <si>
    <t>America's SweetheartsÂ </t>
  </si>
  <si>
    <t>David O. Russell</t>
  </si>
  <si>
    <t>The FighterÂ </t>
  </si>
  <si>
    <t>Rob Reiner</t>
  </si>
  <si>
    <t>The Bucket ListÂ </t>
  </si>
  <si>
    <t>Lawrence Guterman</t>
  </si>
  <si>
    <t>Cats &amp; DogsÂ </t>
  </si>
  <si>
    <t>Marc Lawrence</t>
  </si>
  <si>
    <t>Two Weeks NoticeÂ </t>
  </si>
  <si>
    <t>Les Mayfield</t>
  </si>
  <si>
    <t>FlubberÂ </t>
  </si>
  <si>
    <t>Brett Ratner</t>
  </si>
  <si>
    <t>Red DragonÂ </t>
  </si>
  <si>
    <t>Germany</t>
  </si>
  <si>
    <t>When Harry Met Sally...Â </t>
  </si>
  <si>
    <t>Ben Affleck</t>
  </si>
  <si>
    <t>The TownÂ </t>
  </si>
  <si>
    <t>The ClientÂ </t>
  </si>
  <si>
    <t>Jonathan Frakes</t>
  </si>
  <si>
    <t>Star Trek: First ContactÂ </t>
  </si>
  <si>
    <t>Tim Story</t>
  </si>
  <si>
    <t>Think Like a ManÂ </t>
  </si>
  <si>
    <t>Ivan Reitman</t>
  </si>
  <si>
    <t>Kindergarten CopÂ </t>
  </si>
  <si>
    <t>Randall Wallace</t>
  </si>
  <si>
    <t>Heaven Is for RealÂ </t>
  </si>
  <si>
    <t>Jaume Collet-Serra</t>
  </si>
  <si>
    <t>Non-StopÂ </t>
  </si>
  <si>
    <t>Tony Scott</t>
  </si>
  <si>
    <t>Crimson TideÂ </t>
  </si>
  <si>
    <t>Jan de Bont</t>
  </si>
  <si>
    <t>The HauntingÂ </t>
  </si>
  <si>
    <t>Morten Tyldum</t>
  </si>
  <si>
    <t>The Imitation GameÂ </t>
  </si>
  <si>
    <t>Thomas Carter</t>
  </si>
  <si>
    <t>Save the Last DanceÂ </t>
  </si>
  <si>
    <t>Chris Columbus</t>
  </si>
  <si>
    <t>StepmomÂ </t>
  </si>
  <si>
    <t>Ride Along 2Â </t>
  </si>
  <si>
    <t>John G. Avildsen</t>
  </si>
  <si>
    <t>The Karate KidÂ </t>
  </si>
  <si>
    <t>Scary Movie 4Â </t>
  </si>
  <si>
    <t>Andy Fickman</t>
  </si>
  <si>
    <t>The Game PlanÂ </t>
  </si>
  <si>
    <t>Bobby Farrelly</t>
  </si>
  <si>
    <t>Me, Myself &amp; IreneÂ </t>
  </si>
  <si>
    <t>Kenny Ortega</t>
  </si>
  <si>
    <t>High School Musical 3: Senior YearÂ </t>
  </si>
  <si>
    <t>Tyler Perry</t>
  </si>
  <si>
    <t>Madea Goes to JailÂ </t>
  </si>
  <si>
    <t>Space CowboysÂ </t>
  </si>
  <si>
    <t>Joe Pytka</t>
  </si>
  <si>
    <t>Space JamÂ </t>
  </si>
  <si>
    <t>John Landis</t>
  </si>
  <si>
    <t>Trading PlacesÂ </t>
  </si>
  <si>
    <t>Robert Schwentke</t>
  </si>
  <si>
    <t>REDÂ </t>
  </si>
  <si>
    <t>Etan Cohen</t>
  </si>
  <si>
    <t>Get HardÂ </t>
  </si>
  <si>
    <t>Chuck Russell</t>
  </si>
  <si>
    <t>The Scorpion KingÂ </t>
  </si>
  <si>
    <t>Mystic RiverÂ </t>
  </si>
  <si>
    <t>Charles Herman-Wurmfeld</t>
  </si>
  <si>
    <t>Legally Blonde 2: Red, White &amp; BlondeÂ </t>
  </si>
  <si>
    <t>FlightplanÂ </t>
  </si>
  <si>
    <t>Olivier Megaton</t>
  </si>
  <si>
    <t>Taken 3Â </t>
  </si>
  <si>
    <t>France</t>
  </si>
  <si>
    <t>Scream 3Â </t>
  </si>
  <si>
    <t>The Ugly TruthÂ </t>
  </si>
  <si>
    <t>Tom Dey</t>
  </si>
  <si>
    <t>Failure to LaunchÂ </t>
  </si>
  <si>
    <t>James Bobin</t>
  </si>
  <si>
    <t>The MuppetsÂ </t>
  </si>
  <si>
    <t>Spike Lee</t>
  </si>
  <si>
    <t>Inside ManÂ </t>
  </si>
  <si>
    <t>Starsky &amp; HutchÂ </t>
  </si>
  <si>
    <t>John Hamburg</t>
  </si>
  <si>
    <t>Along Came PollyÂ </t>
  </si>
  <si>
    <t>Jon Amiel</t>
  </si>
  <si>
    <t>EntrapmentÂ </t>
  </si>
  <si>
    <t>Back to the Future Part IIIÂ </t>
  </si>
  <si>
    <t>David Gordon Green</t>
  </si>
  <si>
    <t>Pineapple ExpressÂ </t>
  </si>
  <si>
    <t>Sydney Pollack</t>
  </si>
  <si>
    <t>Out of AfricaÂ </t>
  </si>
  <si>
    <t>Darren Lynn Bousman</t>
  </si>
  <si>
    <t>Saw IIÂ </t>
  </si>
  <si>
    <t>The Naked Gun 2Â½: The Smell of FearÂ </t>
  </si>
  <si>
    <t>Mel Brooks</t>
  </si>
  <si>
    <t>Young FrankensteinÂ </t>
  </si>
  <si>
    <t>Dumb and Dumber ToÂ </t>
  </si>
  <si>
    <t>Mean GirlsÂ </t>
  </si>
  <si>
    <t>Will Gluck</t>
  </si>
  <si>
    <t>AnnieÂ </t>
  </si>
  <si>
    <t>Walt Becker</t>
  </si>
  <si>
    <t>Alvin and the Chipmunks: The Road ChipÂ </t>
  </si>
  <si>
    <t>David Ayer</t>
  </si>
  <si>
    <t>FuryÂ </t>
  </si>
  <si>
    <t>Robert Rodriguez</t>
  </si>
  <si>
    <t>Spy Kids 2: Island of Lost DreamsÂ </t>
  </si>
  <si>
    <t>Stephen Hillenburg</t>
  </si>
  <si>
    <t>The SpongeBob SquarePants MovieÂ </t>
  </si>
  <si>
    <t>StripesÂ </t>
  </si>
  <si>
    <t>James Cameron</t>
  </si>
  <si>
    <t>AliensÂ </t>
  </si>
  <si>
    <t>Tod Williams</t>
  </si>
  <si>
    <t>Paranormal Activity 2Â </t>
  </si>
  <si>
    <t>Ben Falcone</t>
  </si>
  <si>
    <t>TammyÂ </t>
  </si>
  <si>
    <t>Roger Allers</t>
  </si>
  <si>
    <t>Open SeasonÂ </t>
  </si>
  <si>
    <t>Norman Ferguson</t>
  </si>
  <si>
    <t>PinocchioÂ </t>
  </si>
  <si>
    <t>John R. Leonetti</t>
  </si>
  <si>
    <t>AnnabelleÂ </t>
  </si>
  <si>
    <t>Glenn Ficarra</t>
  </si>
  <si>
    <t>Crazy, Stupid, Love.Â </t>
  </si>
  <si>
    <t>Scooby-Doo 2: Monsters UnleashedÂ </t>
  </si>
  <si>
    <t>Anchorman: The Legend of Ron BurgundyÂ </t>
  </si>
  <si>
    <t>Renny Harlin</t>
  </si>
  <si>
    <t>CliffhangerÂ </t>
  </si>
  <si>
    <t>Nick Cassavetes</t>
  </si>
  <si>
    <t>The Other WomanÂ </t>
  </si>
  <si>
    <t>Rob Bowman</t>
  </si>
  <si>
    <t>The X FilesÂ </t>
  </si>
  <si>
    <t>Jason Reitman</t>
  </si>
  <si>
    <t>Up in the AirÂ </t>
  </si>
  <si>
    <t>Insidious: Chapter 2Â </t>
  </si>
  <si>
    <t>Jonathan Liebesman</t>
  </si>
  <si>
    <t>Battle Los AngelesÂ </t>
  </si>
  <si>
    <t>Tarsem Singh</t>
  </si>
  <si>
    <t>ImmortalsÂ </t>
  </si>
  <si>
    <t>Jim Abrahams</t>
  </si>
  <si>
    <t>Airplane!Â </t>
  </si>
  <si>
    <t>John Lee Hancock</t>
  </si>
  <si>
    <t>Saving Mr. BanksÂ </t>
  </si>
  <si>
    <t>Phillip Noyce</t>
  </si>
  <si>
    <t>Patriot GamesÂ </t>
  </si>
  <si>
    <t>Bryan Singer</t>
  </si>
  <si>
    <t>ValkyrieÂ </t>
  </si>
  <si>
    <t>Ang Lee</t>
  </si>
  <si>
    <t>Brokeback MountainÂ </t>
  </si>
  <si>
    <t>Barry Levinson</t>
  </si>
  <si>
    <t>DisclosureÂ </t>
  </si>
  <si>
    <t>Monster-in-LawÂ </t>
  </si>
  <si>
    <t>Days of ThunderÂ </t>
  </si>
  <si>
    <t>Alexander Payne</t>
  </si>
  <si>
    <t>The DescendantsÂ </t>
  </si>
  <si>
    <t>Cheaper by the Dozen 2Â </t>
  </si>
  <si>
    <t>Stephen Herek</t>
  </si>
  <si>
    <t>Mr. Holland's OpusÂ </t>
  </si>
  <si>
    <t>Francis Ford Coppola</t>
  </si>
  <si>
    <t>Bram Stoker's DraculaÂ </t>
  </si>
  <si>
    <t>Gary Winick</t>
  </si>
  <si>
    <t>Charlotte's WebÂ </t>
  </si>
  <si>
    <t>Luke Greenfield</t>
  </si>
  <si>
    <t>Let's Be CopsÂ </t>
  </si>
  <si>
    <t>Brian Levant</t>
  </si>
  <si>
    <t>Are We There Yet?Â </t>
  </si>
  <si>
    <t>Robert Wise</t>
  </si>
  <si>
    <t>Star Trek: The Motion PictureÂ </t>
  </si>
  <si>
    <t>Gabor Csupo</t>
  </si>
  <si>
    <t>Bridge to TerabithiaÂ </t>
  </si>
  <si>
    <t>The Pink PantherÂ </t>
  </si>
  <si>
    <t>Ronny Yu</t>
  </si>
  <si>
    <t>Freddy vs. JasonÂ </t>
  </si>
  <si>
    <t>The Scorch TrialsÂ </t>
  </si>
  <si>
    <t>Guillermo del Toro</t>
  </si>
  <si>
    <t>Blade IIÂ </t>
  </si>
  <si>
    <t>Frank Marshall</t>
  </si>
  <si>
    <t>Eight BelowÂ </t>
  </si>
  <si>
    <t>PaybackÂ </t>
  </si>
  <si>
    <t>Die HardÂ </t>
  </si>
  <si>
    <t>The Talented Mr. RipleyÂ </t>
  </si>
  <si>
    <t>Richard Linklater</t>
  </si>
  <si>
    <t>School of RockÂ </t>
  </si>
  <si>
    <t>Seth MacFarlane</t>
  </si>
  <si>
    <t>Ted 2Â </t>
  </si>
  <si>
    <t>Police AcademyÂ </t>
  </si>
  <si>
    <t>21Â </t>
  </si>
  <si>
    <t>Snow DogsÂ </t>
  </si>
  <si>
    <t>CongoÂ </t>
  </si>
  <si>
    <t>John A. Davis</t>
  </si>
  <si>
    <t>Jimmy Neutron: Boy GeniusÂ </t>
  </si>
  <si>
    <t>Ryan Murphy</t>
  </si>
  <si>
    <t>Eat Pray LoveÂ </t>
  </si>
  <si>
    <t>Frank Coraci</t>
  </si>
  <si>
    <t>ZookeeperÂ </t>
  </si>
  <si>
    <t>Paul W.S. Anderson</t>
  </si>
  <si>
    <t>AVP: Alien vs. PredatorÂ </t>
  </si>
  <si>
    <t>Tom Vaughan</t>
  </si>
  <si>
    <t>What Happens in VegasÂ </t>
  </si>
  <si>
    <t>Jay Chandrasekhar</t>
  </si>
  <si>
    <t>The Dukes of HazzardÂ </t>
  </si>
  <si>
    <t>Jared Hess</t>
  </si>
  <si>
    <t>Nacho LibreÂ </t>
  </si>
  <si>
    <t>Doug Liman</t>
  </si>
  <si>
    <t>JumperÂ </t>
  </si>
  <si>
    <t>Saw IIIÂ </t>
  </si>
  <si>
    <t>DisturbiaÂ </t>
  </si>
  <si>
    <t>Matt Reeves</t>
  </si>
  <si>
    <t>CloverfieldÂ </t>
  </si>
  <si>
    <t>Christopher McQuarrie</t>
  </si>
  <si>
    <t>Jack ReacherÂ </t>
  </si>
  <si>
    <t>Rob Letterman</t>
  </si>
  <si>
    <t>GoosebumpsÂ </t>
  </si>
  <si>
    <t>Lasse HallstrÃ¶m</t>
  </si>
  <si>
    <t>Dear JohnÂ </t>
  </si>
  <si>
    <t>Herbert Ross</t>
  </si>
  <si>
    <t>FootlooseÂ </t>
  </si>
  <si>
    <t>Alex Proyas</t>
  </si>
  <si>
    <t>KnowingÂ </t>
  </si>
  <si>
    <t>Michael Apted</t>
  </si>
  <si>
    <t>Coal Miner's DaughterÂ </t>
  </si>
  <si>
    <t>War HorseÂ </t>
  </si>
  <si>
    <t>Michael Ritchie</t>
  </si>
  <si>
    <t>The Golden ChildÂ </t>
  </si>
  <si>
    <t>John Badham</t>
  </si>
  <si>
    <t>WarGamesÂ </t>
  </si>
  <si>
    <t>Peter Chelsom</t>
  </si>
  <si>
    <t>Hannah Montana: The MovieÂ </t>
  </si>
  <si>
    <t>Scott Derrickson</t>
  </si>
  <si>
    <t>The Day the Earth Stood StillÂ </t>
  </si>
  <si>
    <t>Martin Scorsese</t>
  </si>
  <si>
    <t>Cape FearÂ </t>
  </si>
  <si>
    <t>Nicholas Meyer</t>
  </si>
  <si>
    <t>Star Trek II: The Wrath of KhanÂ </t>
  </si>
  <si>
    <t>Ridley Scott</t>
  </si>
  <si>
    <t>AlienÂ </t>
  </si>
  <si>
    <t>James DeMonaco</t>
  </si>
  <si>
    <t>The Purge: Election YearÂ </t>
  </si>
  <si>
    <t>Apocalypse NowÂ </t>
  </si>
  <si>
    <t>PixelsÂ </t>
  </si>
  <si>
    <t>City of AngelsÂ </t>
  </si>
  <si>
    <t>Michael Pressman</t>
  </si>
  <si>
    <t>Teenage Mutant Ninja Turtles II: The Secret of the OozeÂ </t>
  </si>
  <si>
    <t>The English PatientÂ </t>
  </si>
  <si>
    <t>We Were SoldiersÂ </t>
  </si>
  <si>
    <t>George Clooney</t>
  </si>
  <si>
    <t>The Monuments MenÂ </t>
  </si>
  <si>
    <t>Tower HeistÂ </t>
  </si>
  <si>
    <t>Man on FireÂ </t>
  </si>
  <si>
    <t>Luc Jacquet</t>
  </si>
  <si>
    <t>March of the PenguinsÂ </t>
  </si>
  <si>
    <t>French</t>
  </si>
  <si>
    <t>Jonathan Demme</t>
  </si>
  <si>
    <t>PhiladelphiaÂ </t>
  </si>
  <si>
    <t>Parental GuidanceÂ </t>
  </si>
  <si>
    <t>Jonathan Mostow</t>
  </si>
  <si>
    <t>U-571Â </t>
  </si>
  <si>
    <t>The TerminalÂ </t>
  </si>
  <si>
    <t>Anne Fletcher</t>
  </si>
  <si>
    <t>27 DressesÂ </t>
  </si>
  <si>
    <t>James Frawley</t>
  </si>
  <si>
    <t>The Muppet MovieÂ </t>
  </si>
  <si>
    <t>Tobe Hooper</t>
  </si>
  <si>
    <t>PoltergeistÂ </t>
  </si>
  <si>
    <t>Stig Bergqvist</t>
  </si>
  <si>
    <t>Rugrats in Paris: The MovieÂ </t>
  </si>
  <si>
    <t>Star Trek III: The Search for SpockÂ </t>
  </si>
  <si>
    <t>FantasiaÂ </t>
  </si>
  <si>
    <t>Brian De Palma</t>
  </si>
  <si>
    <t>The UntouchablesÂ </t>
  </si>
  <si>
    <t>Training DayÂ </t>
  </si>
  <si>
    <t>Paul King</t>
  </si>
  <si>
    <t>PaddingtonÂ </t>
  </si>
  <si>
    <t>Richard Donner</t>
  </si>
  <si>
    <t>Conspiracy TheoryÂ </t>
  </si>
  <si>
    <t>Hideo Nakata</t>
  </si>
  <si>
    <t>The Ring TwoÂ </t>
  </si>
  <si>
    <t>Rob Minkoff</t>
  </si>
  <si>
    <t>The Haunted MansionÂ </t>
  </si>
  <si>
    <t>The Family ManÂ </t>
  </si>
  <si>
    <t>Hellboy II: The Golden ArmyÂ </t>
  </si>
  <si>
    <t>David Carson</t>
  </si>
  <si>
    <t>Star Trek: GenerationsÂ </t>
  </si>
  <si>
    <t>Steven Soderbergh</t>
  </si>
  <si>
    <t>ContagionÂ </t>
  </si>
  <si>
    <t>We Bought a ZooÂ </t>
  </si>
  <si>
    <t>Bennett Miller</t>
  </si>
  <si>
    <t>MoneyballÂ </t>
  </si>
  <si>
    <t>Anthony Russo</t>
  </si>
  <si>
    <t>You, Me and DupreeÂ </t>
  </si>
  <si>
    <t>Mel Gibson</t>
  </si>
  <si>
    <t>BraveheartÂ </t>
  </si>
  <si>
    <t>The RookieÂ </t>
  </si>
  <si>
    <t>Ruben Fleischer</t>
  </si>
  <si>
    <t>ZombielandÂ </t>
  </si>
  <si>
    <t>Baltasar KormÃ¡kur</t>
  </si>
  <si>
    <t>2 GunsÂ </t>
  </si>
  <si>
    <t>Oliver Stone</t>
  </si>
  <si>
    <t>Any Given SundayÂ </t>
  </si>
  <si>
    <t>Robert Redford</t>
  </si>
  <si>
    <t>The Horse WhispererÂ </t>
  </si>
  <si>
    <t>Peter Hewitt</t>
  </si>
  <si>
    <t>GarfieldÂ </t>
  </si>
  <si>
    <t>Taylor Hackford</t>
  </si>
  <si>
    <t>RayÂ </t>
  </si>
  <si>
    <t>Henry Selick</t>
  </si>
  <si>
    <t>CoralineÂ </t>
  </si>
  <si>
    <t>Nancy Meyers</t>
  </si>
  <si>
    <t>The InternÂ </t>
  </si>
  <si>
    <t>BarbershopÂ </t>
  </si>
  <si>
    <t>The Exorcism of Emily RoseÂ </t>
  </si>
  <si>
    <t>Star Trek VI: The Undiscovered CountryÂ </t>
  </si>
  <si>
    <t>Barbra Streisand</t>
  </si>
  <si>
    <t>The Prince of TidesÂ </t>
  </si>
  <si>
    <t>Old SchoolÂ </t>
  </si>
  <si>
    <t>Jay Russell</t>
  </si>
  <si>
    <t>Ladder 49Â </t>
  </si>
  <si>
    <t>John Singleton</t>
  </si>
  <si>
    <t>Four BrothersÂ </t>
  </si>
  <si>
    <t>Six Days Seven NightsÂ </t>
  </si>
  <si>
    <t>Ethan Coen</t>
  </si>
  <si>
    <t>No Country for Old MenÂ </t>
  </si>
  <si>
    <t>Jack and JillÂ </t>
  </si>
  <si>
    <t>Frank Miller</t>
  </si>
  <si>
    <t>Sin CityÂ </t>
  </si>
  <si>
    <t>Lee Tamahori</t>
  </si>
  <si>
    <t>Along Came a SpiderÂ </t>
  </si>
  <si>
    <t>Christmas with the KranksÂ </t>
  </si>
  <si>
    <t>Gil Kenan</t>
  </si>
  <si>
    <t>Monster HouseÂ </t>
  </si>
  <si>
    <t>Deep Blue SeaÂ </t>
  </si>
  <si>
    <t>Law Abiding CitizenÂ </t>
  </si>
  <si>
    <t>Tim Burton</t>
  </si>
  <si>
    <t>BeetlejuiceÂ </t>
  </si>
  <si>
    <t>Kelly Asbury</t>
  </si>
  <si>
    <t>Spirit: Stallion of the CimarronÂ </t>
  </si>
  <si>
    <t>Thor Freudenthal</t>
  </si>
  <si>
    <t>Hotel for DogsÂ </t>
  </si>
  <si>
    <t>Jon M. Chu</t>
  </si>
  <si>
    <t>Justin Bieber: Never Say NeverÂ </t>
  </si>
  <si>
    <t>Jay Roach</t>
  </si>
  <si>
    <t>Dinner for SchmucksÂ </t>
  </si>
  <si>
    <t>Jackass Number TwoÂ </t>
  </si>
  <si>
    <t>BarnyardÂ </t>
  </si>
  <si>
    <t>The InterpreterÂ </t>
  </si>
  <si>
    <t>Aboriginal</t>
  </si>
  <si>
    <t>The Last of the MohicansÂ </t>
  </si>
  <si>
    <t>Bridge of SpiesÂ </t>
  </si>
  <si>
    <t>Charles Martin Smith</t>
  </si>
  <si>
    <t>Dolphin TaleÂ </t>
  </si>
  <si>
    <t>Pete Travis</t>
  </si>
  <si>
    <t>Vantage PointÂ </t>
  </si>
  <si>
    <t>Jim Gillespie</t>
  </si>
  <si>
    <t>I Know What You Did Last SummerÂ </t>
  </si>
  <si>
    <t>Tom Shadyac</t>
  </si>
  <si>
    <t>Ace Ventura: Pet DetectiveÂ </t>
  </si>
  <si>
    <t>Barry Sonnenfeld</t>
  </si>
  <si>
    <t>Get ShortyÂ </t>
  </si>
  <si>
    <t>George Cukor</t>
  </si>
  <si>
    <t>My Fair LadyÂ </t>
  </si>
  <si>
    <t>Mikael HÃ¥fstrÃ¶m</t>
  </si>
  <si>
    <t>1408Â </t>
  </si>
  <si>
    <t>Dan Trachtenberg</t>
  </si>
  <si>
    <t>10 Cloverfield LaneÂ </t>
  </si>
  <si>
    <t>This Is ItÂ </t>
  </si>
  <si>
    <t>AndrÃ©s Muschietti</t>
  </si>
  <si>
    <t>MamaÂ </t>
  </si>
  <si>
    <t>The Purge: AnarchyÂ </t>
  </si>
  <si>
    <t>SidewaysÂ </t>
  </si>
  <si>
    <t>Sharon Maguire</t>
  </si>
  <si>
    <t>Bridget Jones's DiaryÂ </t>
  </si>
  <si>
    <t>Dean Parisot</t>
  </si>
  <si>
    <t>Galaxy QuestÂ </t>
  </si>
  <si>
    <t>I Love You, ManÂ </t>
  </si>
  <si>
    <t>Safe HavenÂ </t>
  </si>
  <si>
    <t>ChocolatÂ </t>
  </si>
  <si>
    <t>Keenen Ivory Wayans</t>
  </si>
  <si>
    <t>Scary Movie 2Â </t>
  </si>
  <si>
    <t>The Spiderwick ChroniclesÂ </t>
  </si>
  <si>
    <t>Frank Oz</t>
  </si>
  <si>
    <t>The ScoreÂ </t>
  </si>
  <si>
    <t>Paul Blart: Mall Cop 2Â </t>
  </si>
  <si>
    <t>John QÂ </t>
  </si>
  <si>
    <t>The Bridges of Madison CountyÂ </t>
  </si>
  <si>
    <t>Groundhog DayÂ </t>
  </si>
  <si>
    <t>Shallow HalÂ </t>
  </si>
  <si>
    <t>No Strings AttachedÂ </t>
  </si>
  <si>
    <t>James McTeigue</t>
  </si>
  <si>
    <t>V for VendettaÂ </t>
  </si>
  <si>
    <t>Malcolm D. Lee</t>
  </si>
  <si>
    <t>The Best Man HolidayÂ </t>
  </si>
  <si>
    <t>John Woo</t>
  </si>
  <si>
    <t>Broken ArrowÂ </t>
  </si>
  <si>
    <t>JFKÂ </t>
  </si>
  <si>
    <t>Mortal KombatÂ </t>
  </si>
  <si>
    <t>ShaftÂ </t>
  </si>
  <si>
    <t>Rocky BalboaÂ </t>
  </si>
  <si>
    <t>World Trade CenterÂ </t>
  </si>
  <si>
    <t>The Big ShortÂ </t>
  </si>
  <si>
    <t>Andy Tennant</t>
  </si>
  <si>
    <t>Fool's GoldÂ </t>
  </si>
  <si>
    <t>John Whitesell</t>
  </si>
  <si>
    <t>Big Momma's House 2Â </t>
  </si>
  <si>
    <t>Star Trek: InsurrectionÂ </t>
  </si>
  <si>
    <t>Reginald Hudlin</t>
  </si>
  <si>
    <t>BoomerangÂ </t>
  </si>
  <si>
    <t>Kill Bill: Vol. 1Â </t>
  </si>
  <si>
    <t>Mike McCoy</t>
  </si>
  <si>
    <t>Act of ValorÂ </t>
  </si>
  <si>
    <t>Born on the Fourth of JulyÂ </t>
  </si>
  <si>
    <t>Stephen Norrington</t>
  </si>
  <si>
    <t>BladeÂ </t>
  </si>
  <si>
    <t>Gabriele Muccino</t>
  </si>
  <si>
    <t>Seven PoundsÂ </t>
  </si>
  <si>
    <t>Howard Zieff</t>
  </si>
  <si>
    <t>Private BenjaminÂ </t>
  </si>
  <si>
    <t>Ron Howard</t>
  </si>
  <si>
    <t>SplashÂ </t>
  </si>
  <si>
    <t>SwordfishÂ </t>
  </si>
  <si>
    <t>Colin Higgins</t>
  </si>
  <si>
    <t>The Best Little Whorehouse in TexasÂ </t>
  </si>
  <si>
    <t>The KidÂ </t>
  </si>
  <si>
    <t>Callie Khouri</t>
  </si>
  <si>
    <t>Divine Secrets of the Ya-Ya SisterhoodÂ </t>
  </si>
  <si>
    <t>The Thomas Crown AffairÂ </t>
  </si>
  <si>
    <t>White ChicksÂ </t>
  </si>
  <si>
    <t>Stephen Hopkins</t>
  </si>
  <si>
    <t>Lost in SpaceÂ </t>
  </si>
  <si>
    <t>Cool RunningsÂ </t>
  </si>
  <si>
    <t>Stuart Baird</t>
  </si>
  <si>
    <t>Executive DecisionÂ </t>
  </si>
  <si>
    <t>Percy Jackson: Sea of MonstersÂ </t>
  </si>
  <si>
    <t>Road TripÂ </t>
  </si>
  <si>
    <t>Vertical LimitÂ </t>
  </si>
  <si>
    <t>Bring It OnÂ </t>
  </si>
  <si>
    <t>Mr. Popper's PenguinsÂ </t>
  </si>
  <si>
    <t>Blue StreakÂ </t>
  </si>
  <si>
    <t>Kevin Rodney Sullivan</t>
  </si>
  <si>
    <t>Guess WhoÂ </t>
  </si>
  <si>
    <t>John Glen</t>
  </si>
  <si>
    <t>OctopussyÂ </t>
  </si>
  <si>
    <t>Wolfgang Petersen</t>
  </si>
  <si>
    <t>OutbreakÂ </t>
  </si>
  <si>
    <t>This Is 40Â </t>
  </si>
  <si>
    <t>Andrew Davis</t>
  </si>
  <si>
    <t>HolesÂ </t>
  </si>
  <si>
    <t>David Wain</t>
  </si>
  <si>
    <t>Role ModelsÂ </t>
  </si>
  <si>
    <t>Christopher Nolan</t>
  </si>
  <si>
    <t>InsomniaÂ </t>
  </si>
  <si>
    <t>Coach CarterÂ </t>
  </si>
  <si>
    <t>Race to Witch MountainÂ </t>
  </si>
  <si>
    <t>The Bounty HunterÂ </t>
  </si>
  <si>
    <t>Miguel Arteta</t>
  </si>
  <si>
    <t>Alexander and the Terrible, Horrible, No Good, Very Bad DayÂ </t>
  </si>
  <si>
    <t>Kevin Lima</t>
  </si>
  <si>
    <t>102 DalmatiansÂ </t>
  </si>
  <si>
    <t>Peter Hyams</t>
  </si>
  <si>
    <t>End of DaysÂ </t>
  </si>
  <si>
    <t>Gore Verbinski</t>
  </si>
  <si>
    <t>The MexicanÂ </t>
  </si>
  <si>
    <t>Roger Michell</t>
  </si>
  <si>
    <t>Changing LanesÂ </t>
  </si>
  <si>
    <t>David McNally</t>
  </si>
  <si>
    <t>Kangaroo JackÂ </t>
  </si>
  <si>
    <t>The Godfather: Part IIIÂ </t>
  </si>
  <si>
    <t>Mike Nichols</t>
  </si>
  <si>
    <t>Charlie Wilson's WarÂ </t>
  </si>
  <si>
    <t>Chris Noonan</t>
  </si>
  <si>
    <t>BabeÂ </t>
  </si>
  <si>
    <t>Edward Zwick</t>
  </si>
  <si>
    <t>Legends of the FallÂ </t>
  </si>
  <si>
    <t>ContrabandÂ </t>
  </si>
  <si>
    <t>The Bone CollectorÂ </t>
  </si>
  <si>
    <t>Rian Johnson</t>
  </si>
  <si>
    <t>LooperÂ </t>
  </si>
  <si>
    <t>David R. Ellis</t>
  </si>
  <si>
    <t>The Final DestinationÂ </t>
  </si>
  <si>
    <t>The League of Extraordinary GentlemenÂ </t>
  </si>
  <si>
    <t>BowfingerÂ </t>
  </si>
  <si>
    <t>Jonathan Levine</t>
  </si>
  <si>
    <t>Warm BodiesÂ </t>
  </si>
  <si>
    <t>Big FishÂ </t>
  </si>
  <si>
    <t>Kill Bill: Vol. 2Â </t>
  </si>
  <si>
    <t>Gregory Jacobs</t>
  </si>
  <si>
    <t>Magic Mike XXLÂ </t>
  </si>
  <si>
    <t>Angela Robinson</t>
  </si>
  <si>
    <t>Herbie Fully LoadedÂ </t>
  </si>
  <si>
    <t>The Manchurian CandidateÂ </t>
  </si>
  <si>
    <t>Michael Bay</t>
  </si>
  <si>
    <t>Bad BoysÂ </t>
  </si>
  <si>
    <t>Ever After: A Cinderella StoryÂ </t>
  </si>
  <si>
    <t>Madea's Witness ProtectionÂ </t>
  </si>
  <si>
    <t>Luis Llosa</t>
  </si>
  <si>
    <t>AnacondaÂ </t>
  </si>
  <si>
    <t>Mike Mitchell</t>
  </si>
  <si>
    <t>Deuce Bigalow: Male GigoloÂ </t>
  </si>
  <si>
    <t>WitnessÂ </t>
  </si>
  <si>
    <t>Step UpÂ </t>
  </si>
  <si>
    <t>Think Like a Man TooÂ </t>
  </si>
  <si>
    <t>The VisitÂ </t>
  </si>
  <si>
    <t>WolfÂ </t>
  </si>
  <si>
    <t>About SchmidtÂ </t>
  </si>
  <si>
    <t>The American PresidentÂ </t>
  </si>
  <si>
    <t>Jason Moore</t>
  </si>
  <si>
    <t>Pitch PerfectÂ </t>
  </si>
  <si>
    <t>Barbershop 2: Back in BusinessÂ </t>
  </si>
  <si>
    <t>Mirror MirrorÂ </t>
  </si>
  <si>
    <t>Now You See Me 2Â </t>
  </si>
  <si>
    <t>Curtis Hanson</t>
  </si>
  <si>
    <t>L.A. ConfidentialÂ </t>
  </si>
  <si>
    <t>Josh Trank</t>
  </si>
  <si>
    <t>ChronicleÂ </t>
  </si>
  <si>
    <t>The HappeningÂ </t>
  </si>
  <si>
    <t>The PurgeÂ </t>
  </si>
  <si>
    <t>Gavin O'Connor</t>
  </si>
  <si>
    <t>MiracleÂ </t>
  </si>
  <si>
    <t>Jackass: The MovieÂ </t>
  </si>
  <si>
    <t>Andrew Douglas</t>
  </si>
  <si>
    <t>The Amityville HorrorÂ </t>
  </si>
  <si>
    <t>Peter Lepeniotis</t>
  </si>
  <si>
    <t>The Nut JobÂ </t>
  </si>
  <si>
    <t>Chris Weitz</t>
  </si>
  <si>
    <t>Down to EarthÂ </t>
  </si>
  <si>
    <t>Burr Steers</t>
  </si>
  <si>
    <t>17 AgainÂ </t>
  </si>
  <si>
    <t>Diary of a Wimpy KidÂ </t>
  </si>
  <si>
    <t>Sky HighÂ </t>
  </si>
  <si>
    <t>Last VegasÂ </t>
  </si>
  <si>
    <t>In &amp; OutÂ </t>
  </si>
  <si>
    <t>Mike Newell</t>
  </si>
  <si>
    <t>Mona Lisa SmileÂ </t>
  </si>
  <si>
    <t>Terence Young</t>
  </si>
  <si>
    <t>ThunderballÂ </t>
  </si>
  <si>
    <t>David Frankel</t>
  </si>
  <si>
    <t>Hope SpringsÂ </t>
  </si>
  <si>
    <t>The Time Traveler's WifeÂ </t>
  </si>
  <si>
    <t>Andrey Konchalovskiy</t>
  </si>
  <si>
    <t>Tango &amp; CashÂ </t>
  </si>
  <si>
    <t>Robert Iscove</t>
  </si>
  <si>
    <t>She's All ThatÂ </t>
  </si>
  <si>
    <t>Saw IVÂ </t>
  </si>
  <si>
    <t>Madea's Family ReunionÂ </t>
  </si>
  <si>
    <t>The HolidayÂ </t>
  </si>
  <si>
    <t>Mike Judge</t>
  </si>
  <si>
    <t>Beavis and Butt-Head Do AmericaÂ </t>
  </si>
  <si>
    <t>The BossÂ </t>
  </si>
  <si>
    <t>Julie Anne Robinson</t>
  </si>
  <si>
    <t>The Last SongÂ </t>
  </si>
  <si>
    <t>Nicholas Stoller</t>
  </si>
  <si>
    <t>Forgetting Sarah MarshallÂ </t>
  </si>
  <si>
    <t>Lewis Gilbert</t>
  </si>
  <si>
    <t>MoonrakerÂ </t>
  </si>
  <si>
    <t>JarheadÂ </t>
  </si>
  <si>
    <t>Scott Cooper</t>
  </si>
  <si>
    <t>Black MassÂ </t>
  </si>
  <si>
    <t>The Crying GameÂ </t>
  </si>
  <si>
    <t>Justin Lin</t>
  </si>
  <si>
    <t>The Fast and the Furious: Tokyo DriftÂ </t>
  </si>
  <si>
    <t>George Nolfi</t>
  </si>
  <si>
    <t>The Adjustment BureauÂ </t>
  </si>
  <si>
    <t>Babak Najafi</t>
  </si>
  <si>
    <t>London Has FallenÂ </t>
  </si>
  <si>
    <t>MÃ¥ns MÃ¥rlind</t>
  </si>
  <si>
    <t>Underworld: AwakeningÂ </t>
  </si>
  <si>
    <t>Len Wiseman</t>
  </si>
  <si>
    <t>Underworld: EvolutionÂ </t>
  </si>
  <si>
    <t>For Your Eyes OnlyÂ </t>
  </si>
  <si>
    <t>Patricia Riggen</t>
  </si>
  <si>
    <t>Miracles from HeavenÂ </t>
  </si>
  <si>
    <t>Cinderella ManÂ </t>
  </si>
  <si>
    <t>FlatlinersÂ </t>
  </si>
  <si>
    <t>National Lampoon's VacationÂ </t>
  </si>
  <si>
    <t>Sylvain White</t>
  </si>
  <si>
    <t>Stomp the YardÂ </t>
  </si>
  <si>
    <t>The SaintÂ </t>
  </si>
  <si>
    <t>The CellÂ </t>
  </si>
  <si>
    <t>Brian Robbins</t>
  </si>
  <si>
    <t>The Shaggy DogÂ </t>
  </si>
  <si>
    <t>UnknownÂ </t>
  </si>
  <si>
    <t>The Devil's AdvocateÂ </t>
  </si>
  <si>
    <t>Denis Villeneuve</t>
  </si>
  <si>
    <t>PrisonersÂ </t>
  </si>
  <si>
    <t>Get Him to the GreekÂ </t>
  </si>
  <si>
    <t>Mission to MarsÂ </t>
  </si>
  <si>
    <t>Coyote UglyÂ </t>
  </si>
  <si>
    <t>Three KingsÂ </t>
  </si>
  <si>
    <t>Jingle All the WayÂ </t>
  </si>
  <si>
    <t>Fantasia 2000Â </t>
  </si>
  <si>
    <t>Gary Fleder</t>
  </si>
  <si>
    <t>Kiss the GirlsÂ </t>
  </si>
  <si>
    <t>David Dobkin</t>
  </si>
  <si>
    <t>Shanghai KnightsÂ </t>
  </si>
  <si>
    <t>Scott Hicks</t>
  </si>
  <si>
    <t>The Lucky OneÂ </t>
  </si>
  <si>
    <t>The Wedding PlannerÂ </t>
  </si>
  <si>
    <t>Burn After ReadingÂ </t>
  </si>
  <si>
    <t>ScroogedÂ </t>
  </si>
  <si>
    <t>Michael McCullers</t>
  </si>
  <si>
    <t>Baby MamaÂ </t>
  </si>
  <si>
    <t>Ben Stiller</t>
  </si>
  <si>
    <t>The Cable GuyÂ </t>
  </si>
  <si>
    <t>Resident Evil: AfterlifeÂ </t>
  </si>
  <si>
    <t>Why Did I Get Married Too?Â </t>
  </si>
  <si>
    <t>Terry Zwigoff</t>
  </si>
  <si>
    <t>Bad SantaÂ </t>
  </si>
  <si>
    <t>Roger Donaldson</t>
  </si>
  <si>
    <t>SpeciesÂ </t>
  </si>
  <si>
    <t>Forest Whitaker</t>
  </si>
  <si>
    <t>Hope FloatsÂ </t>
  </si>
  <si>
    <t>Chris Koch</t>
  </si>
  <si>
    <t>Snow DayÂ </t>
  </si>
  <si>
    <t>Superman IIIÂ </t>
  </si>
  <si>
    <t>Larry Charles</t>
  </si>
  <si>
    <t>BrÃ¼noÂ </t>
  </si>
  <si>
    <t>Jonathan Dayton</t>
  </si>
  <si>
    <t>Little Miss SunshineÂ </t>
  </si>
  <si>
    <t>My GirlÂ </t>
  </si>
  <si>
    <t>PredatorÂ </t>
  </si>
  <si>
    <t>SecretariatÂ </t>
  </si>
  <si>
    <t>Christopher Spencer</t>
  </si>
  <si>
    <t>Son of GodÂ </t>
  </si>
  <si>
    <t>The DictatorÂ </t>
  </si>
  <si>
    <t>Mathieu Kassovitz</t>
  </si>
  <si>
    <t>GothikaÂ </t>
  </si>
  <si>
    <t>Kirk Jones</t>
  </si>
  <si>
    <t>My Big Fat Greek Wedding 2Â </t>
  </si>
  <si>
    <t>The Stepford WivesÂ </t>
  </si>
  <si>
    <t>Richard Curtis</t>
  </si>
  <si>
    <t>Love ActuallyÂ </t>
  </si>
  <si>
    <t>Wes Anderson</t>
  </si>
  <si>
    <t>The Grand Budapest HotelÂ </t>
  </si>
  <si>
    <t>John Moore</t>
  </si>
  <si>
    <t>Behind Enemy LinesÂ </t>
  </si>
  <si>
    <t>HellboyÂ </t>
  </si>
  <si>
    <t>Courage Under FireÂ </t>
  </si>
  <si>
    <t>Zack Snyder</t>
  </si>
  <si>
    <t>Dawn of the DeadÂ </t>
  </si>
  <si>
    <t>John Francis Daley</t>
  </si>
  <si>
    <t>VacationÂ </t>
  </si>
  <si>
    <t>Hugh Hudson</t>
  </si>
  <si>
    <t>Chariots of FireÂ </t>
  </si>
  <si>
    <t>Bride WarsÂ </t>
  </si>
  <si>
    <t>Francis Lawrence</t>
  </si>
  <si>
    <t>Water for ElephantsÂ </t>
  </si>
  <si>
    <t>Harold Becker</t>
  </si>
  <si>
    <t>Sea of LoveÂ </t>
  </si>
  <si>
    <t>Death Becomes HerÂ </t>
  </si>
  <si>
    <t>Easy AÂ </t>
  </si>
  <si>
    <t>Matthew O'Callaghan</t>
  </si>
  <si>
    <t>Curious GeorgeÂ </t>
  </si>
  <si>
    <t>Kevin Costner</t>
  </si>
  <si>
    <t>Open RangeÂ </t>
  </si>
  <si>
    <t>Don Bluth</t>
  </si>
  <si>
    <t>AnastasiaÂ </t>
  </si>
  <si>
    <t>LittlemanÂ </t>
  </si>
  <si>
    <t>The Secret Life of Walter MittyÂ </t>
  </si>
  <si>
    <t>Steven Brill</t>
  </si>
  <si>
    <t>Without a PaddleÂ </t>
  </si>
  <si>
    <t>Step Up 2: The StreetsÂ </t>
  </si>
  <si>
    <t>Brad Furman</t>
  </si>
  <si>
    <t>The Lincoln LawyerÂ </t>
  </si>
  <si>
    <t>Shall We DanceÂ </t>
  </si>
  <si>
    <t>Red EyeÂ </t>
  </si>
  <si>
    <t>Joseph L. Mankiewicz</t>
  </si>
  <si>
    <t>CleopatraÂ </t>
  </si>
  <si>
    <t>John Luessenhop</t>
  </si>
  <si>
    <t>TakersÂ </t>
  </si>
  <si>
    <t>The BenchwarmersÂ </t>
  </si>
  <si>
    <t>Boyz n the HoodÂ </t>
  </si>
  <si>
    <t>Mary Lambert</t>
  </si>
  <si>
    <t>Pet SemataryÂ </t>
  </si>
  <si>
    <t>Baz Luhrmann</t>
  </si>
  <si>
    <t>Moulin Rouge!Â </t>
  </si>
  <si>
    <t>The SpecialistÂ </t>
  </si>
  <si>
    <t>Peru</t>
  </si>
  <si>
    <t>The Godfather: Part IIÂ </t>
  </si>
  <si>
    <t>Jonathan Lynn</t>
  </si>
  <si>
    <t>The Whole Nine YardsÂ </t>
  </si>
  <si>
    <t>Next FridayÂ </t>
  </si>
  <si>
    <t>Cal Brunker</t>
  </si>
  <si>
    <t>Escape from Planet EarthÂ </t>
  </si>
  <si>
    <t>Rob Marshall</t>
  </si>
  <si>
    <t>Memoirs of a GeishaÂ </t>
  </si>
  <si>
    <t>Shanghai NoonÂ </t>
  </si>
  <si>
    <t>The Man in the Iron MaskÂ </t>
  </si>
  <si>
    <t>Woody Allen</t>
  </si>
  <si>
    <t>Midnight in ParisÂ </t>
  </si>
  <si>
    <t>Spain</t>
  </si>
  <si>
    <t>David Hackl</t>
  </si>
  <si>
    <t>Saw VÂ </t>
  </si>
  <si>
    <t>Jon Hurwitz</t>
  </si>
  <si>
    <t>American ReunionÂ </t>
  </si>
  <si>
    <t>Stanley Kubrick</t>
  </si>
  <si>
    <t>2001: A Space OdysseyÂ </t>
  </si>
  <si>
    <t>Steven Zaillian</t>
  </si>
  <si>
    <t>A Civil ActionÂ </t>
  </si>
  <si>
    <t>Simon Wells</t>
  </si>
  <si>
    <t>The Time MachineÂ </t>
  </si>
  <si>
    <t>Steve McQueen</t>
  </si>
  <si>
    <t>12 Years a SlaveÂ </t>
  </si>
  <si>
    <t>Amy Heckerling</t>
  </si>
  <si>
    <t>CluelessÂ </t>
  </si>
  <si>
    <t>Jerry Zucker</t>
  </si>
  <si>
    <t>Rat RaceÂ </t>
  </si>
  <si>
    <t>David F. Sandberg</t>
  </si>
  <si>
    <t>Lights OutÂ </t>
  </si>
  <si>
    <t>George P. Cosmatos</t>
  </si>
  <si>
    <t>TombstoneÂ </t>
  </si>
  <si>
    <t>JoyÂ </t>
  </si>
  <si>
    <t>Stephen Frears</t>
  </si>
  <si>
    <t>The QueenÂ </t>
  </si>
  <si>
    <t>Charles Stone III</t>
  </si>
  <si>
    <t>DrumlineÂ </t>
  </si>
  <si>
    <t>Edward ScissorhandsÂ </t>
  </si>
  <si>
    <t>Thea Sharrock</t>
  </si>
  <si>
    <t>Me Before YouÂ </t>
  </si>
  <si>
    <t>Just MarriedÂ </t>
  </si>
  <si>
    <t>A Knight's TaleÂ </t>
  </si>
  <si>
    <t>Steve Box</t>
  </si>
  <si>
    <t>The Curse of the Were-RabbitÂ </t>
  </si>
  <si>
    <t>13 Going on 30Â </t>
  </si>
  <si>
    <t>Chris Butler</t>
  </si>
  <si>
    <t>ParaNormanÂ </t>
  </si>
  <si>
    <t>Andrzej Bartkowiak</t>
  </si>
  <si>
    <t>Romeo Must DieÂ </t>
  </si>
  <si>
    <t>Gary Shore</t>
  </si>
  <si>
    <t>Dracula UntoldÂ </t>
  </si>
  <si>
    <t>Geoffrey Sax</t>
  </si>
  <si>
    <t>White NoiseÂ </t>
  </si>
  <si>
    <t>Once Upon a Time in MexicoÂ </t>
  </si>
  <si>
    <t>Be CoolÂ </t>
  </si>
  <si>
    <t>Friends with BenefitsÂ </t>
  </si>
  <si>
    <t>The AnimalÂ </t>
  </si>
  <si>
    <t>Jimmy Hayward</t>
  </si>
  <si>
    <t>Free BirdsÂ </t>
  </si>
  <si>
    <t>Tommy Wirkola</t>
  </si>
  <si>
    <t>Hansel &amp; Gretel: Witch HuntersÂ </t>
  </si>
  <si>
    <t>Legend of the Guardians: The Owls of Ga'HooleÂ </t>
  </si>
  <si>
    <t>Eyes Wide ShutÂ </t>
  </si>
  <si>
    <t>Snake EyesÂ </t>
  </si>
  <si>
    <t>Irvin Kershner</t>
  </si>
  <si>
    <t>Never Say Never AgainÂ </t>
  </si>
  <si>
    <t>Alien 3Â </t>
  </si>
  <si>
    <t>Jon Lucas</t>
  </si>
  <si>
    <t>Bad MomsÂ </t>
  </si>
  <si>
    <t>Vincent Ward</t>
  </si>
  <si>
    <t>What Dreams May ComeÂ </t>
  </si>
  <si>
    <t>Neighbors 2: Sorority RisingÂ </t>
  </si>
  <si>
    <t>William Shatner</t>
  </si>
  <si>
    <t>Star Trek V: The Final FrontierÂ </t>
  </si>
  <si>
    <t>Why Did I Get Married?Â </t>
  </si>
  <si>
    <t>SawÂ </t>
  </si>
  <si>
    <t>I Am Number FourÂ </t>
  </si>
  <si>
    <t>Don't Say a WordÂ </t>
  </si>
  <si>
    <t>Mark A.Z. DippÃ©</t>
  </si>
  <si>
    <t>SpawnÂ </t>
  </si>
  <si>
    <t>Michael Caton-Jones</t>
  </si>
  <si>
    <t>The JackalÂ </t>
  </si>
  <si>
    <t>Ordinary PeopleÂ </t>
  </si>
  <si>
    <t>McG</t>
  </si>
  <si>
    <t>This Means WarÂ </t>
  </si>
  <si>
    <t>Nima Nourizadeh</t>
  </si>
  <si>
    <t>Project XÂ </t>
  </si>
  <si>
    <t>Duncan Jones</t>
  </si>
  <si>
    <t>Source CodeÂ </t>
  </si>
  <si>
    <t>Paul Haggis</t>
  </si>
  <si>
    <t>CrashÂ </t>
  </si>
  <si>
    <t>New Year's EveÂ </t>
  </si>
  <si>
    <t>Sean Anders</t>
  </si>
  <si>
    <t>Horrible Bosses 2Â </t>
  </si>
  <si>
    <t>James Watkins</t>
  </si>
  <si>
    <t>The Woman in BlackÂ </t>
  </si>
  <si>
    <t>The ShallowsÂ </t>
  </si>
  <si>
    <t>Fede Alvarez</t>
  </si>
  <si>
    <t>Evil DeadÂ </t>
  </si>
  <si>
    <t>The Hundred-Foot JourneyÂ </t>
  </si>
  <si>
    <t>Kevin Reynolds</t>
  </si>
  <si>
    <t>The Count of Monte CristoÂ </t>
  </si>
  <si>
    <t>The AbyssÂ </t>
  </si>
  <si>
    <t>Luis Valdez</t>
  </si>
  <si>
    <t>La BambaÂ </t>
  </si>
  <si>
    <t>The Blues BrothersÂ </t>
  </si>
  <si>
    <t>Kevin Munroe</t>
  </si>
  <si>
    <t>TMNTÂ </t>
  </si>
  <si>
    <t>Hong Kong</t>
  </si>
  <si>
    <t>The Hateful EightÂ </t>
  </si>
  <si>
    <t>James Wong</t>
  </si>
  <si>
    <t>Final Destination 3Â </t>
  </si>
  <si>
    <t>Sidney Lumet</t>
  </si>
  <si>
    <t>The VerdictÂ </t>
  </si>
  <si>
    <t>InsidiousÂ </t>
  </si>
  <si>
    <t>Joe Dante</t>
  </si>
  <si>
    <t>Small SoldiersÂ </t>
  </si>
  <si>
    <t>Paranormal Activity 4Â </t>
  </si>
  <si>
    <t>Austin Powers: International Man of MysteryÂ </t>
  </si>
  <si>
    <t>Ron Shelton</t>
  </si>
  <si>
    <t>Tin CupÂ </t>
  </si>
  <si>
    <t>FocusÂ </t>
  </si>
  <si>
    <t>PaycheckÂ </t>
  </si>
  <si>
    <t>Peter MacDonald</t>
  </si>
  <si>
    <t>Rambo IIIÂ </t>
  </si>
  <si>
    <t>Richard LaGravenese</t>
  </si>
  <si>
    <t>P.S. I Love YouÂ </t>
  </si>
  <si>
    <t>James Mangold</t>
  </si>
  <si>
    <t>3:10 to YumaÂ </t>
  </si>
  <si>
    <t>Corpse BrideÂ </t>
  </si>
  <si>
    <t>Final DestinationÂ </t>
  </si>
  <si>
    <t>SleepersÂ </t>
  </si>
  <si>
    <t>William Brent Bell</t>
  </si>
  <si>
    <t>The Devil InsideÂ </t>
  </si>
  <si>
    <t>RED 2Â </t>
  </si>
  <si>
    <t>John Schlesinger</t>
  </si>
  <si>
    <t>Eye for an EyeÂ </t>
  </si>
  <si>
    <t>ArachnophobiaÂ </t>
  </si>
  <si>
    <t>The PrestigeÂ </t>
  </si>
  <si>
    <t>Letters to JulietÂ </t>
  </si>
  <si>
    <t>Ted Demme</t>
  </si>
  <si>
    <t>BlowÂ </t>
  </si>
  <si>
    <t>My Cousin VinnyÂ </t>
  </si>
  <si>
    <t>Varsity BluesÂ </t>
  </si>
  <si>
    <t>13 HoursÂ </t>
  </si>
  <si>
    <t>Luis Mandoki</t>
  </si>
  <si>
    <t>Message in a BottleÂ </t>
  </si>
  <si>
    <t>UnfaithfulÂ </t>
  </si>
  <si>
    <t>Four Weddings and a FuneralÂ </t>
  </si>
  <si>
    <t>David Bowers</t>
  </si>
  <si>
    <t>Diary of a Wimpy Kid: Rodrick RulesÂ </t>
  </si>
  <si>
    <t>Kicking &amp; ScreamingÂ </t>
  </si>
  <si>
    <t>Sam Miller</t>
  </si>
  <si>
    <t>No Good DeedÂ </t>
  </si>
  <si>
    <t>A Madea ChristmasÂ </t>
  </si>
  <si>
    <t>Wall Street: Money Never SleepsÂ </t>
  </si>
  <si>
    <t>SouthpawÂ </t>
  </si>
  <si>
    <t>David S. Goyer</t>
  </si>
  <si>
    <t>Blade: TrinityÂ </t>
  </si>
  <si>
    <t>The Royal TenenbaumsÂ </t>
  </si>
  <si>
    <t>Alejandro Agresti</t>
  </si>
  <si>
    <t>The Lake HouseÂ </t>
  </si>
  <si>
    <t>The Color of MoneyÂ </t>
  </si>
  <si>
    <t>Stand by MeÂ </t>
  </si>
  <si>
    <t>Michael Tollin</t>
  </si>
  <si>
    <t>RadioÂ </t>
  </si>
  <si>
    <t>Leigh Whannell</t>
  </si>
  <si>
    <t>Insidious: Chapter 3Â </t>
  </si>
  <si>
    <t>Ava DuVernay</t>
  </si>
  <si>
    <t>SelmaÂ </t>
  </si>
  <si>
    <t>Trey Parker</t>
  </si>
  <si>
    <t>South Park: Bigger Longer &amp; UncutÂ </t>
  </si>
  <si>
    <t>NimrÃ³d Antal</t>
  </si>
  <si>
    <t>PredatorsÂ </t>
  </si>
  <si>
    <t>Brad Anderson</t>
  </si>
  <si>
    <t>The CallÂ </t>
  </si>
  <si>
    <t>Peter Hedges</t>
  </si>
  <si>
    <t>The Odd Life of Timothy GreenÂ </t>
  </si>
  <si>
    <t>Funny PeopleÂ </t>
  </si>
  <si>
    <t>Mark Neveldine</t>
  </si>
  <si>
    <t>Ghost Rider: Spirit of VengeanceÂ </t>
  </si>
  <si>
    <t>Gus Van Sant</t>
  </si>
  <si>
    <t>Finding ForresterÂ </t>
  </si>
  <si>
    <t>Exit WoundsÂ </t>
  </si>
  <si>
    <t>I Can Do Bad All by MyselfÂ </t>
  </si>
  <si>
    <t>Marc Forster</t>
  </si>
  <si>
    <t>Finding NeverlandÂ </t>
  </si>
  <si>
    <t>Milos Forman</t>
  </si>
  <si>
    <t>AmadeusÂ </t>
  </si>
  <si>
    <t>Joe Carnahan</t>
  </si>
  <si>
    <t>The GreyÂ </t>
  </si>
  <si>
    <t>Patrick Lussier</t>
  </si>
  <si>
    <t>My Bloody ValentineÂ </t>
  </si>
  <si>
    <t>UnderworldÂ </t>
  </si>
  <si>
    <t>IdentityÂ </t>
  </si>
  <si>
    <t>John Schultz</t>
  </si>
  <si>
    <t>Like MikeÂ </t>
  </si>
  <si>
    <t>Mark Rosman</t>
  </si>
  <si>
    <t>A Cinderella StoryÂ </t>
  </si>
  <si>
    <t>Jean-Jacques Annaud</t>
  </si>
  <si>
    <t>Enemy at the GatesÂ </t>
  </si>
  <si>
    <t>Rob Cohen</t>
  </si>
  <si>
    <t>DragonHeartÂ </t>
  </si>
  <si>
    <t>The Phantom of the OperaÂ </t>
  </si>
  <si>
    <t>The Living DaylightsÂ </t>
  </si>
  <si>
    <t>Muppets Most WantedÂ </t>
  </si>
  <si>
    <t>Peter Segal</t>
  </si>
  <si>
    <t>Naked Gun 33 1/3: The Final InsultÂ </t>
  </si>
  <si>
    <t>Guy Hamilton</t>
  </si>
  <si>
    <t>GoldfingerÂ </t>
  </si>
  <si>
    <t>John Polson</t>
  </si>
  <si>
    <t>Hide and SeekÂ </t>
  </si>
  <si>
    <t>Cory Edwards</t>
  </si>
  <si>
    <t>Hoodwinked!Â </t>
  </si>
  <si>
    <t>Jon Avnet</t>
  </si>
  <si>
    <t>Up Close &amp; PersonalÂ </t>
  </si>
  <si>
    <t>Garth Jennings</t>
  </si>
  <si>
    <t>The Hitchhiker's Guide to the GalaxyÂ </t>
  </si>
  <si>
    <t>Joe Wright</t>
  </si>
  <si>
    <t>AtonementÂ </t>
  </si>
  <si>
    <t>ApocalyptoÂ </t>
  </si>
  <si>
    <t>Maya</t>
  </si>
  <si>
    <t>Stiles White</t>
  </si>
  <si>
    <t>OuijaÂ </t>
  </si>
  <si>
    <t>Sam Fell</t>
  </si>
  <si>
    <t>The Tale of DespereauxÂ </t>
  </si>
  <si>
    <t>Stephen Gaghan</t>
  </si>
  <si>
    <t>SyrianaÂ </t>
  </si>
  <si>
    <t>Graham Annable</t>
  </si>
  <si>
    <t>The BoxtrollsÂ </t>
  </si>
  <si>
    <t>Richard Attenborough</t>
  </si>
  <si>
    <t>A Bridge Too FarÂ </t>
  </si>
  <si>
    <t>The Mighty DucksÂ </t>
  </si>
  <si>
    <t>Alexander Witt</t>
  </si>
  <si>
    <t>Resident Evil: ApocalypseÂ </t>
  </si>
  <si>
    <t>Irwin Winkler</t>
  </si>
  <si>
    <t>The NetÂ </t>
  </si>
  <si>
    <t>The CrowÂ </t>
  </si>
  <si>
    <t>Norman Jewison</t>
  </si>
  <si>
    <t>The HurricaneÂ </t>
  </si>
  <si>
    <t>Russell Mulcahy</t>
  </si>
  <si>
    <t>Resident Evil: ExtinctionÂ </t>
  </si>
  <si>
    <t>Ron Underwood</t>
  </si>
  <si>
    <t>Mighty Joe YoungÂ </t>
  </si>
  <si>
    <t>Music and LyricsÂ </t>
  </si>
  <si>
    <t>Kenneth Branagh</t>
  </si>
  <si>
    <t>Jack Ryan: Shadow RecruitÂ </t>
  </si>
  <si>
    <t>R.J. Cutler</t>
  </si>
  <si>
    <t>If I StayÂ </t>
  </si>
  <si>
    <t>Darren Grant</t>
  </si>
  <si>
    <t>Diary of a Mad Black WomanÂ </t>
  </si>
  <si>
    <t>A View to a KillÂ </t>
  </si>
  <si>
    <t>Steve Pink</t>
  </si>
  <si>
    <t>Hot Tub Time MachineÂ </t>
  </si>
  <si>
    <t>Kevin Donovan</t>
  </si>
  <si>
    <t>The TuxedoÂ </t>
  </si>
  <si>
    <t>Iain Softley</t>
  </si>
  <si>
    <t>K-PAXÂ </t>
  </si>
  <si>
    <t>Jorge R. GutiÃ©rrez</t>
  </si>
  <si>
    <t>The Book of LifeÂ </t>
  </si>
  <si>
    <t>BreakdownÂ </t>
  </si>
  <si>
    <t>Rupert Wainwright</t>
  </si>
  <si>
    <t>StigmataÂ </t>
  </si>
  <si>
    <t>Geoff Murphy</t>
  </si>
  <si>
    <t>Under Siege 2: Dark TerritoryÂ </t>
  </si>
  <si>
    <t>Last Action HeroÂ </t>
  </si>
  <si>
    <t>Absolute PowerÂ </t>
  </si>
  <si>
    <t>Gillian Armstrong</t>
  </si>
  <si>
    <t>Little WomenÂ </t>
  </si>
  <si>
    <t>Fiddler on the RoofÂ </t>
  </si>
  <si>
    <t>Alan Parker</t>
  </si>
  <si>
    <t>EvitaÂ </t>
  </si>
  <si>
    <t>SerendipityÂ </t>
  </si>
  <si>
    <t>Anthony Hemingway</t>
  </si>
  <si>
    <t>Red TailsÂ </t>
  </si>
  <si>
    <t>Pain &amp; GainÂ </t>
  </si>
  <si>
    <t>Legal EaglesÂ </t>
  </si>
  <si>
    <t>David S. Ward</t>
  </si>
  <si>
    <t>Major LeagueÂ </t>
  </si>
  <si>
    <t>Old DogsÂ </t>
  </si>
  <si>
    <t>A Nightmare on Elm Street 4: The Dream MasterÂ </t>
  </si>
  <si>
    <t>Frederik Du Chau</t>
  </si>
  <si>
    <t>Racing StripesÂ </t>
  </si>
  <si>
    <t>My Sister's KeeperÂ </t>
  </si>
  <si>
    <t>Ole Bornedal</t>
  </si>
  <si>
    <t>The PossessionÂ </t>
  </si>
  <si>
    <t>Preston A. Whitmore II</t>
  </si>
  <si>
    <t>This ChristmasÂ </t>
  </si>
  <si>
    <t>Tony Gilroy</t>
  </si>
  <si>
    <t>Michael ClaytonÂ </t>
  </si>
  <si>
    <t>Diary of a Wimpy Kid: Dog DaysÂ </t>
  </si>
  <si>
    <t>George Tillman Jr.</t>
  </si>
  <si>
    <t>Men of HonorÂ </t>
  </si>
  <si>
    <t>Richard Loncraine</t>
  </si>
  <si>
    <t>FirewallÂ </t>
  </si>
  <si>
    <t>About Last NightÂ </t>
  </si>
  <si>
    <t>Aaron Seltzer</t>
  </si>
  <si>
    <t>Date MovieÂ </t>
  </si>
  <si>
    <t>John Pasquin</t>
  </si>
  <si>
    <t>Miss Congeniality 2: Armed and FabulousÂ </t>
  </si>
  <si>
    <t>The DilemmaÂ </t>
  </si>
  <si>
    <t>Robin Budd</t>
  </si>
  <si>
    <t>Return to Never LandÂ </t>
  </si>
  <si>
    <t>FrÃ©dÃ©ric Forestier</t>
  </si>
  <si>
    <t>Asterix at the Olympic GamesÂ </t>
  </si>
  <si>
    <t>Pou-Soi Cheang</t>
  </si>
  <si>
    <t>Xi you ji zhi: Sun Wukong san da Baigu JingÂ </t>
  </si>
  <si>
    <t>China</t>
  </si>
  <si>
    <t>Lawrence Kasanoff</t>
  </si>
  <si>
    <t>Foodfight!Â </t>
  </si>
  <si>
    <t>David Lowery</t>
  </si>
  <si>
    <t>Pete's DragonÂ </t>
  </si>
  <si>
    <t>Nils Gaup</t>
  </si>
  <si>
    <t>ShipwreckedÂ </t>
  </si>
  <si>
    <t>Norway</t>
  </si>
  <si>
    <t>Eye See YouÂ </t>
  </si>
  <si>
    <t>InchonÂ </t>
  </si>
  <si>
    <t>South Korea</t>
  </si>
  <si>
    <t>Yuefeng Song</t>
  </si>
  <si>
    <t>Dragon Nest: Warriors' DawnÂ </t>
  </si>
  <si>
    <t>Doug Walker</t>
  </si>
  <si>
    <t xml:space="preserve">Star Wars: Episode VII - The Force AwakensÂ             </t>
  </si>
  <si>
    <t>Roland JoffÃ©</t>
  </si>
  <si>
    <t>The LoversÂ </t>
  </si>
  <si>
    <t>Belgium</t>
  </si>
  <si>
    <t>Hideaki Anno</t>
  </si>
  <si>
    <t>Godzilla ResurgenceÂ </t>
  </si>
  <si>
    <t>Japanese</t>
  </si>
  <si>
    <t>Matt Birch</t>
  </si>
  <si>
    <t>Harry Potter and the Deathly Hallows: Part IIÂ </t>
  </si>
  <si>
    <t>Harry Potter and the Deathly Hallows: Part IÂ </t>
  </si>
  <si>
    <t>unknown</t>
  </si>
  <si>
    <t xml:space="preserve">The A-TeamÂ             </t>
  </si>
  <si>
    <t>Christopher Barnard</t>
  </si>
  <si>
    <t xml:space="preserve">10,000 B.C.Â             </t>
  </si>
  <si>
    <t>Timur Bekmambetov</t>
  </si>
  <si>
    <t>Ben-HurÂ </t>
  </si>
  <si>
    <t xml:space="preserve">HannibalÂ             </t>
  </si>
  <si>
    <t>Bob Fosse</t>
  </si>
  <si>
    <t>All That JazzÂ </t>
  </si>
  <si>
    <t xml:space="preserve">DaredevilÂ             </t>
  </si>
  <si>
    <t xml:space="preserve">BewitchedÂ             </t>
  </si>
  <si>
    <t>Lucile Hadzihalilovic</t>
  </si>
  <si>
    <t>EvolutionÂ </t>
  </si>
  <si>
    <t xml:space="preserve">ConstantineÂ             </t>
  </si>
  <si>
    <t xml:space="preserve">LifeÂ             </t>
  </si>
  <si>
    <t xml:space="preserve">Sleepy HollowÂ             </t>
  </si>
  <si>
    <t xml:space="preserve">Last Man StandingÂ             </t>
  </si>
  <si>
    <t xml:space="preserve">The MissingÂ             </t>
  </si>
  <si>
    <t xml:space="preserve">Rules of EngagementÂ             </t>
  </si>
  <si>
    <t>The Ridiculous 6Â </t>
  </si>
  <si>
    <t xml:space="preserve">Sex and the CityÂ             </t>
  </si>
  <si>
    <t xml:space="preserve">Anger ManagementÂ             </t>
  </si>
  <si>
    <t xml:space="preserve">UnforgottenÂ             </t>
  </si>
  <si>
    <t xml:space="preserve">A Touch of FrostÂ             </t>
  </si>
  <si>
    <t xml:space="preserve">TwistedÂ             </t>
  </si>
  <si>
    <t xml:space="preserve">DefianceÂ             </t>
  </si>
  <si>
    <t xml:space="preserve">OutlanderÂ             </t>
  </si>
  <si>
    <t xml:space="preserve">The ReturnedÂ             </t>
  </si>
  <si>
    <t xml:space="preserve">McHale's NavyÂ             </t>
  </si>
  <si>
    <t>Jamel Debbouze</t>
  </si>
  <si>
    <t>Animal Kingdom: Let's go ApeÂ </t>
  </si>
  <si>
    <t xml:space="preserve">ArthurÂ             </t>
  </si>
  <si>
    <t xml:space="preserve">3rd Rock from the SunÂ             </t>
  </si>
  <si>
    <t xml:space="preserve">Rush HourÂ             </t>
  </si>
  <si>
    <t xml:space="preserve">Hit the FloorÂ             </t>
  </si>
  <si>
    <t>The Bad News BearsÂ </t>
  </si>
  <si>
    <t xml:space="preserve">LutherÂ             </t>
  </si>
  <si>
    <t xml:space="preserve">Friday Night LightsÂ             </t>
  </si>
  <si>
    <t xml:space="preserve">The FamilyÂ             </t>
  </si>
  <si>
    <t xml:space="preserve">EntourageÂ             </t>
  </si>
  <si>
    <t xml:space="preserve">TrappedÂ             </t>
  </si>
  <si>
    <t>Icelandic</t>
  </si>
  <si>
    <t>Iceland</t>
  </si>
  <si>
    <t>Laurent Tirard</t>
  </si>
  <si>
    <t>Little NicholasÂ </t>
  </si>
  <si>
    <t>Reinhard Klooss</t>
  </si>
  <si>
    <t>Animals UnitedÂ </t>
  </si>
  <si>
    <t>German</t>
  </si>
  <si>
    <t xml:space="preserve">12 MonkeysÂ             </t>
  </si>
  <si>
    <t xml:space="preserve">LimitlessÂ             </t>
  </si>
  <si>
    <t xml:space="preserve">The HoneymoonersÂ             </t>
  </si>
  <si>
    <t xml:space="preserve">It's Always Sunny in PhiladelphiaÂ             </t>
  </si>
  <si>
    <t>Michael Winterbottom</t>
  </si>
  <si>
    <t>The Face of an AngelÂ </t>
  </si>
  <si>
    <t xml:space="preserve">Shaun the SheepÂ             </t>
  </si>
  <si>
    <t xml:space="preserve">The Powerpuff GirlsÂ             </t>
  </si>
  <si>
    <t>Ben Stassen</t>
  </si>
  <si>
    <t>A Turtle's Tale: Sammy's AdventuresÂ </t>
  </si>
  <si>
    <t xml:space="preserve">RogueÂ             </t>
  </si>
  <si>
    <t xml:space="preserve">Meet the BrownsÂ             </t>
  </si>
  <si>
    <t xml:space="preserve">Yu-Gi-Oh! Duel MonstersÂ             </t>
  </si>
  <si>
    <t xml:space="preserve">Fired UpÂ             </t>
  </si>
  <si>
    <t xml:space="preserve">PerceptionÂ             </t>
  </si>
  <si>
    <t xml:space="preserve">The Doombolt ChaseÂ             </t>
  </si>
  <si>
    <t>Gnana Rajasekaran</t>
  </si>
  <si>
    <t>RamanujanÂ </t>
  </si>
  <si>
    <t>India</t>
  </si>
  <si>
    <t xml:space="preserve">Gone, Baby, GoneÂ             </t>
  </si>
  <si>
    <t>Alan Yuen</t>
  </si>
  <si>
    <t>FirestormÂ </t>
  </si>
  <si>
    <t>Mandarin</t>
  </si>
  <si>
    <t>Danny Pang</t>
  </si>
  <si>
    <t>Out of InfernoÂ </t>
  </si>
  <si>
    <t>Chinese</t>
  </si>
  <si>
    <t xml:space="preserve">The O.C.Â             </t>
  </si>
  <si>
    <t xml:space="preserve">UnforgettableÂ             </t>
  </si>
  <si>
    <t>Zack Ward</t>
  </si>
  <si>
    <t>RestorationÂ </t>
  </si>
  <si>
    <t xml:space="preserve">The MessengersÂ             </t>
  </si>
  <si>
    <t xml:space="preserve">Scream: The TV SeriesÂ             </t>
  </si>
  <si>
    <t>JK Youn</t>
  </si>
  <si>
    <t>Tidal WaveÂ </t>
  </si>
  <si>
    <t>Korean</t>
  </si>
  <si>
    <t xml:space="preserve">The Dead ZoneÂ             </t>
  </si>
  <si>
    <t>Dan Curtis</t>
  </si>
  <si>
    <t>The Love LetterÂ </t>
  </si>
  <si>
    <t xml:space="preserve">The CompanyÂ             </t>
  </si>
  <si>
    <t>Khalil Sullins</t>
  </si>
  <si>
    <t>ListeningÂ </t>
  </si>
  <si>
    <t>Cambodia</t>
  </si>
  <si>
    <t>Juraj Jakubisko</t>
  </si>
  <si>
    <t>Bathory: Countess of BloodÂ </t>
  </si>
  <si>
    <t>Slovakia</t>
  </si>
  <si>
    <t>John Blanchard</t>
  </si>
  <si>
    <t xml:space="preserve">Towering InfernoÂ             </t>
  </si>
  <si>
    <t xml:space="preserve">Ghost HuntersÂ             </t>
  </si>
  <si>
    <t>Bo Zenga</t>
  </si>
  <si>
    <t>Stan HelsingÂ </t>
  </si>
  <si>
    <t xml:space="preserve">The BorderÂ             </t>
  </si>
  <si>
    <t>Polish</t>
  </si>
  <si>
    <t>Poland</t>
  </si>
  <si>
    <t>Niels Arden Oplev</t>
  </si>
  <si>
    <t xml:space="preserve">Del 1 - MÃ¤n som hatar kvinnorÂ             </t>
  </si>
  <si>
    <t>Swedish</t>
  </si>
  <si>
    <t>Sweden</t>
  </si>
  <si>
    <t>John Cromwell</t>
  </si>
  <si>
    <t>The Prisoner of ZendaÂ </t>
  </si>
  <si>
    <t xml:space="preserve">Spartacus: War of the DamnedÂ             </t>
  </si>
  <si>
    <t>Lijun Sun</t>
  </si>
  <si>
    <t>Legend of Kung Fu RabbitÂ </t>
  </si>
  <si>
    <t>Giuliano Montaldo</t>
  </si>
  <si>
    <t>Machine Gun McCainÂ </t>
  </si>
  <si>
    <t>Italy</t>
  </si>
  <si>
    <t xml:space="preserve">LovesickÂ             </t>
  </si>
  <si>
    <t xml:space="preserve">BonesÂ             </t>
  </si>
  <si>
    <t>Marcus Raboy</t>
  </si>
  <si>
    <t>The Janky PromotersÂ </t>
  </si>
  <si>
    <t>Andrew Traucki</t>
  </si>
  <si>
    <t>The ReefÂ </t>
  </si>
  <si>
    <t>Ferzan Ozpetek</t>
  </si>
  <si>
    <t>Loose CannonsÂ </t>
  </si>
  <si>
    <t>Italian</t>
  </si>
  <si>
    <t xml:space="preserve">The Bold and the BeautifulÂ             </t>
  </si>
  <si>
    <t>Eric Lavaine</t>
  </si>
  <si>
    <t>BarbecueÂ </t>
  </si>
  <si>
    <t>Julian Jarrold</t>
  </si>
  <si>
    <t>Red Riding: In the Year of Our Lord 1974Â </t>
  </si>
  <si>
    <t>Martyn Pick</t>
  </si>
  <si>
    <t>Ultramarines: A Warhammer 40,000 MovieÂ </t>
  </si>
  <si>
    <t xml:space="preserve">Star Wars: The Clone WarsÂ             </t>
  </si>
  <si>
    <t>Justin Tipping</t>
  </si>
  <si>
    <t>KicksÂ </t>
  </si>
  <si>
    <t xml:space="preserve">The PlayerÂ             </t>
  </si>
  <si>
    <t xml:space="preserve">PreacherÂ             </t>
  </si>
  <si>
    <t>Edward Hall</t>
  </si>
  <si>
    <t>RestlessÂ </t>
  </si>
  <si>
    <t xml:space="preserve">Wuthering HeightsÂ             </t>
  </si>
  <si>
    <t>James Nunn</t>
  </si>
  <si>
    <t>Green Street 3: Never Back DownÂ </t>
  </si>
  <si>
    <t xml:space="preserve">FargoÂ             </t>
  </si>
  <si>
    <t xml:space="preserve">NikitaÂ             </t>
  </si>
  <si>
    <t xml:space="preserve">Dark AngelÂ             </t>
  </si>
  <si>
    <t>Robert C. Cooper</t>
  </si>
  <si>
    <t>Stargate: The Ark of TruthÂ </t>
  </si>
  <si>
    <t>Alan Alda</t>
  </si>
  <si>
    <t>The Four SeasonsÂ </t>
  </si>
  <si>
    <t xml:space="preserve">GomorrahÂ             </t>
  </si>
  <si>
    <t xml:space="preserve">War &amp; PeaceÂ             </t>
  </si>
  <si>
    <t xml:space="preserve">Veronica MarsÂ             </t>
  </si>
  <si>
    <t>Jon Knautz</t>
  </si>
  <si>
    <t>Goddess of LoveÂ </t>
  </si>
  <si>
    <t>Jake Goldberger</t>
  </si>
  <si>
    <t>Don McKayÂ </t>
  </si>
  <si>
    <t xml:space="preserve">EmmaÂ             </t>
  </si>
  <si>
    <t xml:space="preserve">The InbetweenersÂ             </t>
  </si>
  <si>
    <t>William Sachs</t>
  </si>
  <si>
    <t>GalaxinaÂ </t>
  </si>
  <si>
    <t>Collin Schiffli</t>
  </si>
  <si>
    <t>AnimalsÂ </t>
  </si>
  <si>
    <t xml:space="preserve">Saving GraceÂ             </t>
  </si>
  <si>
    <t>Bob Saget</t>
  </si>
  <si>
    <t>Farce of the PenguinsÂ </t>
  </si>
  <si>
    <t>Jim Amatulli</t>
  </si>
  <si>
    <t>Flying ByÂ </t>
  </si>
  <si>
    <t xml:space="preserve">PsychÂ             </t>
  </si>
  <si>
    <t>Mitch Davis</t>
  </si>
  <si>
    <t>Christmas EveÂ </t>
  </si>
  <si>
    <t>Stanton Barrett</t>
  </si>
  <si>
    <t>Navy Seals vs. ZombiesÂ </t>
  </si>
  <si>
    <t>Christophe Ali</t>
  </si>
  <si>
    <t>Camping sauvageÂ </t>
  </si>
  <si>
    <t>Shekar</t>
  </si>
  <si>
    <t>BarfiÂ </t>
  </si>
  <si>
    <t>Kannada</t>
  </si>
  <si>
    <t xml:space="preserve">Secrets and LiesÂ             </t>
  </si>
  <si>
    <t>Walter Lang</t>
  </si>
  <si>
    <t>State FairÂ </t>
  </si>
  <si>
    <t>Kabir Sadanand</t>
  </si>
  <si>
    <t>FuglyÂ </t>
  </si>
  <si>
    <t>Hindi</t>
  </si>
  <si>
    <t xml:space="preserve">Anne of Green GablesÂ             </t>
  </si>
  <si>
    <t xml:space="preserve">Animal KingdomÂ             </t>
  </si>
  <si>
    <t>Leos Carax</t>
  </si>
  <si>
    <t>Holy MotorsÂ </t>
  </si>
  <si>
    <t xml:space="preserve">Sonny with a ChanceÂ             </t>
  </si>
  <si>
    <t>Vincenzo Natali</t>
  </si>
  <si>
    <t>NothingÂ </t>
  </si>
  <si>
    <t>Sean Byrne</t>
  </si>
  <si>
    <t>The Loved OnesÂ </t>
  </si>
  <si>
    <t>Alan Jacobs</t>
  </si>
  <si>
    <t>Down for LifeÂ </t>
  </si>
  <si>
    <t xml:space="preserve">M*A*S*HÂ             </t>
  </si>
  <si>
    <t xml:space="preserve">EmpireÂ             </t>
  </si>
  <si>
    <t>Gideon Raff</t>
  </si>
  <si>
    <t>TrainÂ </t>
  </si>
  <si>
    <t xml:space="preserve">The SecretÂ             </t>
  </si>
  <si>
    <t>Eldar Rapaport</t>
  </si>
  <si>
    <t>AugustÂ </t>
  </si>
  <si>
    <t xml:space="preserve">Robot ChickenÂ             </t>
  </si>
  <si>
    <t xml:space="preserve">CreatureÂ             </t>
  </si>
  <si>
    <t xml:space="preserve">BrainDeadÂ             </t>
  </si>
  <si>
    <t>Bobby Roth</t>
  </si>
  <si>
    <t>Brave New GirlÂ </t>
  </si>
  <si>
    <t xml:space="preserve">The GrandÂ             </t>
  </si>
  <si>
    <t>They Came TogetherÂ </t>
  </si>
  <si>
    <t>Chris D'Arienzo</t>
  </si>
  <si>
    <t>Barry MundayÂ </t>
  </si>
  <si>
    <t>Leon Ford</t>
  </si>
  <si>
    <t>Griff the InvisibleÂ </t>
  </si>
  <si>
    <t>ThorbjÃ¸rn Christoffersen</t>
  </si>
  <si>
    <t>Journey to SaturnÂ </t>
  </si>
  <si>
    <t>Danish</t>
  </si>
  <si>
    <t>Denmark</t>
  </si>
  <si>
    <t>Jason Stone</t>
  </si>
  <si>
    <t>The CallingÂ </t>
  </si>
  <si>
    <t>Shyam Madiraju</t>
  </si>
  <si>
    <t>EdenÂ </t>
  </si>
  <si>
    <t>Neil Mcenery-West</t>
  </si>
  <si>
    <t>ContainmentÂ </t>
  </si>
  <si>
    <t xml:space="preserve">In the Heat of the NightÂ             </t>
  </si>
  <si>
    <t xml:space="preserve">Strangers with CandyÂ             </t>
  </si>
  <si>
    <t xml:space="preserve">Get RealÂ             </t>
  </si>
  <si>
    <t>Kundan Shah</t>
  </si>
  <si>
    <t>Hum To Mohabbat KaregaÂ </t>
  </si>
  <si>
    <t>Shane Meadows</t>
  </si>
  <si>
    <t>24 7: Twenty Four SevenÂ </t>
  </si>
  <si>
    <t xml:space="preserve">EurekaÂ             </t>
  </si>
  <si>
    <t>Danny Provenzano</t>
  </si>
  <si>
    <t>This Thing of OursÂ </t>
  </si>
  <si>
    <t>Aaron Hann</t>
  </si>
  <si>
    <t>CircleÂ </t>
  </si>
  <si>
    <t>Phil Claydon</t>
  </si>
  <si>
    <t>Vampire KillersÂ </t>
  </si>
  <si>
    <t>Conor McMahon</t>
  </si>
  <si>
    <t>StitchesÂ </t>
  </si>
  <si>
    <t>Ireland</t>
  </si>
  <si>
    <t xml:space="preserve">WingsÂ             </t>
  </si>
  <si>
    <t>Harald Reinl</t>
  </si>
  <si>
    <t>The Torture Chamber of Dr. SadismÂ </t>
  </si>
  <si>
    <t>West Germany</t>
  </si>
  <si>
    <t>John Laing</t>
  </si>
  <si>
    <t>AbandonedÂ </t>
  </si>
  <si>
    <t>New Zealand</t>
  </si>
  <si>
    <t>Richard Brooks</t>
  </si>
  <si>
    <t>Deadline - U.S.A.Â </t>
  </si>
  <si>
    <t>Mitchell Altieri</t>
  </si>
  <si>
    <t>A Beginner's Guide to SnuffÂ </t>
  </si>
  <si>
    <t>LluÃ­s QuÃ­lez</t>
  </si>
  <si>
    <t>Out of the DarkÂ </t>
  </si>
  <si>
    <t>Travis Zariwny</t>
  </si>
  <si>
    <t>Cabin FeverÂ </t>
  </si>
  <si>
    <t>Qasim Basir</t>
  </si>
  <si>
    <t>Mooz-LumÂ </t>
  </si>
  <si>
    <t xml:space="preserve">The Streets of San FranciscoÂ             </t>
  </si>
  <si>
    <t xml:space="preserve">The Girlfriend ExperienceÂ             </t>
  </si>
  <si>
    <t>The Blue BirdÂ </t>
  </si>
  <si>
    <t>David Caffrey</t>
  </si>
  <si>
    <t>Grand Theft ParsonsÂ </t>
  </si>
  <si>
    <t>Adam Jay Epstein</t>
  </si>
  <si>
    <t>Extreme MovieÂ </t>
  </si>
  <si>
    <t xml:space="preserve">Wolf CreekÂ             </t>
  </si>
  <si>
    <t>Shimit Amin</t>
  </si>
  <si>
    <t>Rocket Singh: Salesman of the YearÂ </t>
  </si>
  <si>
    <t>The Party's OverÂ </t>
  </si>
  <si>
    <t>Lori Petty</t>
  </si>
  <si>
    <t>The Poker HouseÂ </t>
  </si>
  <si>
    <t>Mikel Rueda</t>
  </si>
  <si>
    <t>Hidden AwayÂ </t>
  </si>
  <si>
    <t>Spanish</t>
  </si>
  <si>
    <t>Katie Aselton</t>
  </si>
  <si>
    <t>Black RockÂ </t>
  </si>
  <si>
    <t>Ralph Nelson</t>
  </si>
  <si>
    <t>CharlyÂ </t>
  </si>
  <si>
    <t xml:space="preserve">JesseÂ             </t>
  </si>
  <si>
    <t>Justin Molotnikov</t>
  </si>
  <si>
    <t>Crying with LaughterÂ </t>
  </si>
  <si>
    <t>Clark Baker</t>
  </si>
  <si>
    <t>VesselÂ </t>
  </si>
  <si>
    <t>Joseph Kosinski</t>
  </si>
  <si>
    <t>DestinyÂ </t>
  </si>
  <si>
    <t>Emily Dell</t>
  </si>
  <si>
    <t>B-GirlÂ </t>
  </si>
  <si>
    <t>Thomas Lilti</t>
  </si>
  <si>
    <t>IrreplaceableÂ </t>
  </si>
  <si>
    <t>Matt Walsh</t>
  </si>
  <si>
    <t>High RoadÂ </t>
  </si>
  <si>
    <t>Jonathan Parker</t>
  </si>
  <si>
    <t>The CaliforniansÂ </t>
  </si>
  <si>
    <t>Ol Parker</t>
  </si>
  <si>
    <t>Now Is GoodÂ </t>
  </si>
  <si>
    <t>Patrick Gilles</t>
  </si>
  <si>
    <t>America Is Still the PlaceÂ </t>
  </si>
  <si>
    <t>Georgia Hilton</t>
  </si>
  <si>
    <t>SubconsciousÂ </t>
  </si>
  <si>
    <t>Justin Paul Miller</t>
  </si>
  <si>
    <t>The Sound and the ShadowÂ </t>
  </si>
  <si>
    <t>Eric England</t>
  </si>
  <si>
    <t>RoadsideÂ </t>
  </si>
  <si>
    <t xml:space="preserve">HeroesÂ             </t>
  </si>
  <si>
    <t xml:space="preserve">Home MoviesÂ             </t>
  </si>
  <si>
    <t xml:space="preserve">RevolutionÂ             </t>
  </si>
  <si>
    <t>Niall Johnson</t>
  </si>
  <si>
    <t>The Big SwapÂ </t>
  </si>
  <si>
    <t>Pece Dingo</t>
  </si>
  <si>
    <t>Midnight CabaretÂ </t>
  </si>
  <si>
    <t xml:space="preserve">Happy ValleyÂ             </t>
  </si>
  <si>
    <t>Lori Silverbush</t>
  </si>
  <si>
    <t>On the OutsÂ </t>
  </si>
  <si>
    <t>Stuart Hazeldine</t>
  </si>
  <si>
    <t>ExamÂ </t>
  </si>
  <si>
    <t>Rachel Goldenberg</t>
  </si>
  <si>
    <t>Sunday School MusicalÂ </t>
  </si>
  <si>
    <t>Jamin Winans</t>
  </si>
  <si>
    <t>InkÂ </t>
  </si>
  <si>
    <t>Jason Naumann</t>
  </si>
  <si>
    <t>Jesus PeopleÂ </t>
  </si>
  <si>
    <t>Matt Cimber</t>
  </si>
  <si>
    <t>ButterflyÂ </t>
  </si>
  <si>
    <t>Livingston Oden</t>
  </si>
  <si>
    <t>SolitudeÂ </t>
  </si>
  <si>
    <t>Carl Theodor Dreyer</t>
  </si>
  <si>
    <t>OrdetÂ </t>
  </si>
  <si>
    <t>Rania Attieh</t>
  </si>
  <si>
    <t>H.Â </t>
  </si>
  <si>
    <t>Pat Holden</t>
  </si>
  <si>
    <t>When the Lights Went OutÂ </t>
  </si>
  <si>
    <t>Eric Bugbee</t>
  </si>
  <si>
    <t>Heroes of DirtÂ </t>
  </si>
  <si>
    <t>John Reinhardt</t>
  </si>
  <si>
    <t>Open SecretÂ </t>
  </si>
  <si>
    <t>Laslo Benedek</t>
  </si>
  <si>
    <t>The Night VisitorÂ </t>
  </si>
  <si>
    <t>Daniel Schechter</t>
  </si>
  <si>
    <t>Supporting CharactersÂ </t>
  </si>
  <si>
    <t>Matt Johnson</t>
  </si>
  <si>
    <t>The DirtiesÂ </t>
  </si>
  <si>
    <t>Bruno Barreto</t>
  </si>
  <si>
    <t>GabrielaÂ </t>
  </si>
  <si>
    <t>Portuguese</t>
  </si>
  <si>
    <t>Brazil</t>
  </si>
  <si>
    <t>Daniel Mellitz</t>
  </si>
  <si>
    <t>The Naked ApeÂ </t>
  </si>
  <si>
    <t>Andrew Bujalski</t>
  </si>
  <si>
    <t>Mutual AppreciationÂ </t>
  </si>
  <si>
    <t>Funny Ha HaÂ </t>
  </si>
  <si>
    <t>Uwe Boll</t>
  </si>
  <si>
    <t>RampageÂ </t>
  </si>
  <si>
    <t>Marcus Nispel</t>
  </si>
  <si>
    <t>ExeterÂ </t>
  </si>
  <si>
    <t>Tadeo Garcia</t>
  </si>
  <si>
    <t>On the DownlowÂ </t>
  </si>
  <si>
    <t>Ash Baron-Cohen</t>
  </si>
  <si>
    <t>BangÂ </t>
  </si>
  <si>
    <t>Scott Smith</t>
  </si>
  <si>
    <t>Signed Sealed DeliveredÂ </t>
  </si>
  <si>
    <t xml:space="preserve">The FollowingÂ             </t>
  </si>
  <si>
    <t>David Leland</t>
  </si>
  <si>
    <t>Virgin TerritoryÂ </t>
  </si>
  <si>
    <t>Moustapha Akkad</t>
  </si>
  <si>
    <t>Lion of the DesertÂ </t>
  </si>
  <si>
    <t>Libya</t>
  </si>
  <si>
    <t>Warren Beatty</t>
  </si>
  <si>
    <t>RedsÂ </t>
  </si>
  <si>
    <t>1941Â </t>
  </si>
  <si>
    <t xml:space="preserve">LilyhammerÂ             </t>
  </si>
  <si>
    <t>Joachim RÃ¸nning</t>
  </si>
  <si>
    <t>BandidasÂ </t>
  </si>
  <si>
    <t>Tom Reeve</t>
  </si>
  <si>
    <t>George and the DragonÂ </t>
  </si>
  <si>
    <t>Kimble Rendall</t>
  </si>
  <si>
    <t>BaitÂ </t>
  </si>
  <si>
    <t>Wild CardÂ </t>
  </si>
  <si>
    <t>Bille August</t>
  </si>
  <si>
    <t>The Color of FreedomÂ </t>
  </si>
  <si>
    <t>Olivier Dahan</t>
  </si>
  <si>
    <t>Grace of MonacoÂ </t>
  </si>
  <si>
    <t>Switzerland</t>
  </si>
  <si>
    <t>Maksim Fadeev</t>
  </si>
  <si>
    <t>A Warrior's TailÂ </t>
  </si>
  <si>
    <t>Russian</t>
  </si>
  <si>
    <t>Russia</t>
  </si>
  <si>
    <t>Liliana Cavani</t>
  </si>
  <si>
    <t>Ripley's GameÂ </t>
  </si>
  <si>
    <t>Shinji Aramaki</t>
  </si>
  <si>
    <t>Harlock: Space PirateÂ </t>
  </si>
  <si>
    <t>Fedor Bondarchuk</t>
  </si>
  <si>
    <t>Obitaemyy ostrovÂ </t>
  </si>
  <si>
    <t>Confessions of a Dangerous MindÂ </t>
  </si>
  <si>
    <t>Florence Foster JenkinsÂ </t>
  </si>
  <si>
    <t>Scott Walker</t>
  </si>
  <si>
    <t>The Frozen GroundÂ </t>
  </si>
  <si>
    <t>Peter Yates</t>
  </si>
  <si>
    <t>KrullÂ </t>
  </si>
  <si>
    <t>The NeverEnding StoryÂ </t>
  </si>
  <si>
    <t>The Magic FluteÂ </t>
  </si>
  <si>
    <t>Rob Hawk</t>
  </si>
  <si>
    <t>Fight ValleyÂ </t>
  </si>
  <si>
    <t>Michael Cohn</t>
  </si>
  <si>
    <t>Snow White: A Tale of TerrorÂ </t>
  </si>
  <si>
    <t>Accidental LoveÂ </t>
  </si>
  <si>
    <t>Oleg Stepchenko</t>
  </si>
  <si>
    <t>ViyÂ </t>
  </si>
  <si>
    <t>Bibo Bergeron</t>
  </si>
  <si>
    <t>A Monster in ParisÂ </t>
  </si>
  <si>
    <t>Walter Murch</t>
  </si>
  <si>
    <t>Return to OzÂ </t>
  </si>
  <si>
    <t>LifeforceÂ </t>
  </si>
  <si>
    <t>John Guillermin</t>
  </si>
  <si>
    <t>SheenaÂ </t>
  </si>
  <si>
    <t>Roman Polanski</t>
  </si>
  <si>
    <t>CarnageÂ </t>
  </si>
  <si>
    <t>JÃ©rÃ´me Deschamps</t>
  </si>
  <si>
    <t>The True Story of Puss'N BootsÂ </t>
  </si>
  <si>
    <t>Inna Evlannikova</t>
  </si>
  <si>
    <t>Space DogsÂ </t>
  </si>
  <si>
    <t>Jonathan English</t>
  </si>
  <si>
    <t>IroncladÂ </t>
  </si>
  <si>
    <t>Sergey Bondarchuk</t>
  </si>
  <si>
    <t>WaterlooÂ </t>
  </si>
  <si>
    <t>Mario Van Peebles</t>
  </si>
  <si>
    <t>Red SkyÂ </t>
  </si>
  <si>
    <t>Daniel Lee</t>
  </si>
  <si>
    <t>Three Kingdoms: Resurrection of the DragonÂ </t>
  </si>
  <si>
    <t>Peter Flinth</t>
  </si>
  <si>
    <t>Arn: The Knight TemplarÂ </t>
  </si>
  <si>
    <t>FrÃ©dÃ©ric Auburtin</t>
  </si>
  <si>
    <t>United PassionsÂ </t>
  </si>
  <si>
    <t>AgustÃ­n DÃ­az Yanes</t>
  </si>
  <si>
    <t>Captain Alatriste: The Spanish MusketeerÂ </t>
  </si>
  <si>
    <t>Tony Kaye</t>
  </si>
  <si>
    <t>Black Water TransitÂ </t>
  </si>
  <si>
    <t>Teddy Chan</t>
  </si>
  <si>
    <t>Bodyguards and AssassinsÂ </t>
  </si>
  <si>
    <t>GandhiÂ </t>
  </si>
  <si>
    <t>Juan JosÃ© Campanella</t>
  </si>
  <si>
    <t>UnderdogsÂ </t>
  </si>
  <si>
    <t>John Herzfeld</t>
  </si>
  <si>
    <t>The Death and Life of Bobby ZÂ </t>
  </si>
  <si>
    <t>Mike Hodges</t>
  </si>
  <si>
    <t>Flash GordonÂ </t>
  </si>
  <si>
    <t>Gary Nelson</t>
  </si>
  <si>
    <t>The Black HoleÂ </t>
  </si>
  <si>
    <t>Joshua Logan</t>
  </si>
  <si>
    <t>Paint Your WagonÂ </t>
  </si>
  <si>
    <t>LadyhawkeÂ </t>
  </si>
  <si>
    <t>Sweet CharityÂ </t>
  </si>
  <si>
    <t>Paul Gross</t>
  </si>
  <si>
    <t>PasschendaeleÂ </t>
  </si>
  <si>
    <t>Mike Barker</t>
  </si>
  <si>
    <t>ShatteredÂ </t>
  </si>
  <si>
    <t>Wayne Thornley</t>
  </si>
  <si>
    <t>ZambeziaÂ </t>
  </si>
  <si>
    <t>South Africa</t>
  </si>
  <si>
    <t>Tom Walsh</t>
  </si>
  <si>
    <t>Dwegons and LeprechaunsÂ </t>
  </si>
  <si>
    <t>Jonathan Jakubowicz</t>
  </si>
  <si>
    <t>Hands of StoneÂ </t>
  </si>
  <si>
    <t>Panama</t>
  </si>
  <si>
    <t>SurvivorÂ </t>
  </si>
  <si>
    <t>Anthony Silverston</t>
  </si>
  <si>
    <t>KhumbaÂ </t>
  </si>
  <si>
    <t>Billy Ray</t>
  </si>
  <si>
    <t>Secret in Their EyesÂ </t>
  </si>
  <si>
    <t>Scott Mann</t>
  </si>
  <si>
    <t>HeistÂ </t>
  </si>
  <si>
    <t>Greg Tiernan</t>
  </si>
  <si>
    <t>Sausage PartyÂ </t>
  </si>
  <si>
    <t>The ShiningÂ </t>
  </si>
  <si>
    <t>Anthony Mann</t>
  </si>
  <si>
    <t>The Fall of the Roman EmpireÂ </t>
  </si>
  <si>
    <t>Catch-22Â </t>
  </si>
  <si>
    <t>Blow OutÂ </t>
  </si>
  <si>
    <t>Gregor Jordan</t>
  </si>
  <si>
    <t>The InformersÂ </t>
  </si>
  <si>
    <t>Tran Anh Hung</t>
  </si>
  <si>
    <t>I Come with the RainÂ </t>
  </si>
  <si>
    <t>I Am WrathÂ </t>
  </si>
  <si>
    <t>David Hayter</t>
  </si>
  <si>
    <t>WolvesÂ </t>
  </si>
  <si>
    <t>Brian A Miller</t>
  </si>
  <si>
    <t>The PrinceÂ </t>
  </si>
  <si>
    <t>Paul Schrader</t>
  </si>
  <si>
    <t>Cat PeopleÂ </t>
  </si>
  <si>
    <t>Richard Fleischer</t>
  </si>
  <si>
    <t>Red SonjaÂ </t>
  </si>
  <si>
    <t>Netherlands</t>
  </si>
  <si>
    <t>Pascal Chaumeil</t>
  </si>
  <si>
    <t>A Perfect PlanÂ </t>
  </si>
  <si>
    <t>Jack Smight</t>
  </si>
  <si>
    <t>Damnation AlleyÂ </t>
  </si>
  <si>
    <t>Luc Besson</t>
  </si>
  <si>
    <t>SubwayÂ </t>
  </si>
  <si>
    <t>John Stockwell</t>
  </si>
  <si>
    <t>Kickboxer: VengeanceÂ </t>
  </si>
  <si>
    <t>John Milius</t>
  </si>
  <si>
    <t>Red DawnÂ </t>
  </si>
  <si>
    <t>Ronald Neame</t>
  </si>
  <si>
    <t>MeteorÂ </t>
  </si>
  <si>
    <t>Hachi: A Dog's TaleÂ </t>
  </si>
  <si>
    <t>JÃ©rÃ´me Salle</t>
  </si>
  <si>
    <t>ZuluÂ </t>
  </si>
  <si>
    <t>Kunihiko Yuyama</t>
  </si>
  <si>
    <t>PokÃ©mon 3: The MovieÂ </t>
  </si>
  <si>
    <t>Michael Cimino</t>
  </si>
  <si>
    <t>The Deer HunterÂ </t>
  </si>
  <si>
    <t>Darrell Roodt</t>
  </si>
  <si>
    <t>Winnie MandelaÂ </t>
  </si>
  <si>
    <t>Gerry Lively</t>
  </si>
  <si>
    <t>Dungeons &amp; Dragons: Wrath of the Dragon GodÂ </t>
  </si>
  <si>
    <t>Daniele Luchetti</t>
  </si>
  <si>
    <t>Chiamatemi Francesco - Il Papa della genteÂ </t>
  </si>
  <si>
    <t>Tung-Shing Yee</t>
  </si>
  <si>
    <t>Shinjuku IncidentÂ </t>
  </si>
  <si>
    <t>Julien Temple</t>
  </si>
  <si>
    <t>PandaemoniumÂ </t>
  </si>
  <si>
    <t>Vidhu Vinod Chopra</t>
  </si>
  <si>
    <t>Broken HorsesÂ </t>
  </si>
  <si>
    <t xml:space="preserve">Deadline GallipoliÂ             </t>
  </si>
  <si>
    <t>Hao Ning</t>
  </si>
  <si>
    <t>Silver MedallistÂ </t>
  </si>
  <si>
    <t>Deryck Broom</t>
  </si>
  <si>
    <t>The Lion of JudahÂ </t>
  </si>
  <si>
    <t>Peter Cousens</t>
  </si>
  <si>
    <t>FreedomÂ </t>
  </si>
  <si>
    <t>Ted Kotcheff</t>
  </si>
  <si>
    <t>First BloodÂ </t>
  </si>
  <si>
    <t>Rodrigo CortÃ©s</t>
  </si>
  <si>
    <t>Red LightsÂ </t>
  </si>
  <si>
    <t>John Boorman</t>
  </si>
  <si>
    <t>Exorcist II: The HereticÂ </t>
  </si>
  <si>
    <t>New York, New YorkÂ </t>
  </si>
  <si>
    <t>James Cox</t>
  </si>
  <si>
    <t>HighwayÂ </t>
  </si>
  <si>
    <t>Oliver Parker</t>
  </si>
  <si>
    <t>St. Trinian'sÂ </t>
  </si>
  <si>
    <t>Eric Valette</t>
  </si>
  <si>
    <t>Super HybridÂ </t>
  </si>
  <si>
    <t>Quest for FireÂ </t>
  </si>
  <si>
    <t>LÃ©a Pool</t>
  </si>
  <si>
    <t>The Blue ButterflyÂ </t>
  </si>
  <si>
    <t>William Friedkin</t>
  </si>
  <si>
    <t>SorcererÂ </t>
  </si>
  <si>
    <t>Chao-Bin Su</t>
  </si>
  <si>
    <t>Reign of AssassinsÂ </t>
  </si>
  <si>
    <t>Franklin J. Schaffner</t>
  </si>
  <si>
    <t>PattonÂ </t>
  </si>
  <si>
    <t>John Frankenheimer</t>
  </si>
  <si>
    <t>ProphecyÂ </t>
  </si>
  <si>
    <t>The Boys from BrazilÂ </t>
  </si>
  <si>
    <t>Bob Rafelson</t>
  </si>
  <si>
    <t>The Postman Always Rings TwiceÂ </t>
  </si>
  <si>
    <t>Roger Spottiswoode</t>
  </si>
  <si>
    <t>The Pursuit of D.B. CooperÂ </t>
  </si>
  <si>
    <t>Takashi Yamazaki</t>
  </si>
  <si>
    <t>Space Battleship YamatoÂ </t>
  </si>
  <si>
    <t>Christopher Smith</t>
  </si>
  <si>
    <t>TriangleÂ </t>
  </si>
  <si>
    <t>David Winters</t>
  </si>
  <si>
    <t>Dancin' It's OnÂ </t>
  </si>
  <si>
    <t>Mabel Cheung</t>
  </si>
  <si>
    <t>A Tale of Three CitiesÂ </t>
  </si>
  <si>
    <t>Brian Trenchard-Smith</t>
  </si>
  <si>
    <t>Drive HardÂ </t>
  </si>
  <si>
    <t>Rowan Joffe</t>
  </si>
  <si>
    <t>Brighton RockÂ </t>
  </si>
  <si>
    <t>The HoleÂ </t>
  </si>
  <si>
    <t>Jamie Thraves</t>
  </si>
  <si>
    <t>The Cry of the OwlÂ </t>
  </si>
  <si>
    <t>Jon Cassar</t>
  </si>
  <si>
    <t>ForsakenÂ </t>
  </si>
  <si>
    <t>Guillaume Ivernel</t>
  </si>
  <si>
    <t>Dragon HuntersÂ </t>
  </si>
  <si>
    <t>Dany Boon</t>
  </si>
  <si>
    <t>Welcome to the SticksÂ </t>
  </si>
  <si>
    <t>History of the World: Part IÂ </t>
  </si>
  <si>
    <t>F.I.S.T.Â </t>
  </si>
  <si>
    <t>Barry LyndonÂ </t>
  </si>
  <si>
    <t>Martin Ritt</t>
  </si>
  <si>
    <t>The Molly MaguiresÂ </t>
  </si>
  <si>
    <t>Lisa Azuelos</t>
  </si>
  <si>
    <t>LOLÂ </t>
  </si>
  <si>
    <t>Eric Lartigau</t>
  </si>
  <si>
    <t>La Famille BÃ©lierÂ </t>
  </si>
  <si>
    <t>Shintaro Shimosawa</t>
  </si>
  <si>
    <t>MisconductÂ </t>
  </si>
  <si>
    <t>Ken Annakin</t>
  </si>
  <si>
    <t>The Longest DayÂ </t>
  </si>
  <si>
    <t>Mark L. Lester</t>
  </si>
  <si>
    <t>CommandoÂ </t>
  </si>
  <si>
    <t>David Cronenberg</t>
  </si>
  <si>
    <t>The Dead ZoneÂ </t>
  </si>
  <si>
    <t>Joseph Zito</t>
  </si>
  <si>
    <t>Invasion U.S.A.Â </t>
  </si>
  <si>
    <t>Walter Hill</t>
  </si>
  <si>
    <t>The Long RidersÂ </t>
  </si>
  <si>
    <t>Body DoubleÂ </t>
  </si>
  <si>
    <t>Allan Arkush</t>
  </si>
  <si>
    <t>HeartbeepsÂ </t>
  </si>
  <si>
    <t>Rakesh Roshan</t>
  </si>
  <si>
    <t>KrrishÂ </t>
  </si>
  <si>
    <t>Michael Radford</t>
  </si>
  <si>
    <t>Elsa &amp; FredÂ </t>
  </si>
  <si>
    <t>Kim Farrant</t>
  </si>
  <si>
    <t>StrangerlandÂ </t>
  </si>
  <si>
    <t>White Noise 2: The LightÂ </t>
  </si>
  <si>
    <t>Robert Adetuyi</t>
  </si>
  <si>
    <t>You Got Served: Beat the WorldÂ </t>
  </si>
  <si>
    <t>Taedong Park</t>
  </si>
  <si>
    <t>Jungle ShuffleÂ </t>
  </si>
  <si>
    <t>Adam ResurrectedÂ </t>
  </si>
  <si>
    <t>Gurinder Chadha</t>
  </si>
  <si>
    <t>It's a Wonderful AfterlifeÂ </t>
  </si>
  <si>
    <t>Jason Connery</t>
  </si>
  <si>
    <t>The Devil's TombÂ </t>
  </si>
  <si>
    <t>Vic Sarin</t>
  </si>
  <si>
    <t>PartitionÂ </t>
  </si>
  <si>
    <t>Jim Issa</t>
  </si>
  <si>
    <t>Good IntentionsÂ </t>
  </si>
  <si>
    <t>Douglas Aarniokoski</t>
  </si>
  <si>
    <t>Nurse 3DÂ </t>
  </si>
  <si>
    <t>William Phillips</t>
  </si>
  <si>
    <t>GunlessÂ </t>
  </si>
  <si>
    <t>Sarik Andreasyan</t>
  </si>
  <si>
    <t>American HeistÂ </t>
  </si>
  <si>
    <t>Julian Gilbey</t>
  </si>
  <si>
    <t>PlasticÂ </t>
  </si>
  <si>
    <t>Into the Grizzly MazeÂ </t>
  </si>
  <si>
    <t>Joseph Kahn</t>
  </si>
  <si>
    <t>DetentionÂ </t>
  </si>
  <si>
    <t>Barrett Esposito</t>
  </si>
  <si>
    <t>Henry &amp; MeÂ </t>
  </si>
  <si>
    <t>Regardt van den Bergh</t>
  </si>
  <si>
    <t>Faith Like PotatoesÂ </t>
  </si>
  <si>
    <t>Zulu</t>
  </si>
  <si>
    <t>Nate Parker</t>
  </si>
  <si>
    <t>The Birth of a NationÂ </t>
  </si>
  <si>
    <t>Valeri Milev</t>
  </si>
  <si>
    <t>Re-KillÂ </t>
  </si>
  <si>
    <t>Gerald Potterton</t>
  </si>
  <si>
    <t>Heavy MetalÂ </t>
  </si>
  <si>
    <t>Nicholas Ray</t>
  </si>
  <si>
    <t>55 Days at PekingÂ </t>
  </si>
  <si>
    <t>Silent TriggerÂ </t>
  </si>
  <si>
    <t>Stewart Raffill</t>
  </si>
  <si>
    <t>The Ice PiratesÂ </t>
  </si>
  <si>
    <t>Emily Young</t>
  </si>
  <si>
    <t>Veronika Decides to DieÂ </t>
  </si>
  <si>
    <t>Jeremy Sims</t>
  </si>
  <si>
    <t>Beneath Hill 60Â </t>
  </si>
  <si>
    <t>Roger Vadim</t>
  </si>
  <si>
    <t>BarbarellaÂ </t>
  </si>
  <si>
    <t>Tom Elkins</t>
  </si>
  <si>
    <t>The Haunting in Connecticut 2: Ghosts of GeorgiaÂ </t>
  </si>
  <si>
    <t>Roland Suso Richter</t>
  </si>
  <si>
    <t>The I InsideÂ </t>
  </si>
  <si>
    <t>Kim Nguyen</t>
  </si>
  <si>
    <t>Two Lovers and a BearÂ </t>
  </si>
  <si>
    <t>Perry Lang</t>
  </si>
  <si>
    <t>Men of WarÂ </t>
  </si>
  <si>
    <t>Kriv Stenders</t>
  </si>
  <si>
    <t>Red DogÂ </t>
  </si>
  <si>
    <t>Serdar Akar</t>
  </si>
  <si>
    <t>Valley of the Wolves: IraqÂ </t>
  </si>
  <si>
    <t>Arabic</t>
  </si>
  <si>
    <t>Turkey</t>
  </si>
  <si>
    <t>James Ivory</t>
  </si>
  <si>
    <t>The City of Your Final DestinationÂ </t>
  </si>
  <si>
    <t>George A. Romero</t>
  </si>
  <si>
    <t>CreepshowÂ </t>
  </si>
  <si>
    <t>AndrÃ©s Couturier</t>
  </si>
  <si>
    <t>Top Cat BeginsÂ </t>
  </si>
  <si>
    <t>Mexico</t>
  </si>
  <si>
    <t>Woo-Suk Kang</t>
  </si>
  <si>
    <t>SilmidoÂ </t>
  </si>
  <si>
    <t>Ken Shapiro</t>
  </si>
  <si>
    <t>Modern ProblemsÂ </t>
  </si>
  <si>
    <t>Erik Canuel</t>
  </si>
  <si>
    <t>Bon Cop Bad CopÂ </t>
  </si>
  <si>
    <t>The PallbearerÂ </t>
  </si>
  <si>
    <t>Michael Winner</t>
  </si>
  <si>
    <t>The Wicked LadyÂ </t>
  </si>
  <si>
    <t>Charles BinamÃ©</t>
  </si>
  <si>
    <t>The Rocket: The Legend of Rocket RichardÂ </t>
  </si>
  <si>
    <t>Keith Parmer</t>
  </si>
  <si>
    <t>SwelterÂ </t>
  </si>
  <si>
    <t>Mr. ChurchÂ </t>
  </si>
  <si>
    <t>Michael Winnick</t>
  </si>
  <si>
    <t>Code of HonorÂ </t>
  </si>
  <si>
    <t>Don Coscarelli</t>
  </si>
  <si>
    <t>The BeastmasterÂ </t>
  </si>
  <si>
    <t>Andrucha Waddington</t>
  </si>
  <si>
    <t>House of SandÂ </t>
  </si>
  <si>
    <t>Fred Zinnemann</t>
  </si>
  <si>
    <t>JuliaÂ </t>
  </si>
  <si>
    <t>David Oelhoffen</t>
  </si>
  <si>
    <t>Far from MenÂ </t>
  </si>
  <si>
    <t>Mervyn LeRoy</t>
  </si>
  <si>
    <t>Quo VadisÂ </t>
  </si>
  <si>
    <t>CypherÂ </t>
  </si>
  <si>
    <t>Sacha Bennett</t>
  </si>
  <si>
    <t>Outside BetÂ </t>
  </si>
  <si>
    <t>Jeta Amata</t>
  </si>
  <si>
    <t>Black NovemberÂ </t>
  </si>
  <si>
    <t>Nigeria</t>
  </si>
  <si>
    <t>Ernie Barbarash</t>
  </si>
  <si>
    <t>Pound of FleshÂ </t>
  </si>
  <si>
    <t>Gabe IbÃ¡Ã±ez</t>
  </si>
  <si>
    <t>AutomataÂ </t>
  </si>
  <si>
    <t>Bulgaria</t>
  </si>
  <si>
    <t>Losin' ItÂ </t>
  </si>
  <si>
    <t>Aleksey German</t>
  </si>
  <si>
    <t>Hard to Be a GodÂ </t>
  </si>
  <si>
    <t>Troy Duffy</t>
  </si>
  <si>
    <t>The Boondock SaintsÂ </t>
  </si>
  <si>
    <t>David Lam</t>
  </si>
  <si>
    <t>Z StormÂ </t>
  </si>
  <si>
    <t>Cantonese</t>
  </si>
  <si>
    <t>TwixtÂ </t>
  </si>
  <si>
    <t>Vladlen Barbe</t>
  </si>
  <si>
    <t>Snow QueenÂ </t>
  </si>
  <si>
    <t>Richard Rich</t>
  </si>
  <si>
    <t>Alpha and Omega 4: The Legend of the Saw Toothed CaveÂ </t>
  </si>
  <si>
    <t>High School Musical 2Â </t>
  </si>
  <si>
    <t>Jackie Earle Haley</t>
  </si>
  <si>
    <t>Criminal ActivitiesÂ </t>
  </si>
  <si>
    <t>The TrainÂ </t>
  </si>
  <si>
    <t>The Andromeda StrainÂ </t>
  </si>
  <si>
    <t>Ian Sharp</t>
  </si>
  <si>
    <t>TrackerÂ </t>
  </si>
  <si>
    <t>Sam Peckinpah</t>
  </si>
  <si>
    <t>The Wild BunchÂ </t>
  </si>
  <si>
    <t>Kari Skogland</t>
  </si>
  <si>
    <t>Fifty Dead Men WalkingÂ </t>
  </si>
  <si>
    <t>Michael Crichton</t>
  </si>
  <si>
    <t>The Great Train RobberyÂ </t>
  </si>
  <si>
    <t>Greg Marcks</t>
  </si>
  <si>
    <t>11:14Â </t>
  </si>
  <si>
    <t>A Shine of RainbowsÂ </t>
  </si>
  <si>
    <t>William Kaufman</t>
  </si>
  <si>
    <t>The Hit ListÂ </t>
  </si>
  <si>
    <t>Charles Matthau</t>
  </si>
  <si>
    <t>Freaky DeakyÂ </t>
  </si>
  <si>
    <t>Alfred Hitchcock</t>
  </si>
  <si>
    <t>Torn CurtainÂ </t>
  </si>
  <si>
    <t>VideodromeÂ </t>
  </si>
  <si>
    <t>High Plains DrifterÂ </t>
  </si>
  <si>
    <t>Liv Ullmann</t>
  </si>
  <si>
    <t>Miss JulieÂ </t>
  </si>
  <si>
    <t>Somewhere in TimeÂ </t>
  </si>
  <si>
    <t>Dennis Gansel</t>
  </si>
  <si>
    <t>The WaveÂ </t>
  </si>
  <si>
    <t>Blake Edwards</t>
  </si>
  <si>
    <t>The Return of the Pink PantherÂ </t>
  </si>
  <si>
    <t>20,000 Leagues Under the SeaÂ </t>
  </si>
  <si>
    <t>David Lynch</t>
  </si>
  <si>
    <t>The Elephant ManÂ </t>
  </si>
  <si>
    <t>Frank Perry</t>
  </si>
  <si>
    <t>Mommie DearestÂ </t>
  </si>
  <si>
    <t>Michael Curtiz</t>
  </si>
  <si>
    <t>The EgyptianÂ </t>
  </si>
  <si>
    <t>Bruce Malmuth</t>
  </si>
  <si>
    <t>NighthawksÂ </t>
  </si>
  <si>
    <t>King Vidor</t>
  </si>
  <si>
    <t>Solomon and ShebaÂ </t>
  </si>
  <si>
    <t>Robin and MarianÂ </t>
  </si>
  <si>
    <t>Force 10 from NavaroneÂ </t>
  </si>
  <si>
    <t>Sergio Leone</t>
  </si>
  <si>
    <t>Once Upon a Time in the WestÂ </t>
  </si>
  <si>
    <t>Jerry Belson</t>
  </si>
  <si>
    <t>Jekyll and Hyde... Together AgainÂ </t>
  </si>
  <si>
    <t>Billy Kent</t>
  </si>
  <si>
    <t>The Oh in OhioÂ </t>
  </si>
  <si>
    <t>Matthew Hastings</t>
  </si>
  <si>
    <t>DecoysÂ </t>
  </si>
  <si>
    <t>Area 51Â </t>
  </si>
  <si>
    <t>Jaume BalaguerÃ³</t>
  </si>
  <si>
    <t>Sleep TightÂ </t>
  </si>
  <si>
    <t>Dead Like Me: Life After DeathÂ </t>
  </si>
  <si>
    <t>Eric Bross</t>
  </si>
  <si>
    <t>We Have Your HusbandÂ </t>
  </si>
  <si>
    <t>Dying of the LightÂ </t>
  </si>
  <si>
    <t>Bahamas</t>
  </si>
  <si>
    <t>Vicky Jewson</t>
  </si>
  <si>
    <t>Born of WarÂ </t>
  </si>
  <si>
    <t>Capricorn OneÂ </t>
  </si>
  <si>
    <t>Marc Bennett</t>
  </si>
  <si>
    <t>Should've Been RomeoÂ </t>
  </si>
  <si>
    <t>Mike Mayhall</t>
  </si>
  <si>
    <t>Running ForeverÂ </t>
  </si>
  <si>
    <t>Kevin Smith</t>
  </si>
  <si>
    <t>Yoga HosersÂ </t>
  </si>
  <si>
    <t>Scott Foley</t>
  </si>
  <si>
    <t>Let's Kill Ward's WifeÂ </t>
  </si>
  <si>
    <t>Leonard Farlinger</t>
  </si>
  <si>
    <t>All HatÂ </t>
  </si>
  <si>
    <t>Kevin Carraway</t>
  </si>
  <si>
    <t>Chain of CommandÂ </t>
  </si>
  <si>
    <t>Nae Caranfil</t>
  </si>
  <si>
    <t>Closer to the MoonÂ </t>
  </si>
  <si>
    <t>Romania</t>
  </si>
  <si>
    <t xml:space="preserve">Space: Above and BeyondÂ             </t>
  </si>
  <si>
    <t>Gabriela Tagliavini</t>
  </si>
  <si>
    <t>Without MenÂ </t>
  </si>
  <si>
    <t>Analeine Cal y Mayor</t>
  </si>
  <si>
    <t>Treading WaterÂ </t>
  </si>
  <si>
    <t>Pat Garrett &amp; Billy the KidÂ </t>
  </si>
  <si>
    <t>Randal Kleiser</t>
  </si>
  <si>
    <t>The Blue LagoonÂ </t>
  </si>
  <si>
    <t>Fast Times at Ridgemont HighÂ </t>
  </si>
  <si>
    <t>John Huston</t>
  </si>
  <si>
    <t>Moby DickÂ </t>
  </si>
  <si>
    <t>SalvadorÂ </t>
  </si>
  <si>
    <t>Ivan Engler</t>
  </si>
  <si>
    <t>CargoÂ </t>
  </si>
  <si>
    <t>Duane Journey</t>
  </si>
  <si>
    <t>Hansel &amp; Gretel Get BakedÂ </t>
  </si>
  <si>
    <t>Mora Stephens</t>
  </si>
  <si>
    <t>ZipperÂ </t>
  </si>
  <si>
    <t>Family PlotÂ </t>
  </si>
  <si>
    <t>Peter DeLuise</t>
  </si>
  <si>
    <t>R.L. Stine's Monsterville: The Cabinet of SoulsÂ </t>
  </si>
  <si>
    <t>Silent MovieÂ </t>
  </si>
  <si>
    <t>Raja Menon</t>
  </si>
  <si>
    <t>AirliftÂ </t>
  </si>
  <si>
    <t>Class of 1984Â </t>
  </si>
  <si>
    <t>High School MusicalÂ </t>
  </si>
  <si>
    <t>Dan O'Bannon</t>
  </si>
  <si>
    <t>The Return of the Living DeadÂ </t>
  </si>
  <si>
    <t>Jon Wright</t>
  </si>
  <si>
    <t>GrabbersÂ </t>
  </si>
  <si>
    <t>Billy Wilder</t>
  </si>
  <si>
    <t>The Front PageÂ </t>
  </si>
  <si>
    <t>Carol Reed</t>
  </si>
  <si>
    <t>TrapezeÂ </t>
  </si>
  <si>
    <t>John Sturges</t>
  </si>
  <si>
    <t>The Great EscapeÂ </t>
  </si>
  <si>
    <t>The MisfitsÂ </t>
  </si>
  <si>
    <t>TopazÂ </t>
  </si>
  <si>
    <t>Red StateÂ </t>
  </si>
  <si>
    <t>Dan Ireland</t>
  </si>
  <si>
    <t>The Velocity of GaryÂ </t>
  </si>
  <si>
    <t>Sam Levinson</t>
  </si>
  <si>
    <t>Another Happy DayÂ </t>
  </si>
  <si>
    <t>A Lonely Place to DieÂ </t>
  </si>
  <si>
    <t>Aleksandr Veledinskiy</t>
  </si>
  <si>
    <t>The Geographer Drank His Globe AwayÂ </t>
  </si>
  <si>
    <t>Peter H. Hunt</t>
  </si>
  <si>
    <t>1776Â </t>
  </si>
  <si>
    <t>Edward Burns</t>
  </si>
  <si>
    <t>Purple VioletsÂ </t>
  </si>
  <si>
    <t>Phil Joanou</t>
  </si>
  <si>
    <t>The VeilÂ </t>
  </si>
  <si>
    <t>Chris Stokes</t>
  </si>
  <si>
    <t>No VacancyÂ </t>
  </si>
  <si>
    <t>Mark Griffiths</t>
  </si>
  <si>
    <t>How to Fall in LoveÂ </t>
  </si>
  <si>
    <t>Bruce Macdonald</t>
  </si>
  <si>
    <t>The Perfect WaveÂ </t>
  </si>
  <si>
    <t>A Christmas StoryÂ </t>
  </si>
  <si>
    <t>William Eubank</t>
  </si>
  <si>
    <t>The SignalÂ </t>
  </si>
  <si>
    <t>Howard Hughes</t>
  </si>
  <si>
    <t>Hell's AngelsÂ </t>
  </si>
  <si>
    <t>NetworkÂ </t>
  </si>
  <si>
    <t>The Ballad of Cable HogueÂ </t>
  </si>
  <si>
    <t>Benedek Fliegauf</t>
  </si>
  <si>
    <t>WombÂ </t>
  </si>
  <si>
    <t>Midnight CowboyÂ </t>
  </si>
  <si>
    <t>Day of the DeadÂ </t>
  </si>
  <si>
    <t>George Miller</t>
  </si>
  <si>
    <t>The Man from Snowy RiverÂ </t>
  </si>
  <si>
    <t>In Cold BloodÂ </t>
  </si>
  <si>
    <t>The Nun's StoryÂ </t>
  </si>
  <si>
    <t>HarperÂ </t>
  </si>
  <si>
    <t>Amanda Gusack</t>
  </si>
  <si>
    <t>The BetrayedÂ </t>
  </si>
  <si>
    <t>Charles Adelman</t>
  </si>
  <si>
    <t>2:13Â </t>
  </si>
  <si>
    <t>Jay Oliva</t>
  </si>
  <si>
    <t>Batman: The Dark Knight Returns, Part 2Â </t>
  </si>
  <si>
    <t>In the Name of the King: The Last JobÂ </t>
  </si>
  <si>
    <t>Mark Young</t>
  </si>
  <si>
    <t>Wicked BloodÂ </t>
  </si>
  <si>
    <t>Daniel Petrie Jr.</t>
  </si>
  <si>
    <t>Dawn PatrolÂ </t>
  </si>
  <si>
    <t>Danny Perez</t>
  </si>
  <si>
    <t>AntibirthÂ </t>
  </si>
  <si>
    <t>Antonio Simoncini</t>
  </si>
  <si>
    <t>Lords of LondonÂ </t>
  </si>
  <si>
    <t>High AnxietyÂ </t>
  </si>
  <si>
    <t>Nathan Frankowski</t>
  </si>
  <si>
    <t>Day OneÂ </t>
  </si>
  <si>
    <t>Jennifer Finnigan</t>
  </si>
  <si>
    <t>The Opposite SexÂ </t>
  </si>
  <si>
    <t>Richard Wallace</t>
  </si>
  <si>
    <t>TycoonÂ </t>
  </si>
  <si>
    <t>John Ford</t>
  </si>
  <si>
    <t>The Man Who Shot Liberty ValanceÂ </t>
  </si>
  <si>
    <t>John Gulager</t>
  </si>
  <si>
    <t>FeastÂ </t>
  </si>
  <si>
    <t>Brandon Cronenberg</t>
  </si>
  <si>
    <t>AntiviralÂ </t>
  </si>
  <si>
    <t>Ã‰ric Tessier</t>
  </si>
  <si>
    <t>Sur le seuilÂ </t>
  </si>
  <si>
    <t>Frank Capra</t>
  </si>
  <si>
    <t>It's a Wonderful LifeÂ </t>
  </si>
  <si>
    <t>Girl HouseÂ </t>
  </si>
  <si>
    <t xml:space="preserve">Sabrina, the Teenage WitchÂ             </t>
  </si>
  <si>
    <t xml:space="preserve">The BachelorÂ             </t>
  </si>
  <si>
    <t>Nick Murphy</t>
  </si>
  <si>
    <t>The AwakeningÂ </t>
  </si>
  <si>
    <t>Cat on a Hot Tin RoofÂ </t>
  </si>
  <si>
    <t>Ted Post</t>
  </si>
  <si>
    <t>Beneath the Planet of the ApesÂ </t>
  </si>
  <si>
    <t>The ApartmentÂ </t>
  </si>
  <si>
    <t>Michael Schultz</t>
  </si>
  <si>
    <t>Krush GrooveÂ </t>
  </si>
  <si>
    <t>Elmer GantryÂ </t>
  </si>
  <si>
    <t>Stanley Kramer</t>
  </si>
  <si>
    <t>Judgment at NurembergÂ </t>
  </si>
  <si>
    <t>Howard Hawks</t>
  </si>
  <si>
    <t>Red RiverÂ </t>
  </si>
  <si>
    <t>Mel Stuart</t>
  </si>
  <si>
    <t>Willy Wonka &amp; the Chocolate FactoryÂ </t>
  </si>
  <si>
    <t>Terrence Malick</t>
  </si>
  <si>
    <t>Days of HeavenÂ </t>
  </si>
  <si>
    <t>Matthew Bright</t>
  </si>
  <si>
    <t>FreewayÂ </t>
  </si>
  <si>
    <t>Will Canon</t>
  </si>
  <si>
    <t>DemonicÂ </t>
  </si>
  <si>
    <t>Philip Zlotorynski</t>
  </si>
  <si>
    <t>My Big Fat Independent MovieÂ </t>
  </si>
  <si>
    <t>Lance Kawas</t>
  </si>
  <si>
    <t>The DeportedÂ </t>
  </si>
  <si>
    <t>Marcio Garcia</t>
  </si>
  <si>
    <t>Open RoadÂ </t>
  </si>
  <si>
    <t>Craig Moss</t>
  </si>
  <si>
    <t>30 Nights of Paranormal Activity with the Devil Inside the Girl with the Dragon TattooÂ </t>
  </si>
  <si>
    <t>Michael Jai White</t>
  </si>
  <si>
    <t>Never Back Down 2: The BeatdownÂ </t>
  </si>
  <si>
    <t>Point BlankÂ </t>
  </si>
  <si>
    <t>Paolo Monico</t>
  </si>
  <si>
    <t>Four Single FathersÂ </t>
  </si>
  <si>
    <t>Darin Scott</t>
  </si>
  <si>
    <t>Something WickedÂ </t>
  </si>
  <si>
    <t>Christian Sesma</t>
  </si>
  <si>
    <t>AWOL-72Â </t>
  </si>
  <si>
    <t>Monte Hellman</t>
  </si>
  <si>
    <t>IguanaÂ </t>
  </si>
  <si>
    <t>Brian Caunter</t>
  </si>
  <si>
    <t>Chicago OvercoatÂ </t>
  </si>
  <si>
    <t>Isaac Florentine</t>
  </si>
  <si>
    <t>Close RangeÂ </t>
  </si>
  <si>
    <t>Michael Polish</t>
  </si>
  <si>
    <t>AmnesiacÂ </t>
  </si>
  <si>
    <t>Hank Braxtan</t>
  </si>
  <si>
    <t>UnnaturalÂ </t>
  </si>
  <si>
    <t>Rohit Jugraj</t>
  </si>
  <si>
    <t>Sardaar JiÂ </t>
  </si>
  <si>
    <t>Panjabi</t>
  </si>
  <si>
    <t>Brian Dorton</t>
  </si>
  <si>
    <t>The Horror Network Vol. 1Â </t>
  </si>
  <si>
    <t>Crazy StoneÂ </t>
  </si>
  <si>
    <t>Pocketful of MiraclesÂ </t>
  </si>
  <si>
    <t>The OmenÂ </t>
  </si>
  <si>
    <t>Carroll Ballard</t>
  </si>
  <si>
    <t>The Black StallionÂ </t>
  </si>
  <si>
    <t>Donovan's ReefÂ </t>
  </si>
  <si>
    <t>Alex van Warmerdam</t>
  </si>
  <si>
    <t>The DressÂ </t>
  </si>
  <si>
    <t>Dutch</t>
  </si>
  <si>
    <t>Victor Fleming</t>
  </si>
  <si>
    <t>A Guy Named JoeÂ </t>
  </si>
  <si>
    <t>Tony Giglio</t>
  </si>
  <si>
    <t>Timber FallsÂ </t>
  </si>
  <si>
    <t>Stanley Donen</t>
  </si>
  <si>
    <t>Singin' in the RainÂ </t>
  </si>
  <si>
    <t>Melville Shavelson</t>
  </si>
  <si>
    <t>Yours, Mine and OursÂ </t>
  </si>
  <si>
    <t>Paul Andrew Williams</t>
  </si>
  <si>
    <t>The CottageÂ </t>
  </si>
  <si>
    <t>Joe Cross</t>
  </si>
  <si>
    <t>Fat, Sick &amp; Nearly DeadÂ </t>
  </si>
  <si>
    <t>Don Taylor</t>
  </si>
  <si>
    <t>Escape from the Planet of the ApesÂ </t>
  </si>
  <si>
    <t>HudÂ </t>
  </si>
  <si>
    <t>John Murlowski</t>
  </si>
  <si>
    <t>Christmas MailÂ </t>
  </si>
  <si>
    <t>Benni Diez</t>
  </si>
  <si>
    <t>StungÂ </t>
  </si>
  <si>
    <t>Zackary Adler</t>
  </si>
  <si>
    <t>The Rise of the KraysÂ </t>
  </si>
  <si>
    <t>Dominic Burns</t>
  </si>
  <si>
    <t>Alien UprisingÂ </t>
  </si>
  <si>
    <t>Jaco Booyens</t>
  </si>
  <si>
    <t>8 DaysÂ </t>
  </si>
  <si>
    <t>Jack Brooks: Monster SlayerÂ </t>
  </si>
  <si>
    <t>James Kerwin</t>
  </si>
  <si>
    <t>Yesterday Was a LieÂ </t>
  </si>
  <si>
    <t>Rita Merson</t>
  </si>
  <si>
    <t>Always WoodstockÂ </t>
  </si>
  <si>
    <t>George Sidney</t>
  </si>
  <si>
    <t>Bathing BeautyÂ </t>
  </si>
  <si>
    <t xml:space="preserve">Buffy the Vampire SlayerÂ             </t>
  </si>
  <si>
    <t>Rosemary's BabyÂ </t>
  </si>
  <si>
    <t>Jerry Rees</t>
  </si>
  <si>
    <t>The Brave Little ToasterÂ </t>
  </si>
  <si>
    <t>Show BoatÂ </t>
  </si>
  <si>
    <t>Dennis Hopper</t>
  </si>
  <si>
    <t>Out of the BlueÂ </t>
  </si>
  <si>
    <t>Hayley Cloake</t>
  </si>
  <si>
    <t>Impact PointÂ </t>
  </si>
  <si>
    <t>Tay Garnett</t>
  </si>
  <si>
    <t>The Valley of DecisionÂ </t>
  </si>
  <si>
    <t>Patricia Cardoso</t>
  </si>
  <si>
    <t>Lies in Plain SightÂ </t>
  </si>
  <si>
    <t>Dan Perri</t>
  </si>
  <si>
    <t>SharkskinÂ </t>
  </si>
  <si>
    <t>Anthony O'Brien</t>
  </si>
  <si>
    <t>The TimberÂ </t>
  </si>
  <si>
    <t>LolitaÂ </t>
  </si>
  <si>
    <t>A Man for All SeasonsÂ </t>
  </si>
  <si>
    <t>FrenzyÂ </t>
  </si>
  <si>
    <t>SleeperÂ </t>
  </si>
  <si>
    <t>Everything You Always Wanted to Know About Sex * But Were Afraid to AskÂ </t>
  </si>
  <si>
    <t>Robert Mulligan</t>
  </si>
  <si>
    <t>To Kill a MockingbirdÂ </t>
  </si>
  <si>
    <t>Robert Rossen</t>
  </si>
  <si>
    <t>The HustlerÂ </t>
  </si>
  <si>
    <t>Elia Kazan</t>
  </si>
  <si>
    <t>Gentleman's AgreementÂ </t>
  </si>
  <si>
    <t>Henry King</t>
  </si>
  <si>
    <t>Alexander's Ragtime BandÂ </t>
  </si>
  <si>
    <t>Brian Yuzna</t>
  </si>
  <si>
    <t>Return of the Living Dead IIIÂ </t>
  </si>
  <si>
    <t>John Simpson</t>
  </si>
  <si>
    <t>Freeze FrameÂ </t>
  </si>
  <si>
    <t>Chris Shadley</t>
  </si>
  <si>
    <t>Nine DeadÂ </t>
  </si>
  <si>
    <t>Simon Napier-Bell</t>
  </si>
  <si>
    <t>To Be Frank, Sinatra at 100Â </t>
  </si>
  <si>
    <t>BananasÂ </t>
  </si>
  <si>
    <t>Jeff Crook</t>
  </si>
  <si>
    <t>RockawayÂ </t>
  </si>
  <si>
    <t>Dave Payne</t>
  </si>
  <si>
    <t>No Man's Land: The Rise of ReekerÂ </t>
  </si>
  <si>
    <t>Jonas Ã…kerlund</t>
  </si>
  <si>
    <t>Small ApartmentsÂ </t>
  </si>
  <si>
    <t>Brad Copeland</t>
  </si>
  <si>
    <t>Coffee TownÂ </t>
  </si>
  <si>
    <t>Straight A'sÂ </t>
  </si>
  <si>
    <t>A Funny Thing Happened on the Way to the ForumÂ </t>
  </si>
  <si>
    <t>Michael Moore</t>
  </si>
  <si>
    <t>Slacker UprisingÂ </t>
  </si>
  <si>
    <t>Tanner Beard</t>
  </si>
  <si>
    <t>The Legend of Hell's Gate: An American ConspiracyÂ </t>
  </si>
  <si>
    <t>Derick Martini</t>
  </si>
  <si>
    <t>The Curse of Downers GroveÂ </t>
  </si>
  <si>
    <t>Jerry Dugan</t>
  </si>
  <si>
    <t>Shark LakeÂ </t>
  </si>
  <si>
    <t>Richard Boddington</t>
  </si>
  <si>
    <t>Against the WildÂ </t>
  </si>
  <si>
    <t>Frank Lotito</t>
  </si>
  <si>
    <t>Growing Up SmithÂ </t>
  </si>
  <si>
    <t>Russell Friedenberg</t>
  </si>
  <si>
    <t>Wind WalkersÂ </t>
  </si>
  <si>
    <t>Alex Ranarivelo</t>
  </si>
  <si>
    <t>The Dog LoverÂ </t>
  </si>
  <si>
    <t>The Marine 4: Moving TargetÂ </t>
  </si>
  <si>
    <t>The French ConnectionÂ </t>
  </si>
  <si>
    <t>A Streetcar Named DesireÂ </t>
  </si>
  <si>
    <t>Dr. Strangelove or: How I Learned to Stop Worrying and Love the BombÂ </t>
  </si>
  <si>
    <t>J. Lee Thompson</t>
  </si>
  <si>
    <t>Battle for the Planet of the ApesÂ </t>
  </si>
  <si>
    <t>Jonathan Wacks</t>
  </si>
  <si>
    <t>Ed and His Dead MotherÂ </t>
  </si>
  <si>
    <t>Hang 'Em HighÂ </t>
  </si>
  <si>
    <t>Tony Krantz</t>
  </si>
  <si>
    <t>SublimeÂ </t>
  </si>
  <si>
    <t>W.D. Hogan</t>
  </si>
  <si>
    <t>Independence DaysasterÂ </t>
  </si>
  <si>
    <t>Corey Grant</t>
  </si>
  <si>
    <t>Dysfunctional FriendsÂ </t>
  </si>
  <si>
    <t>Dan Reed</t>
  </si>
  <si>
    <t>ClosureÂ </t>
  </si>
  <si>
    <t>David Hunt</t>
  </si>
  <si>
    <t>Living Dark: The Story of Ted the CaverÂ </t>
  </si>
  <si>
    <t>Paul Donovan</t>
  </si>
  <si>
    <t>Def-Con 4Â </t>
  </si>
  <si>
    <t>Conquest of the Planet of the ApesÂ </t>
  </si>
  <si>
    <t>SpellboundÂ </t>
  </si>
  <si>
    <t>From Here to EternityÂ </t>
  </si>
  <si>
    <t>You Can't Take It with YouÂ </t>
  </si>
  <si>
    <t>Jack Conway</t>
  </si>
  <si>
    <t>Boom TownÂ </t>
  </si>
  <si>
    <t>She Wore a Yellow RibbonÂ </t>
  </si>
  <si>
    <t>The ConversationÂ </t>
  </si>
  <si>
    <t xml:space="preserve">Miami ViceÂ             </t>
  </si>
  <si>
    <t>Chuck Bowman</t>
  </si>
  <si>
    <t>The Tooth FairyÂ </t>
  </si>
  <si>
    <t>[Rec]Â </t>
  </si>
  <si>
    <t>Jehane Noujaim</t>
  </si>
  <si>
    <t>The SquareÂ </t>
  </si>
  <si>
    <t>Egypt</t>
  </si>
  <si>
    <t>Mr. Smith Goes to WashingtonÂ </t>
  </si>
  <si>
    <t>Alex Cox</t>
  </si>
  <si>
    <t>Repo ManÂ </t>
  </si>
  <si>
    <t>Simeon Rice</t>
  </si>
  <si>
    <t>UnsulliedÂ </t>
  </si>
  <si>
    <t>Adam Green</t>
  </si>
  <si>
    <t>HatchetÂ </t>
  </si>
  <si>
    <t>Ira Sachs</t>
  </si>
  <si>
    <t>Forty Shades of BlueÂ </t>
  </si>
  <si>
    <t>Jaime Zevallos</t>
  </si>
  <si>
    <t>Me You and Five BucksÂ </t>
  </si>
  <si>
    <t>Robert Greenwald</t>
  </si>
  <si>
    <t>Wal-Mart: The High Cost of Low PriceÂ </t>
  </si>
  <si>
    <t>David Ray</t>
  </si>
  <si>
    <t>Fetching CodyÂ </t>
  </si>
  <si>
    <t>Dave Rodriguez</t>
  </si>
  <si>
    <t>Once Upon a Time in QueensÂ </t>
  </si>
  <si>
    <t>David Winning</t>
  </si>
  <si>
    <t>Mutant WorldÂ </t>
  </si>
  <si>
    <t>Timothy Woodward Jr.</t>
  </si>
  <si>
    <t>CheckmateÂ </t>
  </si>
  <si>
    <t>Tara Subkoff</t>
  </si>
  <si>
    <t>#HorrorÂ </t>
  </si>
  <si>
    <t>Laurent Bouhnik</t>
  </si>
  <si>
    <t>QÂ </t>
  </si>
  <si>
    <t>Edward Dmytryk</t>
  </si>
  <si>
    <t>ShalakoÂ </t>
  </si>
  <si>
    <t>Da Sweet Blood of JesusÂ </t>
  </si>
  <si>
    <t xml:space="preserve">Stargate SG-1Â             </t>
  </si>
  <si>
    <t>David Worth</t>
  </si>
  <si>
    <t>House at the End of the DriveÂ </t>
  </si>
  <si>
    <t>Sadyk Sher-Niyaz</t>
  </si>
  <si>
    <t>Queen of the MountainsÂ </t>
  </si>
  <si>
    <t>Kyrgyzstan</t>
  </si>
  <si>
    <t>Joel Anderson</t>
  </si>
  <si>
    <t>Lake MungoÂ </t>
  </si>
  <si>
    <t>Leslie H. Martinson</t>
  </si>
  <si>
    <t>Batman: The MovieÂ </t>
  </si>
  <si>
    <t>The 41-Year-Old Virgin Who Knocked Up Sarah Marshall and Felt Superbad About ItÂ </t>
  </si>
  <si>
    <t>Tyler Oliver</t>
  </si>
  <si>
    <t>Forget Me NotÂ </t>
  </si>
  <si>
    <t>Giovanni Zelko</t>
  </si>
  <si>
    <t>The AlgerianÂ </t>
  </si>
  <si>
    <t>Taxi DriverÂ </t>
  </si>
  <si>
    <t>RebeccaÂ </t>
  </si>
  <si>
    <t>Scott Dow</t>
  </si>
  <si>
    <t>The Walking DeceasedÂ </t>
  </si>
  <si>
    <t>Robert M. Young</t>
  </si>
  <si>
    <t>The Ballad of Gregorio CortezÂ </t>
  </si>
  <si>
    <t>The Lost WeekendÂ </t>
  </si>
  <si>
    <t>Douglas Cheek</t>
  </si>
  <si>
    <t>C.H.U.D.Â </t>
  </si>
  <si>
    <t>Henry Hathaway</t>
  </si>
  <si>
    <t>NiagaraÂ </t>
  </si>
  <si>
    <t>How Green Was My ValleyÂ </t>
  </si>
  <si>
    <t>Harmage Singh Kalirai</t>
  </si>
  <si>
    <t>Chicken Tikka MasalaÂ </t>
  </si>
  <si>
    <t>The Trouble with HarryÂ </t>
  </si>
  <si>
    <t>The Charge of the Light BrigadeÂ </t>
  </si>
  <si>
    <t>Justin Thomas Ostensen</t>
  </si>
  <si>
    <t>Below ZeroÂ </t>
  </si>
  <si>
    <t>Brenton Spencer</t>
  </si>
  <si>
    <t>CrowsnestÂ </t>
  </si>
  <si>
    <t>Ossie Davis</t>
  </si>
  <si>
    <t>Cotton Comes to HarlemÂ </t>
  </si>
  <si>
    <t>Jay Alaimo</t>
  </si>
  <si>
    <t>The Wicked WithinÂ </t>
  </si>
  <si>
    <t>Dylan Bank</t>
  </si>
  <si>
    <t>Bleeding HeartsÂ </t>
  </si>
  <si>
    <t>Matthew R. Anderson</t>
  </si>
  <si>
    <t>The Dead UndeadÂ </t>
  </si>
  <si>
    <t>Joe Marino</t>
  </si>
  <si>
    <t>The Vatican ExorcismsÂ </t>
  </si>
  <si>
    <t>Mona Fastvold</t>
  </si>
  <si>
    <t>The SleepwalkerÂ </t>
  </si>
  <si>
    <t>Andrew Steggall</t>
  </si>
  <si>
    <t>DepartureÂ </t>
  </si>
  <si>
    <t>Andrei Tarkovsky</t>
  </si>
  <si>
    <t>SolarisÂ </t>
  </si>
  <si>
    <t>Soviet Union</t>
  </si>
  <si>
    <t>Anthony C. Ferrante</t>
  </si>
  <si>
    <t>SharknadoÂ </t>
  </si>
  <si>
    <t>Avi Nesher</t>
  </si>
  <si>
    <t>TaxmanÂ </t>
  </si>
  <si>
    <t>Douglas Trumbull</t>
  </si>
  <si>
    <t>Silent RunningÂ </t>
  </si>
  <si>
    <t>Tony Richardson</t>
  </si>
  <si>
    <t>Tom JonesÂ </t>
  </si>
  <si>
    <t>Robert D. Webb</t>
  </si>
  <si>
    <t>Love Me TenderÂ </t>
  </si>
  <si>
    <t>Allan Dwan</t>
  </si>
  <si>
    <t>Sands of Iwo JimaÂ </t>
  </si>
  <si>
    <t>Bubba Ho-TepÂ </t>
  </si>
  <si>
    <t>Nickolas Perry</t>
  </si>
  <si>
    <t>Speedway JunkyÂ </t>
  </si>
  <si>
    <t>Becky Smith</t>
  </si>
  <si>
    <t>16 to LifeÂ </t>
  </si>
  <si>
    <t>A. Raven Cruz</t>
  </si>
  <si>
    <t>The Helix... LoadedÂ </t>
  </si>
  <si>
    <t>Amat Escalante</t>
  </si>
  <si>
    <t>HeliÂ </t>
  </si>
  <si>
    <t>Wajahat Rauf</t>
  </si>
  <si>
    <t>Karachi se LahoreÂ </t>
  </si>
  <si>
    <t>Urdu</t>
  </si>
  <si>
    <t>Pakistan</t>
  </si>
  <si>
    <t>Katherine Brooks</t>
  </si>
  <si>
    <t>Loving AnnabelleÂ </t>
  </si>
  <si>
    <t>David Cross</t>
  </si>
  <si>
    <t>HitsÂ </t>
  </si>
  <si>
    <t>Randall Rubin</t>
  </si>
  <si>
    <t>Jimmy and JudyÂ </t>
  </si>
  <si>
    <t>Robert Bennett</t>
  </si>
  <si>
    <t>Frat PartyÂ </t>
  </si>
  <si>
    <t>Mary Pat Kelly</t>
  </si>
  <si>
    <t>ProudÂ </t>
  </si>
  <si>
    <t>Charlie Levi</t>
  </si>
  <si>
    <t>ChildlessÂ </t>
  </si>
  <si>
    <t>David DeCoteau</t>
  </si>
  <si>
    <t>Snow White: A Deadly SummerÂ </t>
  </si>
  <si>
    <t>Stefan C. Schaefer</t>
  </si>
  <si>
    <t>My Last Day Without YouÂ </t>
  </si>
  <si>
    <t>Michael Taliferro</t>
  </si>
  <si>
    <t>Steppin: The MovieÂ </t>
  </si>
  <si>
    <t>Doc Holliday's RevengeÂ </t>
  </si>
  <si>
    <t>Robert Heath</t>
  </si>
  <si>
    <t>Truth or DieÂ </t>
  </si>
  <si>
    <t>D. Stevens</t>
  </si>
  <si>
    <t>The PetÂ </t>
  </si>
  <si>
    <t>Jeffrey St. Jules</t>
  </si>
  <si>
    <t>Bang Bang BabyÂ </t>
  </si>
  <si>
    <t>Robert Hall</t>
  </si>
  <si>
    <t>Fear ClinicÂ </t>
  </si>
  <si>
    <t>K. King</t>
  </si>
  <si>
    <t>Zombie HunterÂ </t>
  </si>
  <si>
    <t>Jonathan Meyers</t>
  </si>
  <si>
    <t>A Fine StepÂ </t>
  </si>
  <si>
    <t>Tommy Oliver</t>
  </si>
  <si>
    <t>1982Â </t>
  </si>
  <si>
    <t>Caryn Waechter</t>
  </si>
  <si>
    <t>The Sisterhood of NightÂ </t>
  </si>
  <si>
    <t>Nick Love</t>
  </si>
  <si>
    <t>American HeroÂ </t>
  </si>
  <si>
    <t>Richard Schenkman</t>
  </si>
  <si>
    <t>And Then Came LoveÂ </t>
  </si>
  <si>
    <t>CasablancaÂ </t>
  </si>
  <si>
    <t>Blair Erickson</t>
  </si>
  <si>
    <t>Banshee ChapterÂ </t>
  </si>
  <si>
    <t>Allison Burnett</t>
  </si>
  <si>
    <t>Ask Me AnythingÂ </t>
  </si>
  <si>
    <t>Sanjay Rawal</t>
  </si>
  <si>
    <t>Food ChainsÂ </t>
  </si>
  <si>
    <t>Mariette Monpierre</t>
  </si>
  <si>
    <t>ElzaÂ </t>
  </si>
  <si>
    <t>Cassandra Nicolaou</t>
  </si>
  <si>
    <t>Show MeÂ </t>
  </si>
  <si>
    <t>Daniel Davila</t>
  </si>
  <si>
    <t>Harrison MontgomeryÂ </t>
  </si>
  <si>
    <t>Frank Borzage</t>
  </si>
  <si>
    <t>A Farewell to ArmsÂ </t>
  </si>
  <si>
    <t>Youssef Delara</t>
  </si>
  <si>
    <t>Enter the Dangerous MindÂ </t>
  </si>
  <si>
    <t>Jorge Gaggero</t>
  </si>
  <si>
    <t>Live-In MaidÂ </t>
  </si>
  <si>
    <t>Argentina</t>
  </si>
  <si>
    <t>Michael Burke</t>
  </si>
  <si>
    <t>The Mudge BoyÂ </t>
  </si>
  <si>
    <t>Iraq for Sale: The War ProfiteersÂ </t>
  </si>
  <si>
    <t>Bernardo Bertolucci</t>
  </si>
  <si>
    <t>The ConformistÂ </t>
  </si>
  <si>
    <t>All the Boys Love Mandy LaneÂ </t>
  </si>
  <si>
    <t>Christopher Hutson</t>
  </si>
  <si>
    <t>BledÂ </t>
  </si>
  <si>
    <t>High NoonÂ </t>
  </si>
  <si>
    <t>H.M. Coakley</t>
  </si>
  <si>
    <t>AdulterersÂ </t>
  </si>
  <si>
    <t>William Gazecki</t>
  </si>
  <si>
    <t>Crop Circles: Quest for TruthÂ </t>
  </si>
  <si>
    <t>Anna Mastro</t>
  </si>
  <si>
    <t>WalterÂ </t>
  </si>
  <si>
    <t>Bill Benenson</t>
  </si>
  <si>
    <t>The Hadza: Last of the FirstÂ </t>
  </si>
  <si>
    <t>Ryan Smith</t>
  </si>
  <si>
    <t>AfterÂ </t>
  </si>
  <si>
    <t>The Kentucky Fried MovieÂ </t>
  </si>
  <si>
    <t>My Beautiful LaundretteÂ </t>
  </si>
  <si>
    <t>Travis Romero</t>
  </si>
  <si>
    <t>TreacheryÂ </t>
  </si>
  <si>
    <t>Lance McDaniel</t>
  </si>
  <si>
    <t>Light from the DarkroomÂ </t>
  </si>
  <si>
    <t>Michael Walker</t>
  </si>
  <si>
    <t>The Maid's RoomÂ </t>
  </si>
  <si>
    <t>Amy Holden Jones</t>
  </si>
  <si>
    <t>Love LettersÂ </t>
  </si>
  <si>
    <t>Pan Nalin</t>
  </si>
  <si>
    <t>Faith ConnectionsÂ </t>
  </si>
  <si>
    <t>Kevin Hamedani</t>
  </si>
  <si>
    <t>ZMD: Zombies of Mass DestructionÂ </t>
  </si>
  <si>
    <t>London to BrightonÂ </t>
  </si>
  <si>
    <t>Blaz Zavrsnik</t>
  </si>
  <si>
    <t>Julija in alfa RomeoÂ </t>
  </si>
  <si>
    <t>Slovenian</t>
  </si>
  <si>
    <t>Slovenia</t>
  </si>
  <si>
    <t>Tom DiCillo</t>
  </si>
  <si>
    <t>Johnny SuedeÂ </t>
  </si>
  <si>
    <t>Stephen Kijak</t>
  </si>
  <si>
    <t>Scott Walker: 30 Century ManÂ </t>
  </si>
  <si>
    <t>Daston Kalili</t>
  </si>
  <si>
    <t>Insomnia ManicaÂ </t>
  </si>
  <si>
    <t>The Outrageous Sophie TuckerÂ </t>
  </si>
  <si>
    <t>Michael Hoffman Jr.</t>
  </si>
  <si>
    <t>Girls Gone DeadÂ </t>
  </si>
  <si>
    <t>Jack Heller</t>
  </si>
  <si>
    <t>Enter NowhereÂ </t>
  </si>
  <si>
    <t>Fernando Baez Mella</t>
  </si>
  <si>
    <t>The King of NajayoÂ </t>
  </si>
  <si>
    <t>Dominican Republic</t>
  </si>
  <si>
    <t>Alleluia! The Devil's CarnivalÂ </t>
  </si>
  <si>
    <t>Joel Paul Reisig</t>
  </si>
  <si>
    <t>Rodeo GirlÂ </t>
  </si>
  <si>
    <t>Luke Dye</t>
  </si>
  <si>
    <t>The Little Ponderosa ZooÂ </t>
  </si>
  <si>
    <t>Alec Asten</t>
  </si>
  <si>
    <t>Diamond RuffÂ </t>
  </si>
  <si>
    <t>Matt Jackson</t>
  </si>
  <si>
    <t>Love in the Time of MonstersÂ </t>
  </si>
  <si>
    <t>Paul Fox</t>
  </si>
  <si>
    <t>The Dark HoursÂ </t>
  </si>
  <si>
    <t>Ã‰tienne Faure</t>
  </si>
  <si>
    <t>BizarreÂ </t>
  </si>
  <si>
    <t>Michael Herz</t>
  </si>
  <si>
    <t>The Toxic AvengerÂ </t>
  </si>
  <si>
    <t>Matthew Watts</t>
  </si>
  <si>
    <t>Mutual FriendsÂ </t>
  </si>
  <si>
    <t>Joe Kenemore</t>
  </si>
  <si>
    <t>Rise of the Entrepreneur: The Search for a Better WayÂ </t>
  </si>
  <si>
    <t>Chris Atkins</t>
  </si>
  <si>
    <t>StarsuckersÂ </t>
  </si>
  <si>
    <t>Johanna Schwartz</t>
  </si>
  <si>
    <t>They Will Have to Kill Us FirstÂ </t>
  </si>
  <si>
    <t>Ingmar Bergman</t>
  </si>
  <si>
    <t>Cries &amp; WhispersÂ </t>
  </si>
  <si>
    <t>D.W. Griffith</t>
  </si>
  <si>
    <t>Intolerance: Love's Struggle Throughout the AgesÂ </t>
  </si>
  <si>
    <t>Sam Raimi</t>
  </si>
  <si>
    <t>The Evil DeadÂ </t>
  </si>
  <si>
    <t>Sharron Miller</t>
  </si>
  <si>
    <t>Alien ZoneÂ </t>
  </si>
  <si>
    <t>Gerard Johnstone</t>
  </si>
  <si>
    <t>HouseboundÂ </t>
  </si>
  <si>
    <t>Chad Kapper</t>
  </si>
  <si>
    <t>Rotor DR1Â </t>
  </si>
  <si>
    <t>12 Angry MenÂ </t>
  </si>
  <si>
    <t>Babar Ahmed</t>
  </si>
  <si>
    <t>Royal KillÂ </t>
  </si>
  <si>
    <t>It Happened One NightÂ </t>
  </si>
  <si>
    <t>Eric Mendelsohn</t>
  </si>
  <si>
    <t>3 BackyardsÂ </t>
  </si>
  <si>
    <t>Jean-Luc Godard</t>
  </si>
  <si>
    <t>Pierrot le FouÂ </t>
  </si>
  <si>
    <t>Paul Bartel</t>
  </si>
  <si>
    <t>Death Race 2000Â </t>
  </si>
  <si>
    <t>Jerome Elston Scott</t>
  </si>
  <si>
    <t>Anderson's CrossÂ </t>
  </si>
  <si>
    <t>Jack Perez</t>
  </si>
  <si>
    <t>Some Guy Who Kills PeopleÂ </t>
  </si>
  <si>
    <t>Daniel Columbie</t>
  </si>
  <si>
    <t>Amidst the Devil's WingsÂ </t>
  </si>
  <si>
    <t>Al Franklin</t>
  </si>
  <si>
    <t>Teeth and BloodÂ </t>
  </si>
  <si>
    <t>Ken Del Conte</t>
  </si>
  <si>
    <t>Death CallsÂ </t>
  </si>
  <si>
    <t>Herb Freed</t>
  </si>
  <si>
    <t>Graduation DayÂ </t>
  </si>
  <si>
    <t>Corbin Bernsen</t>
  </si>
  <si>
    <t>RustÂ </t>
  </si>
  <si>
    <t>Tom Seidman</t>
  </si>
  <si>
    <t>The Christmas BunnyÂ </t>
  </si>
  <si>
    <t>Sam Martin</t>
  </si>
  <si>
    <t>UnDividedÂ </t>
  </si>
  <si>
    <t>Andrew Hyatt</t>
  </si>
  <si>
    <t>The FrozenÂ </t>
  </si>
  <si>
    <t>Horse CampÂ </t>
  </si>
  <si>
    <t>Kristin Rizzo</t>
  </si>
  <si>
    <t>Give Me ShelterÂ </t>
  </si>
  <si>
    <t>Zoran Lisinac</t>
  </si>
  <si>
    <t>Along the RoadsideÂ </t>
  </si>
  <si>
    <t>James O'Brien</t>
  </si>
  <si>
    <t>Western ReligionÂ </t>
  </si>
  <si>
    <t>Adam Rifkin</t>
  </si>
  <si>
    <t>Shooting the WarwicksÂ </t>
  </si>
  <si>
    <t>The Big ParadeÂ </t>
  </si>
  <si>
    <t>Ward Roberts</t>
  </si>
  <si>
    <t>Little Big TopÂ </t>
  </si>
  <si>
    <t>Mad MaxÂ </t>
  </si>
  <si>
    <t>Lowell Sherman</t>
  </si>
  <si>
    <t>She Done Him WrongÂ </t>
  </si>
  <si>
    <t>Stevan Mena</t>
  </si>
  <si>
    <t>MalevolenceÂ </t>
  </si>
  <si>
    <t>The Man from EarthÂ </t>
  </si>
  <si>
    <t>Nadia Tass</t>
  </si>
  <si>
    <t>An American Girl HolidayÂ </t>
  </si>
  <si>
    <t>C. Fraser Press</t>
  </si>
  <si>
    <t>Theresa Is a MotherÂ </t>
  </si>
  <si>
    <t>Sharon Greytak</t>
  </si>
  <si>
    <t>Archaeology of a WomanÂ </t>
  </si>
  <si>
    <t>Ken Roht</t>
  </si>
  <si>
    <t>Perfect CowboyÂ </t>
  </si>
  <si>
    <t>Thomas L. Phillips</t>
  </si>
  <si>
    <t>Sanctuary; Quite a ConundrumÂ </t>
  </si>
  <si>
    <t>Cary Bell</t>
  </si>
  <si>
    <t>Butterfly GirlÂ </t>
  </si>
  <si>
    <t>Nicolae Constantin Tanase</t>
  </si>
  <si>
    <t>The World Is MineÂ </t>
  </si>
  <si>
    <t>Romanian</t>
  </si>
  <si>
    <t>Warren Sheppard</t>
  </si>
  <si>
    <t>Fight to the FinishÂ </t>
  </si>
  <si>
    <t>Chris Marker</t>
  </si>
  <si>
    <t>The Case of the Grinning CatÂ </t>
  </si>
  <si>
    <t>Bill Melendez</t>
  </si>
  <si>
    <t>A Charlie Brown ChristmasÂ </t>
  </si>
  <si>
    <t>Deborah Anderson</t>
  </si>
  <si>
    <t>ArousedÂ </t>
  </si>
  <si>
    <t>Sai Varadan</t>
  </si>
  <si>
    <t>An American in HollywoodÂ </t>
  </si>
  <si>
    <t>Amal Al-Agroobi</t>
  </si>
  <si>
    <t>The Brain That SingsÂ </t>
  </si>
  <si>
    <t>United Arab Emirates</t>
  </si>
  <si>
    <t>Valentine</t>
  </si>
  <si>
    <t>Romantic SchemerÂ </t>
  </si>
  <si>
    <t>Andrew Berends</t>
  </si>
  <si>
    <t>The Blood of My BrotherÂ </t>
  </si>
  <si>
    <t>David Hewlett</t>
  </si>
  <si>
    <t>A Dog's BreakfastÂ </t>
  </si>
  <si>
    <t>Une Femme MariÃ©eÂ </t>
  </si>
  <si>
    <t>Night of the Living DeadÂ </t>
  </si>
  <si>
    <t>Nathan Smith Jones</t>
  </si>
  <si>
    <t>The Work and the StoryÂ </t>
  </si>
  <si>
    <t>Colin Minihan</t>
  </si>
  <si>
    <t>Grave EncountersÂ </t>
  </si>
  <si>
    <t>Natalie Bible'</t>
  </si>
  <si>
    <t>Windsor DriveÂ </t>
  </si>
  <si>
    <t>Everything Put TogetherÂ </t>
  </si>
  <si>
    <t>Al Silliman Jr.</t>
  </si>
  <si>
    <t>The StewardessesÂ </t>
  </si>
  <si>
    <t>Jamaa Fanaka</t>
  </si>
  <si>
    <t>PenitentiaryÂ </t>
  </si>
  <si>
    <t>Lisanne Pajot</t>
  </si>
  <si>
    <t>Indie Game: The MovieÂ </t>
  </si>
  <si>
    <t>Patrick Ryan Sims</t>
  </si>
  <si>
    <t>Echo Dr.Â </t>
  </si>
  <si>
    <t>Jason Miller</t>
  </si>
  <si>
    <t>The Past is a Grotesque AnimalÂ </t>
  </si>
  <si>
    <t>Wade Gasque</t>
  </si>
  <si>
    <t>Tiger OrangeÂ </t>
  </si>
  <si>
    <t>Brett Piper</t>
  </si>
  <si>
    <t>Queen CrabÂ </t>
  </si>
  <si>
    <t>Kirk Loudon</t>
  </si>
  <si>
    <t>Dawn of the Crescent MoonÂ </t>
  </si>
  <si>
    <t>Sut Jhally</t>
  </si>
  <si>
    <t>Peace, Propaganda &amp; the Promised LandÂ </t>
  </si>
  <si>
    <t>Mike Flanagan</t>
  </si>
  <si>
    <t>AbsentiaÂ </t>
  </si>
  <si>
    <t>Joseph Green</t>
  </si>
  <si>
    <t>The Brain That Wouldn't DieÂ </t>
  </si>
  <si>
    <t>Terron R. Parsons</t>
  </si>
  <si>
    <t>HayrideÂ </t>
  </si>
  <si>
    <t>Damir Catic</t>
  </si>
  <si>
    <t>Her Cry: La Llorona InvestigationÂ </t>
  </si>
  <si>
    <t>Jem Cohen</t>
  </si>
  <si>
    <t>CountingÂ </t>
  </si>
  <si>
    <t>Andrew Leman</t>
  </si>
  <si>
    <t>The Call of CthulhuÂ </t>
  </si>
  <si>
    <t>Dave Carroll</t>
  </si>
  <si>
    <t>Bending SteelÂ </t>
  </si>
  <si>
    <t>Patrick Meaney</t>
  </si>
  <si>
    <t>The Image RevolutionÂ </t>
  </si>
  <si>
    <t>Collin Joseph Neal</t>
  </si>
  <si>
    <t>Run, Hide, DieÂ </t>
  </si>
  <si>
    <t>Malcolm Goodwin</t>
  </si>
  <si>
    <t>A True StoryÂ </t>
  </si>
  <si>
    <t>Chad Hartigan</t>
  </si>
  <si>
    <t>This Is Martin BonnerÂ </t>
  </si>
  <si>
    <t>Travis Legge</t>
  </si>
  <si>
    <t>Raymond Did ItÂ </t>
  </si>
  <si>
    <t>Joseph Mazzella</t>
  </si>
  <si>
    <t>Dutch KillsÂ </t>
  </si>
  <si>
    <t>Eric Eason</t>
  </si>
  <si>
    <t>ManitoÂ </t>
  </si>
  <si>
    <t>Dry SpellÂ </t>
  </si>
  <si>
    <t>EraserheadÂ </t>
  </si>
  <si>
    <t>Stephen Langford</t>
  </si>
  <si>
    <t>Dude, Where's My Dog?!Â </t>
  </si>
  <si>
    <t>Alex Kendrick</t>
  </si>
  <si>
    <t>FlywheelÂ </t>
  </si>
  <si>
    <t>Jason Trost</t>
  </si>
  <si>
    <t>All Superheroes Must DieÂ </t>
  </si>
  <si>
    <t>Brandon Landers</t>
  </si>
  <si>
    <t>The RidgesÂ </t>
  </si>
  <si>
    <t>Jim Chuchu</t>
  </si>
  <si>
    <t>Stories of Our LivesÂ </t>
  </si>
  <si>
    <t>Swahili</t>
  </si>
  <si>
    <t>Kenya</t>
  </si>
  <si>
    <t>Jane Clark</t>
  </si>
  <si>
    <t>The TouchÂ </t>
  </si>
  <si>
    <t>Ivan Kavanagh</t>
  </si>
  <si>
    <t>Tin Can ManÂ </t>
  </si>
  <si>
    <t>Anthony Vallone</t>
  </si>
  <si>
    <t>The Mongol KingÂ </t>
  </si>
  <si>
    <t>Benjamin Roberds</t>
  </si>
  <si>
    <t>A Plague So PleasantÂ </t>
  </si>
  <si>
    <t>Just Like HeavenÂ </t>
  </si>
  <si>
    <t>The GameÂ </t>
  </si>
  <si>
    <t>Fred Wolf</t>
  </si>
  <si>
    <t>The House BunnyÂ </t>
  </si>
  <si>
    <t>Malcolm XÂ </t>
  </si>
  <si>
    <t>G.I. JaneÂ </t>
  </si>
  <si>
    <t>Joel Zwick</t>
  </si>
  <si>
    <t>Fat AlbertÂ </t>
  </si>
  <si>
    <t>The Land Before TimeÂ </t>
  </si>
  <si>
    <t>SinisterÂ </t>
  </si>
  <si>
    <t>Matthew Vaughn</t>
  </si>
  <si>
    <t>Kick-AssÂ </t>
  </si>
  <si>
    <t>Jennifer Flackett</t>
  </si>
  <si>
    <t>Nim's IslandÂ </t>
  </si>
  <si>
    <t>Steve Trenbirth</t>
  </si>
  <si>
    <t>The Jungle Book 2Â </t>
  </si>
  <si>
    <t>When a Stranger CallsÂ </t>
  </si>
  <si>
    <t>Mennan Yapo</t>
  </si>
  <si>
    <t>PremonitionÂ </t>
  </si>
  <si>
    <t>Big Fat LiarÂ </t>
  </si>
  <si>
    <t>The Skeleton KeyÂ </t>
  </si>
  <si>
    <t>David Koepp</t>
  </si>
  <si>
    <t>Secret WindowÂ </t>
  </si>
  <si>
    <t>Jean-Pierre Jeunet</t>
  </si>
  <si>
    <t>Alien: ResurrectionÂ </t>
  </si>
  <si>
    <t>Peter Berg</t>
  </si>
  <si>
    <t>The RundownÂ </t>
  </si>
  <si>
    <t>Steven Quale</t>
  </si>
  <si>
    <t>Into the StormÂ </t>
  </si>
  <si>
    <t>Lee Daniels</t>
  </si>
  <si>
    <t>PreciousÂ </t>
  </si>
  <si>
    <t>Mick Jackson</t>
  </si>
  <si>
    <t>VolcanoÂ </t>
  </si>
  <si>
    <t>The KingdomÂ </t>
  </si>
  <si>
    <t>MunichÂ </t>
  </si>
  <si>
    <t>SavagesÂ </t>
  </si>
  <si>
    <t>Harald Zwart</t>
  </si>
  <si>
    <t>Agent Cody BanksÂ </t>
  </si>
  <si>
    <t>Eli Roth</t>
  </si>
  <si>
    <t>HostelÂ </t>
  </si>
  <si>
    <t>Nanny McPheeÂ </t>
  </si>
  <si>
    <t>The JudgeÂ </t>
  </si>
  <si>
    <t>Kate &amp; LeopoldÂ </t>
  </si>
  <si>
    <t>Jersey BoysÂ </t>
  </si>
  <si>
    <t>KillersÂ </t>
  </si>
  <si>
    <t>John Carpenter</t>
  </si>
  <si>
    <t>HalloweenÂ </t>
  </si>
  <si>
    <t>Christophe Gans</t>
  </si>
  <si>
    <t>Silent HillÂ </t>
  </si>
  <si>
    <t>ShooterÂ </t>
  </si>
  <si>
    <t>SicarioÂ </t>
  </si>
  <si>
    <t>GoodfellasÂ </t>
  </si>
  <si>
    <t>The River WildÂ </t>
  </si>
  <si>
    <t>Christian Ditter</t>
  </si>
  <si>
    <t>How to Be SingleÂ </t>
  </si>
  <si>
    <t>The Spy Who Loved MeÂ </t>
  </si>
  <si>
    <t>Danny Leiner</t>
  </si>
  <si>
    <t>Dude, Where's My Car?Â </t>
  </si>
  <si>
    <t>FirefoxÂ </t>
  </si>
  <si>
    <t>Griffin Dunne</t>
  </si>
  <si>
    <t>Practical MagicÂ </t>
  </si>
  <si>
    <t>Phone BoothÂ </t>
  </si>
  <si>
    <t>Final Destination 2Â </t>
  </si>
  <si>
    <t>The Best Exotic Marigold HotelÂ </t>
  </si>
  <si>
    <t>Stephen Kay</t>
  </si>
  <si>
    <t>BoogeymanÂ </t>
  </si>
  <si>
    <t>Romeo + JulietÂ </t>
  </si>
  <si>
    <t>It's a Mad, Mad, Mad, Mad WorldÂ </t>
  </si>
  <si>
    <t>BlendedÂ </t>
  </si>
  <si>
    <t>Paul Weiland</t>
  </si>
  <si>
    <t>Made of HonorÂ </t>
  </si>
  <si>
    <t>Gangster SquadÂ </t>
  </si>
  <si>
    <t>Kevin Bray</t>
  </si>
  <si>
    <t>Walking TallÂ </t>
  </si>
  <si>
    <t>Peter Cattaneo</t>
  </si>
  <si>
    <t>The Full MontyÂ </t>
  </si>
  <si>
    <t>The RainmakerÂ </t>
  </si>
  <si>
    <t>Patrick Tatopoulos</t>
  </si>
  <si>
    <t>Underworld: Rise of the LycansÂ </t>
  </si>
  <si>
    <t>Kevin Greutert</t>
  </si>
  <si>
    <t>Saw 3D: The Final ChapterÂ </t>
  </si>
  <si>
    <t>Black RainÂ </t>
  </si>
  <si>
    <t>Jun Falkenstein</t>
  </si>
  <si>
    <t>The Tigger MovieÂ </t>
  </si>
  <si>
    <t>Moonrise KingdomÂ </t>
  </si>
  <si>
    <t>Joel Coen</t>
  </si>
  <si>
    <t>O Brother, Where Art Thou?Â </t>
  </si>
  <si>
    <t>Medicine ManÂ </t>
  </si>
  <si>
    <t>In Good CompanyÂ </t>
  </si>
  <si>
    <t>Guy Ritchie</t>
  </si>
  <si>
    <t>The Man from U.N.C.L.E.Â </t>
  </si>
  <si>
    <t>The Legend of ZorroÂ </t>
  </si>
  <si>
    <t>Here Comes the BoomÂ </t>
  </si>
  <si>
    <t>Domestic DisturbanceÂ </t>
  </si>
  <si>
    <t>ZoolanderÂ </t>
  </si>
  <si>
    <t>The GiverÂ </t>
  </si>
  <si>
    <t>Danny Boyle</t>
  </si>
  <si>
    <t>28 Days Later...Â </t>
  </si>
  <si>
    <t>Hall PassÂ </t>
  </si>
  <si>
    <t>Tom McCarthy</t>
  </si>
  <si>
    <t>SpotlightÂ </t>
  </si>
  <si>
    <t>Gregory Hoblit</t>
  </si>
  <si>
    <t>FrequencyÂ </t>
  </si>
  <si>
    <t>Cop LandÂ </t>
  </si>
  <si>
    <t>Cop OutÂ </t>
  </si>
  <si>
    <t>Brian Gibson</t>
  </si>
  <si>
    <t>The JurorÂ </t>
  </si>
  <si>
    <t>A Nightmare on Elm Street 3: Dream WarriorsÂ </t>
  </si>
  <si>
    <t>Howard Deutch</t>
  </si>
  <si>
    <t>The ReplacementsÂ </t>
  </si>
  <si>
    <t>Christopher Cain</t>
  </si>
  <si>
    <t>Young GunsÂ </t>
  </si>
  <si>
    <t>ScarfaceÂ </t>
  </si>
  <si>
    <t>Michel Hazanavicius</t>
  </si>
  <si>
    <t>The ArtistÂ </t>
  </si>
  <si>
    <t>The InternshipÂ </t>
  </si>
  <si>
    <t>Martin Brest</t>
  </si>
  <si>
    <t>Meet Joe BlackÂ </t>
  </si>
  <si>
    <t>Sofia Coppola</t>
  </si>
  <si>
    <t>Lost in TranslationÂ </t>
  </si>
  <si>
    <t>Napoleon DynamiteÂ </t>
  </si>
  <si>
    <t>The NegotiatorÂ </t>
  </si>
  <si>
    <t>Niki Caro</t>
  </si>
  <si>
    <t>McFarland, USAÂ </t>
  </si>
  <si>
    <t>Eugenio Derbez</t>
  </si>
  <si>
    <t>Instructions Not IncludedÂ </t>
  </si>
  <si>
    <t>Nothing to LoseÂ </t>
  </si>
  <si>
    <t>TimecopÂ </t>
  </si>
  <si>
    <t>The Three StoogesÂ </t>
  </si>
  <si>
    <t>AmistadÂ </t>
  </si>
  <si>
    <t>Theodore Melfi</t>
  </si>
  <si>
    <t>St. VincentÂ </t>
  </si>
  <si>
    <t>Sanaa Hamri</t>
  </si>
  <si>
    <t>The Sisterhood of the Traveling Pants 2Â </t>
  </si>
  <si>
    <t>The Last EmperorÂ </t>
  </si>
  <si>
    <t>Peter Jackson</t>
  </si>
  <si>
    <t>The Lovely BonesÂ </t>
  </si>
  <si>
    <t>The OneÂ </t>
  </si>
  <si>
    <t>Gary David Goldberg</t>
  </si>
  <si>
    <t>Must Love DogsÂ </t>
  </si>
  <si>
    <t>Sean McNamara</t>
  </si>
  <si>
    <t>Soul SurferÂ </t>
  </si>
  <si>
    <t>Wall StreetÂ </t>
  </si>
  <si>
    <t>Nelson McCormick</t>
  </si>
  <si>
    <t>Prom NightÂ </t>
  </si>
  <si>
    <t>Diamonds Are ForeverÂ </t>
  </si>
  <si>
    <t>License to WedÂ </t>
  </si>
  <si>
    <t>Joel Edgerton</t>
  </si>
  <si>
    <t>The GiftÂ </t>
  </si>
  <si>
    <t>Jerome Robbins</t>
  </si>
  <si>
    <t>West Side StoryÂ </t>
  </si>
  <si>
    <t>Audrey Wells</t>
  </si>
  <si>
    <t>Under the Tuscan SunÂ </t>
  </si>
  <si>
    <t>Cats &amp; Dogs: The Revenge of Kitty GaloreÂ </t>
  </si>
  <si>
    <t>Scott Waugh</t>
  </si>
  <si>
    <t>Need for SpeedÂ </t>
  </si>
  <si>
    <t>We Are MarshallÂ </t>
  </si>
  <si>
    <t>Soul FoodÂ </t>
  </si>
  <si>
    <t>Tears of the SunÂ </t>
  </si>
  <si>
    <t>Year OneÂ </t>
  </si>
  <si>
    <t>Edge of DarknessÂ </t>
  </si>
  <si>
    <t>EverestÂ </t>
  </si>
  <si>
    <t>Star Trek: NemesisÂ </t>
  </si>
  <si>
    <t>You Only Live TwiceÂ </t>
  </si>
  <si>
    <t>No ReservationsÂ </t>
  </si>
  <si>
    <t>Louis Leterrier</t>
  </si>
  <si>
    <t>Transporter 2Â </t>
  </si>
  <si>
    <t>Reign of FireÂ </t>
  </si>
  <si>
    <t>Wag the DogÂ </t>
  </si>
  <si>
    <t>Ric Roman Waugh</t>
  </si>
  <si>
    <t>SnitchÂ </t>
  </si>
  <si>
    <t>The Devil's OwnÂ </t>
  </si>
  <si>
    <t>Sense and SensibilityÂ </t>
  </si>
  <si>
    <t>Jim Fall</t>
  </si>
  <si>
    <t>The Lizzie McGuire MovieÂ </t>
  </si>
  <si>
    <t>Stuart Gillard</t>
  </si>
  <si>
    <t>Teenage Mutant Ninja Turtles IIIÂ </t>
  </si>
  <si>
    <t>Boaz Yakin</t>
  </si>
  <si>
    <t>MaxÂ </t>
  </si>
  <si>
    <t>James Gartner</t>
  </si>
  <si>
    <t>Glory RoadÂ </t>
  </si>
  <si>
    <t>Michael Lehmann</t>
  </si>
  <si>
    <t>Because I Said SoÂ </t>
  </si>
  <si>
    <t>The UnbornÂ </t>
  </si>
  <si>
    <t>A Million Ways to Die in the WestÂ </t>
  </si>
  <si>
    <t>Beverly Hills Cop IIIÂ </t>
  </si>
  <si>
    <t>Michael Dougherty</t>
  </si>
  <si>
    <t>KrampusÂ </t>
  </si>
  <si>
    <t>Final Destination 5Â </t>
  </si>
  <si>
    <t>Lee Toland Krieger</t>
  </si>
  <si>
    <t>The Age of AdalineÂ </t>
  </si>
  <si>
    <t>CasinoÂ </t>
  </si>
  <si>
    <t>Step Up 3DÂ </t>
  </si>
  <si>
    <t>Terry Gilliam</t>
  </si>
  <si>
    <t>Time BanditsÂ </t>
  </si>
  <si>
    <t>Resident Evil: RetributionÂ </t>
  </si>
  <si>
    <t>Alejandro G. IÃ±Ã¡rritu</t>
  </si>
  <si>
    <t>Birdman or (The Unexpected Virtue of Ignorance)Â </t>
  </si>
  <si>
    <t>Lady in the WaterÂ </t>
  </si>
  <si>
    <t>Jorge Blanco</t>
  </si>
  <si>
    <t>Planet 51Â </t>
  </si>
  <si>
    <t>Welcome Home, Roscoe JenkinsÂ </t>
  </si>
  <si>
    <t>Fever PitchÂ </t>
  </si>
  <si>
    <t>Drag Me to HellÂ </t>
  </si>
  <si>
    <t>James L. Brooks</t>
  </si>
  <si>
    <t>SpanglishÂ </t>
  </si>
  <si>
    <t>Drew Goddard</t>
  </si>
  <si>
    <t>The Cabin in the WoodsÂ </t>
  </si>
  <si>
    <t>Dolphin Tale 2Â </t>
  </si>
  <si>
    <t>David Twohy</t>
  </si>
  <si>
    <t>RiddickÂ </t>
  </si>
  <si>
    <t>Donnie BrascoÂ </t>
  </si>
  <si>
    <t>The Fisher KingÂ </t>
  </si>
  <si>
    <t>Steve Beck</t>
  </si>
  <si>
    <t>Thir13en GhostsÂ </t>
  </si>
  <si>
    <t>Exorcist: The BeginningÂ </t>
  </si>
  <si>
    <t>Colin Strause</t>
  </si>
  <si>
    <t>Aliens vs. Predator: RequiemÂ </t>
  </si>
  <si>
    <t>Alexandre Aja</t>
  </si>
  <si>
    <t>The Hills Have EyesÂ </t>
  </si>
  <si>
    <t>RoninÂ </t>
  </si>
  <si>
    <t>Stephen Daldry</t>
  </si>
  <si>
    <t>The HoursÂ </t>
  </si>
  <si>
    <t>OrphanÂ </t>
  </si>
  <si>
    <t>Carl Franklin</t>
  </si>
  <si>
    <t>High CrimesÂ </t>
  </si>
  <si>
    <t>BanditsÂ </t>
  </si>
  <si>
    <t>Gremlins 2: The New BatchÂ </t>
  </si>
  <si>
    <t>Tim McCanlies</t>
  </si>
  <si>
    <t>Secondhand LionsÂ </t>
  </si>
  <si>
    <t>Pale RiderÂ </t>
  </si>
  <si>
    <t>Peggy Sue Got MarriedÂ </t>
  </si>
  <si>
    <t>Robert Altman</t>
  </si>
  <si>
    <t>Gosford ParkÂ </t>
  </si>
  <si>
    <t>Mimi Leder</t>
  </si>
  <si>
    <t>The PeacemakerÂ </t>
  </si>
  <si>
    <t>The Mirror Has Two FacesÂ </t>
  </si>
  <si>
    <t>A Walk to RememberÂ </t>
  </si>
  <si>
    <t>What to Expect When You're ExpectingÂ </t>
  </si>
  <si>
    <t>Money TalksÂ </t>
  </si>
  <si>
    <t>Jodie Foster</t>
  </si>
  <si>
    <t>Money MonsterÂ </t>
  </si>
  <si>
    <t>Daniel Stamm</t>
  </si>
  <si>
    <t>The Last ExorcismÂ </t>
  </si>
  <si>
    <t>End of WatchÂ </t>
  </si>
  <si>
    <t>The Ides of MarchÂ </t>
  </si>
  <si>
    <t>The SiegeÂ </t>
  </si>
  <si>
    <t>Out of TimeÂ </t>
  </si>
  <si>
    <t>William Malone</t>
  </si>
  <si>
    <t>House on Haunted HillÂ </t>
  </si>
  <si>
    <t>Max PayneÂ </t>
  </si>
  <si>
    <t>About a BoyÂ </t>
  </si>
  <si>
    <t>DuplicityÂ </t>
  </si>
  <si>
    <t>Bill &amp; Ted's Excellent AdventureÂ </t>
  </si>
  <si>
    <t>Perry Andelin Blake</t>
  </si>
  <si>
    <t>The Master of DisguiseÂ </t>
  </si>
  <si>
    <t>David Mirkin</t>
  </si>
  <si>
    <t>HeartbreakersÂ </t>
  </si>
  <si>
    <t>Jessie Nelson</t>
  </si>
  <si>
    <t>I Am SamÂ </t>
  </si>
  <si>
    <t>HannaÂ </t>
  </si>
  <si>
    <t>HardballÂ </t>
  </si>
  <si>
    <t>Paul Thomas Anderson</t>
  </si>
  <si>
    <t>There Will Be BloodÂ </t>
  </si>
  <si>
    <t>Beeban Kidron</t>
  </si>
  <si>
    <t>Bridget Jones: The Edge of ReasonÂ </t>
  </si>
  <si>
    <t>Scott Stewart</t>
  </si>
  <si>
    <t>LegionÂ </t>
  </si>
  <si>
    <t>Jane Campion</t>
  </si>
  <si>
    <t>The PianoÂ </t>
  </si>
  <si>
    <t>Stranger Than FictionÂ </t>
  </si>
  <si>
    <t>Blue CrushÂ </t>
  </si>
  <si>
    <t>Righteous KillÂ </t>
  </si>
  <si>
    <t>You Got ServedÂ </t>
  </si>
  <si>
    <t>The FacultyÂ </t>
  </si>
  <si>
    <t>Collateral DamageÂ </t>
  </si>
  <si>
    <t>Michael Tiddes</t>
  </si>
  <si>
    <t>A Haunted HouseÂ </t>
  </si>
  <si>
    <t>Danny Cannon</t>
  </si>
  <si>
    <t>I Still Know What You Did Last SummerÂ </t>
  </si>
  <si>
    <t>Cathy Malkasian</t>
  </si>
  <si>
    <t>The Wild Thornberrys MovieÂ </t>
  </si>
  <si>
    <t>Neil Burger</t>
  </si>
  <si>
    <t>The IllusionistÂ </t>
  </si>
  <si>
    <t>CaddyshackÂ </t>
  </si>
  <si>
    <t>The BeachÂ </t>
  </si>
  <si>
    <t>Jason Friedberg</t>
  </si>
  <si>
    <t>Epic MovieÂ </t>
  </si>
  <si>
    <t>The LadykillersÂ </t>
  </si>
  <si>
    <t>Xavier Gens</t>
  </si>
  <si>
    <t>HitmanÂ </t>
  </si>
  <si>
    <t>Jackie BrownÂ </t>
  </si>
  <si>
    <t>David Slade</t>
  </si>
  <si>
    <t>30 Days of NightÂ </t>
  </si>
  <si>
    <t>Joe Camp</t>
  </si>
  <si>
    <t>BenjiÂ </t>
  </si>
  <si>
    <t>Resident EvilÂ </t>
  </si>
  <si>
    <t>Hocus PocusÂ </t>
  </si>
  <si>
    <t>The Texas Chainsaw Massacre: The BeginningÂ </t>
  </si>
  <si>
    <t>Crazy HeartÂ </t>
  </si>
  <si>
    <t>Little NickyÂ </t>
  </si>
  <si>
    <t>Steve Antin</t>
  </si>
  <si>
    <t>BurlesqueÂ </t>
  </si>
  <si>
    <t>John Eng</t>
  </si>
  <si>
    <t>Rugrats Go WildÂ </t>
  </si>
  <si>
    <t>Body of LiesÂ </t>
  </si>
  <si>
    <t>Patrick Hughes</t>
  </si>
  <si>
    <t>The Expendables 3Â </t>
  </si>
  <si>
    <t>Neil LaBute</t>
  </si>
  <si>
    <t>Lakeview TerraceÂ </t>
  </si>
  <si>
    <t>Anna and the KingÂ </t>
  </si>
  <si>
    <t>Pitch BlackÂ </t>
  </si>
  <si>
    <t>Annie HallÂ </t>
  </si>
  <si>
    <t>The Adventures of Sharkboy and Lavagirl 3-DÂ </t>
  </si>
  <si>
    <t>EnoughÂ </t>
  </si>
  <si>
    <t>The Grudge 2Â </t>
  </si>
  <si>
    <t>Breck Eisner</t>
  </si>
  <si>
    <t>The CraziesÂ </t>
  </si>
  <si>
    <t>What's Love Got to Do with ItÂ </t>
  </si>
  <si>
    <t>Something BorrowedÂ </t>
  </si>
  <si>
    <t>Tim Robbins</t>
  </si>
  <si>
    <t>Dead Man WalkingÂ </t>
  </si>
  <si>
    <t>The Sisterhood of the Traveling PantsÂ </t>
  </si>
  <si>
    <t>Primary ColorsÂ </t>
  </si>
  <si>
    <t>Dave Green</t>
  </si>
  <si>
    <t>Earth to EchoÂ </t>
  </si>
  <si>
    <t>Little Shop of HorrorsÂ </t>
  </si>
  <si>
    <t>Happy GilmoreÂ </t>
  </si>
  <si>
    <t>Steven Seagal</t>
  </si>
  <si>
    <t>On Deadly GroundÂ </t>
  </si>
  <si>
    <t>The Ghost and the DarknessÂ </t>
  </si>
  <si>
    <t>Sex TapeÂ </t>
  </si>
  <si>
    <t>SurrogatesÂ </t>
  </si>
  <si>
    <t>Spy Kids: All the Time in the World in 4DÂ </t>
  </si>
  <si>
    <t>Rock of AgesÂ </t>
  </si>
  <si>
    <t>Gridiron GangÂ </t>
  </si>
  <si>
    <t>Midnight RunÂ </t>
  </si>
  <si>
    <t>The TerminatorÂ </t>
  </si>
  <si>
    <t>Pride &amp; PrejudiceÂ </t>
  </si>
  <si>
    <t>Last HolidayÂ </t>
  </si>
  <si>
    <t>StardustÂ </t>
  </si>
  <si>
    <t>John Crowley</t>
  </si>
  <si>
    <t>BrooklynÂ </t>
  </si>
  <si>
    <t>Meet the SpartansÂ </t>
  </si>
  <si>
    <t>Undercover BrotherÂ </t>
  </si>
  <si>
    <t>Roger Kumble</t>
  </si>
  <si>
    <t>Cruel IntentionsÂ </t>
  </si>
  <si>
    <t>Scream 4Â </t>
  </si>
  <si>
    <t>Gil Junger</t>
  </si>
  <si>
    <t>10 Things I Hate About YouÂ </t>
  </si>
  <si>
    <t>The Original Kings of ComedyÂ </t>
  </si>
  <si>
    <t>Paul Michael Glaser</t>
  </si>
  <si>
    <t>The Running ManÂ </t>
  </si>
  <si>
    <t>SpaceballsÂ </t>
  </si>
  <si>
    <t>Ninja AssassinÂ </t>
  </si>
  <si>
    <t>RiÂ¢hie RiÂ¢hÂ </t>
  </si>
  <si>
    <t>Harold &amp; Kumar Escape from Guantanamo BayÂ </t>
  </si>
  <si>
    <t>Jamie Blanks</t>
  </si>
  <si>
    <t>Urban LegendÂ </t>
  </si>
  <si>
    <t>Bill &amp; Ted's Bogus JourneyÂ </t>
  </si>
  <si>
    <t>40 Days and 40 NightsÂ </t>
  </si>
  <si>
    <t>Big Mommas: Like Father, Like SonÂ </t>
  </si>
  <si>
    <t>Seven Years in TibetÂ </t>
  </si>
  <si>
    <t>The Brothers GrimmÂ </t>
  </si>
  <si>
    <t>Joel Gallen</t>
  </si>
  <si>
    <t>Not Another Teen MovieÂ </t>
  </si>
  <si>
    <t>BedazzledÂ </t>
  </si>
  <si>
    <t>Jean-Marc VallÃ©e</t>
  </si>
  <si>
    <t>WildÂ </t>
  </si>
  <si>
    <t>Chris Rock</t>
  </si>
  <si>
    <t>Head of StateÂ </t>
  </si>
  <si>
    <t>Gina Prince-Bythewood</t>
  </si>
  <si>
    <t>The Secret Life of BeesÂ </t>
  </si>
  <si>
    <t>Kerry Conran</t>
  </si>
  <si>
    <t>Sky Captain and the World of TomorrowÂ </t>
  </si>
  <si>
    <t>Mars Attacks!Â </t>
  </si>
  <si>
    <t>Joan Chen</t>
  </si>
  <si>
    <t>Autumn in New YorkÂ </t>
  </si>
  <si>
    <t>John Wells</t>
  </si>
  <si>
    <t>August: Osage CountyÂ </t>
  </si>
  <si>
    <t>For Colored GirlsÂ </t>
  </si>
  <si>
    <t>PhilomenaÂ </t>
  </si>
  <si>
    <t>How Stella Got Her Groove BackÂ </t>
  </si>
  <si>
    <t>Catherine Hardwicke</t>
  </si>
  <si>
    <t>Red Riding HoodÂ </t>
  </si>
  <si>
    <t>Pan's LabyrinthÂ </t>
  </si>
  <si>
    <t>The Nativity StoryÂ </t>
  </si>
  <si>
    <t>First KnightÂ </t>
  </si>
  <si>
    <t>Conan the BarbarianÂ </t>
  </si>
  <si>
    <t>John Hoffman</t>
  </si>
  <si>
    <t>Good Boy!Â </t>
  </si>
  <si>
    <t>Andrew Niccol</t>
  </si>
  <si>
    <t>In TimeÂ </t>
  </si>
  <si>
    <t>Abraham Lincoln: Vampire HunterÂ </t>
  </si>
  <si>
    <t>Raising HelenÂ </t>
  </si>
  <si>
    <t>Alan Poul</t>
  </si>
  <si>
    <t>The Back-up PlanÂ </t>
  </si>
  <si>
    <t>InvictusÂ </t>
  </si>
  <si>
    <t>Victor Salva</t>
  </si>
  <si>
    <t>Jeepers CreepersÂ </t>
  </si>
  <si>
    <t>Man of the YearÂ </t>
  </si>
  <si>
    <t>The Longest RideÂ </t>
  </si>
  <si>
    <t>Greg Mottola</t>
  </si>
  <si>
    <t>PaulÂ </t>
  </si>
  <si>
    <t>Out of SightÂ </t>
  </si>
  <si>
    <t>J. EdgarÂ </t>
  </si>
  <si>
    <t>Christian E. Christiansen</t>
  </si>
  <si>
    <t>The RoommateÂ </t>
  </si>
  <si>
    <t>Salim Akil</t>
  </si>
  <si>
    <t>Jumping the BroomÂ </t>
  </si>
  <si>
    <t>Tamra Davis</t>
  </si>
  <si>
    <t>CrossroadsÂ </t>
  </si>
  <si>
    <t>The Guilt TripÂ </t>
  </si>
  <si>
    <t>30 Minutes or LessÂ </t>
  </si>
  <si>
    <t>Edward Norton</t>
  </si>
  <si>
    <t>Keeping the FaithÂ </t>
  </si>
  <si>
    <t>The Change-UpÂ </t>
  </si>
  <si>
    <t>Betty Thomas</t>
  </si>
  <si>
    <t>28 DaysÂ </t>
  </si>
  <si>
    <t>Fight ClubÂ </t>
  </si>
  <si>
    <t>ClockstoppersÂ </t>
  </si>
  <si>
    <t>SphereÂ </t>
  </si>
  <si>
    <t>Kevin Macdonald</t>
  </si>
  <si>
    <t>State of PlayÂ </t>
  </si>
  <si>
    <t>That's My BoyÂ </t>
  </si>
  <si>
    <t>16 BlocksÂ </t>
  </si>
  <si>
    <t>RisenÂ </t>
  </si>
  <si>
    <t>Chris Nahon</t>
  </si>
  <si>
    <t>Kiss of the DragonÂ </t>
  </si>
  <si>
    <t>My Favorite MartianÂ </t>
  </si>
  <si>
    <t>AliveÂ </t>
  </si>
  <si>
    <t>Chuck Sheetz</t>
  </si>
  <si>
    <t>Recess: School's OutÂ </t>
  </si>
  <si>
    <t>ColombianaÂ </t>
  </si>
  <si>
    <t>Vampires SuckÂ </t>
  </si>
  <si>
    <t>Freedom WritersÂ </t>
  </si>
  <si>
    <t>Don Siegel</t>
  </si>
  <si>
    <t>Escape from AlcatrazÂ </t>
  </si>
  <si>
    <t>Craig Gillespie</t>
  </si>
  <si>
    <t>Million Dollar ArmÂ </t>
  </si>
  <si>
    <t>The Thin Red LineÂ </t>
  </si>
  <si>
    <t>Sucker PunchÂ </t>
  </si>
  <si>
    <t>Bille Woodruff</t>
  </si>
  <si>
    <t>Beauty ShopÂ </t>
  </si>
  <si>
    <t>8MMÂ </t>
  </si>
  <si>
    <t>Clark Johnson</t>
  </si>
  <si>
    <t>The SentinelÂ </t>
  </si>
  <si>
    <t>Mad Max Beyond ThunderdomeÂ </t>
  </si>
  <si>
    <t>Steve Miner</t>
  </si>
  <si>
    <t>Friday the 13th Part IIIÂ </t>
  </si>
  <si>
    <t>Barry Cook</t>
  </si>
  <si>
    <t>Walking with Dinosaurs 3DÂ </t>
  </si>
  <si>
    <t>Death RaceÂ </t>
  </si>
  <si>
    <t>Set It OffÂ </t>
  </si>
  <si>
    <t>Diane Keaton</t>
  </si>
  <si>
    <t>Hanging UpÂ </t>
  </si>
  <si>
    <t>DerailedÂ </t>
  </si>
  <si>
    <t>Henry Koster</t>
  </si>
  <si>
    <t>The RobeÂ </t>
  </si>
  <si>
    <t>Cecil B. DeMille</t>
  </si>
  <si>
    <t>The Greatest Show on EarthÂ </t>
  </si>
  <si>
    <t>Dennie Gordon</t>
  </si>
  <si>
    <t>What a Girl WantsÂ </t>
  </si>
  <si>
    <t>Mortal Kombat: AnnihilationÂ </t>
  </si>
  <si>
    <t>Todd Field</t>
  </si>
  <si>
    <t>In the BedroomÂ </t>
  </si>
  <si>
    <t>James Marsh</t>
  </si>
  <si>
    <t>The Theory of EverythingÂ </t>
  </si>
  <si>
    <t>ShineÂ </t>
  </si>
  <si>
    <t>The BoyÂ </t>
  </si>
  <si>
    <t>Robert Lorenz</t>
  </si>
  <si>
    <t>Trouble with the CurveÂ </t>
  </si>
  <si>
    <t>ChangelingÂ </t>
  </si>
  <si>
    <t>Smokin' AcesÂ </t>
  </si>
  <si>
    <t>The Indian in the CupboardÂ </t>
  </si>
  <si>
    <t>Anton Corbijn</t>
  </si>
  <si>
    <t>The AmericanÂ </t>
  </si>
  <si>
    <t>Tom Hanks</t>
  </si>
  <si>
    <t>Larry CrowneÂ </t>
  </si>
  <si>
    <t>Dan Mazer</t>
  </si>
  <si>
    <t>Dirty GrandpaÂ </t>
  </si>
  <si>
    <t>Gregory Nava</t>
  </si>
  <si>
    <t>SelenaÂ </t>
  </si>
  <si>
    <t>Live and Let DieÂ </t>
  </si>
  <si>
    <t>The Boy Next DoorÂ </t>
  </si>
  <si>
    <t>Joseph Ruben</t>
  </si>
  <si>
    <t>Money TrainÂ </t>
  </si>
  <si>
    <t>FrankenweenieÂ </t>
  </si>
  <si>
    <t>Alfonso CuarÃ³n</t>
  </si>
  <si>
    <t>Children of MenÂ </t>
  </si>
  <si>
    <t>Kimberly Peirce</t>
  </si>
  <si>
    <t>CarrieÂ </t>
  </si>
  <si>
    <t>The Flintstones in Viva Rock VegasÂ </t>
  </si>
  <si>
    <t>Mark Pellington</t>
  </si>
  <si>
    <t>The Mothman PropheciesÂ </t>
  </si>
  <si>
    <t>The DoorsÂ </t>
  </si>
  <si>
    <t>For Love of the GameÂ </t>
  </si>
  <si>
    <t>Jeepers Creepers IIÂ </t>
  </si>
  <si>
    <t>Intolerable CrueltyÂ </t>
  </si>
  <si>
    <t>Deck the HallsÂ </t>
  </si>
  <si>
    <t>The Number 23Â </t>
  </si>
  <si>
    <t>Scott Speer</t>
  </si>
  <si>
    <t>Step Up RevolutionÂ </t>
  </si>
  <si>
    <t>Nicolas Winding Refn</t>
  </si>
  <si>
    <t>DriveÂ </t>
  </si>
  <si>
    <t>Todd Strauss-Schulson</t>
  </si>
  <si>
    <t>A Very Harold &amp; Kumar 3D ChristmasÂ </t>
  </si>
  <si>
    <t>Good DeedsÂ </t>
  </si>
  <si>
    <t>The SkullsÂ </t>
  </si>
  <si>
    <t>Mark Helfrich</t>
  </si>
  <si>
    <t>Good Luck ChuckÂ </t>
  </si>
  <si>
    <t>50/50Â </t>
  </si>
  <si>
    <t>J Blakeson</t>
  </si>
  <si>
    <t>The 5th WaveÂ </t>
  </si>
  <si>
    <t>Rachel Talalay</t>
  </si>
  <si>
    <t>Freddy's Dead: The Final NightmareÂ </t>
  </si>
  <si>
    <t>White FangÂ </t>
  </si>
  <si>
    <t>Martin Lawrence</t>
  </si>
  <si>
    <t>A Thin Line Between Love and HateÂ </t>
  </si>
  <si>
    <t>Liz Friedlander</t>
  </si>
  <si>
    <t>Take the LeadÂ </t>
  </si>
  <si>
    <t>Dangerous LiaisonsÂ </t>
  </si>
  <si>
    <t>Licence to KillÂ </t>
  </si>
  <si>
    <t>Florent-Emilio Siri</t>
  </si>
  <si>
    <t>HostageÂ </t>
  </si>
  <si>
    <t>Cradle 2 the GraveÂ </t>
  </si>
  <si>
    <t>Man on the MoonÂ </t>
  </si>
  <si>
    <t>Thirteen DaysÂ </t>
  </si>
  <si>
    <t>The 6th DayÂ </t>
  </si>
  <si>
    <t>Peter Landesman</t>
  </si>
  <si>
    <t>ConcussionÂ </t>
  </si>
  <si>
    <t>CourageousÂ </t>
  </si>
  <si>
    <t>Hot PursuitÂ </t>
  </si>
  <si>
    <t>Patty Jenkins</t>
  </si>
  <si>
    <t>MonsterÂ </t>
  </si>
  <si>
    <t>Akiva Schaffer</t>
  </si>
  <si>
    <t>The WatchÂ </t>
  </si>
  <si>
    <t>Texas Chainsaw 3DÂ </t>
  </si>
  <si>
    <t>Malibu's Most WantedÂ </t>
  </si>
  <si>
    <t>BabelÂ </t>
  </si>
  <si>
    <t>This Is Where I Leave YouÂ </t>
  </si>
  <si>
    <t>The HuntedÂ </t>
  </si>
  <si>
    <t>The ReaderÂ </t>
  </si>
  <si>
    <t>Michel Gondry</t>
  </si>
  <si>
    <t>Eternal Sunshine of the Spotless MindÂ </t>
  </si>
  <si>
    <t>My Dog SkipÂ </t>
  </si>
  <si>
    <t>InstinctÂ </t>
  </si>
  <si>
    <t>The Best ManÂ </t>
  </si>
  <si>
    <t>Ari Sandel</t>
  </si>
  <si>
    <t>The DUFFÂ </t>
  </si>
  <si>
    <t>Snakes on a PlaneÂ </t>
  </si>
  <si>
    <t>CloserÂ </t>
  </si>
  <si>
    <t>The RelicÂ </t>
  </si>
  <si>
    <t>Kelly Makin</t>
  </si>
  <si>
    <t>Mickey Blue EyesÂ </t>
  </si>
  <si>
    <t>Phil Traill</t>
  </si>
  <si>
    <t>All About SteveÂ </t>
  </si>
  <si>
    <t>Stuck on YouÂ </t>
  </si>
  <si>
    <t>Matt Williams</t>
  </si>
  <si>
    <t>Where the Heart IsÂ </t>
  </si>
  <si>
    <t>She's the ManÂ </t>
  </si>
  <si>
    <t>Lawrence Kasdan</t>
  </si>
  <si>
    <t>DreamcatcherÂ </t>
  </si>
  <si>
    <t>Jonathan Hensleigh</t>
  </si>
  <si>
    <t>The PunisherÂ </t>
  </si>
  <si>
    <t>MarmadukeÂ </t>
  </si>
  <si>
    <t>Rupert Wyatt</t>
  </si>
  <si>
    <t>The GamblerÂ </t>
  </si>
  <si>
    <t>John Erick Dowdle</t>
  </si>
  <si>
    <t>DevilÂ </t>
  </si>
  <si>
    <t>Flags of Our FathersÂ </t>
  </si>
  <si>
    <t>Fernando Meirelles</t>
  </si>
  <si>
    <t>The Constant GardenerÂ </t>
  </si>
  <si>
    <t>Pay It ForwardÂ </t>
  </si>
  <si>
    <t>Kent Alterman</t>
  </si>
  <si>
    <t>Semi-ProÂ </t>
  </si>
  <si>
    <t>FireproofÂ </t>
  </si>
  <si>
    <t>Steven E. de Souza</t>
  </si>
  <si>
    <t>Street FighterÂ </t>
  </si>
  <si>
    <t>Black KnightÂ </t>
  </si>
  <si>
    <t>John Patrick Shanley</t>
  </si>
  <si>
    <t>DoubtÂ </t>
  </si>
  <si>
    <t>Blue JasmineÂ </t>
  </si>
  <si>
    <t>Rob Zombie</t>
  </si>
  <si>
    <t>Halloween IIÂ </t>
  </si>
  <si>
    <t>See Spot RunÂ </t>
  </si>
  <si>
    <t>Dinesh D'Souza</t>
  </si>
  <si>
    <t>2016: Obama's AmericaÂ </t>
  </si>
  <si>
    <t>The Long Kiss GoodnightÂ </t>
  </si>
  <si>
    <t>The Informant!Â </t>
  </si>
  <si>
    <t>Simon Curtis</t>
  </si>
  <si>
    <t>Woman in GoldÂ </t>
  </si>
  <si>
    <t>Tom Holland</t>
  </si>
  <si>
    <t>Child's PlayÂ </t>
  </si>
  <si>
    <t>AmÃ©lieÂ </t>
  </si>
  <si>
    <t>SilveradoÂ </t>
  </si>
  <si>
    <t>I SpyÂ </t>
  </si>
  <si>
    <t>The Second Best Exotic Marigold HotelÂ </t>
  </si>
  <si>
    <t>ZodiacÂ </t>
  </si>
  <si>
    <t>The RiteÂ </t>
  </si>
  <si>
    <t>Dracula 2000Â </t>
  </si>
  <si>
    <t>The Last DragonÂ </t>
  </si>
  <si>
    <t>Friday After NextÂ </t>
  </si>
  <si>
    <t>Mercury RisingÂ </t>
  </si>
  <si>
    <t>DaylightÂ </t>
  </si>
  <si>
    <t>Drillbit TaylorÂ </t>
  </si>
  <si>
    <t>Andrew Bergman</t>
  </si>
  <si>
    <t>StripteaseÂ </t>
  </si>
  <si>
    <t>Team America: World PoliceÂ </t>
  </si>
  <si>
    <t>HereafterÂ </t>
  </si>
  <si>
    <t>Dennis Iliadis</t>
  </si>
  <si>
    <t>The Last House on the LeftÂ </t>
  </si>
  <si>
    <t>John Gatins</t>
  </si>
  <si>
    <t>Dreamer: Inspired by a True StoryÂ </t>
  </si>
  <si>
    <t>The 13th WarriorÂ </t>
  </si>
  <si>
    <t>Bonnie Hunt</t>
  </si>
  <si>
    <t>Return to MeÂ </t>
  </si>
  <si>
    <t>Because of Winn-DixieÂ </t>
  </si>
  <si>
    <t>DrivenÂ </t>
  </si>
  <si>
    <t>Friday the 13th: The Final ChapterÂ </t>
  </si>
  <si>
    <t>Proof of LifeÂ </t>
  </si>
  <si>
    <t>Steve Bendelack</t>
  </si>
  <si>
    <t>Mr. Bean's HolidayÂ </t>
  </si>
  <si>
    <t>Bend It Like BeckhamÂ </t>
  </si>
  <si>
    <t>Almost FamousÂ </t>
  </si>
  <si>
    <t>The PianistÂ </t>
  </si>
  <si>
    <t>Christopher Landon</t>
  </si>
  <si>
    <t>Paranormal Activity: The Marked OnesÂ </t>
  </si>
  <si>
    <t>Grant Heslov</t>
  </si>
  <si>
    <t>The Men Who Stare at GoatsÂ </t>
  </si>
  <si>
    <t>Marc Webb</t>
  </si>
  <si>
    <t>500 Days of SummerÂ </t>
  </si>
  <si>
    <t>Bride of ChuckyÂ </t>
  </si>
  <si>
    <t>Love &amp; Other DrugsÂ </t>
  </si>
  <si>
    <t>Stanley Tong</t>
  </si>
  <si>
    <t>Rumble in the BronxÂ </t>
  </si>
  <si>
    <t>Dan Gilroy</t>
  </si>
  <si>
    <t>NightcrawlerÂ </t>
  </si>
  <si>
    <t>Leslie Small</t>
  </si>
  <si>
    <t>Kevin Hart: Let Me ExplainÂ </t>
  </si>
  <si>
    <t>The Lost BoysÂ </t>
  </si>
  <si>
    <t>Marco Schnabel</t>
  </si>
  <si>
    <t>The Love GuruÂ </t>
  </si>
  <si>
    <t>Side EffectsÂ </t>
  </si>
  <si>
    <t>Darkness FallsÂ </t>
  </si>
  <si>
    <t>Analyze ThatÂ </t>
  </si>
  <si>
    <t>Brett Leonard</t>
  </si>
  <si>
    <t>The Lawnmower ManÂ </t>
  </si>
  <si>
    <t>What's the Worst That Could Happen?Â </t>
  </si>
  <si>
    <t>The ShadowÂ </t>
  </si>
  <si>
    <t>CopycatÂ </t>
  </si>
  <si>
    <t>House of WaxÂ </t>
  </si>
  <si>
    <t>Scary Movie 5Â </t>
  </si>
  <si>
    <t>CellularÂ </t>
  </si>
  <si>
    <t>The Age of InnocenceÂ </t>
  </si>
  <si>
    <t>PsychoÂ </t>
  </si>
  <si>
    <t>Jake Schreier</t>
  </si>
  <si>
    <t>Paper TownsÂ </t>
  </si>
  <si>
    <t>Adam Brooks</t>
  </si>
  <si>
    <t>Definitely, MaybeÂ </t>
  </si>
  <si>
    <t>Mike Figgis</t>
  </si>
  <si>
    <t>Leaving Las VegasÂ </t>
  </si>
  <si>
    <t>Dressed to KillÂ </t>
  </si>
  <si>
    <t>Barbet Schroeder</t>
  </si>
  <si>
    <t>Murder by NumbersÂ </t>
  </si>
  <si>
    <t>MilkÂ </t>
  </si>
  <si>
    <t>Extremely Loud &amp; Incredibly CloseÂ </t>
  </si>
  <si>
    <t>Lake PlacidÂ </t>
  </si>
  <si>
    <t>Shane Acker</t>
  </si>
  <si>
    <t>9Â </t>
  </si>
  <si>
    <t>QuarantineÂ </t>
  </si>
  <si>
    <t>The SoloistÂ </t>
  </si>
  <si>
    <t>Kirsten Sheridan</t>
  </si>
  <si>
    <t>August RushÂ </t>
  </si>
  <si>
    <t>Mark Tonderai</t>
  </si>
  <si>
    <t>House at the End of the StreetÂ </t>
  </si>
  <si>
    <t>Rob RoyÂ </t>
  </si>
  <si>
    <t>From HellÂ </t>
  </si>
  <si>
    <t>Mark Romanek</t>
  </si>
  <si>
    <t>One Hour PhotoÂ </t>
  </si>
  <si>
    <t>Clare Kilner</t>
  </si>
  <si>
    <t>The Wedding DateÂ </t>
  </si>
  <si>
    <t>Jim Field Smith</t>
  </si>
  <si>
    <t>She's Out of My LeagueÂ </t>
  </si>
  <si>
    <t>Neill Blomkamp</t>
  </si>
  <si>
    <t>ChappieÂ </t>
  </si>
  <si>
    <t>Levan Gabriadze</t>
  </si>
  <si>
    <t>UnfriendedÂ </t>
  </si>
  <si>
    <t>Dwight H. Little</t>
  </si>
  <si>
    <t>Anacondas: The Hunt for the Blood OrchidÂ </t>
  </si>
  <si>
    <t>Good Night, and Good Luck.Â </t>
  </si>
  <si>
    <t>Edgar Wright</t>
  </si>
  <si>
    <t>Scott Pilgrim vs. the WorldÂ </t>
  </si>
  <si>
    <t>A History of ViolenceÂ </t>
  </si>
  <si>
    <t>Peter Sollett</t>
  </si>
  <si>
    <t>Nick and Norah's Infinite PlaylistÂ </t>
  </si>
  <si>
    <t>United 93Â </t>
  </si>
  <si>
    <t>Zack and Miri Make a PornoÂ </t>
  </si>
  <si>
    <t>David Moreau</t>
  </si>
  <si>
    <t>The EyeÂ </t>
  </si>
  <si>
    <t>Monster's BallÂ </t>
  </si>
  <si>
    <t>LeatherheadsÂ </t>
  </si>
  <si>
    <t>Christopher Erskin</t>
  </si>
  <si>
    <t>Johnson Family VacationÂ </t>
  </si>
  <si>
    <t>The Mortal Instruments: City of BonesÂ </t>
  </si>
  <si>
    <t>How HighÂ </t>
  </si>
  <si>
    <t>The DebtÂ </t>
  </si>
  <si>
    <t>Charlie St. CloudÂ </t>
  </si>
  <si>
    <t>The CoreÂ </t>
  </si>
  <si>
    <t>Random HeartsÂ </t>
  </si>
  <si>
    <t>The Pirates! Band of MisfitsÂ </t>
  </si>
  <si>
    <t>Morning GloryÂ </t>
  </si>
  <si>
    <t>Jim Sheridan</t>
  </si>
  <si>
    <t>Get Rich or Die Tryin'Â </t>
  </si>
  <si>
    <t>Todd Graff</t>
  </si>
  <si>
    <t>Joyful NoiseÂ </t>
  </si>
  <si>
    <t>The Texas Chain Saw MassacreÂ </t>
  </si>
  <si>
    <t>The Princess BrideÂ </t>
  </si>
  <si>
    <t>The Legend of Bagger VanceÂ </t>
  </si>
  <si>
    <t>MirrorsÂ </t>
  </si>
  <si>
    <t>3 Days to KillÂ </t>
  </si>
  <si>
    <t>Predator 2Â </t>
  </si>
  <si>
    <t>Ken Scott</t>
  </si>
  <si>
    <t>Delivery ManÂ </t>
  </si>
  <si>
    <t>DogmaÂ </t>
  </si>
  <si>
    <t>Bruce McCulloch</t>
  </si>
  <si>
    <t>SuperstarÂ </t>
  </si>
  <si>
    <t>The SitterÂ </t>
  </si>
  <si>
    <t>Deliver Us from EvilÂ </t>
  </si>
  <si>
    <t>Tate Taylor</t>
  </si>
  <si>
    <t>Get on UpÂ </t>
  </si>
  <si>
    <t>Chris Kentis</t>
  </si>
  <si>
    <t>Open WaterÂ </t>
  </si>
  <si>
    <t>Sgt. BilkoÂ </t>
  </si>
  <si>
    <t>YentlÂ </t>
  </si>
  <si>
    <t>John Fortenberry</t>
  </si>
  <si>
    <t>A Night at the RoxburyÂ </t>
  </si>
  <si>
    <t>Michael Rymer</t>
  </si>
  <si>
    <t>Queen of the DamnedÂ </t>
  </si>
  <si>
    <t>Bob Dolman</t>
  </si>
  <si>
    <t>The Banger SistersÂ </t>
  </si>
  <si>
    <t>AssassinsÂ </t>
  </si>
  <si>
    <t>Rick Rosenthal</t>
  </si>
  <si>
    <t>Halloween: ResurrectionÂ </t>
  </si>
  <si>
    <t>Denzel Washington</t>
  </si>
  <si>
    <t>The Great DebatersÂ </t>
  </si>
  <si>
    <t>HoneyÂ </t>
  </si>
  <si>
    <t>Christian Duguay</t>
  </si>
  <si>
    <t>The Art of WarÂ </t>
  </si>
  <si>
    <t>Bad CompanyÂ </t>
  </si>
  <si>
    <t>When the Game Stands TallÂ </t>
  </si>
  <si>
    <t>Kirk De Micco</t>
  </si>
  <si>
    <t>Space ChimpsÂ </t>
  </si>
  <si>
    <t>Sheldon Lettich</t>
  </si>
  <si>
    <t>Double ImpactÂ </t>
  </si>
  <si>
    <t>SnatchÂ </t>
  </si>
  <si>
    <t>Ghost ShipÂ </t>
  </si>
  <si>
    <t>DragonflyÂ </t>
  </si>
  <si>
    <t>Jay and Silent Bob Strike BackÂ </t>
  </si>
  <si>
    <t>Rowdy Herrington</t>
  </si>
  <si>
    <t>Road HouseÂ </t>
  </si>
  <si>
    <t>The Bank JobÂ </t>
  </si>
  <si>
    <t>Hollywood HomicideÂ </t>
  </si>
  <si>
    <t>Shekhar Kapur</t>
  </si>
  <si>
    <t>ElizabethÂ </t>
  </si>
  <si>
    <t>Jack Sholder</t>
  </si>
  <si>
    <t>A Nightmare on Elm Street 2: Freddy's RevengeÂ </t>
  </si>
  <si>
    <t>Hail, Caesar!Â </t>
  </si>
  <si>
    <t>Michael Spierig</t>
  </si>
  <si>
    <t>DaybreakersÂ </t>
  </si>
  <si>
    <t>Phyllida Lloyd</t>
  </si>
  <si>
    <t>The Iron LadyÂ </t>
  </si>
  <si>
    <t>Grudge MatchÂ </t>
  </si>
  <si>
    <t>Riding in Cars with BoysÂ </t>
  </si>
  <si>
    <t>John McNaughton</t>
  </si>
  <si>
    <t>Wild ThingsÂ </t>
  </si>
  <si>
    <t>Kinka Usher</t>
  </si>
  <si>
    <t>Mystery MenÂ </t>
  </si>
  <si>
    <t>Did You Hear About the Morgans?Â </t>
  </si>
  <si>
    <t>Twilight Zone: The MovieÂ </t>
  </si>
  <si>
    <t>A Low Down Dirty ShameÂ </t>
  </si>
  <si>
    <t>Bless the ChildÂ </t>
  </si>
  <si>
    <t>Sara Sugarman</t>
  </si>
  <si>
    <t>Confessions of a Teenage Drama QueenÂ </t>
  </si>
  <si>
    <t>Bob Spiers</t>
  </si>
  <si>
    <t>Spice WorldÂ </t>
  </si>
  <si>
    <t>Mark Rydell</t>
  </si>
  <si>
    <t>The RoseÂ </t>
  </si>
  <si>
    <t>PriestÂ </t>
  </si>
  <si>
    <t>The MechanicÂ </t>
  </si>
  <si>
    <t>Nicholas Hytner</t>
  </si>
  <si>
    <t>The Object of My AffectionÂ </t>
  </si>
  <si>
    <t>RentÂ </t>
  </si>
  <si>
    <t>The StepfatherÂ </t>
  </si>
  <si>
    <t>Susanna White</t>
  </si>
  <si>
    <t>Nanny McPhee ReturnsÂ </t>
  </si>
  <si>
    <t>Ed Decter</t>
  </si>
  <si>
    <t>The New GuyÂ </t>
  </si>
  <si>
    <t>The InsiderÂ </t>
  </si>
  <si>
    <t>Joe Charbanic</t>
  </si>
  <si>
    <t>The WatcherÂ </t>
  </si>
  <si>
    <t>NerveÂ </t>
  </si>
  <si>
    <t>Morgan Spurlock</t>
  </si>
  <si>
    <t>One Direction: This Is UsÂ </t>
  </si>
  <si>
    <t>Girl, InterruptedÂ </t>
  </si>
  <si>
    <t>Zoolander 2Â </t>
  </si>
  <si>
    <t>Draft DayÂ </t>
  </si>
  <si>
    <t>Jeff Wadlow</t>
  </si>
  <si>
    <t>Kick-Ass 2Â </t>
  </si>
  <si>
    <t>CapoteÂ </t>
  </si>
  <si>
    <t>Baby BoyÂ </t>
  </si>
  <si>
    <t>UntraceableÂ </t>
  </si>
  <si>
    <t>The Five-Year EngagementÂ </t>
  </si>
  <si>
    <t>Juan Carlos Fresnadillo</t>
  </si>
  <si>
    <t>28 Weeks LaterÂ </t>
  </si>
  <si>
    <t>SwimfanÂ </t>
  </si>
  <si>
    <t>James Gray</t>
  </si>
  <si>
    <t>We Own the NightÂ </t>
  </si>
  <si>
    <t>The Out-of-TownersÂ </t>
  </si>
  <si>
    <t>BrothersÂ </t>
  </si>
  <si>
    <t>John Lafia</t>
  </si>
  <si>
    <t>Child's Play 2Â </t>
  </si>
  <si>
    <t>Greg Coolidge</t>
  </si>
  <si>
    <t>Employee of the MonthÂ </t>
  </si>
  <si>
    <t>Garfield 2Â </t>
  </si>
  <si>
    <t>John Stainton</t>
  </si>
  <si>
    <t>The Crocodile Hunter: Collision CourseÂ </t>
  </si>
  <si>
    <t>Frank Darabont</t>
  </si>
  <si>
    <t>The Shawshank RedemptionÂ </t>
  </si>
  <si>
    <t>After the SunsetÂ </t>
  </si>
  <si>
    <t>Martha Coolidge</t>
  </si>
  <si>
    <t>The Prince and MeÂ </t>
  </si>
  <si>
    <t>The Ant BullyÂ </t>
  </si>
  <si>
    <t>AbductionÂ </t>
  </si>
  <si>
    <t>Jon Favreau</t>
  </si>
  <si>
    <t>Zathura: A Space AdventureÂ </t>
  </si>
  <si>
    <t>DoomÂ </t>
  </si>
  <si>
    <t>George Armitage</t>
  </si>
  <si>
    <t>Grosse Pointe BlankÂ </t>
  </si>
  <si>
    <t>Gene Quintano</t>
  </si>
  <si>
    <t>Loaded Weapon 1Â </t>
  </si>
  <si>
    <t>Peter Howitt</t>
  </si>
  <si>
    <t>Johnny EnglishÂ </t>
  </si>
  <si>
    <t>FridayÂ </t>
  </si>
  <si>
    <t>Menace II SocietyÂ </t>
  </si>
  <si>
    <t>Daniel Barnz</t>
  </si>
  <si>
    <t>BeastlyÂ </t>
  </si>
  <si>
    <t>CrankÂ </t>
  </si>
  <si>
    <t>The MajesticÂ </t>
  </si>
  <si>
    <t>The EdgeÂ </t>
  </si>
  <si>
    <t>Josh Gordon</t>
  </si>
  <si>
    <t>The SwitchÂ </t>
  </si>
  <si>
    <t>CiarÃ¡n Foy</t>
  </si>
  <si>
    <t>Sinister 2Â </t>
  </si>
  <si>
    <t>OculusÂ </t>
  </si>
  <si>
    <t>Saw VIÂ </t>
  </si>
  <si>
    <t>Peter Webber</t>
  </si>
  <si>
    <t>Hannibal RisingÂ </t>
  </si>
  <si>
    <t>The Island of Dr. MoreauÂ </t>
  </si>
  <si>
    <t>The Finest HoursÂ </t>
  </si>
  <si>
    <t>Do the Right ThingÂ </t>
  </si>
  <si>
    <t>Poetic JusticeÂ </t>
  </si>
  <si>
    <t>Gary Hardwick</t>
  </si>
  <si>
    <t>The BrothersÂ </t>
  </si>
  <si>
    <t>Love &amp; BasketballÂ </t>
  </si>
  <si>
    <t>DuneÂ </t>
  </si>
  <si>
    <t>Rick Famuyiwa</t>
  </si>
  <si>
    <t>Brown SugarÂ </t>
  </si>
  <si>
    <t>The Last Witch HunterÂ </t>
  </si>
  <si>
    <t>Tony Goldwyn</t>
  </si>
  <si>
    <t>Someone Like You...Â </t>
  </si>
  <si>
    <t>Dallas Buyers ClubÂ </t>
  </si>
  <si>
    <t>No EscapeÂ </t>
  </si>
  <si>
    <t>Brian Henson</t>
  </si>
  <si>
    <t>The Muppet Christmas CarolÂ </t>
  </si>
  <si>
    <t>High FidelityÂ </t>
  </si>
  <si>
    <t>David Lean</t>
  </si>
  <si>
    <t>The Bridge on the River KwaiÂ </t>
  </si>
  <si>
    <t>Brooklyn's FinestÂ </t>
  </si>
  <si>
    <t>Baby GeniusesÂ </t>
  </si>
  <si>
    <t>Joe DirtÂ </t>
  </si>
  <si>
    <t>The Story of UsÂ </t>
  </si>
  <si>
    <t>The MusketeerÂ </t>
  </si>
  <si>
    <t>Kirk Wong</t>
  </si>
  <si>
    <t>The Big HitÂ </t>
  </si>
  <si>
    <t>Blade RunnerÂ </t>
  </si>
  <si>
    <t>Rick Friedberg</t>
  </si>
  <si>
    <t>Spy HardÂ </t>
  </si>
  <si>
    <t>RushÂ </t>
  </si>
  <si>
    <t>Diane English</t>
  </si>
  <si>
    <t>The WomenÂ </t>
  </si>
  <si>
    <t>One Missed CallÂ </t>
  </si>
  <si>
    <t>Jessica Bendinger</t>
  </si>
  <si>
    <t>Stick ItÂ </t>
  </si>
  <si>
    <t>ElizabethtownÂ </t>
  </si>
  <si>
    <t>GloryÂ </t>
  </si>
  <si>
    <t>Justin Chadwick</t>
  </si>
  <si>
    <t>The Other Boleyn GirlÂ </t>
  </si>
  <si>
    <t>Zach Braff</t>
  </si>
  <si>
    <t>Garden StateÂ </t>
  </si>
  <si>
    <t>Michael Hoffman</t>
  </si>
  <si>
    <t>The Best of MeÂ </t>
  </si>
  <si>
    <t>Stephen J. Anderson</t>
  </si>
  <si>
    <t>Winnie the PoohÂ </t>
  </si>
  <si>
    <t>The HostÂ </t>
  </si>
  <si>
    <t>Event HorizonÂ </t>
  </si>
  <si>
    <t>Ethan Maniquis</t>
  </si>
  <si>
    <t>MacheteÂ </t>
  </si>
  <si>
    <t>Jason Zada</t>
  </si>
  <si>
    <t>The ForestÂ </t>
  </si>
  <si>
    <t>Bronwen Hughes</t>
  </si>
  <si>
    <t>Harriet the SpyÂ </t>
  </si>
  <si>
    <t>BasicÂ </t>
  </si>
  <si>
    <t>BulworthÂ </t>
  </si>
  <si>
    <t>A Nightmare on Elm StreetÂ </t>
  </si>
  <si>
    <t>Blast from the PastÂ </t>
  </si>
  <si>
    <t>Run All NightÂ </t>
  </si>
  <si>
    <t>Joe Berlinger</t>
  </si>
  <si>
    <t>Book of Shadows: Blair Witch 2Â </t>
  </si>
  <si>
    <t>Street KingsÂ </t>
  </si>
  <si>
    <t>One for the MoneyÂ </t>
  </si>
  <si>
    <t>Conan the DestroyerÂ </t>
  </si>
  <si>
    <t>A Passage to IndiaÂ </t>
  </si>
  <si>
    <t>Boogie NightsÂ </t>
  </si>
  <si>
    <t>Patrick Gilmore</t>
  </si>
  <si>
    <t>Sinbad: Legend of the Seven SeasÂ </t>
  </si>
  <si>
    <t>Love the CoopersÂ </t>
  </si>
  <si>
    <t>The WrestlerÂ </t>
  </si>
  <si>
    <t>Blood WorkÂ </t>
  </si>
  <si>
    <t>A Man ApartÂ </t>
  </si>
  <si>
    <t>Elizabeth Allen Rosenbaum</t>
  </si>
  <si>
    <t>Ramona and BeezusÂ </t>
  </si>
  <si>
    <t>Troy Miller</t>
  </si>
  <si>
    <t>Dumb and Dumberer: When Harry Met LloydÂ </t>
  </si>
  <si>
    <t>xXx: State of the UnionÂ </t>
  </si>
  <si>
    <t>Tom Gormican</t>
  </si>
  <si>
    <t>That Awkward MomentÂ </t>
  </si>
  <si>
    <t>Neil Marshall</t>
  </si>
  <si>
    <t>The DescentÂ </t>
  </si>
  <si>
    <t>The World's EndÂ </t>
  </si>
  <si>
    <t>Des McAnuff</t>
  </si>
  <si>
    <t>The Adventures of Rocky &amp; BullwinkleÂ </t>
  </si>
  <si>
    <t>Scott Frank</t>
  </si>
  <si>
    <t>A Walk Among the TombstonesÂ </t>
  </si>
  <si>
    <t>Howards EndÂ </t>
  </si>
  <si>
    <t>Masayuki Ochiai</t>
  </si>
  <si>
    <t>ShutterÂ </t>
  </si>
  <si>
    <t>The Cotton ClubÂ </t>
  </si>
  <si>
    <t>Craig Mazin</t>
  </si>
  <si>
    <t>Superhero MovieÂ </t>
  </si>
  <si>
    <t>Alex CrossÂ </t>
  </si>
  <si>
    <t>Karyn Kusama</t>
  </si>
  <si>
    <t>Ã†on FluxÂ </t>
  </si>
  <si>
    <t>ShadowlandsÂ </t>
  </si>
  <si>
    <t>That Thing You Do!Â </t>
  </si>
  <si>
    <t>David Gelb</t>
  </si>
  <si>
    <t>The Lazarus EffectÂ </t>
  </si>
  <si>
    <t>Julie Taymor</t>
  </si>
  <si>
    <t>FridaÂ </t>
  </si>
  <si>
    <t>From Dusk Till DawnÂ </t>
  </si>
  <si>
    <t>You AgainÂ </t>
  </si>
  <si>
    <t>21 &amp; OverÂ </t>
  </si>
  <si>
    <t>DesperadoÂ </t>
  </si>
  <si>
    <t>Damien Dante Wayans</t>
  </si>
  <si>
    <t>Dance FlickÂ </t>
  </si>
  <si>
    <t>The OutsidersÂ </t>
  </si>
  <si>
    <t>The MistÂ </t>
  </si>
  <si>
    <t>Simon Wincer</t>
  </si>
  <si>
    <t>Crocodile Dundee in Los AngelesÂ </t>
  </si>
  <si>
    <t>Andrew Fleming</t>
  </si>
  <si>
    <t>Nancy DrewÂ </t>
  </si>
  <si>
    <t>Mike Nawrocki</t>
  </si>
  <si>
    <t>Jonah: A VeggieTales MovieÂ </t>
  </si>
  <si>
    <t>Spike Jonze</t>
  </si>
  <si>
    <t>HerÂ </t>
  </si>
  <si>
    <t>MementoÂ </t>
  </si>
  <si>
    <t>Captain Corelli's MandolinÂ </t>
  </si>
  <si>
    <t>W.Â </t>
  </si>
  <si>
    <t>All About the BenjaminsÂ </t>
  </si>
  <si>
    <t>Walter Salles</t>
  </si>
  <si>
    <t>Dark WaterÂ </t>
  </si>
  <si>
    <t>Olatunde Osunsanmi</t>
  </si>
  <si>
    <t>The Fourth KindÂ </t>
  </si>
  <si>
    <t>Tom Tykwer</t>
  </si>
  <si>
    <t>The InternationalÂ </t>
  </si>
  <si>
    <t>Alex Garland</t>
  </si>
  <si>
    <t>Ex MachinaÂ </t>
  </si>
  <si>
    <t>Escape from L.A.Â </t>
  </si>
  <si>
    <t>BoyhoodÂ </t>
  </si>
  <si>
    <t>Harry Elfont</t>
  </si>
  <si>
    <t>Can't Hardly WaitÂ </t>
  </si>
  <si>
    <t>Joss Whedon</t>
  </si>
  <si>
    <t>SerenityÂ </t>
  </si>
  <si>
    <t>The TransporterÂ </t>
  </si>
  <si>
    <t>Top FiveÂ </t>
  </si>
  <si>
    <t>Jersey GirlÂ </t>
  </si>
  <si>
    <t>Escape from New YorkÂ </t>
  </si>
  <si>
    <t>Dan Cutforth</t>
  </si>
  <si>
    <t>Katy Perry: Part of MeÂ </t>
  </si>
  <si>
    <t>Aliens in the AtticÂ </t>
  </si>
  <si>
    <t>Pat O'Connor</t>
  </si>
  <si>
    <t>Sweet NovemberÂ </t>
  </si>
  <si>
    <t>Nurse BettyÂ </t>
  </si>
  <si>
    <t>Robert Eggers</t>
  </si>
  <si>
    <t>The WitchÂ </t>
  </si>
  <si>
    <t>Escape PlanÂ </t>
  </si>
  <si>
    <t>The ReapingÂ </t>
  </si>
  <si>
    <t>Gary McKendry</t>
  </si>
  <si>
    <t>Killer EliteÂ </t>
  </si>
  <si>
    <t>Midnight in the Garden of Good and EvilÂ </t>
  </si>
  <si>
    <t>Anthony Bell</t>
  </si>
  <si>
    <t>Alpha and OmegaÂ </t>
  </si>
  <si>
    <t>Wyatt EarpÂ </t>
  </si>
  <si>
    <t>The WoodÂ </t>
  </si>
  <si>
    <t>The Forbidden KingdomÂ </t>
  </si>
  <si>
    <t>GrindhouseÂ </t>
  </si>
  <si>
    <t>Piranha 3DÂ </t>
  </si>
  <si>
    <t>Michael Anderson</t>
  </si>
  <si>
    <t>Logan's RunÂ </t>
  </si>
  <si>
    <t>Some Like It HotÂ </t>
  </si>
  <si>
    <t>The November ManÂ </t>
  </si>
  <si>
    <t>KingpinÂ </t>
  </si>
  <si>
    <t>The CraftÂ </t>
  </si>
  <si>
    <t>Never Back DownÂ </t>
  </si>
  <si>
    <t>Jesse Peretz</t>
  </si>
  <si>
    <t>Our Idiot BrotherÂ </t>
  </si>
  <si>
    <t>From Russia with LoveÂ </t>
  </si>
  <si>
    <t>Thank You for SmokingÂ </t>
  </si>
  <si>
    <t>Waking Ned DevineÂ </t>
  </si>
  <si>
    <t>Sex, Lies, and VideotapeÂ </t>
  </si>
  <si>
    <t>Erik White</t>
  </si>
  <si>
    <t>Lottery TicketÂ </t>
  </si>
  <si>
    <t>Air BudÂ </t>
  </si>
  <si>
    <t>SickoÂ </t>
  </si>
  <si>
    <t>UnleashedÂ </t>
  </si>
  <si>
    <t>Billy Bob Thornton</t>
  </si>
  <si>
    <t>Sling BladeÂ </t>
  </si>
  <si>
    <t>Joseph Gordon-Levitt</t>
  </si>
  <si>
    <t>Don JonÂ </t>
  </si>
  <si>
    <t>The Sweetest ThingÂ </t>
  </si>
  <si>
    <t>ElektraÂ </t>
  </si>
  <si>
    <t>SparkleÂ </t>
  </si>
  <si>
    <t>Tim Fywell</t>
  </si>
  <si>
    <t>Ice PrincessÂ </t>
  </si>
  <si>
    <t>15 MinutesÂ </t>
  </si>
  <si>
    <t>Arlington RoadÂ </t>
  </si>
  <si>
    <t>Across the UniverseÂ </t>
  </si>
  <si>
    <t>Renaissance ManÂ </t>
  </si>
  <si>
    <t>Danny DeVito</t>
  </si>
  <si>
    <t>HoffaÂ </t>
  </si>
  <si>
    <t>The Spy Next DoorÂ </t>
  </si>
  <si>
    <t>Hearts in AtlantisÂ </t>
  </si>
  <si>
    <t>Clerks IIÂ </t>
  </si>
  <si>
    <t>Lord of WarÂ </t>
  </si>
  <si>
    <t>Tomas Alfredson</t>
  </si>
  <si>
    <t>Tinker Tailor Soldier SpyÂ </t>
  </si>
  <si>
    <t>Stephen Sommers</t>
  </si>
  <si>
    <t>The Adventures of Huck FinnÂ </t>
  </si>
  <si>
    <t>VirtuosityÂ </t>
  </si>
  <si>
    <t>Angel EyesÂ </t>
  </si>
  <si>
    <t>Troy Nixey</t>
  </si>
  <si>
    <t>Don't Be Afraid of the DarkÂ </t>
  </si>
  <si>
    <t>The Life Aquatic with Steve ZissouÂ </t>
  </si>
  <si>
    <t>Jody Hill</t>
  </si>
  <si>
    <t>Observe and ReportÂ </t>
  </si>
  <si>
    <t>Rob Pritts</t>
  </si>
  <si>
    <t>Corky RomanoÂ </t>
  </si>
  <si>
    <t>Davis Guggenheim</t>
  </si>
  <si>
    <t>An Inconvenient TruthÂ </t>
  </si>
  <si>
    <t>William Wyler</t>
  </si>
  <si>
    <t>The Best Years of Our LivesÂ </t>
  </si>
  <si>
    <t>Hot FuzzÂ </t>
  </si>
  <si>
    <t>The LosersÂ </t>
  </si>
  <si>
    <t>Terry George</t>
  </si>
  <si>
    <t>Hotel RwandaÂ </t>
  </si>
  <si>
    <t>Shana Feste</t>
  </si>
  <si>
    <t>Endless LoveÂ </t>
  </si>
  <si>
    <t>Reindeer GamesÂ </t>
  </si>
  <si>
    <t>Pierre Morel</t>
  </si>
  <si>
    <t>From Paris with LoveÂ </t>
  </si>
  <si>
    <t>The CovenantÂ </t>
  </si>
  <si>
    <t>The Usual SuspectsÂ </t>
  </si>
  <si>
    <t>FasterÂ </t>
  </si>
  <si>
    <t>Kevin Allen</t>
  </si>
  <si>
    <t>Agent Cody Banks 2: Destination LondonÂ </t>
  </si>
  <si>
    <t>PompeiiÂ </t>
  </si>
  <si>
    <t>Vicky Cristina BarcelonaÂ </t>
  </si>
  <si>
    <t>One True ThingÂ </t>
  </si>
  <si>
    <t>Thomas Bezucha</t>
  </si>
  <si>
    <t>Monte CarloÂ </t>
  </si>
  <si>
    <t>Hungary</t>
  </si>
  <si>
    <t>Brad Bird</t>
  </si>
  <si>
    <t>The Iron GiantÂ </t>
  </si>
  <si>
    <t>Match PointÂ </t>
  </si>
  <si>
    <t>Stay AliveÂ </t>
  </si>
  <si>
    <t>Alister Grierson</t>
  </si>
  <si>
    <t>SanctumÂ </t>
  </si>
  <si>
    <t>Ice Cube</t>
  </si>
  <si>
    <t>The Players ClubÂ </t>
  </si>
  <si>
    <t>Paul Hunter</t>
  </si>
  <si>
    <t>Bulletproof MonkÂ </t>
  </si>
  <si>
    <t>The Remains of the DayÂ </t>
  </si>
  <si>
    <t>Brandon Camp</t>
  </si>
  <si>
    <t>Love HappensÂ </t>
  </si>
  <si>
    <t>Tommy O'Haver</t>
  </si>
  <si>
    <t>Ella EnchantedÂ </t>
  </si>
  <si>
    <t>John Dahl</t>
  </si>
  <si>
    <t>RoundersÂ </t>
  </si>
  <si>
    <t>Revolutionary RoadÂ </t>
  </si>
  <si>
    <t>Being John MalkovichÂ </t>
  </si>
  <si>
    <t>BelovedÂ </t>
  </si>
  <si>
    <t>Peter R. Hunt</t>
  </si>
  <si>
    <t>On Her Majesty's Secret ServiceÂ </t>
  </si>
  <si>
    <t>Joe SomebodyÂ </t>
  </si>
  <si>
    <t>Travis Cluff</t>
  </si>
  <si>
    <t>The GallowsÂ </t>
  </si>
  <si>
    <t>Titan A.E.Â </t>
  </si>
  <si>
    <t>Dickie Roberts: Former Child StarÂ </t>
  </si>
  <si>
    <t>The Magic Sword: Quest for CamelotÂ </t>
  </si>
  <si>
    <t>Much Ado About NothingÂ </t>
  </si>
  <si>
    <t>Babylon A.D.Â </t>
  </si>
  <si>
    <t>My Super Ex-GirlfriendÂ </t>
  </si>
  <si>
    <t>Don Scardino</t>
  </si>
  <si>
    <t>The Incredible Burt WonderstoneÂ </t>
  </si>
  <si>
    <t>The Black DahliaÂ </t>
  </si>
  <si>
    <t>Paul McGuigan</t>
  </si>
  <si>
    <t>Lucky Number SlevinÂ </t>
  </si>
  <si>
    <t>Philip G. Atwell</t>
  </si>
  <si>
    <t>WarÂ </t>
  </si>
  <si>
    <t>Kevin Tancharoen</t>
  </si>
  <si>
    <t>FameÂ </t>
  </si>
  <si>
    <t>MagnoliaÂ </t>
  </si>
  <si>
    <t>City by the SeaÂ </t>
  </si>
  <si>
    <t>EdtvÂ </t>
  </si>
  <si>
    <t>The BorrowersÂ </t>
  </si>
  <si>
    <t>Dean Israelite</t>
  </si>
  <si>
    <t>Project AlmanacÂ </t>
  </si>
  <si>
    <t>At First SightÂ </t>
  </si>
  <si>
    <t>My Fellow AmericansÂ </t>
  </si>
  <si>
    <t>Mike Bigelow</t>
  </si>
  <si>
    <t>Deuce Bigalow: European GigoloÂ </t>
  </si>
  <si>
    <t>Adaptation.Â </t>
  </si>
  <si>
    <t>Mark Brown</t>
  </si>
  <si>
    <t>Two Can Play That GameÂ </t>
  </si>
  <si>
    <t>The Wizard of OzÂ </t>
  </si>
  <si>
    <t>Craig Brewer</t>
  </si>
  <si>
    <t>Hustle &amp; FlowÂ </t>
  </si>
  <si>
    <t>Jeremy Leven</t>
  </si>
  <si>
    <t>Don Juan DeMarcoÂ </t>
  </si>
  <si>
    <t>Robert Harmon</t>
  </si>
  <si>
    <t>Nowhere to RunÂ </t>
  </si>
  <si>
    <t>A Nightmare on Elm Street 5: The Dream ChildÂ </t>
  </si>
  <si>
    <t>DarknessÂ </t>
  </si>
  <si>
    <t>Gordon Chan</t>
  </si>
  <si>
    <t>The MedallionÂ </t>
  </si>
  <si>
    <t>Billy ElliotÂ </t>
  </si>
  <si>
    <t>Joy RideÂ </t>
  </si>
  <si>
    <t>Nigel Cole</t>
  </si>
  <si>
    <t>A Lot Like LoveÂ </t>
  </si>
  <si>
    <t>Mr 3000Â </t>
  </si>
  <si>
    <t>Justin Zackham</t>
  </si>
  <si>
    <t>The Big WeddingÂ </t>
  </si>
  <si>
    <t>Jeff Nichols</t>
  </si>
  <si>
    <t>MudÂ </t>
  </si>
  <si>
    <t>Mike Binder</t>
  </si>
  <si>
    <t>Black or WhiteÂ </t>
  </si>
  <si>
    <t>David E. Talbert</t>
  </si>
  <si>
    <t>Baggage ClaimÂ </t>
  </si>
  <si>
    <t>Your HighnessÂ </t>
  </si>
  <si>
    <t>He Got GameÂ </t>
  </si>
  <si>
    <t>Just WrightÂ </t>
  </si>
  <si>
    <t>Nat Faxon</t>
  </si>
  <si>
    <t>The Way Way BackÂ </t>
  </si>
  <si>
    <t>Philip Kaufman</t>
  </si>
  <si>
    <t>The Right StuffÂ </t>
  </si>
  <si>
    <t>Brian Percival</t>
  </si>
  <si>
    <t>The Book ThiefÂ </t>
  </si>
  <si>
    <t>Roger Christian</t>
  </si>
  <si>
    <t>Battlefield EarthÂ </t>
  </si>
  <si>
    <t>John Ottman</t>
  </si>
  <si>
    <t>Urban Legends: Final CutÂ </t>
  </si>
  <si>
    <t>Chris Gorak</t>
  </si>
  <si>
    <t>The Darkest HourÂ </t>
  </si>
  <si>
    <t>The Adventures of Ford FairlaneÂ </t>
  </si>
  <si>
    <t>Quigley Down UnderÂ </t>
  </si>
  <si>
    <t>Derek Cianfrance</t>
  </si>
  <si>
    <t>The Place Beyond the PinesÂ </t>
  </si>
  <si>
    <t>The FogÂ </t>
  </si>
  <si>
    <t>SkylineÂ </t>
  </si>
  <si>
    <t>Raising CainÂ </t>
  </si>
  <si>
    <t>Danny Steinmann</t>
  </si>
  <si>
    <t>Friday the 13th: A New BeginningÂ </t>
  </si>
  <si>
    <t>Dream HouseÂ </t>
  </si>
  <si>
    <t>Bowling for ColumbineÂ </t>
  </si>
  <si>
    <t>To Die ForÂ </t>
  </si>
  <si>
    <t>As Above, So BelowÂ </t>
  </si>
  <si>
    <t>TorqueÂ </t>
  </si>
  <si>
    <t>Chris Robinson</t>
  </si>
  <si>
    <t>ATLÂ </t>
  </si>
  <si>
    <t>Stir of EchoesÂ </t>
  </si>
  <si>
    <t>The Next Three DaysÂ </t>
  </si>
  <si>
    <t>Ernest R. Dickerson</t>
  </si>
  <si>
    <t>Tales from the Crypt: Demon KnightÂ </t>
  </si>
  <si>
    <t>Antwone FisherÂ </t>
  </si>
  <si>
    <t>Flight of the PhoenixÂ </t>
  </si>
  <si>
    <t>Van Wilder: Party LiaisonÂ </t>
  </si>
  <si>
    <t>The Man with the Golden GunÂ </t>
  </si>
  <si>
    <t>Fantastic Mr. FoxÂ </t>
  </si>
  <si>
    <t>Michael Mayer</t>
  </si>
  <si>
    <t>FlickaÂ </t>
  </si>
  <si>
    <t>AlohaÂ </t>
  </si>
  <si>
    <t>Chris Carter</t>
  </si>
  <si>
    <t>The X Files: I Want to BelieveÂ </t>
  </si>
  <si>
    <t>A Room with a ViewÂ </t>
  </si>
  <si>
    <t>Looney Tunes: Back in ActionÂ </t>
  </si>
  <si>
    <t>ShortsÂ </t>
  </si>
  <si>
    <t>Annabel Jankel</t>
  </si>
  <si>
    <t>Super Mario Bros.Â </t>
  </si>
  <si>
    <t>Paul Blart: Mall CopÂ </t>
  </si>
  <si>
    <t>Lisa Cholodenko</t>
  </si>
  <si>
    <t>The Kids Are All RightÂ </t>
  </si>
  <si>
    <t>Martin Weisz</t>
  </si>
  <si>
    <t>The Hills Have Eyes IIÂ </t>
  </si>
  <si>
    <t>Harold Cronk</t>
  </si>
  <si>
    <t>God's Not Dead 2Â </t>
  </si>
  <si>
    <t>Whale RiderÂ </t>
  </si>
  <si>
    <t>Joseph Sargent</t>
  </si>
  <si>
    <t>Jaws: The RevengeÂ </t>
  </si>
  <si>
    <t>Robert Duvall</t>
  </si>
  <si>
    <t>The ApostleÂ </t>
  </si>
  <si>
    <t>Mad MoneyÂ </t>
  </si>
  <si>
    <t>Boys and GirlsÂ </t>
  </si>
  <si>
    <t>Peter Atencio</t>
  </si>
  <si>
    <t>KeanuÂ </t>
  </si>
  <si>
    <t>Chain ReactionÂ </t>
  </si>
  <si>
    <t>GamerÂ </t>
  </si>
  <si>
    <t>Land of the DeadÂ </t>
  </si>
  <si>
    <t>Nick Hurran</t>
  </si>
  <si>
    <t>Little Black BookÂ </t>
  </si>
  <si>
    <t>John Gray</t>
  </si>
  <si>
    <t>The Glimmer ManÂ </t>
  </si>
  <si>
    <t>Duel in the SunÂ </t>
  </si>
  <si>
    <t>Gary Ross</t>
  </si>
  <si>
    <t>Free State of JonesÂ </t>
  </si>
  <si>
    <t>ValentineÂ </t>
  </si>
  <si>
    <t>Robert Ben Garant</t>
  </si>
  <si>
    <t>Reno 911!: MiamiÂ </t>
  </si>
  <si>
    <t>A Prairie Home CompanionÂ </t>
  </si>
  <si>
    <t>The Three MusketeersÂ </t>
  </si>
  <si>
    <t>Paul Verhoeven</t>
  </si>
  <si>
    <t>ShowgirlsÂ </t>
  </si>
  <si>
    <t>City HallÂ </t>
  </si>
  <si>
    <t>Camille Delamarre</t>
  </si>
  <si>
    <t>Brick MansionsÂ </t>
  </si>
  <si>
    <t>Premium RushÂ </t>
  </si>
  <si>
    <t>Jim Sonzero</t>
  </si>
  <si>
    <t>PulseÂ </t>
  </si>
  <si>
    <t>Craig R. Baxley</t>
  </si>
  <si>
    <t>Action JacksonÂ </t>
  </si>
  <si>
    <t>Our Family WeddingÂ </t>
  </si>
  <si>
    <t>VampiresÂ </t>
  </si>
  <si>
    <t>Country StrongÂ </t>
  </si>
  <si>
    <t>Official site</t>
  </si>
  <si>
    <t>Ed Harris</t>
  </si>
  <si>
    <t>AppaloosaÂ </t>
  </si>
  <si>
    <t>The Secret in Their EyesÂ </t>
  </si>
  <si>
    <t>Big MiracleÂ </t>
  </si>
  <si>
    <t>MultiplicityÂ </t>
  </si>
  <si>
    <t>Alan Shapiro</t>
  </si>
  <si>
    <t>FlipperÂ </t>
  </si>
  <si>
    <t>Kris Isacsson</t>
  </si>
  <si>
    <t>Down to YouÂ </t>
  </si>
  <si>
    <t>Jean-FranÃ§ois Richet</t>
  </si>
  <si>
    <t>Assault on Precinct 13Â </t>
  </si>
  <si>
    <t>Vampire in BrooklynÂ </t>
  </si>
  <si>
    <t>Mikael Salomon</t>
  </si>
  <si>
    <t>Hard RainÂ </t>
  </si>
  <si>
    <t>HomefrontÂ </t>
  </si>
  <si>
    <t>The SpiritÂ </t>
  </si>
  <si>
    <t>Sean Penn</t>
  </si>
  <si>
    <t>The PledgeÂ </t>
  </si>
  <si>
    <t>Summer CatchÂ </t>
  </si>
  <si>
    <t>Allen Hughes</t>
  </si>
  <si>
    <t>Broken CityÂ </t>
  </si>
  <si>
    <t>NineÂ </t>
  </si>
  <si>
    <t>Reign Over MeÂ </t>
  </si>
  <si>
    <t>The Life of David GaleÂ </t>
  </si>
  <si>
    <t>Astro BoyÂ </t>
  </si>
  <si>
    <t>TimelineÂ </t>
  </si>
  <si>
    <t>Tom McLoughlin</t>
  </si>
  <si>
    <t>Jason Lives: Friday the 13th Part VIÂ </t>
  </si>
  <si>
    <t>Gary Chapman</t>
  </si>
  <si>
    <t>ValiantÂ </t>
  </si>
  <si>
    <t>Beautiful CreaturesÂ </t>
  </si>
  <si>
    <t>Maurice Joyce</t>
  </si>
  <si>
    <t>Doug's 1st MovieÂ </t>
  </si>
  <si>
    <t>Jacques Perrin</t>
  </si>
  <si>
    <t>OceansÂ </t>
  </si>
  <si>
    <t>Wonder BoysÂ </t>
  </si>
  <si>
    <t>Susan Stroman</t>
  </si>
  <si>
    <t>The ProducersÂ </t>
  </si>
  <si>
    <t>Saving SilvermanÂ </t>
  </si>
  <si>
    <t>Runner RunnerÂ </t>
  </si>
  <si>
    <t>CursedÂ </t>
  </si>
  <si>
    <t>Summer of SamÂ </t>
  </si>
  <si>
    <t>George Jackson</t>
  </si>
  <si>
    <t>House Party 2Â </t>
  </si>
  <si>
    <t>David Raynr</t>
  </si>
  <si>
    <t>Martin Lawrence Live: RunteldatÂ </t>
  </si>
  <si>
    <t>BeerfestÂ </t>
  </si>
  <si>
    <t>John Carl Buechler</t>
  </si>
  <si>
    <t>Friday the 13th Part VII: The New BloodÂ </t>
  </si>
  <si>
    <t>Tuck EverlastingÂ </t>
  </si>
  <si>
    <t>My Best Friend's GirlÂ </t>
  </si>
  <si>
    <t>Man of the HouseÂ </t>
  </si>
  <si>
    <t>Friday the 13th Part 2Â </t>
  </si>
  <si>
    <t>RaceÂ </t>
  </si>
  <si>
    <t>Hart's WarÂ </t>
  </si>
  <si>
    <t>Adrienne Shelly</t>
  </si>
  <si>
    <t>WaitressÂ </t>
  </si>
  <si>
    <t>Stuart Beattie</t>
  </si>
  <si>
    <t>I, FrankensteinÂ </t>
  </si>
  <si>
    <t>Allen Coulter</t>
  </si>
  <si>
    <t>Remember MeÂ </t>
  </si>
  <si>
    <t>J.A. Bayona</t>
  </si>
  <si>
    <t>The ImpossibleÂ </t>
  </si>
  <si>
    <t>RollerballÂ </t>
  </si>
  <si>
    <t>The Replacement KillersÂ </t>
  </si>
  <si>
    <t>Two BrothersÂ </t>
  </si>
  <si>
    <t>HaywireÂ </t>
  </si>
  <si>
    <t>Georgia RuleÂ </t>
  </si>
  <si>
    <t>Shark Night 3DÂ </t>
  </si>
  <si>
    <t>John Bonito</t>
  </si>
  <si>
    <t>The MarineÂ </t>
  </si>
  <si>
    <t>The Legend of HerculesÂ </t>
  </si>
  <si>
    <t>Doug Atchison</t>
  </si>
  <si>
    <t>Akeelah and the BeeÂ </t>
  </si>
  <si>
    <t>The Upside of AngerÂ </t>
  </si>
  <si>
    <t>Becoming JaneÂ </t>
  </si>
  <si>
    <t>Richard Glatzer</t>
  </si>
  <si>
    <t>Still AliceÂ </t>
  </si>
  <si>
    <t>The Ninth GateÂ </t>
  </si>
  <si>
    <t>Anywhere But HereÂ </t>
  </si>
  <si>
    <t>Don Kempf</t>
  </si>
  <si>
    <t>Michael Jordan to the MaxÂ </t>
  </si>
  <si>
    <t>The Quick and the DeadÂ </t>
  </si>
  <si>
    <t>Christopher Guest</t>
  </si>
  <si>
    <t>Best in ShowÂ </t>
  </si>
  <si>
    <t>Asger Leth</t>
  </si>
  <si>
    <t>Man on a LedgeÂ </t>
  </si>
  <si>
    <t>AquamarineÂ </t>
  </si>
  <si>
    <t>Frost/NixonÂ </t>
  </si>
  <si>
    <t>The FanÂ </t>
  </si>
  <si>
    <t>An Ideal HusbandÂ </t>
  </si>
  <si>
    <t>Kurt Wimmer</t>
  </si>
  <si>
    <t>UltravioletÂ </t>
  </si>
  <si>
    <t>Super TroopersÂ </t>
  </si>
  <si>
    <t>Into the BlueÂ </t>
  </si>
  <si>
    <t>Ricky Gervais</t>
  </si>
  <si>
    <t>The Invention of LyingÂ </t>
  </si>
  <si>
    <t>A Thousand WordsÂ </t>
  </si>
  <si>
    <t>Dustin Hoffman</t>
  </si>
  <si>
    <t>QuartetÂ </t>
  </si>
  <si>
    <t>Into the WildÂ </t>
  </si>
  <si>
    <t>127 HoursÂ </t>
  </si>
  <si>
    <t>North CountryÂ </t>
  </si>
  <si>
    <t>Babe: Pig in the CityÂ </t>
  </si>
  <si>
    <t>Walk Hard: The Dewey Cox StoryÂ </t>
  </si>
  <si>
    <t>The Four FeathersÂ </t>
  </si>
  <si>
    <t>Fright NightÂ </t>
  </si>
  <si>
    <t>Leon Ichaso</t>
  </si>
  <si>
    <t>Sugar HillÂ </t>
  </si>
  <si>
    <t>Mark Steven Johnson</t>
  </si>
  <si>
    <t>Simon BirchÂ </t>
  </si>
  <si>
    <t>Harold &amp; Kumar Go to White CastleÂ </t>
  </si>
  <si>
    <t>Rod Lurie</t>
  </si>
  <si>
    <t>The Last CastleÂ </t>
  </si>
  <si>
    <t>Bradley Parker</t>
  </si>
  <si>
    <t>Chernobyl DiariesÂ </t>
  </si>
  <si>
    <t>New NightmareÂ </t>
  </si>
  <si>
    <t>Frank Nissen</t>
  </si>
  <si>
    <t>Pooh's Heffalump MovieÂ </t>
  </si>
  <si>
    <t>AdmissionÂ </t>
  </si>
  <si>
    <t>The HowlingÂ </t>
  </si>
  <si>
    <t>Daniel Sackheim</t>
  </si>
  <si>
    <t>The Glass HouseÂ </t>
  </si>
  <si>
    <t>Laws of AttractionÂ </t>
  </si>
  <si>
    <t>Drive Me CrazyÂ </t>
  </si>
  <si>
    <t>The ContenderÂ </t>
  </si>
  <si>
    <t>School for ScoundrelsÂ </t>
  </si>
  <si>
    <t>Nanette Burstein</t>
  </si>
  <si>
    <t>Going the DistanceÂ </t>
  </si>
  <si>
    <t>Punch-Drunk LoveÂ </t>
  </si>
  <si>
    <t>Halloween 4: The Return of Michael MyersÂ </t>
  </si>
  <si>
    <t>Katt Shea</t>
  </si>
  <si>
    <t>The Rage: Carrie 2Â </t>
  </si>
  <si>
    <t>Steve JobsÂ </t>
  </si>
  <si>
    <t>Stephen Chbosky</t>
  </si>
  <si>
    <t>The Perks of Being a WallflowerÂ </t>
  </si>
  <si>
    <t>Jeff Schaffer</t>
  </si>
  <si>
    <t>EuroTripÂ </t>
  </si>
  <si>
    <t>Gonzalo LÃ³pez-Gallego</t>
  </si>
  <si>
    <t>Apollo 18Â </t>
  </si>
  <si>
    <t>Patricia Rozema</t>
  </si>
  <si>
    <t>Kit Kittredge: An American GirlÂ </t>
  </si>
  <si>
    <t>NebraskaÂ </t>
  </si>
  <si>
    <t>ParkerÂ </t>
  </si>
  <si>
    <t>The Last King of ScotlandÂ </t>
  </si>
  <si>
    <t>Furry VengeanceÂ </t>
  </si>
  <si>
    <t>The PostmanÂ </t>
  </si>
  <si>
    <t>Hostel: Part IIÂ </t>
  </si>
  <si>
    <t>Nicole Holofcener</t>
  </si>
  <si>
    <t>Enough SaidÂ </t>
  </si>
  <si>
    <t>Michael J. Bassett</t>
  </si>
  <si>
    <t>Silent Hill: Revelation 3DÂ </t>
  </si>
  <si>
    <t>Home for the HolidaysÂ </t>
  </si>
  <si>
    <t>A Mighty WindÂ </t>
  </si>
  <si>
    <t>Richard Eyre</t>
  </si>
  <si>
    <t>Notes on a ScandalÂ </t>
  </si>
  <si>
    <t>DopeÂ </t>
  </si>
  <si>
    <t>Antony Hoffman</t>
  </si>
  <si>
    <t>Red PlanetÂ </t>
  </si>
  <si>
    <t>The Big LebowskiÂ </t>
  </si>
  <si>
    <t>Carter Smith</t>
  </si>
  <si>
    <t>The RuinsÂ </t>
  </si>
  <si>
    <t>David Nutter</t>
  </si>
  <si>
    <t>Disturbing BehaviorÂ </t>
  </si>
  <si>
    <t>AddictedÂ </t>
  </si>
  <si>
    <t>Roll BounceÂ </t>
  </si>
  <si>
    <t>Just My LuckÂ </t>
  </si>
  <si>
    <t>Cheryl Dunye</t>
  </si>
  <si>
    <t>My Baby's DaddyÂ </t>
  </si>
  <si>
    <t>A Haunted House 2Â </t>
  </si>
  <si>
    <t>Extreme MeasuresÂ </t>
  </si>
  <si>
    <t>The PhantomÂ </t>
  </si>
  <si>
    <t>Max Keeble's Big MoveÂ </t>
  </si>
  <si>
    <t>InkheartÂ </t>
  </si>
  <si>
    <t>Half BakedÂ </t>
  </si>
  <si>
    <t>Ellory Elkayem</t>
  </si>
  <si>
    <t>Eight Legged FreaksÂ </t>
  </si>
  <si>
    <t>A Most Wanted ManÂ </t>
  </si>
  <si>
    <t>WanderlustÂ </t>
  </si>
  <si>
    <t>Hudson HawkÂ </t>
  </si>
  <si>
    <t>Center StageÂ </t>
  </si>
  <si>
    <t>SafeÂ </t>
  </si>
  <si>
    <t>Eastern PromisesÂ </t>
  </si>
  <si>
    <t>Stephen Chow</t>
  </si>
  <si>
    <t>Kung Fu HustleÂ </t>
  </si>
  <si>
    <t>Kevin Hooks</t>
  </si>
  <si>
    <t>FledÂ </t>
  </si>
  <si>
    <t>RushmoreÂ </t>
  </si>
  <si>
    <t>Small Time CrooksÂ </t>
  </si>
  <si>
    <t>Don Mancini</t>
  </si>
  <si>
    <t>Seed of ChuckyÂ </t>
  </si>
  <si>
    <t>Son of the MaskÂ </t>
  </si>
  <si>
    <t>John 'Bud' Cardos</t>
  </si>
  <si>
    <t>Kingdom of the SpidersÂ </t>
  </si>
  <si>
    <t>SpliceÂ </t>
  </si>
  <si>
    <t>Rock StarÂ </t>
  </si>
  <si>
    <t>Peter Hastings</t>
  </si>
  <si>
    <t>The Country BearsÂ </t>
  </si>
  <si>
    <t>The CounselorÂ </t>
  </si>
  <si>
    <t>Win a Date with Tad Hamilton!Â </t>
  </si>
  <si>
    <t>Ben Younger</t>
  </si>
  <si>
    <t>Boiler RoomÂ </t>
  </si>
  <si>
    <t>88 MinutesÂ </t>
  </si>
  <si>
    <t>Serving SaraÂ </t>
  </si>
  <si>
    <t>Crazy/BeautifulÂ </t>
  </si>
  <si>
    <t>The Devil's RejectsÂ </t>
  </si>
  <si>
    <t>GoÂ </t>
  </si>
  <si>
    <t>WimbledonÂ </t>
  </si>
  <si>
    <t>Oliver!Â </t>
  </si>
  <si>
    <t>Janusz Kaminski</t>
  </si>
  <si>
    <t>Lost SoulsÂ </t>
  </si>
  <si>
    <t>Bart Freundlich</t>
  </si>
  <si>
    <t>Catch That KidÂ </t>
  </si>
  <si>
    <t>Jonas Elmer</t>
  </si>
  <si>
    <t>New in TownÂ </t>
  </si>
  <si>
    <t>To Rome with LoveÂ </t>
  </si>
  <si>
    <t>Patrick Read Johnson</t>
  </si>
  <si>
    <t>Baby's Day OutÂ </t>
  </si>
  <si>
    <t>TremorsÂ </t>
  </si>
  <si>
    <t>Paul Feig</t>
  </si>
  <si>
    <t>Unaccompanied MinorsÂ </t>
  </si>
  <si>
    <t>Bringing Out the DeadÂ </t>
  </si>
  <si>
    <t>Mark Christopher</t>
  </si>
  <si>
    <t>54Â </t>
  </si>
  <si>
    <t>TrainspottingÂ </t>
  </si>
  <si>
    <t>Stephan Elliott</t>
  </si>
  <si>
    <t>Eye of the BeholderÂ </t>
  </si>
  <si>
    <t>The MasterÂ </t>
  </si>
  <si>
    <t>Peter Kosminsky</t>
  </si>
  <si>
    <t>White OleanderÂ </t>
  </si>
  <si>
    <t>The Whole Ten YardsÂ </t>
  </si>
  <si>
    <t>A Simple PlanÂ </t>
  </si>
  <si>
    <t>Young AdultÂ </t>
  </si>
  <si>
    <t>Courtney Solomon</t>
  </si>
  <si>
    <t>An American HauntingÂ </t>
  </si>
  <si>
    <t>Willard Huyck</t>
  </si>
  <si>
    <t>Howard the DuckÂ </t>
  </si>
  <si>
    <t>Muppets from SpaceÂ </t>
  </si>
  <si>
    <t>Joshua Michael Stern</t>
  </si>
  <si>
    <t>Swing VoteÂ </t>
  </si>
  <si>
    <t>Elizabeth: The Golden AgeÂ </t>
  </si>
  <si>
    <t>Michael Cristofer</t>
  </si>
  <si>
    <t>Original SinÂ </t>
  </si>
  <si>
    <t>21 GramsÂ </t>
  </si>
  <si>
    <t>The Perfect ManÂ </t>
  </si>
  <si>
    <t>Glen Morgan</t>
  </si>
  <si>
    <t>Black ChristmasÂ </t>
  </si>
  <si>
    <t>Jennifer's BodyÂ </t>
  </si>
  <si>
    <t>John Carney</t>
  </si>
  <si>
    <t>Begin AgainÂ </t>
  </si>
  <si>
    <t>Mo' Better BluesÂ </t>
  </si>
  <si>
    <t>Mira Nair</t>
  </si>
  <si>
    <t>Vanity FairÂ </t>
  </si>
  <si>
    <t>James Bridges</t>
  </si>
  <si>
    <t>Bright Lights, Big CityÂ </t>
  </si>
  <si>
    <t>Gregory Widen</t>
  </si>
  <si>
    <t>The ProphecyÂ </t>
  </si>
  <si>
    <t>Rob McKittrick</t>
  </si>
  <si>
    <t>Waiting...Â </t>
  </si>
  <si>
    <t>Fruitvale StationÂ </t>
  </si>
  <si>
    <t>Karey Kirkpatrick</t>
  </si>
  <si>
    <t>Imagine ThatÂ </t>
  </si>
  <si>
    <t>Dr. NoÂ </t>
  </si>
  <si>
    <t>Kung Pow: Enter the FistÂ </t>
  </si>
  <si>
    <t>The Transporter RefueledÂ </t>
  </si>
  <si>
    <t>AdventurelandÂ </t>
  </si>
  <si>
    <t>Tim Blake Nelson</t>
  </si>
  <si>
    <t>OÂ </t>
  </si>
  <si>
    <t>The RavenÂ </t>
  </si>
  <si>
    <t>ArmoredÂ </t>
  </si>
  <si>
    <t>Marie AntoinetteÂ </t>
  </si>
  <si>
    <t>Adam Marcus</t>
  </si>
  <si>
    <t>Jason Goes to Hell: The Final FridayÂ </t>
  </si>
  <si>
    <t>Britt Allcroft</t>
  </si>
  <si>
    <t>Thomas and the Magic RailroadÂ </t>
  </si>
  <si>
    <t>Todd Haynes</t>
  </si>
  <si>
    <t>Far from HeavenÂ </t>
  </si>
  <si>
    <t>Matt Bettinelli-Olpin</t>
  </si>
  <si>
    <t>Devil's DueÂ </t>
  </si>
  <si>
    <t>The Kite RunnerÂ </t>
  </si>
  <si>
    <t>Dari</t>
  </si>
  <si>
    <t>Dexter Fletcher</t>
  </si>
  <si>
    <t>Eddie the EagleÂ </t>
  </si>
  <si>
    <t>Demian Lichtenstein</t>
  </si>
  <si>
    <t>3000 Miles to GracelandÂ </t>
  </si>
  <si>
    <t>Paul Abascal</t>
  </si>
  <si>
    <t>PaparazziÂ </t>
  </si>
  <si>
    <t>Pride and GloryÂ </t>
  </si>
  <si>
    <t>The Hurt LockerÂ </t>
  </si>
  <si>
    <t>Sidney J. Furie</t>
  </si>
  <si>
    <t>Superman IV: The Quest for PeaceÂ </t>
  </si>
  <si>
    <t>Trent Cooper</t>
  </si>
  <si>
    <t>Larry the Cable Guy: Health InspectorÂ </t>
  </si>
  <si>
    <t>RZA</t>
  </si>
  <si>
    <t>The Man with the Iron FistsÂ </t>
  </si>
  <si>
    <t>Life as a HouseÂ </t>
  </si>
  <si>
    <t>My Boss's DaughterÂ </t>
  </si>
  <si>
    <t>All the Pretty HorsesÂ </t>
  </si>
  <si>
    <t>The Ghost WriterÂ </t>
  </si>
  <si>
    <t>Paul Bolger</t>
  </si>
  <si>
    <t>Happily N'Ever AfterÂ </t>
  </si>
  <si>
    <t>Josef Rusnak</t>
  </si>
  <si>
    <t>The Thirteenth FloorÂ </t>
  </si>
  <si>
    <t>A Perfect GetawayÂ </t>
  </si>
  <si>
    <t>LoserÂ </t>
  </si>
  <si>
    <t>Nick Gomez</t>
  </si>
  <si>
    <t>Drowning MonaÂ </t>
  </si>
  <si>
    <t>Rob Schmidt</t>
  </si>
  <si>
    <t>Wrong TurnÂ </t>
  </si>
  <si>
    <t>A Guy ThingÂ </t>
  </si>
  <si>
    <t>Spaced InvadersÂ </t>
  </si>
  <si>
    <t>Don Michael Paul</t>
  </si>
  <si>
    <t>Half Past DeadÂ </t>
  </si>
  <si>
    <t>Bill Paxton</t>
  </si>
  <si>
    <t>The Greatest Game Ever PlayedÂ </t>
  </si>
  <si>
    <t>About TimeÂ </t>
  </si>
  <si>
    <t>Youth in RevoltÂ </t>
  </si>
  <si>
    <t>Bangkok DangerousÂ </t>
  </si>
  <si>
    <t>Melvin Van Peebles</t>
  </si>
  <si>
    <t>Sweet Sweetback's Baadasssss SongÂ </t>
  </si>
  <si>
    <t>ThinnerÂ </t>
  </si>
  <si>
    <t>James Foley</t>
  </si>
  <si>
    <t>The CorruptorÂ </t>
  </si>
  <si>
    <t>And So It GoesÂ </t>
  </si>
  <si>
    <t>Ed Gass-Donnelly</t>
  </si>
  <si>
    <t>The Last Exorcism Part IIÂ </t>
  </si>
  <si>
    <t>Arthur and the InvisiblesÂ </t>
  </si>
  <si>
    <t>Joe Chappelle</t>
  </si>
  <si>
    <t>Halloween: The Curse of Michael MyersÂ </t>
  </si>
  <si>
    <t>Neal Brennan</t>
  </si>
  <si>
    <t>The Goods: Live Hard, Sell HardÂ </t>
  </si>
  <si>
    <t>FirestarterÂ </t>
  </si>
  <si>
    <t>Steve Barron</t>
  </si>
  <si>
    <t>The Adventures of PinocchioÂ </t>
  </si>
  <si>
    <t>Hayao Miyazaki</t>
  </si>
  <si>
    <t>PonyoÂ </t>
  </si>
  <si>
    <t>Oliver Hirschbiegel</t>
  </si>
  <si>
    <t>The InvasionÂ </t>
  </si>
  <si>
    <t>Alan Cohn</t>
  </si>
  <si>
    <t>Dead Man on CampusÂ </t>
  </si>
  <si>
    <t>Mary Harron</t>
  </si>
  <si>
    <t>American PsychoÂ </t>
  </si>
  <si>
    <t>Richard Kelly</t>
  </si>
  <si>
    <t>The BoxÂ </t>
  </si>
  <si>
    <t>Lions for LambsÂ </t>
  </si>
  <si>
    <t>Martin McDonagh</t>
  </si>
  <si>
    <t>Seven PsychopathsÂ </t>
  </si>
  <si>
    <t>The Next Best ThingÂ </t>
  </si>
  <si>
    <t>Get CarterÂ </t>
  </si>
  <si>
    <t>The InfiltratorÂ </t>
  </si>
  <si>
    <t>Kiss of DeathÂ </t>
  </si>
  <si>
    <t>Andrew Dominik</t>
  </si>
  <si>
    <t>Killing Them SoftlyÂ </t>
  </si>
  <si>
    <t>Flirting with DisasterÂ </t>
  </si>
  <si>
    <t>Bruce Hunt</t>
  </si>
  <si>
    <t>The CaveÂ </t>
  </si>
  <si>
    <t>ElectionÂ </t>
  </si>
  <si>
    <t>Kasi Lemmons</t>
  </si>
  <si>
    <t>Eve's BayouÂ </t>
  </si>
  <si>
    <t>I Love You, Beth CooperÂ </t>
  </si>
  <si>
    <t>Radio DaysÂ </t>
  </si>
  <si>
    <t>Lenny Abrahamson</t>
  </si>
  <si>
    <t>RoomÂ </t>
  </si>
  <si>
    <t>David Robert Mitchell</t>
  </si>
  <si>
    <t>It FollowsÂ </t>
  </si>
  <si>
    <t>My Soul to TakeÂ </t>
  </si>
  <si>
    <t>Beyond the LightsÂ </t>
  </si>
  <si>
    <t>My Week with MarilynÂ </t>
  </si>
  <si>
    <t>The Girl Next DoorÂ </t>
  </si>
  <si>
    <t>Flight of the IntruderÂ </t>
  </si>
  <si>
    <t>SoldierÂ </t>
  </si>
  <si>
    <t>Clive Barker</t>
  </si>
  <si>
    <t>HellraiserÂ </t>
  </si>
  <si>
    <t>School DazeÂ </t>
  </si>
  <si>
    <t>Tora! Tora! Tora!Â </t>
  </si>
  <si>
    <t>Big EyesÂ </t>
  </si>
  <si>
    <t>Welcome to MooseportÂ </t>
  </si>
  <si>
    <t>Life or Something Like ItÂ </t>
  </si>
  <si>
    <t>Tommy Lee Wallace</t>
  </si>
  <si>
    <t>Halloween III: Season of the WitchÂ </t>
  </si>
  <si>
    <t>Snow Falling on CedarsÂ </t>
  </si>
  <si>
    <t>Elaine May</t>
  </si>
  <si>
    <t>IshtarÂ </t>
  </si>
  <si>
    <t>Joby Harold</t>
  </si>
  <si>
    <t>AwakeÂ </t>
  </si>
  <si>
    <t>Capitalism: A Love StoryÂ </t>
  </si>
  <si>
    <t>Memoirs of an Invisible ManÂ </t>
  </si>
  <si>
    <t>Franco Zeffirelli</t>
  </si>
  <si>
    <t>Tea with MussoliniÂ </t>
  </si>
  <si>
    <t>Rob Hedden</t>
  </si>
  <si>
    <t>Friday the 13th Part VIII: Jason Takes ManhattanÂ </t>
  </si>
  <si>
    <t>Dark CityÂ </t>
  </si>
  <si>
    <t>Nick Hamm</t>
  </si>
  <si>
    <t>GodsendÂ </t>
  </si>
  <si>
    <t>Wych Kaosayananda</t>
  </si>
  <si>
    <t>Ballistic: Ecks vs. SeverÂ </t>
  </si>
  <si>
    <t>James Mather</t>
  </si>
  <si>
    <t>LockoutÂ </t>
  </si>
  <si>
    <t>Ariel Vromen</t>
  </si>
  <si>
    <t>CriminalÂ </t>
  </si>
  <si>
    <t>Josie and the PussycatsÂ </t>
  </si>
  <si>
    <t>Tom Green</t>
  </si>
  <si>
    <t>Freddy Got FingeredÂ </t>
  </si>
  <si>
    <t>SupernovaÂ </t>
  </si>
  <si>
    <t>Alex &amp; EmmaÂ </t>
  </si>
  <si>
    <t>Disaster MovieÂ </t>
  </si>
  <si>
    <t>Harmony Korine</t>
  </si>
  <si>
    <t>Spring BreakersÂ </t>
  </si>
  <si>
    <t>Gary Sherman</t>
  </si>
  <si>
    <t>Poltergeist IIIÂ </t>
  </si>
  <si>
    <t>How to DealÂ </t>
  </si>
  <si>
    <t>DinerÂ </t>
  </si>
  <si>
    <t>Ringo Lam</t>
  </si>
  <si>
    <t>Maximum RiskÂ </t>
  </si>
  <si>
    <t>The Emperor's ClubÂ </t>
  </si>
  <si>
    <t>New York MinuteÂ </t>
  </si>
  <si>
    <t>The Good GirlÂ </t>
  </si>
  <si>
    <t>In Too DeepÂ </t>
  </si>
  <si>
    <t>Michael Gornick</t>
  </si>
  <si>
    <t>Creepshow 2Â </t>
  </si>
  <si>
    <t>Vic Armstrong</t>
  </si>
  <si>
    <t>Left BehindÂ </t>
  </si>
  <si>
    <t>Mark Mylod</t>
  </si>
  <si>
    <t>What's Your Number?Â </t>
  </si>
  <si>
    <t>Stealing HarvardÂ </t>
  </si>
  <si>
    <t>Lionel C. Martin</t>
  </si>
  <si>
    <t>How to Be a PlayerÂ </t>
  </si>
  <si>
    <t>Jessy Terrero</t>
  </si>
  <si>
    <t>Soul PlaneÂ </t>
  </si>
  <si>
    <t>Hot RodÂ </t>
  </si>
  <si>
    <t>Brendan Malloy</t>
  </si>
  <si>
    <t>Out ColdÂ </t>
  </si>
  <si>
    <t>Monsoon WeddingÂ </t>
  </si>
  <si>
    <t>Richard Benjamin</t>
  </si>
  <si>
    <t>My Stepmother Is an AlienÂ </t>
  </si>
  <si>
    <t>Cirque du Freak: The Vampire's AssistantÂ </t>
  </si>
  <si>
    <t>Andrew Morahan</t>
  </si>
  <si>
    <t>Highlander: The Final DimensionÂ </t>
  </si>
  <si>
    <t>Saul Dibb</t>
  </si>
  <si>
    <t>The DuchessÂ </t>
  </si>
  <si>
    <t>The Man Who Knew Too LittleÂ </t>
  </si>
  <si>
    <t>The ThingÂ </t>
  </si>
  <si>
    <t>Lone Scherfig</t>
  </si>
  <si>
    <t>One DayÂ </t>
  </si>
  <si>
    <t>Miguel Sapochnik</t>
  </si>
  <si>
    <t>Repo MenÂ </t>
  </si>
  <si>
    <t>Letters from Iwo JimaÂ </t>
  </si>
  <si>
    <t>Sin City: A Dame to Kill ForÂ </t>
  </si>
  <si>
    <t>David Palmer</t>
  </si>
  <si>
    <t>Hit and RunÂ </t>
  </si>
  <si>
    <t>Tuck Tucker</t>
  </si>
  <si>
    <t>Hey Arnold! The MovieÂ </t>
  </si>
  <si>
    <t>WarriorÂ </t>
  </si>
  <si>
    <t>BurntÂ </t>
  </si>
  <si>
    <t>CrooklynÂ </t>
  </si>
  <si>
    <t>Crank: High VoltageÂ </t>
  </si>
  <si>
    <t>Y Tu MamÃ¡ TambiÃ©nÂ </t>
  </si>
  <si>
    <t>Osmosis JonesÂ </t>
  </si>
  <si>
    <t>The Ladies ManÂ </t>
  </si>
  <si>
    <t>Jesse Vaughan</t>
  </si>
  <si>
    <t>Juwanna MannÂ </t>
  </si>
  <si>
    <t>The NamesakeÂ </t>
  </si>
  <si>
    <t>NixonÂ </t>
  </si>
  <si>
    <t>Gregory Poirier</t>
  </si>
  <si>
    <t>TomcatsÂ </t>
  </si>
  <si>
    <t>Uli Edel</t>
  </si>
  <si>
    <t>The Little VampireÂ </t>
  </si>
  <si>
    <t>The Tailor of PanamaÂ </t>
  </si>
  <si>
    <t>Shaun of the DeadÂ </t>
  </si>
  <si>
    <t>DreddÂ </t>
  </si>
  <si>
    <t>Charles Shyer</t>
  </si>
  <si>
    <t>AlfieÂ </t>
  </si>
  <si>
    <t>Michael O. Sajbel</t>
  </si>
  <si>
    <t>One Night with the KingÂ </t>
  </si>
  <si>
    <t>Bullets Over BroadwayÂ </t>
  </si>
  <si>
    <t>Ulu Grosbard</t>
  </si>
  <si>
    <t>The Deep End of the OceanÂ </t>
  </si>
  <si>
    <t>Friends with MoneyÂ </t>
  </si>
  <si>
    <t>Labor DayÂ </t>
  </si>
  <si>
    <t>Mickey Liddell</t>
  </si>
  <si>
    <t>The Haunting of Molly HartleyÂ </t>
  </si>
  <si>
    <t>De-LovelyÂ </t>
  </si>
  <si>
    <t>The Tree of LifeÂ </t>
  </si>
  <si>
    <t>Michael Wadleigh</t>
  </si>
  <si>
    <t>WoodstockÂ </t>
  </si>
  <si>
    <t>John Sayles</t>
  </si>
  <si>
    <t>Lone StarÂ </t>
  </si>
  <si>
    <t>American OutlawsÂ </t>
  </si>
  <si>
    <t>Christian Alvart</t>
  </si>
  <si>
    <t>Case 39Â </t>
  </si>
  <si>
    <t>Fred Savage</t>
  </si>
  <si>
    <t>Daddy Day CampÂ </t>
  </si>
  <si>
    <t>Inside Llewyn DavisÂ </t>
  </si>
  <si>
    <t>Ghost TownÂ </t>
  </si>
  <si>
    <t>FeardotcomÂ </t>
  </si>
  <si>
    <t>FrailtyÂ </t>
  </si>
  <si>
    <t>Playing for KeepsÂ </t>
  </si>
  <si>
    <t>Damien Chazelle</t>
  </si>
  <si>
    <t>WhiplashÂ </t>
  </si>
  <si>
    <t>Tony Bill</t>
  </si>
  <si>
    <t>FlyboysÂ </t>
  </si>
  <si>
    <t>25th HourÂ </t>
  </si>
  <si>
    <t>Ghosts of MississippiÂ </t>
  </si>
  <si>
    <t>Angela's AshesÂ </t>
  </si>
  <si>
    <t>Drew Barrymore</t>
  </si>
  <si>
    <t>Whip ItÂ </t>
  </si>
  <si>
    <t>Michael Dinner</t>
  </si>
  <si>
    <t>The CrewÂ </t>
  </si>
  <si>
    <t>They LiveÂ </t>
  </si>
  <si>
    <t>Vadim Perelman</t>
  </si>
  <si>
    <t>House of Sand and FogÂ </t>
  </si>
  <si>
    <t>The WizÂ </t>
  </si>
  <si>
    <t>ReligulousÂ </t>
  </si>
  <si>
    <t>The Quiet AmericanÂ </t>
  </si>
  <si>
    <t>Jon Gunn</t>
  </si>
  <si>
    <t>Do You Believe?Â </t>
  </si>
  <si>
    <t>Fred Walton</t>
  </si>
  <si>
    <t>April Fool's DayÂ </t>
  </si>
  <si>
    <t>Living Out LoudÂ </t>
  </si>
  <si>
    <t>Pedro AlmodÃ³var</t>
  </si>
  <si>
    <t>VolverÂ </t>
  </si>
  <si>
    <t>Ron Maxwell</t>
  </si>
  <si>
    <t>Gods and GeneralsÂ </t>
  </si>
  <si>
    <t>Wicker ParkÂ </t>
  </si>
  <si>
    <t>Anna KareninaÂ </t>
  </si>
  <si>
    <t>Highlander: EndgameÂ </t>
  </si>
  <si>
    <t>Rachel Getting MarriedÂ </t>
  </si>
  <si>
    <t>Mystic PizzaÂ </t>
  </si>
  <si>
    <t>I Heart HuckabeesÂ </t>
  </si>
  <si>
    <t>Benh Zeitlin</t>
  </si>
  <si>
    <t>Beasts of the Southern WildÂ </t>
  </si>
  <si>
    <t>Jerry Zaks</t>
  </si>
  <si>
    <t>Marvin's RoomÂ </t>
  </si>
  <si>
    <t>The New WorldÂ </t>
  </si>
  <si>
    <t>The Pirates Who Don't Do Anything: A VeggieTales MovieÂ </t>
  </si>
  <si>
    <t>TheyÂ </t>
  </si>
  <si>
    <t>Sammo Kam-Bo Hung</t>
  </si>
  <si>
    <t>Mr. Nice GuyÂ </t>
  </si>
  <si>
    <t>John Hillcoat</t>
  </si>
  <si>
    <t>Triple 9Â </t>
  </si>
  <si>
    <t>James Isaac</t>
  </si>
  <si>
    <t>Jason XÂ </t>
  </si>
  <si>
    <t>Robert Marcarelli</t>
  </si>
  <si>
    <t>The Omega CodeÂ </t>
  </si>
  <si>
    <t>Under the Same MoonÂ </t>
  </si>
  <si>
    <t>House of 1000 CorpsesÂ </t>
  </si>
  <si>
    <t>An EducationÂ </t>
  </si>
  <si>
    <t>Richard Shepard</t>
  </si>
  <si>
    <t>The MatadorÂ </t>
  </si>
  <si>
    <t>Silent HouseÂ </t>
  </si>
  <si>
    <t>I Think I Love My WifeÂ </t>
  </si>
  <si>
    <t>Bryan Barber</t>
  </si>
  <si>
    <t>IdlewildÂ </t>
  </si>
  <si>
    <t>Theodore Witcher</t>
  </si>
  <si>
    <t>Love JonesÂ </t>
  </si>
  <si>
    <t>Andrew Adamson</t>
  </si>
  <si>
    <t>Cirque du Soleil: Worlds AwayÂ </t>
  </si>
  <si>
    <t>The Weather ManÂ </t>
  </si>
  <si>
    <t>UndisputedÂ </t>
  </si>
  <si>
    <t>Ready to RumbleÂ </t>
  </si>
  <si>
    <t>GattacaÂ </t>
  </si>
  <si>
    <t>Hot Tub Time Machine 2Â </t>
  </si>
  <si>
    <t>True RomanceÂ </t>
  </si>
  <si>
    <t>Self/lessÂ </t>
  </si>
  <si>
    <t>12 RoundsÂ </t>
  </si>
  <si>
    <t>ConfidenceÂ </t>
  </si>
  <si>
    <t>Steve Carver</t>
  </si>
  <si>
    <t>Lone Wolf McQuadeÂ </t>
  </si>
  <si>
    <t>Andy Cadiff</t>
  </si>
  <si>
    <t>Chasing LibertyÂ </t>
  </si>
  <si>
    <t>The 33Â </t>
  </si>
  <si>
    <t>Chile</t>
  </si>
  <si>
    <t>EnvyÂ </t>
  </si>
  <si>
    <t>Let Me InÂ </t>
  </si>
  <si>
    <t>Soul MenÂ </t>
  </si>
  <si>
    <t>Holy ManÂ </t>
  </si>
  <si>
    <t>Christine Jeffs</t>
  </si>
  <si>
    <t>Sunshine CleaningÂ </t>
  </si>
  <si>
    <t>Jee-woon Kim</t>
  </si>
  <si>
    <t>The Last StandÂ </t>
  </si>
  <si>
    <t>Chasing AmyÂ </t>
  </si>
  <si>
    <t>Stewart Hendler</t>
  </si>
  <si>
    <t>Sorority RowÂ </t>
  </si>
  <si>
    <t>In DreamsÂ </t>
  </si>
  <si>
    <t>Sliding DoorsÂ </t>
  </si>
  <si>
    <t>Glee: The 3D Concert MovieÂ </t>
  </si>
  <si>
    <t>Extraordinary MeasuresÂ </t>
  </si>
  <si>
    <t>Daniel Taplitz</t>
  </si>
  <si>
    <t>Breakin' All the RulesÂ </t>
  </si>
  <si>
    <t>Newt Arnold</t>
  </si>
  <si>
    <t>BloodsportÂ </t>
  </si>
  <si>
    <t>Meet DaveÂ </t>
  </si>
  <si>
    <t>Rusty Cundieff</t>
  </si>
  <si>
    <t>Tales from the HoodÂ </t>
  </si>
  <si>
    <t>Charles T. Kanganis</t>
  </si>
  <si>
    <t>3 Ninjas Kick BackÂ </t>
  </si>
  <si>
    <t>Jim Hanon</t>
  </si>
  <si>
    <t>End of the SpearÂ </t>
  </si>
  <si>
    <t>Joe Nussbaum</t>
  </si>
  <si>
    <t>Sydney WhiteÂ </t>
  </si>
  <si>
    <t>Dave Chappelle's Block PartyÂ </t>
  </si>
  <si>
    <t>Fifty Shades of BlackÂ </t>
  </si>
  <si>
    <t>Dominique Othenin-Girard</t>
  </si>
  <si>
    <t>Halloween 5Â </t>
  </si>
  <si>
    <t>Gary Halvorson</t>
  </si>
  <si>
    <t>The Adventures of Elmo in GrouchlandÂ </t>
  </si>
  <si>
    <t>Girl with a Pearl EarringÂ </t>
  </si>
  <si>
    <t>Brian Koppelman</t>
  </si>
  <si>
    <t>Knockaround GuysÂ </t>
  </si>
  <si>
    <t>ZoomÂ </t>
  </si>
  <si>
    <t>Albert Brooks</t>
  </si>
  <si>
    <t>The MuseÂ </t>
  </si>
  <si>
    <t>Chris Roberts</t>
  </si>
  <si>
    <t>Wing CommanderÂ </t>
  </si>
  <si>
    <t>Get Over ItÂ </t>
  </si>
  <si>
    <t>Chia-Liang Liu</t>
  </si>
  <si>
    <t>The Legend of Drunken MasterÂ </t>
  </si>
  <si>
    <t>Lance Rivera</t>
  </si>
  <si>
    <t>The CookoutÂ </t>
  </si>
  <si>
    <t>The ConspiratorÂ </t>
  </si>
  <si>
    <t>Boys Don't CryÂ </t>
  </si>
  <si>
    <t>Super Size MeÂ </t>
  </si>
  <si>
    <t>Fred Durst</t>
  </si>
  <si>
    <t>The LongshotsÂ </t>
  </si>
  <si>
    <t>Army of DarknessÂ </t>
  </si>
  <si>
    <t>Robert Butler</t>
  </si>
  <si>
    <t>TurbulenceÂ </t>
  </si>
  <si>
    <t>Brian Klugman</t>
  </si>
  <si>
    <t>The WordsÂ </t>
  </si>
  <si>
    <t>Das BootÂ </t>
  </si>
  <si>
    <t>The Shipping NewsÂ </t>
  </si>
  <si>
    <t>Out of the FurnaceÂ </t>
  </si>
  <si>
    <t>Florian Henckel von Donnersmarck</t>
  </si>
  <si>
    <t>The Lives of OthersÂ </t>
  </si>
  <si>
    <t>Hugh Johnson</t>
  </si>
  <si>
    <t>Chill FactorÂ </t>
  </si>
  <si>
    <t>Emilio Estevez</t>
  </si>
  <si>
    <t>BobbyÂ </t>
  </si>
  <si>
    <t>Be Kind RewindÂ </t>
  </si>
  <si>
    <t>Deep RisingÂ </t>
  </si>
  <si>
    <t>Steve Gomer</t>
  </si>
  <si>
    <t>Barney's Great AdventureÂ </t>
  </si>
  <si>
    <t>Big Trouble in Little ChinaÂ </t>
  </si>
  <si>
    <t>Jon Kasdan</t>
  </si>
  <si>
    <t>In the Land of WomenÂ </t>
  </si>
  <si>
    <t>Mrs Henderson PresentsÂ </t>
  </si>
  <si>
    <t>Michael CollinsÂ </t>
  </si>
  <si>
    <t>Lords of DogtownÂ </t>
  </si>
  <si>
    <t>The Astronaut FarmerÂ </t>
  </si>
  <si>
    <t>The Young VictoriaÂ </t>
  </si>
  <si>
    <t>AntitrustÂ </t>
  </si>
  <si>
    <t>Hyung-rae Shim</t>
  </si>
  <si>
    <t>Dragon Wars: D-WarÂ </t>
  </si>
  <si>
    <t>DoomsdayÂ </t>
  </si>
  <si>
    <t>William Arntz</t>
  </si>
  <si>
    <t>What the #$*! Do We (K)now!?Â </t>
  </si>
  <si>
    <t>Stop-LossÂ </t>
  </si>
  <si>
    <t>Pride and Prejudice and ZombiesÂ </t>
  </si>
  <si>
    <t>Dead Man DownÂ </t>
  </si>
  <si>
    <t>Office SpaceÂ </t>
  </si>
  <si>
    <t>ExtractÂ </t>
  </si>
  <si>
    <t>GettysburgÂ </t>
  </si>
  <si>
    <t>New York StoriesÂ </t>
  </si>
  <si>
    <t>Glengarry Glen RossÂ </t>
  </si>
  <si>
    <t>AbandonÂ </t>
  </si>
  <si>
    <t>Drive AngryÂ </t>
  </si>
  <si>
    <t>Fred Dekker</t>
  </si>
  <si>
    <t>RoboCop 3Â </t>
  </si>
  <si>
    <t>The End of the AffairÂ </t>
  </si>
  <si>
    <t>Rand Ravich</t>
  </si>
  <si>
    <t>The Astronaut's WifeÂ </t>
  </si>
  <si>
    <t>The GunmanÂ </t>
  </si>
  <si>
    <t>Bill Duke</t>
  </si>
  <si>
    <t>Not Easily BrokenÂ </t>
  </si>
  <si>
    <t>Deconstructing HarryÂ </t>
  </si>
  <si>
    <t>Fear and Loathing in Las VegasÂ </t>
  </si>
  <si>
    <t>Michael Patrick Jann</t>
  </si>
  <si>
    <t>Drop Dead GorgeousÂ </t>
  </si>
  <si>
    <t>Costa-Gavras</t>
  </si>
  <si>
    <t>Mad CityÂ </t>
  </si>
  <si>
    <t>We're No AngelsÂ </t>
  </si>
  <si>
    <t>Damon Santostefano</t>
  </si>
  <si>
    <t>Three to TangoÂ </t>
  </si>
  <si>
    <t>Jonah HexÂ </t>
  </si>
  <si>
    <t>ScoopÂ </t>
  </si>
  <si>
    <t>SabotageÂ </t>
  </si>
  <si>
    <t>GetawayÂ </t>
  </si>
  <si>
    <t>Mark Piznarski</t>
  </si>
  <si>
    <t>Here on EarthÂ </t>
  </si>
  <si>
    <t>NarcÂ </t>
  </si>
  <si>
    <t>Home FriesÂ </t>
  </si>
  <si>
    <t>Mic Rodgers</t>
  </si>
  <si>
    <t>Universal Soldier: The ReturnÂ </t>
  </si>
  <si>
    <t>Andrew Erwin</t>
  </si>
  <si>
    <t>Moms' Night OutÂ </t>
  </si>
  <si>
    <t>Raise Your VoiceÂ </t>
  </si>
  <si>
    <t>The Scarlet LetterÂ </t>
  </si>
  <si>
    <t>Head Over HeelsÂ </t>
  </si>
  <si>
    <t>Catherine Owens</t>
  </si>
  <si>
    <t>U2 3DÂ </t>
  </si>
  <si>
    <t>PandorumÂ </t>
  </si>
  <si>
    <t>Straw DogsÂ </t>
  </si>
  <si>
    <t>Michael Martin</t>
  </si>
  <si>
    <t>I Got the Hook UpÂ </t>
  </si>
  <si>
    <t>White SquallÂ </t>
  </si>
  <si>
    <t>The Newton BoysÂ </t>
  </si>
  <si>
    <t>Anand Tucker</t>
  </si>
  <si>
    <t>ShopgirlÂ </t>
  </si>
  <si>
    <t>The Boondock Saints II: All Saints DayÂ </t>
  </si>
  <si>
    <t>WhiteoutÂ </t>
  </si>
  <si>
    <t>The Brothers McMullenÂ </t>
  </si>
  <si>
    <t>KinseyÂ </t>
  </si>
  <si>
    <t>Unfinished BusinessÂ </t>
  </si>
  <si>
    <t>David Mamet</t>
  </si>
  <si>
    <t>The Spanish PrisonerÂ </t>
  </si>
  <si>
    <t>Wallace Wolodarsky</t>
  </si>
  <si>
    <t>Sorority BoysÂ </t>
  </si>
  <si>
    <t>Facing the GiantsÂ </t>
  </si>
  <si>
    <t>The Great RaidÂ </t>
  </si>
  <si>
    <t>Filipino</t>
  </si>
  <si>
    <t>Henry VÂ </t>
  </si>
  <si>
    <t>Louis Morneau</t>
  </si>
  <si>
    <t>BatsÂ </t>
  </si>
  <si>
    <t>The FountainÂ </t>
  </si>
  <si>
    <t>The WalkÂ </t>
  </si>
  <si>
    <t>DominoÂ </t>
  </si>
  <si>
    <t>Mike Disa</t>
  </si>
  <si>
    <t>Hoodwinked Too! Hood vs. EvilÂ </t>
  </si>
  <si>
    <t>Jonathan Kaplan</t>
  </si>
  <si>
    <t>Brokedown PalaceÂ </t>
  </si>
  <si>
    <t>PromÂ </t>
  </si>
  <si>
    <t>FranÃ§ois Ozon</t>
  </si>
  <si>
    <t>Swimming PoolÂ </t>
  </si>
  <si>
    <t>DJ Pooh</t>
  </si>
  <si>
    <t>The WashÂ </t>
  </si>
  <si>
    <t>Hark Tsui</t>
  </si>
  <si>
    <t>Knock OffÂ </t>
  </si>
  <si>
    <t>Aruba</t>
  </si>
  <si>
    <t>Mrs. WinterbourneÂ </t>
  </si>
  <si>
    <t>Spirited AwayÂ </t>
  </si>
  <si>
    <t>Cry_WolfÂ </t>
  </si>
  <si>
    <t>Benny Boom</t>
  </si>
  <si>
    <t>Next Day AirÂ </t>
  </si>
  <si>
    <t>Lucky NumbersÂ </t>
  </si>
  <si>
    <t>Dirty WorkÂ </t>
  </si>
  <si>
    <t>BrazilÂ </t>
  </si>
  <si>
    <t>3 StrikesÂ </t>
  </si>
  <si>
    <t>Very Bad ThingsÂ </t>
  </si>
  <si>
    <t>JadeÂ </t>
  </si>
  <si>
    <t>Everyone Says I Love YouÂ </t>
  </si>
  <si>
    <t>Blue ValentineÂ </t>
  </si>
  <si>
    <t>Dudley Do-RightÂ </t>
  </si>
  <si>
    <t>Gavin Hood</t>
  </si>
  <si>
    <t>RenditionÂ </t>
  </si>
  <si>
    <t>The Perfect MatchÂ </t>
  </si>
  <si>
    <t>DuplexÂ </t>
  </si>
  <si>
    <t>Douglas McGrath</t>
  </si>
  <si>
    <t>I Don't Know How She Does ItÂ </t>
  </si>
  <si>
    <t>Mamoru Hosoda</t>
  </si>
  <si>
    <t>Digimon: The MovieÂ </t>
  </si>
  <si>
    <t>On the WaterfrontÂ </t>
  </si>
  <si>
    <t>The ExpressÂ </t>
  </si>
  <si>
    <t>Fair GameÂ </t>
  </si>
  <si>
    <t>Death SentenceÂ </t>
  </si>
  <si>
    <t>Bullet to the HeadÂ </t>
  </si>
  <si>
    <t>FranÃ§ois Girard</t>
  </si>
  <si>
    <t>The Red ViolinÂ </t>
  </si>
  <si>
    <t>She's the OneÂ </t>
  </si>
  <si>
    <t>OnceÂ </t>
  </si>
  <si>
    <t>Away We GoÂ </t>
  </si>
  <si>
    <t>Josh Schwartz</t>
  </si>
  <si>
    <t>Fun SizeÂ </t>
  </si>
  <si>
    <t>Black Snake MoanÂ </t>
  </si>
  <si>
    <t>Dragonball: EvolutionÂ </t>
  </si>
  <si>
    <t>Stone ColdÂ </t>
  </si>
  <si>
    <t>BernieÂ </t>
  </si>
  <si>
    <t>A Serious ManÂ </t>
  </si>
  <si>
    <t>Kenneth Lonergan</t>
  </si>
  <si>
    <t>You Can Count on MeÂ </t>
  </si>
  <si>
    <t>Aaron Schneider</t>
  </si>
  <si>
    <t>Get LowÂ </t>
  </si>
  <si>
    <t>A Mighty HeartÂ </t>
  </si>
  <si>
    <t>What's Eating Gilbert GrapeÂ </t>
  </si>
  <si>
    <t>Tom Ford</t>
  </si>
  <si>
    <t>A Single ManÂ </t>
  </si>
  <si>
    <t>Tina Gordon Chism</t>
  </si>
  <si>
    <t>PeeplesÂ </t>
  </si>
  <si>
    <t>Superbabies: Baby Geniuses 2Â </t>
  </si>
  <si>
    <t>WarlockÂ </t>
  </si>
  <si>
    <t>Dark BlueÂ </t>
  </si>
  <si>
    <t>Victor Nunez</t>
  </si>
  <si>
    <t>Ulee's GoldÂ </t>
  </si>
  <si>
    <t>Mark Herman</t>
  </si>
  <si>
    <t>The Boy in the Striped PajamasÂ </t>
  </si>
  <si>
    <t>Trippin'Â </t>
  </si>
  <si>
    <t>Duncan Tucker</t>
  </si>
  <si>
    <t>TransamericaÂ </t>
  </si>
  <si>
    <t>Mad Max 2: The Road WarriorÂ </t>
  </si>
  <si>
    <t>Russ Meyer</t>
  </si>
  <si>
    <t>Beyond the Valley of the DollsÂ </t>
  </si>
  <si>
    <t>Benson Lee</t>
  </si>
  <si>
    <t>Battle of the YearÂ </t>
  </si>
  <si>
    <t>Mystery, AlaskaÂ </t>
  </si>
  <si>
    <t>Matty Rich</t>
  </si>
  <si>
    <t>The InkwellÂ </t>
  </si>
  <si>
    <t>Everybody's FineÂ </t>
  </si>
  <si>
    <t>Elizabeth Banks</t>
  </si>
  <si>
    <t>Movie 43Â </t>
  </si>
  <si>
    <t>Brian Dannelly</t>
  </si>
  <si>
    <t>Saved!Â </t>
  </si>
  <si>
    <t>Street Fighter: The Legend of Chun-LiÂ </t>
  </si>
  <si>
    <t>Whatever It TakesÂ </t>
  </si>
  <si>
    <t>E. Elias Merhige</t>
  </si>
  <si>
    <t>Suspect ZeroÂ </t>
  </si>
  <si>
    <t>My Life in RuinsÂ </t>
  </si>
  <si>
    <t>The BountyÂ </t>
  </si>
  <si>
    <t>PollockÂ </t>
  </si>
  <si>
    <t>Mort Nathan</t>
  </si>
  <si>
    <t>Boat TripÂ </t>
  </si>
  <si>
    <t>Death at a FuneralÂ </t>
  </si>
  <si>
    <t>An Unfinished LifeÂ </t>
  </si>
  <si>
    <t>Jeff Kanew</t>
  </si>
  <si>
    <t>Troop Beverly HillsÂ </t>
  </si>
  <si>
    <t>Steve Rash</t>
  </si>
  <si>
    <t>Under the RainbowÂ </t>
  </si>
  <si>
    <t>Jorma Taccone</t>
  </si>
  <si>
    <t>MacGruberÂ </t>
  </si>
  <si>
    <t>Will Finn</t>
  </si>
  <si>
    <t>Legends of Oz: Dorothy's ReturnÂ </t>
  </si>
  <si>
    <t>Ghosts of MarsÂ </t>
  </si>
  <si>
    <t>Play It to the BoneÂ </t>
  </si>
  <si>
    <t>Pushing TinÂ </t>
  </si>
  <si>
    <t>Sex DriveÂ </t>
  </si>
  <si>
    <t>The Importance of Being EarnestÂ </t>
  </si>
  <si>
    <t>The Last Temptation of ChristÂ </t>
  </si>
  <si>
    <t>Death to SmoochyÂ </t>
  </si>
  <si>
    <t>The ManÂ </t>
  </si>
  <si>
    <t>Mandela: Long Walk to FreedomÂ </t>
  </si>
  <si>
    <t>Shadow of the VampireÂ </t>
  </si>
  <si>
    <t>Wayne Kramer</t>
  </si>
  <si>
    <t>The CoolerÂ </t>
  </si>
  <si>
    <t>Darnell Martin</t>
  </si>
  <si>
    <t>Cadillac RecordsÂ </t>
  </si>
  <si>
    <t>Johnny English RebornÂ </t>
  </si>
  <si>
    <t>A Simple WishÂ </t>
  </si>
  <si>
    <t>Before MidnightÂ </t>
  </si>
  <si>
    <t>Dirty Pretty ThingsÂ </t>
  </si>
  <si>
    <t>Alejandro Monteverde</t>
  </si>
  <si>
    <t>BellaÂ </t>
  </si>
  <si>
    <t>Code Name: The CleanerÂ </t>
  </si>
  <si>
    <t>Inherent ViceÂ </t>
  </si>
  <si>
    <t>Wil Shriner</t>
  </si>
  <si>
    <t>HootÂ </t>
  </si>
  <si>
    <t>SleepoverÂ </t>
  </si>
  <si>
    <t>Michael Lembeck</t>
  </si>
  <si>
    <t>Connie and CarlaÂ </t>
  </si>
  <si>
    <t>John Curran</t>
  </si>
  <si>
    <t>The Painted VeilÂ </t>
  </si>
  <si>
    <t>Marilyn Agrelo</t>
  </si>
  <si>
    <t>Mad Hot BallroomÂ </t>
  </si>
  <si>
    <t>Daisy von Scherler Mayer</t>
  </si>
  <si>
    <t>WooÂ </t>
  </si>
  <si>
    <t>The Texas Chainsaw Massacre 2Â </t>
  </si>
  <si>
    <t>George Stevens</t>
  </si>
  <si>
    <t>The Greatest Story Ever ToldÂ </t>
  </si>
  <si>
    <t>William A. Fraker</t>
  </si>
  <si>
    <t>The Legend of the Lone RangerÂ </t>
  </si>
  <si>
    <t>Annie Get Your GunÂ </t>
  </si>
  <si>
    <t>Pirate RadioÂ </t>
  </si>
  <si>
    <t>Dazed and ConfusedÂ </t>
  </si>
  <si>
    <t>Lexi Alexander</t>
  </si>
  <si>
    <t>Punisher: War ZoneÂ </t>
  </si>
  <si>
    <t>Nicholas Jarecki</t>
  </si>
  <si>
    <t>ArbitrageÂ </t>
  </si>
  <si>
    <t>Miracle at St. AnnaÂ </t>
  </si>
  <si>
    <t>Christopher Leitch</t>
  </si>
  <si>
    <t>Teen Wolf TooÂ </t>
  </si>
  <si>
    <t>John Waters</t>
  </si>
  <si>
    <t>Serial MomÂ </t>
  </si>
  <si>
    <t>City of EmberÂ </t>
  </si>
  <si>
    <t>The Ice StormÂ </t>
  </si>
  <si>
    <t>Steve James</t>
  </si>
  <si>
    <t>Hoop DreamsÂ </t>
  </si>
  <si>
    <t>Patrick Stettner</t>
  </si>
  <si>
    <t>The Night ListenerÂ </t>
  </si>
  <si>
    <t>James Gunn</t>
  </si>
  <si>
    <t>SlitherÂ </t>
  </si>
  <si>
    <t>Jason Bateman</t>
  </si>
  <si>
    <t>Bad WordsÂ </t>
  </si>
  <si>
    <t>In BrugesÂ </t>
  </si>
  <si>
    <t>IstvÃ¡n SzabÃ³</t>
  </si>
  <si>
    <t>Being JuliaÂ </t>
  </si>
  <si>
    <t>Lauren Lazin</t>
  </si>
  <si>
    <t>Tupac: ResurrectionÂ </t>
  </si>
  <si>
    <t>Kevin Hart: Laugh at My PainÂ </t>
  </si>
  <si>
    <t>Gilles Paquet-Brenner</t>
  </si>
  <si>
    <t>Sarah's KeyÂ </t>
  </si>
  <si>
    <t>The Imaginarium of Doctor ParnassusÂ </t>
  </si>
  <si>
    <t>The OrderÂ </t>
  </si>
  <si>
    <t>MortdecaiÂ </t>
  </si>
  <si>
    <t>Noah Baumbach</t>
  </si>
  <si>
    <t>While We're YoungÂ </t>
  </si>
  <si>
    <t>HackersÂ </t>
  </si>
  <si>
    <t>Jeff Lowell</t>
  </si>
  <si>
    <t>Over Her Dead BodyÂ </t>
  </si>
  <si>
    <t>City of GodÂ </t>
  </si>
  <si>
    <t>James Melkonian</t>
  </si>
  <si>
    <t>The Jerky BoysÂ </t>
  </si>
  <si>
    <t>Promised LandÂ </t>
  </si>
  <si>
    <t>Jean-Jacques Mantello</t>
  </si>
  <si>
    <t>Dolphins and Whales 3D: Tribes of the OceanÂ </t>
  </si>
  <si>
    <t>Richard J. Lewis</t>
  </si>
  <si>
    <t>Barney's VersionÂ </t>
  </si>
  <si>
    <t>The Curse of the Jade ScorpionÂ </t>
  </si>
  <si>
    <t>Menno Meyjes</t>
  </si>
  <si>
    <t>Martian ChildÂ </t>
  </si>
  <si>
    <t>A Good YearÂ </t>
  </si>
  <si>
    <t>Jay Duplass</t>
  </si>
  <si>
    <t>CyrusÂ </t>
  </si>
  <si>
    <t>Taking WoodstockÂ </t>
  </si>
  <si>
    <t>Harley Davidson and the Marlboro ManÂ </t>
  </si>
  <si>
    <t>Larry Clark</t>
  </si>
  <si>
    <t>KidsÂ </t>
  </si>
  <si>
    <t>Dave Borthwick</t>
  </si>
  <si>
    <t>DoogalÂ </t>
  </si>
  <si>
    <t>Kevin Tenney</t>
  </si>
  <si>
    <t>WitchboardÂ </t>
  </si>
  <si>
    <t>The Squid and the WhaleÂ </t>
  </si>
  <si>
    <t>Michael Corrente</t>
  </si>
  <si>
    <t>Outside ProvidenceÂ </t>
  </si>
  <si>
    <t>Phantasm IIÂ </t>
  </si>
  <si>
    <t>Machete KillsÂ </t>
  </si>
  <si>
    <t>Run Lola RunÂ </t>
  </si>
  <si>
    <t>Big TroubleÂ </t>
  </si>
  <si>
    <t>All the King's MenÂ </t>
  </si>
  <si>
    <t>Mulholland DriveÂ </t>
  </si>
  <si>
    <t>The Big YearÂ </t>
  </si>
  <si>
    <t>The Green InfernoÂ </t>
  </si>
  <si>
    <t>The OrphanageÂ </t>
  </si>
  <si>
    <t>The HoaxÂ </t>
  </si>
  <si>
    <t>American DreamzÂ </t>
  </si>
  <si>
    <t>She's Gotta Have ItÂ </t>
  </si>
  <si>
    <t>Asghar Farhadi</t>
  </si>
  <si>
    <t>A SeparationÂ </t>
  </si>
  <si>
    <t>Persian</t>
  </si>
  <si>
    <t>Iran</t>
  </si>
  <si>
    <t>BlackhatÂ </t>
  </si>
  <si>
    <t>Ian Iqbal Rashid</t>
  </si>
  <si>
    <t>How She MoveÂ </t>
  </si>
  <si>
    <t>QuillsÂ </t>
  </si>
  <si>
    <t>Nnegest LikkÃ©</t>
  </si>
  <si>
    <t>Phat GirlzÂ </t>
  </si>
  <si>
    <t>Kissing Jessica SteinÂ </t>
  </si>
  <si>
    <t>Black NativityÂ </t>
  </si>
  <si>
    <t>CrossoverÂ </t>
  </si>
  <si>
    <t>Sylvain Chomet</t>
  </si>
  <si>
    <t>The Triplets of BellevilleÂ </t>
  </si>
  <si>
    <t>An American CarolÂ </t>
  </si>
  <si>
    <t>Jerry Jameson</t>
  </si>
  <si>
    <t>Raise the TitanicÂ </t>
  </si>
  <si>
    <t>Our Brand Is CrisisÂ </t>
  </si>
  <si>
    <t>Scott Alexander</t>
  </si>
  <si>
    <t>ScrewedÂ </t>
  </si>
  <si>
    <t>Jonathan Glazer</t>
  </si>
  <si>
    <t>Sexy BeastÂ </t>
  </si>
  <si>
    <t>Michael Dowse</t>
  </si>
  <si>
    <t>Take Me Home TonightÂ </t>
  </si>
  <si>
    <t>Woman Thou Art LoosedÂ </t>
  </si>
  <si>
    <t>Cedar RapidsÂ </t>
  </si>
  <si>
    <t>IncendiesÂ </t>
  </si>
  <si>
    <t>Running ScaredÂ </t>
  </si>
  <si>
    <t>WillardÂ </t>
  </si>
  <si>
    <t>James Ponsoldt</t>
  </si>
  <si>
    <t>The Spectacular NowÂ </t>
  </si>
  <si>
    <t>Risa Bramon Garcia</t>
  </si>
  <si>
    <t>200 CigarettesÂ </t>
  </si>
  <si>
    <t>Marcus Dunstan</t>
  </si>
  <si>
    <t>The CollectionÂ </t>
  </si>
  <si>
    <t>Moonlight MileÂ </t>
  </si>
  <si>
    <t>In the Valley of ElahÂ </t>
  </si>
  <si>
    <t>ThunderbirdsÂ </t>
  </si>
  <si>
    <t>J.S. Cardone</t>
  </si>
  <si>
    <t>The ForsakenÂ </t>
  </si>
  <si>
    <t>Running with ScissorsÂ </t>
  </si>
  <si>
    <t>Stuart Gordon</t>
  </si>
  <si>
    <t>FortressÂ </t>
  </si>
  <si>
    <t>9Â½ WeeksÂ </t>
  </si>
  <si>
    <t>Chris Eyre</t>
  </si>
  <si>
    <t>Smoke SignalsÂ </t>
  </si>
  <si>
    <t>Town &amp; CountryÂ </t>
  </si>
  <si>
    <t>New Line</t>
  </si>
  <si>
    <t>American History XÂ </t>
  </si>
  <si>
    <t>Roger &amp; MeÂ </t>
  </si>
  <si>
    <t>Raymond De Felitta</t>
  </si>
  <si>
    <t>City IslandÂ </t>
  </si>
  <si>
    <t>Lorene Scafaria</t>
  </si>
  <si>
    <t>Seeking a Friend for the End of the WorldÂ </t>
  </si>
  <si>
    <t>The Last StationÂ </t>
  </si>
  <si>
    <t>Tamara Jenkins</t>
  </si>
  <si>
    <t>The SavagesÂ </t>
  </si>
  <si>
    <t>Bride &amp; PrejudiceÂ </t>
  </si>
  <si>
    <t>Kar-Wai Wong</t>
  </si>
  <si>
    <t>The GrandmasterÂ </t>
  </si>
  <si>
    <t>Femme FataleÂ </t>
  </si>
  <si>
    <t>Yimou Zhang</t>
  </si>
  <si>
    <t>Curse of the Golden FlowerÂ </t>
  </si>
  <si>
    <t>Strange WildernessÂ </t>
  </si>
  <si>
    <t>I Dreamed of AfricaÂ </t>
  </si>
  <si>
    <t>Debra Granik</t>
  </si>
  <si>
    <t>Winter's BoneÂ </t>
  </si>
  <si>
    <t>Roger Avary</t>
  </si>
  <si>
    <t>The Rules of AttractionÂ </t>
  </si>
  <si>
    <t>Joshua Marston</t>
  </si>
  <si>
    <t>Maria Full of GraceÂ </t>
  </si>
  <si>
    <t>Colombia</t>
  </si>
  <si>
    <t>S.S. Rajamouli</t>
  </si>
  <si>
    <t>Baahubali: The BeginningÂ </t>
  </si>
  <si>
    <t>Telugu</t>
  </si>
  <si>
    <t>Timothy BjÃ¶rklund</t>
  </si>
  <si>
    <t>Teacher's PetÂ </t>
  </si>
  <si>
    <t>Jeb Stuart</t>
  </si>
  <si>
    <t>SwitchbackÂ </t>
  </si>
  <si>
    <t>The Big BounceÂ </t>
  </si>
  <si>
    <t>Cyrus Nowrasteh</t>
  </si>
  <si>
    <t>The Young MessiahÂ </t>
  </si>
  <si>
    <t>Warriors of VirtueÂ </t>
  </si>
  <si>
    <t>Little BoyÂ </t>
  </si>
  <si>
    <t>The RockerÂ </t>
  </si>
  <si>
    <t>My Own Private IdahoÂ </t>
  </si>
  <si>
    <t>Gods and MonstersÂ </t>
  </si>
  <si>
    <t>Vicky Jenson</t>
  </si>
  <si>
    <t>Post GradÂ </t>
  </si>
  <si>
    <t>Anna Boden</t>
  </si>
  <si>
    <t>It's Kind of a Funny StoryÂ </t>
  </si>
  <si>
    <t>John Maybury</t>
  </si>
  <si>
    <t>The JacketÂ </t>
  </si>
  <si>
    <t>What Planet Are You From?Â </t>
  </si>
  <si>
    <t>J.C. Chandor</t>
  </si>
  <si>
    <t>All Is LostÂ </t>
  </si>
  <si>
    <t>DickÂ </t>
  </si>
  <si>
    <t>Ã‰mile Gaudreault</t>
  </si>
  <si>
    <t>Mambo ItalianoÂ </t>
  </si>
  <si>
    <t>Mike Leigh</t>
  </si>
  <si>
    <t>Topsy-TurvyÂ </t>
  </si>
  <si>
    <t>Ghost WorldÂ </t>
  </si>
  <si>
    <t>The Straight StoryÂ </t>
  </si>
  <si>
    <t>Caroline Link</t>
  </si>
  <si>
    <t>Nowhere in AfricaÂ </t>
  </si>
  <si>
    <t>A Very Long EngagementÂ </t>
  </si>
  <si>
    <t>Rabbit-Proof FenceÂ </t>
  </si>
  <si>
    <t>Jay Levey</t>
  </si>
  <si>
    <t>UHFÂ </t>
  </si>
  <si>
    <t>Kevin Spacey</t>
  </si>
  <si>
    <t>Beyond the SeaÂ </t>
  </si>
  <si>
    <t>Linda Mendoza</t>
  </si>
  <si>
    <t>Chasing PapiÂ </t>
  </si>
  <si>
    <t>ImpostorÂ </t>
  </si>
  <si>
    <t>Anne Fontaine</t>
  </si>
  <si>
    <t>Coco Before ChanelÂ </t>
  </si>
  <si>
    <t>The InterviewÂ </t>
  </si>
  <si>
    <t>The Good, the Bad and the UglyÂ </t>
  </si>
  <si>
    <t>Nicholaus Goossen</t>
  </si>
  <si>
    <t>Grandma's BoyÂ </t>
  </si>
  <si>
    <t>The Family StoneÂ </t>
  </si>
  <si>
    <t>The Way of the GunÂ </t>
  </si>
  <si>
    <t>Scott Kalvert</t>
  </si>
  <si>
    <t>Deuces WildÂ </t>
  </si>
  <si>
    <t>Dave Meyers</t>
  </si>
  <si>
    <t>FoolishÂ </t>
  </si>
  <si>
    <t>Shari Springer Berman</t>
  </si>
  <si>
    <t>American SplendorÂ </t>
  </si>
  <si>
    <t>Chasing MavericksÂ </t>
  </si>
  <si>
    <t>Matthew Robbins</t>
  </si>
  <si>
    <t>DragonslayerÂ </t>
  </si>
  <si>
    <t>Lawrence of ArabiaÂ </t>
  </si>
  <si>
    <t>David Schwimmer</t>
  </si>
  <si>
    <t>Run, Fatboy, RunÂ </t>
  </si>
  <si>
    <t>Ben Lewin</t>
  </si>
  <si>
    <t>The SessionsÂ </t>
  </si>
  <si>
    <t>Julian Schnabel</t>
  </si>
  <si>
    <t>The Diving Bell and the ButterflyÂ </t>
  </si>
  <si>
    <t>Megiddo: The Omega Code 2Â </t>
  </si>
  <si>
    <t>Lars and the Real GirlÂ </t>
  </si>
  <si>
    <t>Doug Lefler</t>
  </si>
  <si>
    <t>The Last LegionÂ </t>
  </si>
  <si>
    <t>Evil Dead IIÂ </t>
  </si>
  <si>
    <t>HighlanderÂ </t>
  </si>
  <si>
    <t>Cry FreedomÂ </t>
  </si>
  <si>
    <t>Matt Piedmont</t>
  </si>
  <si>
    <t>Casa de mi PadreÂ </t>
  </si>
  <si>
    <t>Ed WoodÂ </t>
  </si>
  <si>
    <t>Charles S. Dutton</t>
  </si>
  <si>
    <t>Against the RopesÂ </t>
  </si>
  <si>
    <t>Craig Bolotin</t>
  </si>
  <si>
    <t>Light It UpÂ </t>
  </si>
  <si>
    <t>Basic Instinct 2Â </t>
  </si>
  <si>
    <t>Real Women Have CurvesÂ </t>
  </si>
  <si>
    <t>Before SunsetÂ </t>
  </si>
  <si>
    <t>Mike Mills</t>
  </si>
  <si>
    <t>BeginnersÂ </t>
  </si>
  <si>
    <t>Victor FrankensteinÂ </t>
  </si>
  <si>
    <t>Lucky YouÂ </t>
  </si>
  <si>
    <t>A Most Violent YearÂ </t>
  </si>
  <si>
    <t>The Station AgentÂ </t>
  </si>
  <si>
    <t>Get on the BusÂ </t>
  </si>
  <si>
    <t>Carlos Carrera</t>
  </si>
  <si>
    <t>El crimen del padre AmaroÂ </t>
  </si>
  <si>
    <t>A Dangerous MethodÂ </t>
  </si>
  <si>
    <t>Sergey Bodrov</t>
  </si>
  <si>
    <t>Mongol: The Rise of Genghis KhanÂ </t>
  </si>
  <si>
    <t>Mongolian</t>
  </si>
  <si>
    <t>RocknRollaÂ </t>
  </si>
  <si>
    <t>Who's Your Caddy?Â </t>
  </si>
  <si>
    <t>Dean Wright</t>
  </si>
  <si>
    <t>For Greater Glory: The True Story of CristiadaÂ </t>
  </si>
  <si>
    <t>Sngmoo Lee</t>
  </si>
  <si>
    <t>The Warrior's WayÂ </t>
  </si>
  <si>
    <t>GigliÂ </t>
  </si>
  <si>
    <t>Marcos Siega</t>
  </si>
  <si>
    <t>UnderclassmanÂ </t>
  </si>
  <si>
    <t>Mary ReillyÂ </t>
  </si>
  <si>
    <t>Central StationÂ </t>
  </si>
  <si>
    <t>For Your ConsiderationÂ </t>
  </si>
  <si>
    <t>KundunÂ </t>
  </si>
  <si>
    <t>Matt Maiellaro</t>
  </si>
  <si>
    <t>Aqua Teen Hunger Force Colon Movie Film for TheatersÂ </t>
  </si>
  <si>
    <t>J.B. Rogers</t>
  </si>
  <si>
    <t>Say It Isn't SoÂ </t>
  </si>
  <si>
    <t>DownfallÂ </t>
  </si>
  <si>
    <t>Werner Herzog</t>
  </si>
  <si>
    <t>Rescue DawnÂ </t>
  </si>
  <si>
    <t>A Scanner DarklyÂ </t>
  </si>
  <si>
    <t>Slums of Beverly HillsÂ </t>
  </si>
  <si>
    <t>Little ChildrenÂ </t>
  </si>
  <si>
    <t>Tony Maylam</t>
  </si>
  <si>
    <t>Split SecondÂ </t>
  </si>
  <si>
    <t>MonkeyboneÂ </t>
  </si>
  <si>
    <t>Before SunriseÂ </t>
  </si>
  <si>
    <t>Amores PerrosÂ </t>
  </si>
  <si>
    <t>John Michael McDonagh</t>
  </si>
  <si>
    <t>The GuardÂ </t>
  </si>
  <si>
    <t>October BabyÂ </t>
  </si>
  <si>
    <t>Shine a LightÂ </t>
  </si>
  <si>
    <t>Margin CallÂ </t>
  </si>
  <si>
    <t>Dan Fogelman</t>
  </si>
  <si>
    <t>Danny CollinsÂ </t>
  </si>
  <si>
    <t>Hal Needham</t>
  </si>
  <si>
    <t>MegaforceÂ </t>
  </si>
  <si>
    <t>MadeÂ </t>
  </si>
  <si>
    <t>Won't Back DownÂ </t>
  </si>
  <si>
    <t>Whatever WorksÂ </t>
  </si>
  <si>
    <t>Once Upon a Time in AmericaÂ </t>
  </si>
  <si>
    <t>Craig Johnson</t>
  </si>
  <si>
    <t>The Skeleton TwinsÂ </t>
  </si>
  <si>
    <t>Robert Townsend</t>
  </si>
  <si>
    <t>Hollywood ShuffleÂ </t>
  </si>
  <si>
    <t>The In CrowdÂ </t>
  </si>
  <si>
    <t>BandslamÂ </t>
  </si>
  <si>
    <t>Formula 51Â </t>
  </si>
  <si>
    <t>Alone in the DarkÂ </t>
  </si>
  <si>
    <t>Atom Egoyan</t>
  </si>
  <si>
    <t>ExoticaÂ </t>
  </si>
  <si>
    <t>The World's Fastest IndianÂ </t>
  </si>
  <si>
    <t>GossipÂ </t>
  </si>
  <si>
    <t>BiutifulÂ </t>
  </si>
  <si>
    <t>The Hotel New HampshireÂ </t>
  </si>
  <si>
    <t>CelebrityÂ </t>
  </si>
  <si>
    <t>Tommy Lee Jones</t>
  </si>
  <si>
    <t>Three BurialsÂ </t>
  </si>
  <si>
    <t>Fina Torres</t>
  </si>
  <si>
    <t>Woman on TopÂ </t>
  </si>
  <si>
    <t>MoonÂ </t>
  </si>
  <si>
    <t>BirthÂ </t>
  </si>
  <si>
    <t>Luca Guadagnino</t>
  </si>
  <si>
    <t>I Am LoveÂ </t>
  </si>
  <si>
    <t>Blair Hayes</t>
  </si>
  <si>
    <t>Bubble BoyÂ </t>
  </si>
  <si>
    <t>Darling LiliÂ </t>
  </si>
  <si>
    <t>EugÃ¨ne LouriÃ©</t>
  </si>
  <si>
    <t>The Beast from 20,000 FathomsÂ </t>
  </si>
  <si>
    <t>Club DreadÂ </t>
  </si>
  <si>
    <t>Peter Kassovitz</t>
  </si>
  <si>
    <t>Jakob the LiarÂ </t>
  </si>
  <si>
    <t>Morgan Neville</t>
  </si>
  <si>
    <t>20 Feet from StardomÂ </t>
  </si>
  <si>
    <t>Todd Lincoln</t>
  </si>
  <si>
    <t>The ApparitionÂ </t>
  </si>
  <si>
    <t>From Justin to KellyÂ </t>
  </si>
  <si>
    <t>Jez Butterworth</t>
  </si>
  <si>
    <t>Birthday GirlÂ </t>
  </si>
  <si>
    <t>Girl 6Â </t>
  </si>
  <si>
    <t>Invaders from MarsÂ </t>
  </si>
  <si>
    <t>Hamlet 2Â </t>
  </si>
  <si>
    <t>The Virgin SuicidesÂ </t>
  </si>
  <si>
    <t>Olivier Assayas</t>
  </si>
  <si>
    <t>Paris, je t'aimeÂ </t>
  </si>
  <si>
    <t>Hollywood EndingÂ </t>
  </si>
  <si>
    <t>Extreme OpsÂ </t>
  </si>
  <si>
    <t>Laurence Dunmore</t>
  </si>
  <si>
    <t>The LibertineÂ </t>
  </si>
  <si>
    <t>Dewey Nicks</t>
  </si>
  <si>
    <t>SlackersÂ </t>
  </si>
  <si>
    <t>Mao's Last DancerÂ </t>
  </si>
  <si>
    <t>Jean-Marie PoirÃ©</t>
  </si>
  <si>
    <t>Just VisitingÂ </t>
  </si>
  <si>
    <t>Todd Solondz</t>
  </si>
  <si>
    <t>Welcome to the DollhouseÂ </t>
  </si>
  <si>
    <t>A Walk on the MoonÂ </t>
  </si>
  <si>
    <t>Bruce Paltrow</t>
  </si>
  <si>
    <t>DuetsÂ </t>
  </si>
  <si>
    <t>The Other Side of HeavenÂ </t>
  </si>
  <si>
    <t>In the CutÂ </t>
  </si>
  <si>
    <t>Howl's Moving CastleÂ </t>
  </si>
  <si>
    <t>90 Minutes in HeavenÂ </t>
  </si>
  <si>
    <t>Deb Hagan</t>
  </si>
  <si>
    <t>CollegeÂ </t>
  </si>
  <si>
    <t>Held UpÂ </t>
  </si>
  <si>
    <t>Igby Goes DownÂ </t>
  </si>
  <si>
    <t>Radio FlyerÂ </t>
  </si>
  <si>
    <t>Bob Odenkirk</t>
  </si>
  <si>
    <t>Let's Go to PrisonÂ </t>
  </si>
  <si>
    <t>Tim Hunter</t>
  </si>
  <si>
    <t>River's EdgeÂ </t>
  </si>
  <si>
    <t>ThirteenÂ </t>
  </si>
  <si>
    <t>Little VoiceÂ </t>
  </si>
  <si>
    <t>Love in the Time of CholeraÂ </t>
  </si>
  <si>
    <t>Touching the VoidÂ </t>
  </si>
  <si>
    <t>Joon-ho Bong</t>
  </si>
  <si>
    <t>SnowpiercerÂ </t>
  </si>
  <si>
    <t>MumfordÂ </t>
  </si>
  <si>
    <t>Zach Cregger</t>
  </si>
  <si>
    <t>Miss MarchÂ </t>
  </si>
  <si>
    <t>In the Name of the King: A Dungeon Siege TaleÂ </t>
  </si>
  <si>
    <t>SwingersÂ </t>
  </si>
  <si>
    <t>Blood In, Blood OutÂ </t>
  </si>
  <si>
    <t>FlawlessÂ </t>
  </si>
  <si>
    <t>MindhuntersÂ </t>
  </si>
  <si>
    <t>Roland Emmerich</t>
  </si>
  <si>
    <t>AnonymousÂ </t>
  </si>
  <si>
    <t>Vincent Paronnaud</t>
  </si>
  <si>
    <t>PersepolisÂ </t>
  </si>
  <si>
    <t>Bright StarÂ </t>
  </si>
  <si>
    <t>Jonathan Teplitzky</t>
  </si>
  <si>
    <t>The Railway ManÂ </t>
  </si>
  <si>
    <t>Beyond BordersÂ </t>
  </si>
  <si>
    <t>Robert Kenner</t>
  </si>
  <si>
    <t>Food, Inc.Â </t>
  </si>
  <si>
    <t>HamletÂ </t>
  </si>
  <si>
    <t>Black BookÂ </t>
  </si>
  <si>
    <t>Mark Tarlov</t>
  </si>
  <si>
    <t>Simply IrresistibleÂ </t>
  </si>
  <si>
    <t>Solitary ManÂ </t>
  </si>
  <si>
    <t>BogusÂ </t>
  </si>
  <si>
    <t>On the LineÂ </t>
  </si>
  <si>
    <t>Hart Bochner</t>
  </si>
  <si>
    <t>PCUÂ </t>
  </si>
  <si>
    <t>Scott Marshall</t>
  </si>
  <si>
    <t>Keeping Up with the SteinsÂ </t>
  </si>
  <si>
    <t>Charles Ferguson</t>
  </si>
  <si>
    <t>Inside JobÂ </t>
  </si>
  <si>
    <t>Steve Boyum</t>
  </si>
  <si>
    <t>Meet the DeedlesÂ </t>
  </si>
  <si>
    <t>The Sweet HereafterÂ </t>
  </si>
  <si>
    <t>Allison Anders</t>
  </si>
  <si>
    <t>Four RoomsÂ </t>
  </si>
  <si>
    <t>Catch a FireÂ </t>
  </si>
  <si>
    <t>Goal! The Dream BeginsÂ </t>
  </si>
  <si>
    <t>Vondie Curtis-Hall</t>
  </si>
  <si>
    <t>GlitterÂ </t>
  </si>
  <si>
    <t>Young Sherlock HolmesÂ </t>
  </si>
  <si>
    <t>Jeff, Who Lives at HomeÂ </t>
  </si>
  <si>
    <t>Men with BroomsÂ </t>
  </si>
  <si>
    <t>Shane Black</t>
  </si>
  <si>
    <t>Kiss Kiss Bang BangÂ </t>
  </si>
  <si>
    <t>Marc Abraham</t>
  </si>
  <si>
    <t>Flash of GeniusÂ </t>
  </si>
  <si>
    <t>Ritesh Batra</t>
  </si>
  <si>
    <t>The LunchboxÂ </t>
  </si>
  <si>
    <t>Detroit Rock CityÂ </t>
  </si>
  <si>
    <t>Russell Crowe</t>
  </si>
  <si>
    <t>The Water DivinerÂ </t>
  </si>
  <si>
    <t>Lovely &amp; AmazingÂ </t>
  </si>
  <si>
    <t>Damien O'Donnell</t>
  </si>
  <si>
    <t>East Is EastÂ </t>
  </si>
  <si>
    <t>Lars von Trier</t>
  </si>
  <si>
    <t>Dancer in the DarkÂ </t>
  </si>
  <si>
    <t>Peter M. Cohen</t>
  </si>
  <si>
    <t>WhippedÂ </t>
  </si>
  <si>
    <t>Charles Robert Carner</t>
  </si>
  <si>
    <t>Witless ProtectionÂ </t>
  </si>
  <si>
    <t>Kama Sutra: A Tale of LoveÂ </t>
  </si>
  <si>
    <t>Gareth Evans</t>
  </si>
  <si>
    <t>The Raid: RedemptionÂ </t>
  </si>
  <si>
    <t>Indonesian</t>
  </si>
  <si>
    <t>Indonesia</t>
  </si>
  <si>
    <t>Ronan Chapalain</t>
  </si>
  <si>
    <t>Sea Rex 3D: Journey to a Prehistoric WorldÂ </t>
  </si>
  <si>
    <t>Philip Saville</t>
  </si>
  <si>
    <t>The Visual Bible: The Gospel of JohnÂ </t>
  </si>
  <si>
    <t>Tank GirlÂ </t>
  </si>
  <si>
    <t>Wolfgang Becker</t>
  </si>
  <si>
    <t>Good Bye Lenin!Â </t>
  </si>
  <si>
    <t>Frances HaÂ </t>
  </si>
  <si>
    <t>Steven Shainberg</t>
  </si>
  <si>
    <t>SecretaryÂ </t>
  </si>
  <si>
    <t>Randall Miller</t>
  </si>
  <si>
    <t>Bottle ShockÂ </t>
  </si>
  <si>
    <t>Please GiveÂ </t>
  </si>
  <si>
    <t>Karan Johar</t>
  </si>
  <si>
    <t>My Name Is KhanÂ </t>
  </si>
  <si>
    <t>Colin Trevorrow</t>
  </si>
  <si>
    <t>Safety Not GuaranteedÂ </t>
  </si>
  <si>
    <t>Jeffrey W. Byrd</t>
  </si>
  <si>
    <t>King's RansomÂ </t>
  </si>
  <si>
    <t>Rodman Flender</t>
  </si>
  <si>
    <t>Idle HandsÂ </t>
  </si>
  <si>
    <t>I'm Not There.Â </t>
  </si>
  <si>
    <t>ShameÂ </t>
  </si>
  <si>
    <t>Sam Firstenberg</t>
  </si>
  <si>
    <t>American Ninja 2: The ConfrontationÂ </t>
  </si>
  <si>
    <t>Mr. TurnerÂ </t>
  </si>
  <si>
    <t>Jon Poll</t>
  </si>
  <si>
    <t>Charlie BartlettÂ </t>
  </si>
  <si>
    <t>Xavier Beauvois</t>
  </si>
  <si>
    <t>Of Gods and MenÂ </t>
  </si>
  <si>
    <t>The Assassination of Jesse James by the Coward Robert FordÂ </t>
  </si>
  <si>
    <t>Anthony Hickox</t>
  </si>
  <si>
    <t>Warlock: The ArmageddonÂ </t>
  </si>
  <si>
    <t>CÃ©dric Klapisch</t>
  </si>
  <si>
    <t>L'auberge espagnoleÂ </t>
  </si>
  <si>
    <t>Miranda July</t>
  </si>
  <si>
    <t>Me and You and Everyone We KnowÂ </t>
  </si>
  <si>
    <t>Ayan Mukerji</t>
  </si>
  <si>
    <t>Yeh Jawaani Hai DeewaniÂ </t>
  </si>
  <si>
    <t>Pawel Pawlikowski</t>
  </si>
  <si>
    <t>IdaÂ </t>
  </si>
  <si>
    <t>Better Luck TomorrowÂ </t>
  </si>
  <si>
    <t>Lana Wachowski</t>
  </si>
  <si>
    <t>BoundÂ </t>
  </si>
  <si>
    <t>Brian Baugh</t>
  </si>
  <si>
    <t>To Save a LifeÂ </t>
  </si>
  <si>
    <t>Laurent Cantet</t>
  </si>
  <si>
    <t>The ClassÂ </t>
  </si>
  <si>
    <t>Vera DrakeÂ </t>
  </si>
  <si>
    <t>The Merchant of VeniceÂ </t>
  </si>
  <si>
    <t>Mabrouk El Mechri</t>
  </si>
  <si>
    <t>The Cold Light of DayÂ </t>
  </si>
  <si>
    <t>Rick de Oliveira</t>
  </si>
  <si>
    <t>The Real CancunÂ </t>
  </si>
  <si>
    <t>Midnight SpecialÂ </t>
  </si>
  <si>
    <t>Greece</t>
  </si>
  <si>
    <t>SunshineÂ </t>
  </si>
  <si>
    <t>Lock, Stock and Two Smoking BarrelsÂ </t>
  </si>
  <si>
    <t>High TensionÂ </t>
  </si>
  <si>
    <t>Christophe Barratier</t>
  </si>
  <si>
    <t>The ChorusÂ </t>
  </si>
  <si>
    <t>Requiem for a DreamÂ </t>
  </si>
  <si>
    <t>Max Joseph</t>
  </si>
  <si>
    <t>We Are Your FriendsÂ </t>
  </si>
  <si>
    <t>Wish I Was HereÂ </t>
  </si>
  <si>
    <t>Floria Sigismondi</t>
  </si>
  <si>
    <t>The RunawaysÂ </t>
  </si>
  <si>
    <t>Mark Dindal</t>
  </si>
  <si>
    <t>Cats Don't DanceÂ </t>
  </si>
  <si>
    <t>Tom Schulman</t>
  </si>
  <si>
    <t>8 Heads in a Duffel BagÂ </t>
  </si>
  <si>
    <t>Katja von Garnier</t>
  </si>
  <si>
    <t>Blood and ChocolateÂ </t>
  </si>
  <si>
    <t>The Brothers BloomÂ </t>
  </si>
  <si>
    <t>The Good ThiefÂ </t>
  </si>
  <si>
    <t>Mike Marvin</t>
  </si>
  <si>
    <t>The WraithÂ </t>
  </si>
  <si>
    <t>A Fistful of DollarsÂ </t>
  </si>
  <si>
    <t>Talk RadioÂ </t>
  </si>
  <si>
    <t>Maggie Carey</t>
  </si>
  <si>
    <t>The To Do ListÂ </t>
  </si>
  <si>
    <t>Duke Johnson</t>
  </si>
  <si>
    <t>AnomalisaÂ </t>
  </si>
  <si>
    <t>Denys Arcand</t>
  </si>
  <si>
    <t>The Barbarian InvasionsÂ </t>
  </si>
  <si>
    <t>The Ultimate GiftÂ </t>
  </si>
  <si>
    <t>Metallica Through the NeverÂ </t>
  </si>
  <si>
    <t>Drake Doremus</t>
  </si>
  <si>
    <t>Like CrazyÂ </t>
  </si>
  <si>
    <t>Next Stop WonderlandÂ </t>
  </si>
  <si>
    <t>Russell Holt</t>
  </si>
  <si>
    <t>The Work and the GloryÂ </t>
  </si>
  <si>
    <t>Harsh TimesÂ </t>
  </si>
  <si>
    <t>John Putch</t>
  </si>
  <si>
    <t>Atlas Shrugged II: The StrikeÂ </t>
  </si>
  <si>
    <t>Robot &amp; FrankÂ </t>
  </si>
  <si>
    <t>Jim Jarmusch</t>
  </si>
  <si>
    <t>Ghost Dog: The Way of the SamuraiÂ </t>
  </si>
  <si>
    <t>Louis C.K.</t>
  </si>
  <si>
    <t>Pootie TangÂ </t>
  </si>
  <si>
    <t>Jill Sprecher</t>
  </si>
  <si>
    <t>Thirteen Conversations About One ThingÂ </t>
  </si>
  <si>
    <t>David LaChapelle</t>
  </si>
  <si>
    <t>RizeÂ </t>
  </si>
  <si>
    <t>Peter Medak</t>
  </si>
  <si>
    <t>Romeo Is BleedingÂ </t>
  </si>
  <si>
    <t>Only the StrongÂ </t>
  </si>
  <si>
    <t>The Fifth EstateÂ </t>
  </si>
  <si>
    <t>You Will Meet a Tall Dark StrangerÂ </t>
  </si>
  <si>
    <t>Deepa Mehta</t>
  </si>
  <si>
    <t>WaterÂ </t>
  </si>
  <si>
    <t>Jeremy Saulnier</t>
  </si>
  <si>
    <t>Green RoomÂ </t>
  </si>
  <si>
    <t>PiÂ </t>
  </si>
  <si>
    <t>Another YearÂ </t>
  </si>
  <si>
    <t>Anything ElseÂ </t>
  </si>
  <si>
    <t>The LimeyÂ </t>
  </si>
  <si>
    <t>Resurrecting the ChampÂ </t>
  </si>
  <si>
    <t>ClerksÂ </t>
  </si>
  <si>
    <t>Two LoversÂ </t>
  </si>
  <si>
    <t>MauriceÂ </t>
  </si>
  <si>
    <t>Susan Seidelman</t>
  </si>
  <si>
    <t>Boynton Beach ClubÂ </t>
  </si>
  <si>
    <t>Gillian Robespierre</t>
  </si>
  <si>
    <t>Obvious ChildÂ </t>
  </si>
  <si>
    <t>Patrick Creadon</t>
  </si>
  <si>
    <t>WordplayÂ </t>
  </si>
  <si>
    <t>Our Kind of TraitorÂ </t>
  </si>
  <si>
    <t>Enrique Begne</t>
  </si>
  <si>
    <t>CompadresÂ </t>
  </si>
  <si>
    <t>SupercrossÂ </t>
  </si>
  <si>
    <t>Stephen Carpenter</t>
  </si>
  <si>
    <t>Soul SurvivorsÂ </t>
  </si>
  <si>
    <t>Celeste &amp; Jesse ForeverÂ </t>
  </si>
  <si>
    <t>Jon Stewart</t>
  </si>
  <si>
    <t>RosewaterÂ </t>
  </si>
  <si>
    <t>Charlie Kaufman</t>
  </si>
  <si>
    <t>Synecdoche, New YorkÂ </t>
  </si>
  <si>
    <t>8 WomenÂ </t>
  </si>
  <si>
    <t>ChloeÂ </t>
  </si>
  <si>
    <t>BlindnessÂ </t>
  </si>
  <si>
    <t>Darren Stein</t>
  </si>
  <si>
    <t>JawbreakerÂ </t>
  </si>
  <si>
    <t>Sunshine StateÂ </t>
  </si>
  <si>
    <t>Harley Cokeliss</t>
  </si>
  <si>
    <t>MaloneÂ </t>
  </si>
  <si>
    <t>Maggie Greenwald</t>
  </si>
  <si>
    <t>SongcatcherÂ </t>
  </si>
  <si>
    <t>Heavenly CreaturesÂ </t>
  </si>
  <si>
    <t>Yash Chopra</t>
  </si>
  <si>
    <t>Jab Tak Hai JaanÂ </t>
  </si>
  <si>
    <t>Terence Davies</t>
  </si>
  <si>
    <t>The House of MirthÂ </t>
  </si>
  <si>
    <t>The GuruÂ </t>
  </si>
  <si>
    <t>MelancholiaÂ </t>
  </si>
  <si>
    <t>John Cameron Mitchell</t>
  </si>
  <si>
    <t>Hedwig and the Angry InchÂ </t>
  </si>
  <si>
    <t>Rodrigo GarcÃ­a</t>
  </si>
  <si>
    <t>Albert NobbsÂ </t>
  </si>
  <si>
    <t>HappinessÂ </t>
  </si>
  <si>
    <t>Mark Sandrich</t>
  </si>
  <si>
    <t>Top HatÂ </t>
  </si>
  <si>
    <t>Harry F. Millarde</t>
  </si>
  <si>
    <t>Over the Hill to the PoorhouseÂ </t>
  </si>
  <si>
    <t>Sean Durkin</t>
  </si>
  <si>
    <t>Martha Marcy May MarleneÂ </t>
  </si>
  <si>
    <t>Miss PotterÂ </t>
  </si>
  <si>
    <t>Before I Go to SleepÂ </t>
  </si>
  <si>
    <t>BasquiatÂ </t>
  </si>
  <si>
    <t>Man on WireÂ </t>
  </si>
  <si>
    <t>Vincente Minnelli</t>
  </si>
  <si>
    <t>The PirateÂ </t>
  </si>
  <si>
    <t>GracieÂ </t>
  </si>
  <si>
    <t>Isn't She GreatÂ </t>
  </si>
  <si>
    <t>Whit Stillman</t>
  </si>
  <si>
    <t>MetropolitanÂ </t>
  </si>
  <si>
    <t>Clark Gregg</t>
  </si>
  <si>
    <t>ChokeÂ </t>
  </si>
  <si>
    <t>Veer-ZaaraÂ </t>
  </si>
  <si>
    <t>TsotsiÂ </t>
  </si>
  <si>
    <t>Cradle Will RockÂ </t>
  </si>
  <si>
    <t>Waiting for GuffmanÂ </t>
  </si>
  <si>
    <t>TadpoleÂ </t>
  </si>
  <si>
    <t>The Hudsucker ProxyÂ </t>
  </si>
  <si>
    <t>David Boyd</t>
  </si>
  <si>
    <t>Home RunÂ </t>
  </si>
  <si>
    <t>In the Company of MenÂ </t>
  </si>
  <si>
    <t>AirborneÂ </t>
  </si>
  <si>
    <t>Susanne Bier</t>
  </si>
  <si>
    <t>Things We Lost in the FireÂ </t>
  </si>
  <si>
    <t>David Nixon</t>
  </si>
  <si>
    <t>Letters to GodÂ </t>
  </si>
  <si>
    <t>eXistenZÂ </t>
  </si>
  <si>
    <t>Paolo Sorrentino</t>
  </si>
  <si>
    <t>The Great BeautyÂ </t>
  </si>
  <si>
    <t>Filly BrownÂ </t>
  </si>
  <si>
    <t>The Perez FamilyÂ </t>
  </si>
  <si>
    <t>Reservoir DogsÂ </t>
  </si>
  <si>
    <t>Harry Beaumont</t>
  </si>
  <si>
    <t>The Broadway MelodyÂ </t>
  </si>
  <si>
    <t>William A. Graham</t>
  </si>
  <si>
    <t>Return to the Blue LagoonÂ </t>
  </si>
  <si>
    <t>Jeff Franklin</t>
  </si>
  <si>
    <t>Love StinksÂ </t>
  </si>
  <si>
    <t>Robert B. Weide</t>
  </si>
  <si>
    <t>How to Lose Friends &amp; Alienate PeopleÂ </t>
  </si>
  <si>
    <t>Straight Out of BrooklynÂ </t>
  </si>
  <si>
    <t>Dan Rush</t>
  </si>
  <si>
    <t>Everything Must GoÂ </t>
  </si>
  <si>
    <t>ChÃ©riÂ </t>
  </si>
  <si>
    <t>The History BoysÂ </t>
  </si>
  <si>
    <t>Ryan Fleck</t>
  </si>
  <si>
    <t>Half NelsonÂ </t>
  </si>
  <si>
    <t>Bobby Jones: Stroke of GeniusÂ </t>
  </si>
  <si>
    <t>Easy VirtueÂ </t>
  </si>
  <si>
    <t>The MightyÂ </t>
  </si>
  <si>
    <t>Under the SkinÂ </t>
  </si>
  <si>
    <t>Ron Fricke</t>
  </si>
  <si>
    <t>SamsaraÂ </t>
  </si>
  <si>
    <t>Richard IIIÂ </t>
  </si>
  <si>
    <t>David M. Matthews</t>
  </si>
  <si>
    <t>N-SecureÂ </t>
  </si>
  <si>
    <t>CaptiveÂ </t>
  </si>
  <si>
    <t>Richard Kwietniowski</t>
  </si>
  <si>
    <t>Love and Death on Long IslandÂ </t>
  </si>
  <si>
    <t>Courtney Hunt</t>
  </si>
  <si>
    <t>Frozen RiverÂ </t>
  </si>
  <si>
    <t>Brad J. Silverman</t>
  </si>
  <si>
    <t>Grace UnpluggedÂ </t>
  </si>
  <si>
    <t>Full FrontalÂ </t>
  </si>
  <si>
    <t>Andy Garcia</t>
  </si>
  <si>
    <t>The Lost CityÂ </t>
  </si>
  <si>
    <t>Jefferson in ParisÂ </t>
  </si>
  <si>
    <t>Michael Cuesta</t>
  </si>
  <si>
    <t>Kill the MessengerÂ </t>
  </si>
  <si>
    <t>The HomesmanÂ </t>
  </si>
  <si>
    <t>David G. Evans</t>
  </si>
  <si>
    <t>The Grace CardÂ </t>
  </si>
  <si>
    <t>You Kill MeÂ </t>
  </si>
  <si>
    <t>Never Let Me GoÂ </t>
  </si>
  <si>
    <t>Dror Moreh</t>
  </si>
  <si>
    <t>The GatekeepersÂ </t>
  </si>
  <si>
    <t>Hebrew</t>
  </si>
  <si>
    <t>Israel</t>
  </si>
  <si>
    <t>Vincent Gallo</t>
  </si>
  <si>
    <t>Buffalo '66Â </t>
  </si>
  <si>
    <t>Pieces of AprilÂ </t>
  </si>
  <si>
    <t>Jean-Paul Rappeneau</t>
  </si>
  <si>
    <t>Bon voyageÂ </t>
  </si>
  <si>
    <t>RedbeltÂ </t>
  </si>
  <si>
    <t>Layer CakeÂ </t>
  </si>
  <si>
    <t>Tom Brady</t>
  </si>
  <si>
    <t>Bucky Larson: Born to Be a StarÂ </t>
  </si>
  <si>
    <t>Fred Schepisi</t>
  </si>
  <si>
    <t>Last OrdersÂ </t>
  </si>
  <si>
    <t>TranceÂ </t>
  </si>
  <si>
    <t>Jim Goddard</t>
  </si>
  <si>
    <t>Shanghai SurpriseÂ </t>
  </si>
  <si>
    <t>Christopher Scott Cherot</t>
  </si>
  <si>
    <t>Hav PlentyÂ </t>
  </si>
  <si>
    <t>Lloyd Bacon</t>
  </si>
  <si>
    <t>42nd StreetÂ </t>
  </si>
  <si>
    <t>Ari Folman</t>
  </si>
  <si>
    <t>Waltz with BashirÂ </t>
  </si>
  <si>
    <t>Max Mayer</t>
  </si>
  <si>
    <t>AdamÂ </t>
  </si>
  <si>
    <t>Stacy Peralta</t>
  </si>
  <si>
    <t>Riding GiantsÂ </t>
  </si>
  <si>
    <t>Showdown in Little TokyoÂ </t>
  </si>
  <si>
    <t>Zal Batmanglij</t>
  </si>
  <si>
    <t>The EastÂ </t>
  </si>
  <si>
    <t>Angelo Pizzo</t>
  </si>
  <si>
    <t>CourageÂ </t>
  </si>
  <si>
    <t>George Gallo</t>
  </si>
  <si>
    <t>DysFunktional FamilyÂ </t>
  </si>
  <si>
    <t>Michael Haneke</t>
  </si>
  <si>
    <t>The White RibbonÂ </t>
  </si>
  <si>
    <t>Smilla's Sense of SnowÂ </t>
  </si>
  <si>
    <t>Rabbit HoleÂ </t>
  </si>
  <si>
    <t>John Stephenson</t>
  </si>
  <si>
    <t>The Christmas CandleÂ </t>
  </si>
  <si>
    <t>Perfume: The Story of a MurdererÂ </t>
  </si>
  <si>
    <t>Shattered GlassÂ </t>
  </si>
  <si>
    <t>TranssiberianÂ </t>
  </si>
  <si>
    <t>Jamie Babbit</t>
  </si>
  <si>
    <t>But I'm a CheerleaderÂ </t>
  </si>
  <si>
    <t>Rakeysh Omprakash Mehra</t>
  </si>
  <si>
    <t>Rang De BasantiÂ </t>
  </si>
  <si>
    <t>BamboozledÂ </t>
  </si>
  <si>
    <t>Chan-wook Park</t>
  </si>
  <si>
    <t>OldboyÂ </t>
  </si>
  <si>
    <t>Anchorman 2: The Legend ContinuesÂ </t>
  </si>
  <si>
    <t>Shadow ConspiracyÂ </t>
  </si>
  <si>
    <t>Kevin Brodie</t>
  </si>
  <si>
    <t>A Dog of FlandersÂ </t>
  </si>
  <si>
    <t>Wilson Yip</t>
  </si>
  <si>
    <t>Ip Man 3Â </t>
  </si>
  <si>
    <t>MallratsÂ </t>
  </si>
  <si>
    <t>Emile Ardolino</t>
  </si>
  <si>
    <t>The NutcrackerÂ </t>
  </si>
  <si>
    <t>Paul Mazursky</t>
  </si>
  <si>
    <t>FaithfulÂ </t>
  </si>
  <si>
    <t>The Sea InsideÂ </t>
  </si>
  <si>
    <t>The WacknessÂ </t>
  </si>
  <si>
    <t>Raising Victor VargasÂ </t>
  </si>
  <si>
    <t>Auto FocusÂ </t>
  </si>
  <si>
    <t>Antonia Bird</t>
  </si>
  <si>
    <t>RavenousÂ </t>
  </si>
  <si>
    <t>Czech Republic</t>
  </si>
  <si>
    <t>Barry W. Blaustein</t>
  </si>
  <si>
    <t>Beyond the MatÂ </t>
  </si>
  <si>
    <t>El MariachiÂ </t>
  </si>
  <si>
    <t>I Love You Phillip MorrisÂ </t>
  </si>
  <si>
    <t>David Atkins</t>
  </si>
  <si>
    <t>NovocaineÂ </t>
  </si>
  <si>
    <t>Sterling Van Wagenen</t>
  </si>
  <si>
    <t>The Work and the Glory II: American ZionÂ </t>
  </si>
  <si>
    <t>Nancy Walker</t>
  </si>
  <si>
    <t>Can't Stop the MusicÂ </t>
  </si>
  <si>
    <t>Noel Marshall</t>
  </si>
  <si>
    <t>RoarÂ </t>
  </si>
  <si>
    <t>LimboÂ </t>
  </si>
  <si>
    <t>Killer JoeÂ </t>
  </si>
  <si>
    <t>Oliver TwistÂ </t>
  </si>
  <si>
    <t>The ImmigrantÂ </t>
  </si>
  <si>
    <t>ShortbusÂ </t>
  </si>
  <si>
    <t>Zero EffectÂ </t>
  </si>
  <si>
    <t>Maria Maggenti</t>
  </si>
  <si>
    <t>The Incredibly True Adventure of Two Girls in LoveÂ </t>
  </si>
  <si>
    <t>Antonio Banderas</t>
  </si>
  <si>
    <t>Crazy in AlabamaÂ </t>
  </si>
  <si>
    <t>Michael Chapman</t>
  </si>
  <si>
    <t>The Clan of the Cave BearÂ </t>
  </si>
  <si>
    <t>James Toback</t>
  </si>
  <si>
    <t>Two Girls and a GuyÂ </t>
  </si>
  <si>
    <t>Mark Illsley</t>
  </si>
  <si>
    <t>Happy, TexasÂ </t>
  </si>
  <si>
    <t>The IcemanÂ </t>
  </si>
  <si>
    <t>The PropositionÂ </t>
  </si>
  <si>
    <t>A Sound of ThunderÂ </t>
  </si>
  <si>
    <t>Tim Chambers</t>
  </si>
  <si>
    <t>The Mighty MacsÂ </t>
  </si>
  <si>
    <t>The Horseman on the RoofÂ </t>
  </si>
  <si>
    <t>LegendÂ </t>
  </si>
  <si>
    <t>Ken Loach</t>
  </si>
  <si>
    <t>The Wind That Shakes the BarleyÂ </t>
  </si>
  <si>
    <t>TuskÂ </t>
  </si>
  <si>
    <t>Daniel Barber</t>
  </si>
  <si>
    <t>Harry BrownÂ </t>
  </si>
  <si>
    <t>StoneÂ </t>
  </si>
  <si>
    <t>Clay PigeonsÂ </t>
  </si>
  <si>
    <t>Peter Care</t>
  </si>
  <si>
    <t>The Dangerous Lives of Altar BoysÂ </t>
  </si>
  <si>
    <t>SomewhereÂ </t>
  </si>
  <si>
    <t>A Better LifeÂ </t>
  </si>
  <si>
    <t>FlippedÂ </t>
  </si>
  <si>
    <t>Greg Berlanti</t>
  </si>
  <si>
    <t>The Broken Hearts Club: A Romantic ComedyÂ </t>
  </si>
  <si>
    <t>Lynne Ramsay</t>
  </si>
  <si>
    <t>We Need to Talk About KevinÂ </t>
  </si>
  <si>
    <t>Take ShelterÂ </t>
  </si>
  <si>
    <t>The Vatican TapesÂ </t>
  </si>
  <si>
    <t>Frank LaLoggia</t>
  </si>
  <si>
    <t>Lady in WhiteÂ </t>
  </si>
  <si>
    <t>StokerÂ </t>
  </si>
  <si>
    <t>Bad Lieutenant: Port of Call New OrleansÂ </t>
  </si>
  <si>
    <t>QuinceaÃ±eraÂ </t>
  </si>
  <si>
    <t>Kenneth Johnson</t>
  </si>
  <si>
    <t>SteelÂ </t>
  </si>
  <si>
    <t>Chris Paine</t>
  </si>
  <si>
    <t>Who Killed the Electric Car?Â </t>
  </si>
  <si>
    <t>The White CountessÂ </t>
  </si>
  <si>
    <t>George Hickenlooper</t>
  </si>
  <si>
    <t>Factory GirlÂ </t>
  </si>
  <si>
    <t>When the Cat's AwayÂ </t>
  </si>
  <si>
    <t>Thomas Vinterberg</t>
  </si>
  <si>
    <t>The CelebrationÂ </t>
  </si>
  <si>
    <t>Marci XÂ </t>
  </si>
  <si>
    <t>SpiderÂ </t>
  </si>
  <si>
    <t>Eric Blakeney</t>
  </si>
  <si>
    <t>Gun ShyÂ </t>
  </si>
  <si>
    <t>Lynn Shelton</t>
  </si>
  <si>
    <t>Your Sister's SisterÂ </t>
  </si>
  <si>
    <t>Veronica GuerinÂ </t>
  </si>
  <si>
    <t>AraratÂ </t>
  </si>
  <si>
    <t>BloodRayneÂ </t>
  </si>
  <si>
    <t>Trust the ManÂ </t>
  </si>
  <si>
    <t>Henry Alex Rubin</t>
  </si>
  <si>
    <t>MurderballÂ </t>
  </si>
  <si>
    <t>Jane Got a GunÂ </t>
  </si>
  <si>
    <t>Oscar and LucindaÂ </t>
  </si>
  <si>
    <t>Married LifeÂ </t>
  </si>
  <si>
    <t>Heaven's GateÂ </t>
  </si>
  <si>
    <t>Night WatchÂ </t>
  </si>
  <si>
    <t>Marielle Heller</t>
  </si>
  <si>
    <t>The Diary of a Teenage GirlÂ </t>
  </si>
  <si>
    <t>Derrick Borte</t>
  </si>
  <si>
    <t>The JonesesÂ </t>
  </si>
  <si>
    <t>Sam Taylor-Johnson</t>
  </si>
  <si>
    <t>Nowhere BoyÂ </t>
  </si>
  <si>
    <t>No End in SightÂ </t>
  </si>
  <si>
    <t>Gavin Wiesen</t>
  </si>
  <si>
    <t>The Art of Getting ByÂ </t>
  </si>
  <si>
    <t>Bob Gosse</t>
  </si>
  <si>
    <t>I Hope They Serve Beer in HellÂ </t>
  </si>
  <si>
    <t>NorthforkÂ </t>
  </si>
  <si>
    <t>Jeff Burr</t>
  </si>
  <si>
    <t>From a Whisper to a ScreamÂ </t>
  </si>
  <si>
    <t>Beto GÃ³mez</t>
  </si>
  <si>
    <t>Saving Private PerezÂ </t>
  </si>
  <si>
    <t>The Devil's DoubleÂ </t>
  </si>
  <si>
    <t>Snow Flower and the Secret FanÂ </t>
  </si>
  <si>
    <t>Shona Auerbach</t>
  </si>
  <si>
    <t>Dear FrankieÂ </t>
  </si>
  <si>
    <t>Mark Osborne</t>
  </si>
  <si>
    <t>The Little PrinceÂ </t>
  </si>
  <si>
    <t>The Neon DemonÂ </t>
  </si>
  <si>
    <t>ThumbsuckerÂ </t>
  </si>
  <si>
    <t>Mike Cahill</t>
  </si>
  <si>
    <t>Another EarthÂ </t>
  </si>
  <si>
    <t>Ryan Little</t>
  </si>
  <si>
    <t>Saints and SoldiersÂ </t>
  </si>
  <si>
    <t>Nicholas NicklebyÂ </t>
  </si>
  <si>
    <t>The Good GermanÂ </t>
  </si>
  <si>
    <t>Funny GamesÂ </t>
  </si>
  <si>
    <t>Dogtown and Z-BoysÂ </t>
  </si>
  <si>
    <t>Kansas CityÂ </t>
  </si>
  <si>
    <t>IrisÂ </t>
  </si>
  <si>
    <t>Alison Maclean</t>
  </si>
  <si>
    <t>Jesus' SonÂ </t>
  </si>
  <si>
    <t>TumbleweedsÂ </t>
  </si>
  <si>
    <t>Walking and TalkingÂ </t>
  </si>
  <si>
    <t>Cecil B. DeMentedÂ </t>
  </si>
  <si>
    <t>MicmacsÂ </t>
  </si>
  <si>
    <t>Kurt Hale</t>
  </si>
  <si>
    <t>The Singles WardÂ </t>
  </si>
  <si>
    <t>Tristram Shandy: A Cock and Bull StoryÂ </t>
  </si>
  <si>
    <t>Jamie Travis</t>
  </si>
  <si>
    <t>For a Good Time, Call...Â </t>
  </si>
  <si>
    <t>Monty Python and the Holy GrailÂ </t>
  </si>
  <si>
    <t>SlackerÂ </t>
  </si>
  <si>
    <t>Abel Ferrara</t>
  </si>
  <si>
    <t>The FuneralÂ </t>
  </si>
  <si>
    <t>FabiÃ¡n Bielinsky</t>
  </si>
  <si>
    <t>Nine QueensÂ </t>
  </si>
  <si>
    <t>Vipul Amrutlal Shah</t>
  </si>
  <si>
    <t>Namastey LondonÂ </t>
  </si>
  <si>
    <t>Daniel Espinosa</t>
  </si>
  <si>
    <t>Child 44Â </t>
  </si>
  <si>
    <t>Jon Hess</t>
  </si>
  <si>
    <t>Excessive ForceÂ </t>
  </si>
  <si>
    <t>District B13Â </t>
  </si>
  <si>
    <t>HeadhuntersÂ </t>
  </si>
  <si>
    <t>Norwegian</t>
  </si>
  <si>
    <t>EquilibriumÂ </t>
  </si>
  <si>
    <t>Me and Orson WellesÂ </t>
  </si>
  <si>
    <t>Alice Wu</t>
  </si>
  <si>
    <t>Saving FaceÂ </t>
  </si>
  <si>
    <t>Cristian Mungiu</t>
  </si>
  <si>
    <t>4 Months, 3 Weeks and 2 DaysÂ </t>
  </si>
  <si>
    <t>Dylan Dog: Dead of NightÂ </t>
  </si>
  <si>
    <t>Wayne Beach</t>
  </si>
  <si>
    <t>Slow BurnÂ </t>
  </si>
  <si>
    <t>Find Me GuiltyÂ </t>
  </si>
  <si>
    <t>Sajid Khan</t>
  </si>
  <si>
    <t>HousefullÂ </t>
  </si>
  <si>
    <t>The Lords of SalemÂ </t>
  </si>
  <si>
    <t>InfamousÂ </t>
  </si>
  <si>
    <t>L.I.E.Â </t>
  </si>
  <si>
    <t>David Sington</t>
  </si>
  <si>
    <t>In the Shadow of the MoonÂ </t>
  </si>
  <si>
    <t>Siddiq Barmak</t>
  </si>
  <si>
    <t>OsamaÂ </t>
  </si>
  <si>
    <t>Afghanistan</t>
  </si>
  <si>
    <t>Greg Harrison</t>
  </si>
  <si>
    <t>GrooveÂ </t>
  </si>
  <si>
    <t>The R.M.Â </t>
  </si>
  <si>
    <t>Mother and ChildÂ </t>
  </si>
  <si>
    <t>Je-kyu Kang</t>
  </si>
  <si>
    <t>Tae Guk Gi: The Brotherhood of WarÂ </t>
  </si>
  <si>
    <t>Light SleeperÂ </t>
  </si>
  <si>
    <t>Gary Rogers</t>
  </si>
  <si>
    <t>The Book of Mormon Movie, Volume 1: The JourneyÂ </t>
  </si>
  <si>
    <t>Sarah Gavron</t>
  </si>
  <si>
    <t>Brick LaneÂ </t>
  </si>
  <si>
    <t>Made in DagenhamÂ </t>
  </si>
  <si>
    <t>William Dear</t>
  </si>
  <si>
    <t>The Perfect GameÂ </t>
  </si>
  <si>
    <t>What Just HappenedÂ </t>
  </si>
  <si>
    <t>The MachinistÂ </t>
  </si>
  <si>
    <t>Blood and WineÂ </t>
  </si>
  <si>
    <t>When Did You Last See Your Father?Â </t>
  </si>
  <si>
    <t>There Be DragonsÂ </t>
  </si>
  <si>
    <t>September DawnÂ </t>
  </si>
  <si>
    <t>Matthew Diamond</t>
  </si>
  <si>
    <t>The Oogieloves in the Big Balloon AdventureÂ </t>
  </si>
  <si>
    <t>Nadine Labaki</t>
  </si>
  <si>
    <t>CaramelÂ </t>
  </si>
  <si>
    <t>WonderlandÂ </t>
  </si>
  <si>
    <t>Peaceful WarriorÂ </t>
  </si>
  <si>
    <t>Chuck &amp; BuckÂ </t>
  </si>
  <si>
    <t>Christian Carion</t>
  </si>
  <si>
    <t>Joyeux NoelÂ </t>
  </si>
  <si>
    <t>Meiert Avis</t>
  </si>
  <si>
    <t>UndiscoveredÂ </t>
  </si>
  <si>
    <t>Velvet GoldmineÂ </t>
  </si>
  <si>
    <t>Bottle RocketÂ </t>
  </si>
  <si>
    <t>Casino JackÂ </t>
  </si>
  <si>
    <t>A Home at the End of the WorldÂ </t>
  </si>
  <si>
    <t>BuriedÂ </t>
  </si>
  <si>
    <t>The Business of StrangersÂ </t>
  </si>
  <si>
    <t>The Children of Huang ShiÂ </t>
  </si>
  <si>
    <t>Jon Shear</t>
  </si>
  <si>
    <t>UrbaniaÂ </t>
  </si>
  <si>
    <t>Joe Cornish</t>
  </si>
  <si>
    <t>Attack the BlockÂ </t>
  </si>
  <si>
    <t>Owning MahownyÂ </t>
  </si>
  <si>
    <t>Hard CandyÂ </t>
  </si>
  <si>
    <t>Damsels in DistressÂ </t>
  </si>
  <si>
    <t>Ruby in ParadiseÂ </t>
  </si>
  <si>
    <t>James Fargo</t>
  </si>
  <si>
    <t>CaravansÂ </t>
  </si>
  <si>
    <t>Dick Richards</t>
  </si>
  <si>
    <t>March or DieÂ </t>
  </si>
  <si>
    <t>My Summer of LoveÂ </t>
  </si>
  <si>
    <t>Twin Falls IdahoÂ </t>
  </si>
  <si>
    <t>Marc Levin</t>
  </si>
  <si>
    <t>SlamÂ </t>
  </si>
  <si>
    <t>Robby Henson</t>
  </si>
  <si>
    <t>Thr3eÂ </t>
  </si>
  <si>
    <t>Kelly Reichardt</t>
  </si>
  <si>
    <t>Meek's CutoffÂ </t>
  </si>
  <si>
    <t>The BeaverÂ </t>
  </si>
  <si>
    <t>Diary of the DeadÂ </t>
  </si>
  <si>
    <t>Max FÃ¤rberbÃ¶ck</t>
  </si>
  <si>
    <t>Aimee &amp; JaguarÂ </t>
  </si>
  <si>
    <t>Majid Majidi</t>
  </si>
  <si>
    <t>Children of HeavenÂ </t>
  </si>
  <si>
    <t>Joseph Dorman</t>
  </si>
  <si>
    <t>Sholem Aleichem: Laughing in the DarknessÂ </t>
  </si>
  <si>
    <t>Piyush Dinker Pandya</t>
  </si>
  <si>
    <t>American DesiÂ </t>
  </si>
  <si>
    <t>The Brothers SolomonÂ </t>
  </si>
  <si>
    <t>Salvador Carrasco</t>
  </si>
  <si>
    <t>La otra conquistaÂ </t>
  </si>
  <si>
    <t>Marc Forby</t>
  </si>
  <si>
    <t>Princess KaiulaniÂ </t>
  </si>
  <si>
    <t>The YardsÂ </t>
  </si>
  <si>
    <t>David Webb Peoples</t>
  </si>
  <si>
    <t>The Blood of HeroesÂ </t>
  </si>
  <si>
    <t>The Hunting PartyÂ </t>
  </si>
  <si>
    <t>Siddharth Anand</t>
  </si>
  <si>
    <t>Ta Ra Rum PumÂ </t>
  </si>
  <si>
    <t>ControlÂ </t>
  </si>
  <si>
    <t>Where the Truth LiesÂ </t>
  </si>
  <si>
    <t>Sylvio Tabet</t>
  </si>
  <si>
    <t>Beastmaster 2: Through the Portal of TimeÂ </t>
  </si>
  <si>
    <t>My Blueberry NightsÂ </t>
  </si>
  <si>
    <t>Dave McKean</t>
  </si>
  <si>
    <t>MirrormaskÂ </t>
  </si>
  <si>
    <t>DumaÂ </t>
  </si>
  <si>
    <t>Wendy and LucyÂ </t>
  </si>
  <si>
    <t>Vera Farmiga</t>
  </si>
  <si>
    <t>Higher GroundÂ </t>
  </si>
  <si>
    <t>John Turturro</t>
  </si>
  <si>
    <t>IlluminataÂ </t>
  </si>
  <si>
    <t>James Manera</t>
  </si>
  <si>
    <t>Atlas Shrugged: Who Is John Galt?Â </t>
  </si>
  <si>
    <t>Henry Jaglom</t>
  </si>
  <si>
    <t>DÃ©jÃ  VuÂ </t>
  </si>
  <si>
    <t>C. Jay Cox</t>
  </si>
  <si>
    <t>Latter DaysÂ </t>
  </si>
  <si>
    <t>Felicia's JourneyÂ </t>
  </si>
  <si>
    <t>SphinxÂ </t>
  </si>
  <si>
    <t>Ruggero Deodato</t>
  </si>
  <si>
    <t>The BarbariansÂ </t>
  </si>
  <si>
    <t>Richard Dutcher</t>
  </si>
  <si>
    <t>Brigham CityÂ </t>
  </si>
  <si>
    <t>Michael McGowan</t>
  </si>
  <si>
    <t>Saint RalphÂ </t>
  </si>
  <si>
    <t>Darling CompanionÂ </t>
  </si>
  <si>
    <t>The Toxic Avenger Part IIÂ </t>
  </si>
  <si>
    <t>Only God ForgivesÂ </t>
  </si>
  <si>
    <t>Robert Towne</t>
  </si>
  <si>
    <t>Without LimitsÂ </t>
  </si>
  <si>
    <t>Hong-jin Na</t>
  </si>
  <si>
    <t>The WailingÂ </t>
  </si>
  <si>
    <t>Bloody SundayÂ </t>
  </si>
  <si>
    <t>The TenÂ </t>
  </si>
  <si>
    <t>The StatementÂ </t>
  </si>
  <si>
    <t>Ralph Fiennes</t>
  </si>
  <si>
    <t>CoriolanusÂ </t>
  </si>
  <si>
    <t>Gaspar NoÃ©</t>
  </si>
  <si>
    <t>IrreversibleÂ </t>
  </si>
  <si>
    <t>Gia Coppola</t>
  </si>
  <si>
    <t>Palo AltoÂ </t>
  </si>
  <si>
    <t>Donnie DarkoÂ </t>
  </si>
  <si>
    <t>On the RoadÂ </t>
  </si>
  <si>
    <t>Mike van Diem</t>
  </si>
  <si>
    <t>CharacterÂ </t>
  </si>
  <si>
    <t>Rebecca Miller</t>
  </si>
  <si>
    <t>The Ballad of Jack and RoseÂ </t>
  </si>
  <si>
    <t>RenÃ© FÃ©ret</t>
  </si>
  <si>
    <t>Mozart's SisterÂ </t>
  </si>
  <si>
    <t>Jason Eisener</t>
  </si>
  <si>
    <t>Hobo with a ShotgunÂ </t>
  </si>
  <si>
    <t>Les visiteursÂ </t>
  </si>
  <si>
    <t>Steve Buscemi</t>
  </si>
  <si>
    <t>Trees LoungeÂ </t>
  </si>
  <si>
    <t>The Caveman's ValentineÂ </t>
  </si>
  <si>
    <t>Tomm Moore</t>
  </si>
  <si>
    <t>The Secret of KellsÂ </t>
  </si>
  <si>
    <t>The Salton SeaÂ </t>
  </si>
  <si>
    <t>Jafar Panahi</t>
  </si>
  <si>
    <t>The CircleÂ </t>
  </si>
  <si>
    <t>Imagine Me &amp; YouÂ </t>
  </si>
  <si>
    <t>Richard Williams</t>
  </si>
  <si>
    <t>The Princess and the CobblerÂ </t>
  </si>
  <si>
    <t>Kaige Chen</t>
  </si>
  <si>
    <t>The PromiseÂ </t>
  </si>
  <si>
    <t>Fenton Bailey</t>
  </si>
  <si>
    <t>Inside Deep ThroatÂ </t>
  </si>
  <si>
    <t>Alex Rider: Operation StormbreakerÂ </t>
  </si>
  <si>
    <t>Ham Tran</t>
  </si>
  <si>
    <t>Journey from the FallÂ </t>
  </si>
  <si>
    <t>Vietnamese</t>
  </si>
  <si>
    <t>The Greatest Movie Ever SoldÂ </t>
  </si>
  <si>
    <t>MoliÃ¨reÂ </t>
  </si>
  <si>
    <t>Ride with the DevilÂ </t>
  </si>
  <si>
    <t>Texas RangersÂ </t>
  </si>
  <si>
    <t>Scandar Copti</t>
  </si>
  <si>
    <t>AjamiÂ </t>
  </si>
  <si>
    <t>AgoraÂ </t>
  </si>
  <si>
    <t>JirÃ­ Menzel</t>
  </si>
  <si>
    <t>I Served the King of EnglandÂ </t>
  </si>
  <si>
    <t>Czech</t>
  </si>
  <si>
    <t>Roger Nygard</t>
  </si>
  <si>
    <t>TrekkiesÂ </t>
  </si>
  <si>
    <t>Hsiao-Hsien Hou</t>
  </si>
  <si>
    <t>The AssassinÂ </t>
  </si>
  <si>
    <t>Taiwan</t>
  </si>
  <si>
    <t>Aki KaurismÃ¤ki</t>
  </si>
  <si>
    <t>Le HavreÂ </t>
  </si>
  <si>
    <t>Finland</t>
  </si>
  <si>
    <t>Khalid Mohamed</t>
  </si>
  <si>
    <t>FizaÂ </t>
  </si>
  <si>
    <t>The HuntÂ </t>
  </si>
  <si>
    <t>Rich Cowan</t>
  </si>
  <si>
    <t>The BasketÂ </t>
  </si>
  <si>
    <t>Jacob Aaron Estes</t>
  </si>
  <si>
    <t>Mean CreekÂ </t>
  </si>
  <si>
    <t>Swept AwayÂ </t>
  </si>
  <si>
    <t>Steve Taylor</t>
  </si>
  <si>
    <t>Blue Like JazzÂ </t>
  </si>
  <si>
    <t>Jonathan Caouette</t>
  </si>
  <si>
    <t>TarnationÂ </t>
  </si>
  <si>
    <t>OrgazmoÂ </t>
  </si>
  <si>
    <t>Joshua Seftel</t>
  </si>
  <si>
    <t>War, Inc.Â </t>
  </si>
  <si>
    <t>Andrew Jarecki</t>
  </si>
  <si>
    <t>All Good ThingsÂ </t>
  </si>
  <si>
    <t>David Jacobson</t>
  </si>
  <si>
    <t>Down in the ValleyÂ </t>
  </si>
  <si>
    <t>Dancer, Texas Pop. 81Â </t>
  </si>
  <si>
    <t>Rohan Sippy</t>
  </si>
  <si>
    <t>Dum Maaro DumÂ </t>
  </si>
  <si>
    <t>Mars Callahan</t>
  </si>
  <si>
    <t>Poolhall JunkiesÂ </t>
  </si>
  <si>
    <t>James Schamus</t>
  </si>
  <si>
    <t>IndignationÂ </t>
  </si>
  <si>
    <t>Bill Muir</t>
  </si>
  <si>
    <t>The Lost Medallion: The Adventures of Billy StoneÂ </t>
  </si>
  <si>
    <t>Thailand</t>
  </si>
  <si>
    <t>OndineÂ </t>
  </si>
  <si>
    <t>All the Real GirlsÂ </t>
  </si>
  <si>
    <t>Martin Koolhoven</t>
  </si>
  <si>
    <t>Winter in WartimeÂ </t>
  </si>
  <si>
    <t>Romance &amp; CigarettesÂ </t>
  </si>
  <si>
    <t>Machine Gun PreacherÂ </t>
  </si>
  <si>
    <t>Myles Berkowitz</t>
  </si>
  <si>
    <t>20 DatesÂ </t>
  </si>
  <si>
    <t>Huck Botko</t>
  </si>
  <si>
    <t>The Virginity HitÂ </t>
  </si>
  <si>
    <t>Masked and AnonymousÂ </t>
  </si>
  <si>
    <t>FreeheldÂ </t>
  </si>
  <si>
    <t>PrefontaineÂ </t>
  </si>
  <si>
    <t>Standing OvationÂ </t>
  </si>
  <si>
    <t>Angelina Jolie Pitt</t>
  </si>
  <si>
    <t>By the SeaÂ </t>
  </si>
  <si>
    <t>Things to Do in Denver When You're DeadÂ </t>
  </si>
  <si>
    <t>EarthÂ </t>
  </si>
  <si>
    <t>Dom HemingwayÂ </t>
  </si>
  <si>
    <t>A Hard Day's NightÂ </t>
  </si>
  <si>
    <t>Michel Leclerc</t>
  </si>
  <si>
    <t>The Names of LoveÂ </t>
  </si>
  <si>
    <t>Marc F. Adler</t>
  </si>
  <si>
    <t>DelgoÂ </t>
  </si>
  <si>
    <t>BullyÂ </t>
  </si>
  <si>
    <t>William Bindley</t>
  </si>
  <si>
    <t>MadisonÂ </t>
  </si>
  <si>
    <t>Khyentse Norbu</t>
  </si>
  <si>
    <t>Travelers and MagiciansÂ </t>
  </si>
  <si>
    <t>Dzongkha</t>
  </si>
  <si>
    <t>Andrey Zvyagintsev</t>
  </si>
  <si>
    <t>The ReturnÂ </t>
  </si>
  <si>
    <t>The Passion of the ChristÂ </t>
  </si>
  <si>
    <t>Aramaic</t>
  </si>
  <si>
    <t>CubeÂ </t>
  </si>
  <si>
    <t>Shaolin SoccerÂ </t>
  </si>
  <si>
    <t>Joshua Oppenheimer</t>
  </si>
  <si>
    <t>The Act of KillingÂ </t>
  </si>
  <si>
    <t>Corey Yuen</t>
  </si>
  <si>
    <t>DOA: Dead or AliveÂ </t>
  </si>
  <si>
    <t>The Baader Meinhof ComplexÂ </t>
  </si>
  <si>
    <t>Frank Sebastiano</t>
  </si>
  <si>
    <t>Beer LeagueÂ </t>
  </si>
  <si>
    <t>Andrew Haigh</t>
  </si>
  <si>
    <t>WeekendÂ </t>
  </si>
  <si>
    <t>Richard Ayoade</t>
  </si>
  <si>
    <t>SubmarineÂ </t>
  </si>
  <si>
    <t>Finn Taylor</t>
  </si>
  <si>
    <t>Dream with the FishesÂ </t>
  </si>
  <si>
    <t>Karen Moncrieff</t>
  </si>
  <si>
    <t>Blue CarÂ </t>
  </si>
  <si>
    <t>Jeff Nathanson</t>
  </si>
  <si>
    <t>The Last ShotÂ </t>
  </si>
  <si>
    <t>The Extra ManÂ </t>
  </si>
  <si>
    <t>Tom Hooper</t>
  </si>
  <si>
    <t>The Damned UnitedÂ </t>
  </si>
  <si>
    <t>Takeshi Kitano</t>
  </si>
  <si>
    <t>BrotherÂ </t>
  </si>
  <si>
    <t xml:space="preserve">DekalogÂ             </t>
  </si>
  <si>
    <t>ClockwatchersÂ </t>
  </si>
  <si>
    <t>Jamal Hill</t>
  </si>
  <si>
    <t>Brotherly LoveÂ </t>
  </si>
  <si>
    <t>The HammerÂ </t>
  </si>
  <si>
    <t>Maryam Keshavarz</t>
  </si>
  <si>
    <t>CircumstanceÂ </t>
  </si>
  <si>
    <t>IdiocracyÂ </t>
  </si>
  <si>
    <t>Tom Kalin</t>
  </si>
  <si>
    <t>Savage GraceÂ </t>
  </si>
  <si>
    <t>JosÃ© Luis Valenzuela</t>
  </si>
  <si>
    <t>LuminariasÂ </t>
  </si>
  <si>
    <t>Ray Griggs</t>
  </si>
  <si>
    <t>I Want Your MoneyÂ </t>
  </si>
  <si>
    <t>Shane Carruth</t>
  </si>
  <si>
    <t>PrimerÂ </t>
  </si>
  <si>
    <t>Killing ZoeÂ </t>
  </si>
  <si>
    <t>Leslye Headland</t>
  </si>
  <si>
    <t>BacheloretteÂ </t>
  </si>
  <si>
    <t>SpunÂ </t>
  </si>
  <si>
    <t>Henry Bean</t>
  </si>
  <si>
    <t>The BelieverÂ </t>
  </si>
  <si>
    <t>Sound of My VoiceÂ </t>
  </si>
  <si>
    <t>The ClaimÂ </t>
  </si>
  <si>
    <t>Alain Resnais</t>
  </si>
  <si>
    <t>Wild GrassÂ </t>
  </si>
  <si>
    <t>Snow AngelsÂ </t>
  </si>
  <si>
    <t>Ray Lawrence</t>
  </si>
  <si>
    <t>JindabyneÂ </t>
  </si>
  <si>
    <t>The Loss of Sexual InnocenceÂ </t>
  </si>
  <si>
    <t>Rick Bieber</t>
  </si>
  <si>
    <t>The 5th QuarterÂ </t>
  </si>
  <si>
    <t>Brooklyn RulesÂ </t>
  </si>
  <si>
    <t>Sally Potter</t>
  </si>
  <si>
    <t>YesÂ </t>
  </si>
  <si>
    <t>Isabel Coixet</t>
  </si>
  <si>
    <t>My Life Without MeÂ </t>
  </si>
  <si>
    <t>Lena Dunham</t>
  </si>
  <si>
    <t>Tiny FurnitureÂ </t>
  </si>
  <si>
    <t>Spencer Susser</t>
  </si>
  <si>
    <t>HesherÂ </t>
  </si>
  <si>
    <t>Maurizio Benazzo</t>
  </si>
  <si>
    <t>Short Cut to Nirvana: Kumbh MelaÂ </t>
  </si>
  <si>
    <t>The QuietÂ </t>
  </si>
  <si>
    <t>Michael Landon Jr.</t>
  </si>
  <si>
    <t>The Last Sin EaterÂ </t>
  </si>
  <si>
    <t>Hans Canosa</t>
  </si>
  <si>
    <t>Conversations with Other WomenÂ </t>
  </si>
  <si>
    <t>Coming HomeÂ </t>
  </si>
  <si>
    <t>Anna Muylaert</t>
  </si>
  <si>
    <t>The Second MotherÂ </t>
  </si>
  <si>
    <t>David Anspaugh</t>
  </si>
  <si>
    <t>The Game of Their LivesÂ </t>
  </si>
  <si>
    <t>Session 9Â </t>
  </si>
  <si>
    <t>Andrea Arnold</t>
  </si>
  <si>
    <t>Fish TankÂ </t>
  </si>
  <si>
    <t>JoeÂ </t>
  </si>
  <si>
    <t>David Duchovny</t>
  </si>
  <si>
    <t>House of DÂ </t>
  </si>
  <si>
    <t>The Brown BunnyÂ </t>
  </si>
  <si>
    <t>PrisonÂ </t>
  </si>
  <si>
    <t>Buffalo SoldiersÂ </t>
  </si>
  <si>
    <t>Agnieszka Holland</t>
  </si>
  <si>
    <t>Copying BeethovenÂ </t>
  </si>
  <si>
    <t>Ashish R. Mohan</t>
  </si>
  <si>
    <t>Khiladi 786Â </t>
  </si>
  <si>
    <t>Dario Argento</t>
  </si>
  <si>
    <t>Two Evil EyesÂ </t>
  </si>
  <si>
    <t>Mitchell Lichtenstein</t>
  </si>
  <si>
    <t>TeethÂ </t>
  </si>
  <si>
    <t>Joe Swanberg</t>
  </si>
  <si>
    <t>Drinking BuddiesÂ </t>
  </si>
  <si>
    <t>Enter the VoidÂ </t>
  </si>
  <si>
    <t>Keith Gordon</t>
  </si>
  <si>
    <t>The Singing DetectiveÂ </t>
  </si>
  <si>
    <t>I OriginsÂ </t>
  </si>
  <si>
    <t>Morgan J. Freeman</t>
  </si>
  <si>
    <t>Hurricane StreetsÂ </t>
  </si>
  <si>
    <t>Welcome to CollinwoodÂ </t>
  </si>
  <si>
    <t>Marilyn Hotchkiss' Ballroom Dancing and Charm SchoolÂ </t>
  </si>
  <si>
    <t>This Is EnglandÂ </t>
  </si>
  <si>
    <t>Albino AlligatorÂ </t>
  </si>
  <si>
    <t>Matt Dillon</t>
  </si>
  <si>
    <t>City of GhostsÂ </t>
  </si>
  <si>
    <t>SuperÂ </t>
  </si>
  <si>
    <t>The Last WaltzÂ </t>
  </si>
  <si>
    <t>Craig Zobel</t>
  </si>
  <si>
    <t>ComplianceÂ </t>
  </si>
  <si>
    <t>AdoreÂ </t>
  </si>
  <si>
    <t>Udayan Prasad</t>
  </si>
  <si>
    <t>The Yellow HandkerchiefÂ </t>
  </si>
  <si>
    <t>Good KillÂ </t>
  </si>
  <si>
    <t>Petter NÃ¦ss</t>
  </si>
  <si>
    <t>EllingÂ </t>
  </si>
  <si>
    <t>Alex Zamm</t>
  </si>
  <si>
    <t>Chairman of the BoardÂ </t>
  </si>
  <si>
    <t>Rapa NuiÂ </t>
  </si>
  <si>
    <t>Christopher Morris</t>
  </si>
  <si>
    <t>Four LionsÂ </t>
  </si>
  <si>
    <t>Lucrecia Martel</t>
  </si>
  <si>
    <t>The Holy GirlÂ </t>
  </si>
  <si>
    <t>The Life Before Her EyesÂ </t>
  </si>
  <si>
    <t>Stefan Schwartz</t>
  </si>
  <si>
    <t>Shooting FishÂ </t>
  </si>
  <si>
    <t>In the Land of Blood and HoneyÂ </t>
  </si>
  <si>
    <t>Bosnian</t>
  </si>
  <si>
    <t>Andrew Currie</t>
  </si>
  <si>
    <t>FidoÂ </t>
  </si>
  <si>
    <t>Party MonsterÂ </t>
  </si>
  <si>
    <t>Eric Schaeffer</t>
  </si>
  <si>
    <t>Never AgainÂ </t>
  </si>
  <si>
    <t>Anthony Powell</t>
  </si>
  <si>
    <t>Antarctica: A Year on IceÂ </t>
  </si>
  <si>
    <t>Efram Potelle</t>
  </si>
  <si>
    <t>The Battle of Shaker HeightsÂ </t>
  </si>
  <si>
    <t>Life During WartimeÂ </t>
  </si>
  <si>
    <t>Kevin Jordan</t>
  </si>
  <si>
    <t>Smiling Fish &amp; Goat on FireÂ </t>
  </si>
  <si>
    <t>Alex Gibney</t>
  </si>
  <si>
    <t>Taxi to the Dark SideÂ </t>
  </si>
  <si>
    <t>Fatih Akin</t>
  </si>
  <si>
    <t>Soul KitchenÂ </t>
  </si>
  <si>
    <t>Southland TalesÂ </t>
  </si>
  <si>
    <t>Akira Kurosawa</t>
  </si>
  <si>
    <t>Seven SamuraiÂ </t>
  </si>
  <si>
    <t>Morvern CallarÂ </t>
  </si>
  <si>
    <t>Robert Lee King</t>
  </si>
  <si>
    <t>Psycho Beach PartyÂ </t>
  </si>
  <si>
    <t>The TempestÂ </t>
  </si>
  <si>
    <t>2046Â </t>
  </si>
  <si>
    <t>Blue RuinÂ </t>
  </si>
  <si>
    <t>Old JoyÂ </t>
  </si>
  <si>
    <t>Love's Abiding JoyÂ </t>
  </si>
  <si>
    <t>AndrÃ© Ã˜vredal</t>
  </si>
  <si>
    <t>TrollhunterÂ </t>
  </si>
  <si>
    <t>Harry Gantz</t>
  </si>
  <si>
    <t>Sex with StrangersÂ </t>
  </si>
  <si>
    <t>Paul Fierlinger</t>
  </si>
  <si>
    <t>My Dog TulipÂ </t>
  </si>
  <si>
    <t>Bigas Luna</t>
  </si>
  <si>
    <t>The Chambermaid on the TitanicÂ </t>
  </si>
  <si>
    <t>Mike Bruce</t>
  </si>
  <si>
    <t>The Legend of God's GunÂ </t>
  </si>
  <si>
    <t>Neema Barnette</t>
  </si>
  <si>
    <t>Civil BrandÂ </t>
  </si>
  <si>
    <t>George WashingtonÂ </t>
  </si>
  <si>
    <t>Feroz Abbas Khan</t>
  </si>
  <si>
    <t>Gandhi, My FatherÂ </t>
  </si>
  <si>
    <t>Jeremy Brock</t>
  </si>
  <si>
    <t>Driving LessonsÂ </t>
  </si>
  <si>
    <t>Gareth Edwards</t>
  </si>
  <si>
    <t>MonstersÂ </t>
  </si>
  <si>
    <t>GerryÂ </t>
  </si>
  <si>
    <t>Richard E. Grant</t>
  </si>
  <si>
    <t>Wah-WahÂ </t>
  </si>
  <si>
    <t>Claude Chabrol</t>
  </si>
  <si>
    <t>The SwindleÂ </t>
  </si>
  <si>
    <t>Mathieu Amalric</t>
  </si>
  <si>
    <t>The Blue RoomÂ </t>
  </si>
  <si>
    <t>Lance Hool</t>
  </si>
  <si>
    <t>One Man's HeroÂ </t>
  </si>
  <si>
    <t>John Maclean</t>
  </si>
  <si>
    <t>Slow WestÂ </t>
  </si>
  <si>
    <t>Errol Morris</t>
  </si>
  <si>
    <t>Standard Operating ProcedureÂ </t>
  </si>
  <si>
    <t>Dan Harris</t>
  </si>
  <si>
    <t>Imaginary HeroesÂ </t>
  </si>
  <si>
    <t>Rohit Jagessar</t>
  </si>
  <si>
    <t>Guiana 1838Â </t>
  </si>
  <si>
    <t>Mel Smith</t>
  </si>
  <si>
    <t>High Heels and Low LifesÂ </t>
  </si>
  <si>
    <t>AmourÂ </t>
  </si>
  <si>
    <t>Remember Me, My LoveÂ </t>
  </si>
  <si>
    <t>Eli Craig</t>
  </si>
  <si>
    <t>Tucker and Dale vs EvilÂ </t>
  </si>
  <si>
    <t>Bobcat Goldthwait</t>
  </si>
  <si>
    <t>World's Greatest DadÂ </t>
  </si>
  <si>
    <t>Fur: An Imaginary Portrait of Diane ArbusÂ </t>
  </si>
  <si>
    <t>Robert Cary</t>
  </si>
  <si>
    <t>Ira &amp; AbbyÂ </t>
  </si>
  <si>
    <t>Justin Dillon</t>
  </si>
  <si>
    <t>Call + ResponseÂ </t>
  </si>
  <si>
    <t>The Killer Inside MeÂ </t>
  </si>
  <si>
    <t>Marco Kreuzpaintner</t>
  </si>
  <si>
    <t>TradeÂ </t>
  </si>
  <si>
    <t>Emma-Kate Croghan</t>
  </si>
  <si>
    <t>Love and Other CatastrophesÂ </t>
  </si>
  <si>
    <t>CJ7Â </t>
  </si>
  <si>
    <t>Claude Miller</t>
  </si>
  <si>
    <t>Alias BettyÂ </t>
  </si>
  <si>
    <t>Bill Plympton</t>
  </si>
  <si>
    <t>I Married a Strange Person!Â </t>
  </si>
  <si>
    <t>Tim Heidecker</t>
  </si>
  <si>
    <t>Tim and Eric's Billion Dollar MovieÂ </t>
  </si>
  <si>
    <t>Mateo Gil</t>
  </si>
  <si>
    <t>BlackthornÂ </t>
  </si>
  <si>
    <t>Laurie Collyer</t>
  </si>
  <si>
    <t>SherrybabyÂ </t>
  </si>
  <si>
    <t>Code 46Â </t>
  </si>
  <si>
    <t>Thaddeus O'Sullivan</t>
  </si>
  <si>
    <t>The Heart of MeÂ </t>
  </si>
  <si>
    <t>Jeff Garlin</t>
  </si>
  <si>
    <t>I Want Someone to Eat Cheese WithÂ </t>
  </si>
  <si>
    <t>The Puffy ChairÂ </t>
  </si>
  <si>
    <t>NovemberÂ </t>
  </si>
  <si>
    <t>A Woman, a Gun and a Noodle ShopÂ </t>
  </si>
  <si>
    <t>The Nutcracker in 3DÂ </t>
  </si>
  <si>
    <t>Easy MoneyÂ </t>
  </si>
  <si>
    <t>StonewallÂ </t>
  </si>
  <si>
    <t>The Big TeaseÂ </t>
  </si>
  <si>
    <t>Guillaume Canet</t>
  </si>
  <si>
    <t>Little White LiesÂ </t>
  </si>
  <si>
    <t>AmigoÂ </t>
  </si>
  <si>
    <t>StolenÂ </t>
  </si>
  <si>
    <t>The Lucky OnesÂ </t>
  </si>
  <si>
    <t>The Flower of EvilÂ </t>
  </si>
  <si>
    <t>Lukas Moodysson</t>
  </si>
  <si>
    <t>Lilya 4-EverÂ </t>
  </si>
  <si>
    <t>Pink FlamingosÂ </t>
  </si>
  <si>
    <t>Carmen Marron</t>
  </si>
  <si>
    <t>Go for It!Â </t>
  </si>
  <si>
    <t>Sugar TownÂ </t>
  </si>
  <si>
    <t>Alan Rudolph</t>
  </si>
  <si>
    <t>Breakfast of ChampionsÂ </t>
  </si>
  <si>
    <t>Sherman Alexie</t>
  </si>
  <si>
    <t>The Business of FancydancingÂ </t>
  </si>
  <si>
    <t>Joshua Tickell</t>
  </si>
  <si>
    <t>FuelÂ </t>
  </si>
  <si>
    <t>Bruce Campbell</t>
  </si>
  <si>
    <t>My Name Is BruceÂ </t>
  </si>
  <si>
    <t>Mercy StreetsÂ </t>
  </si>
  <si>
    <t>MaÃ¯wenn</t>
  </si>
  <si>
    <t>PolisseÂ </t>
  </si>
  <si>
    <t>Randy Moore</t>
  </si>
  <si>
    <t>Escape from TomorrowÂ </t>
  </si>
  <si>
    <t>Rafa Lara</t>
  </si>
  <si>
    <t>Cinco de Mayo, La BatallaÂ </t>
  </si>
  <si>
    <t>The Last GodfatherÂ </t>
  </si>
  <si>
    <t>Charles Chaplin</t>
  </si>
  <si>
    <t>Modern TimesÂ </t>
  </si>
  <si>
    <t>Michel Orion Scott</t>
  </si>
  <si>
    <t>The Horse BoyÂ </t>
  </si>
  <si>
    <t>Eytan Fox</t>
  </si>
  <si>
    <t>The BubbleÂ </t>
  </si>
  <si>
    <t>Lonesome JimÂ </t>
  </si>
  <si>
    <t>Jake Scott</t>
  </si>
  <si>
    <t>Welcome to the RileysÂ </t>
  </si>
  <si>
    <t>Molly Bernstein</t>
  </si>
  <si>
    <t>Deceptive Practice: The Mysteries and Mentors of Ricky JayÂ </t>
  </si>
  <si>
    <t>Fernando LeÃ³n de Aranoa</t>
  </si>
  <si>
    <t>Mondays in the SunÂ </t>
  </si>
  <si>
    <t>The Land GirlsÂ </t>
  </si>
  <si>
    <t>Lucky McKee</t>
  </si>
  <si>
    <t>MayÂ </t>
  </si>
  <si>
    <t xml:space="preserve">CarlosÂ             </t>
  </si>
  <si>
    <t>Ole Christian Madsen</t>
  </si>
  <si>
    <t>Flame and CitronÂ </t>
  </si>
  <si>
    <t>DeterrenceÂ </t>
  </si>
  <si>
    <t>Paul Crowder</t>
  </si>
  <si>
    <t>Once in a Lifetime: The Extraordinary Story of the New York CosmosÂ </t>
  </si>
  <si>
    <t>Richard Raymond</t>
  </si>
  <si>
    <t>Desert DancerÂ </t>
  </si>
  <si>
    <t>Deon Taylor</t>
  </si>
  <si>
    <t>Chain LetterÂ </t>
  </si>
  <si>
    <t>Critical CareÂ </t>
  </si>
  <si>
    <t>Free StyleÂ </t>
  </si>
  <si>
    <t>Repo! The Genetic OperaÂ </t>
  </si>
  <si>
    <t>BagheadÂ </t>
  </si>
  <si>
    <t>The Last Five YearsÂ </t>
  </si>
  <si>
    <t>SeveranceÂ </t>
  </si>
  <si>
    <t>CleanÂ </t>
  </si>
  <si>
    <t>Love RanchÂ </t>
  </si>
  <si>
    <t>Marius A. Markevicius</t>
  </si>
  <si>
    <t>The Other Dream TeamÂ </t>
  </si>
  <si>
    <t>EdmondÂ </t>
  </si>
  <si>
    <t>Henry Hobson</t>
  </si>
  <si>
    <t>MaggieÂ </t>
  </si>
  <si>
    <t>Romesh Sharma</t>
  </si>
  <si>
    <t>Dil Jo Bhi Kahey...Â </t>
  </si>
  <si>
    <t>Kung Fu KillerÂ </t>
  </si>
  <si>
    <t>Peter Ho-Sun Chan</t>
  </si>
  <si>
    <t>The WarlordsÂ </t>
  </si>
  <si>
    <t>Conor McPherson</t>
  </si>
  <si>
    <t>The EclipseÂ </t>
  </si>
  <si>
    <t>The Good, the Bad, the WeirdÂ </t>
  </si>
  <si>
    <t>Li Zhang</t>
  </si>
  <si>
    <t>1911Â </t>
  </si>
  <si>
    <t>Andrew Wilson</t>
  </si>
  <si>
    <t>The Wendell Baker StoryÂ </t>
  </si>
  <si>
    <t>Lucio Fulci</t>
  </si>
  <si>
    <t>The BeyondÂ </t>
  </si>
  <si>
    <t>Alan Metter</t>
  </si>
  <si>
    <t>Police Academy: Mission to MoscowÂ </t>
  </si>
  <si>
    <t>Floyd Mutrux</t>
  </si>
  <si>
    <t>There Goes My BabyÂ </t>
  </si>
  <si>
    <t>Nicholas Fackler</t>
  </si>
  <si>
    <t>Lovely, StillÂ </t>
  </si>
  <si>
    <t>Lance Mungia</t>
  </si>
  <si>
    <t>Six-String SamuraiÂ </t>
  </si>
  <si>
    <t>Warren P. Sonoda</t>
  </si>
  <si>
    <t>The Masked SaintÂ </t>
  </si>
  <si>
    <t>CenturionÂ </t>
  </si>
  <si>
    <t>Daniel Algrant</t>
  </si>
  <si>
    <t>People I KnowÂ </t>
  </si>
  <si>
    <t>It's All Gone Pete TongÂ </t>
  </si>
  <si>
    <t>Chuan Lu</t>
  </si>
  <si>
    <t>City of Life and DeathÂ </t>
  </si>
  <si>
    <t>Pete Jones</t>
  </si>
  <si>
    <t>Stolen SummerÂ </t>
  </si>
  <si>
    <t>Tim Boxell</t>
  </si>
  <si>
    <t>Valley of the Heart's DelightÂ </t>
  </si>
  <si>
    <t>Joey Lauren Adams</t>
  </si>
  <si>
    <t>Come Early MorningÂ </t>
  </si>
  <si>
    <t>Wild TargetÂ </t>
  </si>
  <si>
    <t>The GreatestÂ </t>
  </si>
  <si>
    <t>James Dodson</t>
  </si>
  <si>
    <t>The Other End of the LineÂ </t>
  </si>
  <si>
    <t>Gentlemen BroncosÂ </t>
  </si>
  <si>
    <t>All or NothingÂ </t>
  </si>
  <si>
    <t>Lisa Picard Is FamousÂ </t>
  </si>
  <si>
    <t>Tom Putnam</t>
  </si>
  <si>
    <t>BurnÂ </t>
  </si>
  <si>
    <t>Robinson Devor</t>
  </si>
  <si>
    <t>The Woman ChaserÂ </t>
  </si>
  <si>
    <t>Larry Blamire</t>
  </si>
  <si>
    <t>The Lost Skeleton of CadavraÂ </t>
  </si>
  <si>
    <t>Yorgos Lanthimos</t>
  </si>
  <si>
    <t>DogtoothÂ </t>
  </si>
  <si>
    <t>Greek</t>
  </si>
  <si>
    <t>Rachel Perkins</t>
  </si>
  <si>
    <t>Bran Nue DaeÂ </t>
  </si>
  <si>
    <t>Bob Giraldi</t>
  </si>
  <si>
    <t>Dinner RushÂ </t>
  </si>
  <si>
    <t>Marc SchÃ¶lermann</t>
  </si>
  <si>
    <t>PathologyÂ </t>
  </si>
  <si>
    <t>Agnieszka Wojtowicz-Vosloo</t>
  </si>
  <si>
    <t>After.LifeÂ </t>
  </si>
  <si>
    <t>Andrea Di Stefano</t>
  </si>
  <si>
    <t>Escobar: Paradise LostÂ </t>
  </si>
  <si>
    <t>Adam Carolla</t>
  </si>
  <si>
    <t>Road HardÂ </t>
  </si>
  <si>
    <t>BronsonÂ </t>
  </si>
  <si>
    <t>Justin Kerrigan</t>
  </si>
  <si>
    <t>Human TrafficÂ </t>
  </si>
  <si>
    <t>Goran Dukic</t>
  </si>
  <si>
    <t>Wristcutters: A Love StoryÂ </t>
  </si>
  <si>
    <t>Adam Rapp</t>
  </si>
  <si>
    <t>Winter PassingÂ </t>
  </si>
  <si>
    <t>Survival of the DeadÂ </t>
  </si>
  <si>
    <t>Heidi Ewing</t>
  </si>
  <si>
    <t>FreakonomicsÂ </t>
  </si>
  <si>
    <t>Hue Rhodes</t>
  </si>
  <si>
    <t>Saint John of Las VegasÂ </t>
  </si>
  <si>
    <t>Ti West</t>
  </si>
  <si>
    <t>The House of the DevilÂ </t>
  </si>
  <si>
    <t>Julio DePietro</t>
  </si>
  <si>
    <t>The Good GuyÂ </t>
  </si>
  <si>
    <t>Jorge RamÃ­rez SuÃ¡rez</t>
  </si>
  <si>
    <t>Buen DÃ­a, RamÃ³nÂ </t>
  </si>
  <si>
    <t>Arjun Sablok</t>
  </si>
  <si>
    <t>Neal 'N' NikkiÂ </t>
  </si>
  <si>
    <t>Kief Davidson</t>
  </si>
  <si>
    <t>A Lego BrickumentaryÂ </t>
  </si>
  <si>
    <t>Reed Cowan</t>
  </si>
  <si>
    <t>8: The Mormon PropositionÂ </t>
  </si>
  <si>
    <t>The Young and Prodigious T.S. SpivetÂ </t>
  </si>
  <si>
    <t>Desert BlueÂ </t>
  </si>
  <si>
    <t>Quentin Dupieux</t>
  </si>
  <si>
    <t>RubberÂ </t>
  </si>
  <si>
    <t>D.E.B.S.Â </t>
  </si>
  <si>
    <t>Johnny Remo</t>
  </si>
  <si>
    <t>HardflipÂ </t>
  </si>
  <si>
    <t>Remo</t>
  </si>
  <si>
    <t>ABCD (Any Body Can Dance)Â </t>
  </si>
  <si>
    <t>Summer StormÂ </t>
  </si>
  <si>
    <t>Kiyoshi Kurosawa</t>
  </si>
  <si>
    <t>The CureÂ </t>
  </si>
  <si>
    <t>Katherine Dieckmann</t>
  </si>
  <si>
    <t>MotherhoodÂ </t>
  </si>
  <si>
    <t>Steven R. Monroe</t>
  </si>
  <si>
    <t>I Spit on Your GraveÂ </t>
  </si>
  <si>
    <t>The SalonÂ </t>
  </si>
  <si>
    <t>Barry Skolnick</t>
  </si>
  <si>
    <t>Mean MachineÂ </t>
  </si>
  <si>
    <t>David Pastor</t>
  </si>
  <si>
    <t>CarriersÂ </t>
  </si>
  <si>
    <t>Giuseppe Tornatore</t>
  </si>
  <si>
    <t>The Best OfferÂ </t>
  </si>
  <si>
    <t>My Date with DrewÂ </t>
  </si>
  <si>
    <t>HeroÂ </t>
  </si>
  <si>
    <t>Doug Block</t>
  </si>
  <si>
    <t>51 Birch StreetÂ </t>
  </si>
  <si>
    <t>Blood Done Sign My NameÂ </t>
  </si>
  <si>
    <t>GÃ©rard Krawczyk</t>
  </si>
  <si>
    <t>WasabiÂ </t>
  </si>
  <si>
    <t>Richard Montoya</t>
  </si>
  <si>
    <t>Water &amp; PowerÂ </t>
  </si>
  <si>
    <t>Middle of NowhereÂ </t>
  </si>
  <si>
    <t>The InnkeepersÂ </t>
  </si>
  <si>
    <t>Nomad: The WarriorÂ </t>
  </si>
  <si>
    <t>Kazakh</t>
  </si>
  <si>
    <t>Daryl Wein</t>
  </si>
  <si>
    <t>Breaking UpwardsÂ </t>
  </si>
  <si>
    <t>Alex Rivera</t>
  </si>
  <si>
    <t>Sleep DealerÂ </t>
  </si>
  <si>
    <t>An Everlasting PieceÂ </t>
  </si>
  <si>
    <t>ManderlayÂ </t>
  </si>
  <si>
    <t>Kate Connor</t>
  </si>
  <si>
    <t>Fort McCoyÂ </t>
  </si>
  <si>
    <t>RyÃ»hei Kitamura</t>
  </si>
  <si>
    <t>The Midnight Meat TrainÂ </t>
  </si>
  <si>
    <t>Dragon BladeÂ </t>
  </si>
  <si>
    <t>Michael D. Sellers</t>
  </si>
  <si>
    <t>Eye of the DolphinÂ </t>
  </si>
  <si>
    <t>StÃ©phane Aubier</t>
  </si>
  <si>
    <t>Ernest &amp; CelestineÂ </t>
  </si>
  <si>
    <t>Michael Clancy</t>
  </si>
  <si>
    <t>EulogyÂ </t>
  </si>
  <si>
    <t>Neill Dela Llana</t>
  </si>
  <si>
    <t>CaviteÂ </t>
  </si>
  <si>
    <t>Philippines</t>
  </si>
  <si>
    <t>Gary Sinyor</t>
  </si>
  <si>
    <t>Stiff Upper LipsÂ </t>
  </si>
  <si>
    <t>Oren Moverman</t>
  </si>
  <si>
    <t>The MessengerÂ </t>
  </si>
  <si>
    <t>Stefan Ruzowitzky</t>
  </si>
  <si>
    <t>DeadfallÂ </t>
  </si>
  <si>
    <t>RedactedÂ </t>
  </si>
  <si>
    <t>Among GiantsÂ </t>
  </si>
  <si>
    <t>The NotebookÂ </t>
  </si>
  <si>
    <t>Hans Petter Moland</t>
  </si>
  <si>
    <t>AberdeenÂ </t>
  </si>
  <si>
    <t>Christian Volckman</t>
  </si>
  <si>
    <t>RenaissanceÂ </t>
  </si>
  <si>
    <t>Benjamin Dickinson</t>
  </si>
  <si>
    <t>Creative ControlÂ </t>
  </si>
  <si>
    <t>3Â </t>
  </si>
  <si>
    <t>E.L. Katz</t>
  </si>
  <si>
    <t>Cheap ThrillsÂ </t>
  </si>
  <si>
    <t>Kurt Voss</t>
  </si>
  <si>
    <t>Down and Out with the DollsÂ </t>
  </si>
  <si>
    <t>TrustÂ </t>
  </si>
  <si>
    <t>Catherine Jelski</t>
  </si>
  <si>
    <t>The Young UnknownsÂ </t>
  </si>
  <si>
    <t>The RoadÂ </t>
  </si>
  <si>
    <t>Panos Cosmatos</t>
  </si>
  <si>
    <t>Beyond the Black RainbowÂ </t>
  </si>
  <si>
    <t>Harvard ManÂ </t>
  </si>
  <si>
    <t>Jugal Hansraj</t>
  </si>
  <si>
    <t>Roadside RomeoÂ </t>
  </si>
  <si>
    <t>RegressionÂ </t>
  </si>
  <si>
    <t>Lucky BreakÂ </t>
  </si>
  <si>
    <t>Robert Moresco</t>
  </si>
  <si>
    <t>10th &amp; WolfÂ </t>
  </si>
  <si>
    <t>Claudia Llosa</t>
  </si>
  <si>
    <t>AloftÂ </t>
  </si>
  <si>
    <t>Finishing the Game: The Search for a New Bruce LeeÂ </t>
  </si>
  <si>
    <t>James Mottern</t>
  </si>
  <si>
    <t>TruckerÂ </t>
  </si>
  <si>
    <t>My Lucky StarÂ </t>
  </si>
  <si>
    <t>Arie Posin</t>
  </si>
  <si>
    <t>The ChumscrubberÂ </t>
  </si>
  <si>
    <t>The CanyonsÂ </t>
  </si>
  <si>
    <t>Johnnie To</t>
  </si>
  <si>
    <t>ExiledÂ </t>
  </si>
  <si>
    <t>Vivek Agnihotri</t>
  </si>
  <si>
    <t>Chocolate: Deep Dark SecretsÂ </t>
  </si>
  <si>
    <t>MadadayoÂ </t>
  </si>
  <si>
    <t>Nick Tomnay</t>
  </si>
  <si>
    <t>The Perfect HostÂ </t>
  </si>
  <si>
    <t>Interview with the AssassinÂ </t>
  </si>
  <si>
    <t>Michael Kang</t>
  </si>
  <si>
    <t>The MotelÂ </t>
  </si>
  <si>
    <t>MargaretÂ </t>
  </si>
  <si>
    <t>Stephen Milburn Anderson</t>
  </si>
  <si>
    <t>Ca$hÂ </t>
  </si>
  <si>
    <t>Shotgun StoriesÂ </t>
  </si>
  <si>
    <t>Raging BullÂ </t>
  </si>
  <si>
    <t>Mary McGuckian</t>
  </si>
  <si>
    <t>The Bridge of San Luis ReyÂ </t>
  </si>
  <si>
    <t>Dead SnowÂ </t>
  </si>
  <si>
    <t>Blood TiesÂ </t>
  </si>
  <si>
    <t>Brandon Trost</t>
  </si>
  <si>
    <t>The FPÂ </t>
  </si>
  <si>
    <t>First Love, Last RitesÂ </t>
  </si>
  <si>
    <t>Jason Alexander</t>
  </si>
  <si>
    <t>Just LookingÂ </t>
  </si>
  <si>
    <t>Guy Maddin</t>
  </si>
  <si>
    <t>Dracula: Pages from a Virgin's DiaryÂ </t>
  </si>
  <si>
    <t>Nacho Vigalondo</t>
  </si>
  <si>
    <t>TimecrimesÂ </t>
  </si>
  <si>
    <t>Peter Stebbings</t>
  </si>
  <si>
    <t>DefendorÂ </t>
  </si>
  <si>
    <t>William H. Macy</t>
  </si>
  <si>
    <t>RudderlessÂ </t>
  </si>
  <si>
    <t>Zak Penn</t>
  </si>
  <si>
    <t>Incident at Loch NessÂ </t>
  </si>
  <si>
    <t>S.R. Bindler</t>
  </si>
  <si>
    <t>Surfer, DudeÂ </t>
  </si>
  <si>
    <t>Shane Dawson</t>
  </si>
  <si>
    <t>Not CoolÂ </t>
  </si>
  <si>
    <t>Mor Loushy</t>
  </si>
  <si>
    <t>Censored VoicesÂ </t>
  </si>
  <si>
    <t>Julie Davis</t>
  </si>
  <si>
    <t>I Love You, Don't Touch Me!Â </t>
  </si>
  <si>
    <t>Mean StreetsÂ </t>
  </si>
  <si>
    <t>Florence Ayisi</t>
  </si>
  <si>
    <t>Sisters in LawÂ </t>
  </si>
  <si>
    <t>Cameroon</t>
  </si>
  <si>
    <t>Kiss the BrideÂ </t>
  </si>
  <si>
    <t>John H. Lee</t>
  </si>
  <si>
    <t>Operation ChromiteÂ </t>
  </si>
  <si>
    <t>Happy ChristmasÂ </t>
  </si>
  <si>
    <t>Time to ChooseÂ </t>
  </si>
  <si>
    <t>Dito Montiel</t>
  </si>
  <si>
    <t>The Son of No OneÂ </t>
  </si>
  <si>
    <t>George Ratliff</t>
  </si>
  <si>
    <t>Salvation BoulevardÂ </t>
  </si>
  <si>
    <t>[Rec] 2Â </t>
  </si>
  <si>
    <t>Redemption RoadÂ </t>
  </si>
  <si>
    <t>FranÃ§ois Truffaut</t>
  </si>
  <si>
    <t>Mississippi MermaidÂ </t>
  </si>
  <si>
    <t>Fritz Lang</t>
  </si>
  <si>
    <t>MetropolisÂ </t>
  </si>
  <si>
    <t>The SweeneyÂ </t>
  </si>
  <si>
    <t>Ben Wheatley</t>
  </si>
  <si>
    <t>Kill ListÂ </t>
  </si>
  <si>
    <t>Ari Kirschenbaum</t>
  </si>
  <si>
    <t>FabledÂ </t>
  </si>
  <si>
    <t>Pink Ribbons, Inc.Â </t>
  </si>
  <si>
    <t>Bradley Rust Gray</t>
  </si>
  <si>
    <t>The Exploding GirlÂ </t>
  </si>
  <si>
    <t>Eric Bress</t>
  </si>
  <si>
    <t>The Butterfly EffectÂ </t>
  </si>
  <si>
    <t>Ruairi Robinson</t>
  </si>
  <si>
    <t>The Last Days on MarsÂ </t>
  </si>
  <si>
    <t>Lake of FireÂ </t>
  </si>
  <si>
    <t>Gene Teigland</t>
  </si>
  <si>
    <t>Arnolds ParkÂ </t>
  </si>
  <si>
    <t>Dear WendyÂ </t>
  </si>
  <si>
    <t>Vicente Amorim</t>
  </si>
  <si>
    <t>GoodÂ </t>
  </si>
  <si>
    <t>Lloyd Kaufman</t>
  </si>
  <si>
    <t>Poultrygeist: Night of the Chicken DeadÂ </t>
  </si>
  <si>
    <t>Hitoshi Matsumoto</t>
  </si>
  <si>
    <t>R100Â </t>
  </si>
  <si>
    <t>All the Queen's MenÂ </t>
  </si>
  <si>
    <t>Akiva Goldsman</t>
  </si>
  <si>
    <t>Winter's TaleÂ </t>
  </si>
  <si>
    <t>Dan Zukovic</t>
  </si>
  <si>
    <t>The Last Big ThingÂ </t>
  </si>
  <si>
    <t>The DivideÂ </t>
  </si>
  <si>
    <t>Safe MenÂ </t>
  </si>
  <si>
    <t>Catherine Gund</t>
  </si>
  <si>
    <t>Born to Fly: Elizabeth Streb vs. GravityÂ </t>
  </si>
  <si>
    <t>Jake Paltrow</t>
  </si>
  <si>
    <t>The Good NightÂ </t>
  </si>
  <si>
    <t>Karim AÃ¯nouz</t>
  </si>
  <si>
    <t>Futuro BeachÂ </t>
  </si>
  <si>
    <t>Double TakeÂ </t>
  </si>
  <si>
    <t>Kate Barker-Froyland</t>
  </si>
  <si>
    <t>Song OneÂ </t>
  </si>
  <si>
    <t>Kat Coiro</t>
  </si>
  <si>
    <t>L!fe HappensÂ </t>
  </si>
  <si>
    <t>Dagur KÃ¡ri</t>
  </si>
  <si>
    <t>The Good HeartÂ </t>
  </si>
  <si>
    <t>Jonathan Kesselman</t>
  </si>
  <si>
    <t>The Hebrew HammerÂ </t>
  </si>
  <si>
    <t>Michael Meredith</t>
  </si>
  <si>
    <t>The Open RoadÂ </t>
  </si>
  <si>
    <t>Jim Mickle</t>
  </si>
  <si>
    <t>Stake LandÂ </t>
  </si>
  <si>
    <t>Pascal Arnold</t>
  </si>
  <si>
    <t>One to AnotherÂ </t>
  </si>
  <si>
    <t>A Room for Romeo BrassÂ </t>
  </si>
  <si>
    <t>Oliver Blackburn</t>
  </si>
  <si>
    <t>Donkey PunchÂ </t>
  </si>
  <si>
    <t>Hilary Brougher</t>
  </si>
  <si>
    <t>The Sticky Fingers of TimeÂ </t>
  </si>
  <si>
    <t>Noah Buschel</t>
  </si>
  <si>
    <t>The Missing PersonÂ </t>
  </si>
  <si>
    <t>The Dead GirlÂ </t>
  </si>
  <si>
    <t>5 Days of WarÂ </t>
  </si>
  <si>
    <t>Georgia</t>
  </si>
  <si>
    <t>Ayurveda: Art of BeingÂ </t>
  </si>
  <si>
    <t>Klaus Menzel</t>
  </si>
  <si>
    <t>FascinationÂ </t>
  </si>
  <si>
    <t>John Duigan</t>
  </si>
  <si>
    <t>MollyÂ </t>
  </si>
  <si>
    <t>Marianna Palka</t>
  </si>
  <si>
    <t>Good DickÂ </t>
  </si>
  <si>
    <t>Arthur Hiller</t>
  </si>
  <si>
    <t>An Alan Smithee Film: Burn Hollywood BurnÂ </t>
  </si>
  <si>
    <t>Rich Christiano</t>
  </si>
  <si>
    <t>Time ChangerÂ </t>
  </si>
  <si>
    <t>Christopher M. Bessette</t>
  </si>
  <si>
    <t>Trade of InnocentsÂ </t>
  </si>
  <si>
    <t>Major DundeeÂ </t>
  </si>
  <si>
    <t>Timothy Hines</t>
  </si>
  <si>
    <t>10 Days in a MadhouseÂ </t>
  </si>
  <si>
    <t>Opal DreamÂ </t>
  </si>
  <si>
    <t>Scott Ziehl</t>
  </si>
  <si>
    <t>Broken VesselsÂ </t>
  </si>
  <si>
    <t>Simon Yin</t>
  </si>
  <si>
    <t>SupercapitalistÂ </t>
  </si>
  <si>
    <t>Alex Smith</t>
  </si>
  <si>
    <t>The Slaughter RuleÂ </t>
  </si>
  <si>
    <t>The SpecialsÂ </t>
  </si>
  <si>
    <t>Franck Khalfoun</t>
  </si>
  <si>
    <t>ManiacÂ </t>
  </si>
  <si>
    <t>The Last Time I Committed SuicideÂ </t>
  </si>
  <si>
    <t>Hunter Richards</t>
  </si>
  <si>
    <t>LondonÂ </t>
  </si>
  <si>
    <t>Leap YearÂ </t>
  </si>
  <si>
    <t>Michael Roemer</t>
  </si>
  <si>
    <t>Nothing But a ManÂ </t>
  </si>
  <si>
    <t>Sol Tryon</t>
  </si>
  <si>
    <t>The Living WakeÂ </t>
  </si>
  <si>
    <t>Benedikt Erlingsson</t>
  </si>
  <si>
    <t>Of Horses and MenÂ </t>
  </si>
  <si>
    <t>Sue Corcoran</t>
  </si>
  <si>
    <t>Gory Gory HallelujahÂ </t>
  </si>
  <si>
    <t>Claudia Sainte-Luce</t>
  </si>
  <si>
    <t>The Amazing CatfishÂ </t>
  </si>
  <si>
    <t>Damian Nieman</t>
  </si>
  <si>
    <t>ShadeÂ </t>
  </si>
  <si>
    <t>Jennifer Wynne Farmer</t>
  </si>
  <si>
    <t>Naturally NativeÂ </t>
  </si>
  <si>
    <t>Daniel Hsia</t>
  </si>
  <si>
    <t>Shanghai CallingÂ </t>
  </si>
  <si>
    <t>TrashÂ </t>
  </si>
  <si>
    <t>Eric Nicholas</t>
  </si>
  <si>
    <t>Alone with HerÂ </t>
  </si>
  <si>
    <t>Georg Wilhelm Pabst</t>
  </si>
  <si>
    <t>Pandora's BoxÂ </t>
  </si>
  <si>
    <t>Kay Pollak</t>
  </si>
  <si>
    <t>As It Is in HeavenÂ </t>
  </si>
  <si>
    <t>Down TerraceÂ </t>
  </si>
  <si>
    <t>Falcon RisingÂ </t>
  </si>
  <si>
    <t>James Bidgood</t>
  </si>
  <si>
    <t>Pink NarcissusÂ </t>
  </si>
  <si>
    <t>JosÃ© Padilha</t>
  </si>
  <si>
    <t>Elite SquadÂ </t>
  </si>
  <si>
    <t>Orson Welles</t>
  </si>
  <si>
    <t>The Lady from ShanghaiÂ </t>
  </si>
  <si>
    <t>James David Pasternak</t>
  </si>
  <si>
    <t>Certifiably JonathanÂ </t>
  </si>
  <si>
    <t>Eric Styles</t>
  </si>
  <si>
    <t>Dreaming of Joseph LeesÂ </t>
  </si>
  <si>
    <t>Ramaa Mosley</t>
  </si>
  <si>
    <t>The Brass TeapotÂ </t>
  </si>
  <si>
    <t>Hal Haberman</t>
  </si>
  <si>
    <t>SpecialÂ </t>
  </si>
  <si>
    <t>Dead Man's ShoesÂ </t>
  </si>
  <si>
    <t>Sara Newens</t>
  </si>
  <si>
    <t>Top SpinÂ </t>
  </si>
  <si>
    <t>Eden LakeÂ </t>
  </si>
  <si>
    <t>AnatomyÂ </t>
  </si>
  <si>
    <t>Blonde AmbitionÂ </t>
  </si>
  <si>
    <t>SparklerÂ </t>
  </si>
  <si>
    <t>Eddie O'Flaherty</t>
  </si>
  <si>
    <t>Fighting Tommy RileyÂ </t>
  </si>
  <si>
    <t>Francesca Gregorini</t>
  </si>
  <si>
    <t>Tanner HallÂ </t>
  </si>
  <si>
    <t>Ralph Ziman</t>
  </si>
  <si>
    <t>Gangster's Paradise: JerusalemaÂ </t>
  </si>
  <si>
    <t>Dena Seidel</t>
  </si>
  <si>
    <t>Antarctic Edge: 70Â° SouthÂ </t>
  </si>
  <si>
    <t>Jonathan Newman</t>
  </si>
  <si>
    <t>The Adventurer: The Curse of the Midas BoxÂ </t>
  </si>
  <si>
    <t>NewlywedsÂ </t>
  </si>
  <si>
    <t>Phil Morrison</t>
  </si>
  <si>
    <t>All Is BrightÂ </t>
  </si>
  <si>
    <t>Jeremy Degruson</t>
  </si>
  <si>
    <t>Thunder and the House of MagicÂ </t>
  </si>
  <si>
    <t>Ruba Nadda</t>
  </si>
  <si>
    <t>InescapableÂ </t>
  </si>
  <si>
    <t>Tom Sanchez</t>
  </si>
  <si>
    <t>The Knife of Don JuanÂ </t>
  </si>
  <si>
    <t>Ãlex de la Iglesia</t>
  </si>
  <si>
    <t>The Oxford MurdersÂ </t>
  </si>
  <si>
    <t>Bruce McDonald</t>
  </si>
  <si>
    <t>PontypoolÂ </t>
  </si>
  <si>
    <t>Robert Fontaine</t>
  </si>
  <si>
    <t>Mi AmericaÂ </t>
  </si>
  <si>
    <t>VampsÂ </t>
  </si>
  <si>
    <t>AndrÃ© TÃ©chinÃ©</t>
  </si>
  <si>
    <t>The Girl on the TrainÂ </t>
  </si>
  <si>
    <t>PlushÂ </t>
  </si>
  <si>
    <t>Adam Goldberg</t>
  </si>
  <si>
    <t>I Love Your WorkÂ </t>
  </si>
  <si>
    <t>Bruce Dellis</t>
  </si>
  <si>
    <t>Locker 13Â </t>
  </si>
  <si>
    <t>Paul Bunnell</t>
  </si>
  <si>
    <t>The Ghastly Love of Johnny XÂ </t>
  </si>
  <si>
    <t>U. Roberto Romano</t>
  </si>
  <si>
    <t>The Harvest/La CosechaÂ </t>
  </si>
  <si>
    <t>John D. Hancock</t>
  </si>
  <si>
    <t>The Looking GlassÂ </t>
  </si>
  <si>
    <t>Boris Rodriguez</t>
  </si>
  <si>
    <t>Eddie: The Sleepwalking CannibalÂ </t>
  </si>
  <si>
    <t>Alex Craig Mann</t>
  </si>
  <si>
    <t>Detention of the DeadÂ </t>
  </si>
  <si>
    <t>Ricki Stern</t>
  </si>
  <si>
    <t>The Trials of Darryl HuntÂ </t>
  </si>
  <si>
    <t>Ian Fitzgibbon</t>
  </si>
  <si>
    <t>Perrier's BountyÂ </t>
  </si>
  <si>
    <t>Robert Sarkies</t>
  </si>
  <si>
    <t>In Her Line of FireÂ </t>
  </si>
  <si>
    <t>Frank Whaley</t>
  </si>
  <si>
    <t>The Jimmy ShowÂ </t>
  </si>
  <si>
    <t>Ekachai Uekrongtham</t>
  </si>
  <si>
    <t>Skin TradeÂ </t>
  </si>
  <si>
    <t>Row Labels</t>
  </si>
  <si>
    <t>Grand Total</t>
  </si>
  <si>
    <t>Average of imdb_score</t>
  </si>
  <si>
    <t>Var of imdb_score2</t>
  </si>
  <si>
    <t>StdDev of imdb_score3</t>
  </si>
  <si>
    <t>Min of imdb_score2</t>
  </si>
  <si>
    <t>Max of imdb_score3</t>
  </si>
  <si>
    <t>StdDev of imdb_score2</t>
  </si>
  <si>
    <t>1-50</t>
  </si>
  <si>
    <t>51-100</t>
  </si>
  <si>
    <t>101-150</t>
  </si>
  <si>
    <t>151-200</t>
  </si>
  <si>
    <t>201-250</t>
  </si>
  <si>
    <t>251-300</t>
  </si>
  <si>
    <t>301-350</t>
  </si>
  <si>
    <t>Max of imdb_score2</t>
  </si>
  <si>
    <t>Min of imdb_score</t>
  </si>
  <si>
    <t>(All)</t>
  </si>
  <si>
    <t>top 20 director with highest imdb rating</t>
  </si>
  <si>
    <t>thier avg imbd ratings</t>
  </si>
  <si>
    <t>Sum of gross</t>
  </si>
  <si>
    <t>Sum of budget</t>
  </si>
  <si>
    <t>total profit</t>
  </si>
  <si>
    <t>maximum profit</t>
  </si>
  <si>
    <t>correl cofficient</t>
  </si>
  <si>
    <t>highest profit movie</t>
  </si>
  <si>
    <t>movie</t>
  </si>
  <si>
    <t>gross earning</t>
  </si>
  <si>
    <t>profit</t>
  </si>
  <si>
    <t>top ten most profitable films</t>
  </si>
  <si>
    <t>movie title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</si>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</sst>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2"/>
      <color rgb="FF9C5700"/>
      <name val="Calibri"/>
      <family val="2"/>
    </font>
    <font>
      <sz val="12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34" borderId="0" xfId="0" applyFont="1" applyFill="1" applyAlignment="1">
      <alignment horizontal="left" wrapText="1" readingOrder="1"/>
    </xf>
    <xf numFmtId="0" fontId="18" fillId="35" borderId="0" xfId="0" applyFont="1" applyFill="1" applyAlignment="1">
      <alignment horizontal="left" wrapText="1" readingOrder="1"/>
    </xf>
    <xf numFmtId="0" fontId="19" fillId="33" borderId="0" xfId="0" applyFont="1" applyFill="1" applyAlignment="1">
      <alignment horizontal="right" wrapText="1" readingOrder="1"/>
    </xf>
    <xf numFmtId="1" fontId="0" fillId="0" borderId="0" xfId="0" applyNumberFormat="1"/>
    <xf numFmtId="0" fontId="20" fillId="0" borderId="0" xfId="0" applyFont="1" applyAlignment="1">
      <alignment wrapText="1"/>
    </xf>
    <xf numFmtId="0" fontId="18" fillId="36" borderId="0" xfId="0" applyFont="1" applyFill="1" applyAlignment="1">
      <alignment horizontal="left" wrapText="1" readingOrder="1"/>
    </xf>
    <xf numFmtId="0" fontId="18" fillId="36" borderId="0" xfId="0" applyFont="1" applyFill="1" applyAlignment="1">
      <alignment horizontal="right" wrapText="1" readingOrder="1"/>
    </xf>
    <xf numFmtId="0" fontId="0" fillId="37" borderId="0" xfId="0" applyFill="1"/>
    <xf numFmtId="0" fontId="0" fillId="38" borderId="0" xfId="0" applyFill="1"/>
    <xf numFmtId="0" fontId="0" fillId="39" borderId="0" xfId="0" applyFill="1" applyAlignment="1">
      <alignment horizontal="left"/>
    </xf>
    <xf numFmtId="1" fontId="0" fillId="39" borderId="0" xfId="0" applyNumberFormat="1" applyFill="1"/>
    <xf numFmtId="0" fontId="0" fillId="40" borderId="0" xfId="0" applyFill="1"/>
    <xf numFmtId="1" fontId="0" fillId="38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[imdb_clean.xlsx]Sheet1!PivotTable1</c:name>
    <c:fmtId val="2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imdb_score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Sheet1!$B$4:$B$21</c:f>
              <c:numCache>
                <c:formatCode>0.00</c:formatCode>
                <c:ptCount val="17"/>
                <c:pt idx="0">
                  <c:v>6.0571428571428569</c:v>
                </c:pt>
                <c:pt idx="1">
                  <c:v>6.3541401273885336</c:v>
                </c:pt>
                <c:pt idx="2">
                  <c:v>6.6023809523809529</c:v>
                </c:pt>
                <c:pt idx="3">
                  <c:v>7.117903930131007</c:v>
                </c:pt>
                <c:pt idx="4">
                  <c:v>6.1695829926410548</c:v>
                </c:pt>
                <c:pt idx="5">
                  <c:v>6.8710843373493988</c:v>
                </c:pt>
                <c:pt idx="6">
                  <c:v>7.1536585365853664</c:v>
                </c:pt>
                <c:pt idx="7">
                  <c:v>6.7415570175438546</c:v>
                </c:pt>
                <c:pt idx="8">
                  <c:v>5.49</c:v>
                </c:pt>
                <c:pt idx="9">
                  <c:v>6.4333333333333336</c:v>
                </c:pt>
                <c:pt idx="10">
                  <c:v>5.6410714285714274</c:v>
                </c:pt>
                <c:pt idx="11">
                  <c:v>5.5999999999999988</c:v>
                </c:pt>
                <c:pt idx="12">
                  <c:v>6.4724137931034473</c:v>
                </c:pt>
                <c:pt idx="13">
                  <c:v>5.8833333333333329</c:v>
                </c:pt>
                <c:pt idx="14">
                  <c:v>5.9999999999999991</c:v>
                </c:pt>
                <c:pt idx="15">
                  <c:v>5.5809523809523807</c:v>
                </c:pt>
                <c:pt idx="16">
                  <c:v>6.583333333333333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0-41DD-81DB-D6FDD3866FF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Var of imdb_score2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Sheet1!$C$4:$C$21</c:f>
              <c:numCache>
                <c:formatCode>0.00</c:formatCode>
                <c:ptCount val="17"/>
                <c:pt idx="0">
                  <c:v>1.2403428571428627</c:v>
                </c:pt>
                <c:pt idx="1">
                  <c:v>1.3209572454773453</c:v>
                </c:pt>
                <c:pt idx="2">
                  <c:v>1.7085307781649191</c:v>
                </c:pt>
                <c:pt idx="3">
                  <c:v>0.49200260476515578</c:v>
                </c:pt>
                <c:pt idx="4">
                  <c:v>1.2029365690066134</c:v>
                </c:pt>
                <c:pt idx="5">
                  <c:v>0.94478069377205665</c:v>
                </c:pt>
                <c:pt idx="6">
                  <c:v>1.4346160794941372</c:v>
                </c:pt>
                <c:pt idx="7">
                  <c:v>0.99518659608686844</c:v>
                </c:pt>
                <c:pt idx="8">
                  <c:v>3.7143333333333239</c:v>
                </c:pt>
                <c:pt idx="9">
                  <c:v>0.82026666666666648</c:v>
                </c:pt>
                <c:pt idx="10">
                  <c:v>1.2446732863549179</c:v>
                </c:pt>
                <c:pt idx="11">
                  <c:v>3.7900000000000134</c:v>
                </c:pt>
                <c:pt idx="12">
                  <c:v>1.3613546798029657</c:v>
                </c:pt>
                <c:pt idx="13">
                  <c:v>0.75766666666667104</c:v>
                </c:pt>
                <c:pt idx="14">
                  <c:v>2.2116666666666731</c:v>
                </c:pt>
                <c:pt idx="15">
                  <c:v>1.773619047619053</c:v>
                </c:pt>
                <c:pt idx="16">
                  <c:v>2.5596969696969669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0-41DD-81DB-D6FDD3866FFA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StdDev of imdb_score3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Sheet1!$D$4:$D$21</c:f>
              <c:numCache>
                <c:formatCode>0.00</c:formatCode>
                <c:ptCount val="17"/>
                <c:pt idx="0">
                  <c:v>1.1137068093276896</c:v>
                </c:pt>
                <c:pt idx="1">
                  <c:v>1.1493290414312802</c:v>
                </c:pt>
                <c:pt idx="2">
                  <c:v>1.3071077913335682</c:v>
                </c:pt>
                <c:pt idx="3">
                  <c:v>0.70142897342863997</c:v>
                </c:pt>
                <c:pt idx="4">
                  <c:v>1.0967846502420671</c:v>
                </c:pt>
                <c:pt idx="5">
                  <c:v>0.9719982992639733</c:v>
                </c:pt>
                <c:pt idx="6">
                  <c:v>1.1977545990285894</c:v>
                </c:pt>
                <c:pt idx="7">
                  <c:v>0.9975903949451741</c:v>
                </c:pt>
                <c:pt idx="8">
                  <c:v>1.9272605774345419</c:v>
                </c:pt>
                <c:pt idx="9">
                  <c:v>0.90568574387955703</c:v>
                </c:pt>
                <c:pt idx="10">
                  <c:v>1.1156492667298796</c:v>
                </c:pt>
                <c:pt idx="11">
                  <c:v>1.946792233393182</c:v>
                </c:pt>
                <c:pt idx="12">
                  <c:v>1.1667710485793541</c:v>
                </c:pt>
                <c:pt idx="13">
                  <c:v>0.87044050150867347</c:v>
                </c:pt>
                <c:pt idx="14">
                  <c:v>1.4871673297469499</c:v>
                </c:pt>
                <c:pt idx="15">
                  <c:v>1.3317728964125426</c:v>
                </c:pt>
                <c:pt idx="16">
                  <c:v>1.5999053002277874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0-41DD-81DB-D6FDD386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169023"/>
        <c:axId val="988165183"/>
      </c:lineChart>
      <c:catAx>
        <c:axId val="988169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165183"/>
        <c:crosses val="autoZero"/>
        <c:auto val="1"/>
        <c:lblAlgn val="ctr"/>
        <c:lblOffset val="100"/>
        <c:noMultiLvlLbl val="0"/>
      </c:catAx>
      <c:valAx>
        <c:axId val="9881651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16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[imdb_clean.xlsx]Sheet1!PivotTable6</c:name>
    <c:fmtId val="6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Average of imdb_score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Sheet1!$I$4:$I$21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Sheet1!$J$4:$J$21</c:f>
              <c:numCache>
                <c:formatCode>0.00</c:formatCode>
                <c:ptCount val="17"/>
                <c:pt idx="0">
                  <c:v>6.0571428571428569</c:v>
                </c:pt>
                <c:pt idx="1">
                  <c:v>6.3541401273885336</c:v>
                </c:pt>
                <c:pt idx="2">
                  <c:v>6.6023809523809529</c:v>
                </c:pt>
                <c:pt idx="3">
                  <c:v>7.117903930131007</c:v>
                </c:pt>
                <c:pt idx="4">
                  <c:v>6.1695829926410548</c:v>
                </c:pt>
                <c:pt idx="5">
                  <c:v>6.8710843373493988</c:v>
                </c:pt>
                <c:pt idx="6">
                  <c:v>7.1536585365853664</c:v>
                </c:pt>
                <c:pt idx="7">
                  <c:v>6.7415570175438546</c:v>
                </c:pt>
                <c:pt idx="8">
                  <c:v>5.49</c:v>
                </c:pt>
                <c:pt idx="9">
                  <c:v>6.4333333333333336</c:v>
                </c:pt>
                <c:pt idx="10">
                  <c:v>5.6410714285714274</c:v>
                </c:pt>
                <c:pt idx="11">
                  <c:v>5.5999999999999988</c:v>
                </c:pt>
                <c:pt idx="12">
                  <c:v>6.4724137931034473</c:v>
                </c:pt>
                <c:pt idx="13">
                  <c:v>5.8833333333333329</c:v>
                </c:pt>
                <c:pt idx="14">
                  <c:v>5.9999999999999991</c:v>
                </c:pt>
                <c:pt idx="15">
                  <c:v>5.5809523809523807</c:v>
                </c:pt>
                <c:pt idx="16">
                  <c:v>6.583333333333333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4-43F8-B2A9-B2EDDAC50F33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Min of imdb_score2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Sheet1!$I$4:$I$21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Sheet1!$K$4:$K$21</c:f>
              <c:numCache>
                <c:formatCode>0.00</c:formatCode>
                <c:ptCount val="17"/>
                <c:pt idx="0">
                  <c:v>1.7</c:v>
                </c:pt>
                <c:pt idx="1">
                  <c:v>2.2999999999999998</c:v>
                </c:pt>
                <c:pt idx="2">
                  <c:v>3.7</c:v>
                </c:pt>
                <c:pt idx="3">
                  <c:v>4.5</c:v>
                </c:pt>
                <c:pt idx="4">
                  <c:v>1.9</c:v>
                </c:pt>
                <c:pt idx="5">
                  <c:v>3.1</c:v>
                </c:pt>
                <c:pt idx="6">
                  <c:v>1.6</c:v>
                </c:pt>
                <c:pt idx="7">
                  <c:v>2</c:v>
                </c:pt>
                <c:pt idx="8">
                  <c:v>2.8</c:v>
                </c:pt>
                <c:pt idx="9">
                  <c:v>4.3</c:v>
                </c:pt>
                <c:pt idx="10">
                  <c:v>2.2000000000000002</c:v>
                </c:pt>
                <c:pt idx="11">
                  <c:v>3.4</c:v>
                </c:pt>
                <c:pt idx="12">
                  <c:v>3.2</c:v>
                </c:pt>
                <c:pt idx="13">
                  <c:v>5.0999999999999996</c:v>
                </c:pt>
                <c:pt idx="14">
                  <c:v>2.8</c:v>
                </c:pt>
                <c:pt idx="15">
                  <c:v>3.4</c:v>
                </c:pt>
                <c:pt idx="16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4-43F8-B2A9-B2EDDAC50F33}"/>
            </c:ext>
          </c:extLst>
        </c:ser>
        <c:ser>
          <c:idx val="2"/>
          <c:order val="2"/>
          <c:tx>
            <c:strRef>
              <c:f>Sheet1!$L$3</c:f>
              <c:strCache>
                <c:ptCount val="1"/>
                <c:pt idx="0">
                  <c:v>Max of imdb_score3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Sheet1!$I$4:$I$21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Sheet1!$L$4:$L$21</c:f>
              <c:numCache>
                <c:formatCode>0.00</c:formatCode>
                <c:ptCount val="17"/>
                <c:pt idx="0">
                  <c:v>9.1</c:v>
                </c:pt>
                <c:pt idx="1">
                  <c:v>8.6</c:v>
                </c:pt>
                <c:pt idx="2">
                  <c:v>8.4</c:v>
                </c:pt>
                <c:pt idx="3">
                  <c:v>8.9</c:v>
                </c:pt>
                <c:pt idx="4">
                  <c:v>9.5</c:v>
                </c:pt>
                <c:pt idx="5">
                  <c:v>9.3000000000000007</c:v>
                </c:pt>
                <c:pt idx="6">
                  <c:v>8.6999999999999993</c:v>
                </c:pt>
                <c:pt idx="7">
                  <c:v>9.1</c:v>
                </c:pt>
                <c:pt idx="8">
                  <c:v>8.6</c:v>
                </c:pt>
                <c:pt idx="9">
                  <c:v>7.9</c:v>
                </c:pt>
                <c:pt idx="10">
                  <c:v>8.5</c:v>
                </c:pt>
                <c:pt idx="11">
                  <c:v>7.1</c:v>
                </c:pt>
                <c:pt idx="12">
                  <c:v>8.5</c:v>
                </c:pt>
                <c:pt idx="13">
                  <c:v>7.1</c:v>
                </c:pt>
                <c:pt idx="14">
                  <c:v>8.1999999999999993</c:v>
                </c:pt>
                <c:pt idx="15">
                  <c:v>8.1</c:v>
                </c:pt>
                <c:pt idx="16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4-43F8-B2A9-B2EDDAC50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2032351"/>
        <c:axId val="1022039071"/>
      </c:lineChart>
      <c:catAx>
        <c:axId val="1022032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39071"/>
        <c:crosses val="autoZero"/>
        <c:auto val="1"/>
        <c:lblAlgn val="ctr"/>
        <c:lblOffset val="100"/>
        <c:noMultiLvlLbl val="0"/>
      </c:catAx>
      <c:valAx>
        <c:axId val="1022039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3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[imdb_clean.xlsx]Sheet2!PivotTable2</c:name>
    <c:fmtId val="2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of imdb_score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Sheet2!$A$4:$A$11</c:f>
              <c:strCache>
                <c:ptCount val="7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7.3450704225352093</c:v>
                </c:pt>
                <c:pt idx="1">
                  <c:v>5.9989685404847872</c:v>
                </c:pt>
                <c:pt idx="2">
                  <c:v>6.6270159453303012</c:v>
                </c:pt>
                <c:pt idx="3">
                  <c:v>7.3921568627450958</c:v>
                </c:pt>
                <c:pt idx="4">
                  <c:v>7.6928571428571422</c:v>
                </c:pt>
                <c:pt idx="5">
                  <c:v>7.6</c:v>
                </c:pt>
                <c:pt idx="6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F-4A6D-89CE-5B3B63BA092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Min of imdb_score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Sheet2!$A$4:$A$11</c:f>
              <c:strCache>
                <c:ptCount val="7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</c:strCache>
            </c:strRef>
          </c:cat>
          <c:val>
            <c:numRef>
              <c:f>Sheet2!$C$4:$C$11</c:f>
              <c:numCache>
                <c:formatCode>0.00</c:formatCode>
                <c:ptCount val="7"/>
                <c:pt idx="0">
                  <c:v>3.5</c:v>
                </c:pt>
                <c:pt idx="1">
                  <c:v>1.7</c:v>
                </c:pt>
                <c:pt idx="2">
                  <c:v>1.6</c:v>
                </c:pt>
                <c:pt idx="3">
                  <c:v>3.8</c:v>
                </c:pt>
                <c:pt idx="4">
                  <c:v>5.8</c:v>
                </c:pt>
                <c:pt idx="5">
                  <c:v>6.3</c:v>
                </c:pt>
                <c:pt idx="6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F-4A6D-89CE-5B3B63BA092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Max of imdb_score2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Sheet2!$A$4:$A$11</c:f>
              <c:strCache>
                <c:ptCount val="7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</c:strCache>
            </c:strRef>
          </c:cat>
          <c:val>
            <c:numRef>
              <c:f>Sheet2!$D$4:$D$11</c:f>
              <c:numCache>
                <c:formatCode>0.00</c:formatCode>
                <c:ptCount val="7"/>
                <c:pt idx="0">
                  <c:v>8.8000000000000007</c:v>
                </c:pt>
                <c:pt idx="1">
                  <c:v>9.5</c:v>
                </c:pt>
                <c:pt idx="2">
                  <c:v>9.3000000000000007</c:v>
                </c:pt>
                <c:pt idx="3">
                  <c:v>8.9</c:v>
                </c:pt>
                <c:pt idx="4">
                  <c:v>9</c:v>
                </c:pt>
                <c:pt idx="5">
                  <c:v>8.5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F-4A6D-89CE-5B3B63BA092A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StdDev of imdb_score2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Sheet2!$A$4:$A$11</c:f>
              <c:strCache>
                <c:ptCount val="7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</c:strCache>
            </c:strRef>
          </c:cat>
          <c:val>
            <c:numRef>
              <c:f>Sheet2!$E$4:$E$11</c:f>
              <c:numCache>
                <c:formatCode>0.00</c:formatCode>
                <c:ptCount val="7"/>
                <c:pt idx="0">
                  <c:v>1.004104253607512</c:v>
                </c:pt>
                <c:pt idx="1">
                  <c:v>1.2086286647551134</c:v>
                </c:pt>
                <c:pt idx="2">
                  <c:v>0.94711767190305218</c:v>
                </c:pt>
                <c:pt idx="3">
                  <c:v>0.9003504570152242</c:v>
                </c:pt>
                <c:pt idx="4">
                  <c:v>0.88792262805190181</c:v>
                </c:pt>
                <c:pt idx="5">
                  <c:v>0.86520022455581336</c:v>
                </c:pt>
                <c:pt idx="6">
                  <c:v>0.62449979983984027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F-4A6D-89CE-5B3B63BA0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358655"/>
        <c:axId val="1027356255"/>
      </c:lineChart>
      <c:catAx>
        <c:axId val="10273586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56255"/>
        <c:crosses val="autoZero"/>
        <c:auto val="1"/>
        <c:lblAlgn val="ctr"/>
        <c:lblOffset val="100"/>
        <c:noMultiLvlLbl val="0"/>
      </c:catAx>
      <c:valAx>
        <c:axId val="10273562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138112</xdr:rowOff>
    </xdr:from>
    <xdr:to>
      <xdr:col>3</xdr:col>
      <xdr:colOff>1028700</xdr:colOff>
      <xdr:row>36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48034-9C91-EDC3-1A34-10A2E6FAA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21</xdr:row>
      <xdr:rowOff>71437</xdr:rowOff>
    </xdr:from>
    <xdr:to>
      <xdr:col>11</xdr:col>
      <xdr:colOff>942975</xdr:colOff>
      <xdr:row>35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DDDA8A-E3AC-05CB-5653-4200CB5D7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42862</xdr:rowOff>
    </xdr:from>
    <xdr:to>
      <xdr:col>4</xdr:col>
      <xdr:colOff>190500</xdr:colOff>
      <xdr:row>26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9EBFA-F20E-7A85-07B8-FEF9A69CF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esh Varshney" refreshedDate="45426.83606076389" createdVersion="8" refreshedVersion="8" minRefreshableVersion="3" recordCount="4333" xr:uid="{128C1877-B2C8-4F91-9721-406F6E02716F}">
  <cacheSource type="worksheet">
    <worksheetSource ref="A1:P4334" sheet="imdb_clean"/>
  </cacheSource>
  <cacheFields count="16">
    <cacheField name="director_name" numFmtId="0">
      <sharedItems count="2316">
        <s v="Mark Waters"/>
        <s v="Takashi Shimizu"/>
        <s v="Judd Apatow"/>
        <s v="David Zucker"/>
        <s v="Adam Shankman"/>
        <s v="Leonard Nimoy"/>
        <s v="Ryan Coogler"/>
        <s v="John Cornell"/>
        <s v="Peter Billingsley"/>
        <s v="Joel Schumacher"/>
        <s v="Steve Oedekerk"/>
        <s v="Garry Marshall"/>
        <s v="Richard Lester"/>
        <s v="Tim Hill"/>
        <s v="Quentin Tarantino"/>
        <s v="Oren Peli"/>
        <s v="Penny Marshall"/>
        <s v="Clay Kaytis"/>
        <s v="Paul Greengrass"/>
        <s v="Darren Aronofsky"/>
        <s v="Donald Petrie"/>
        <s v="Peter Lord"/>
        <s v="Harold Ramis"/>
        <s v="Martin Campbell"/>
        <s v="Bruce Beresford"/>
        <s v="F. Gary Gray"/>
        <s v="Bob Clark"/>
        <s v="Hugh Wilson"/>
        <s v="Neil Jordan"/>
        <s v="Sam Weisman"/>
        <s v="Jon Turteltaub"/>
        <s v="Jesse Dylan"/>
        <s v="Steve Carr"/>
        <s v="Sam Mendes"/>
        <s v="Henry Joost"/>
        <s v="Brad Peyton"/>
        <s v="Bill Condon"/>
        <s v="Dennis Dugan"/>
        <s v="Wes Craven"/>
        <s v="Sylvester Stallone"/>
        <s v="Jeannot Szwarc"/>
        <s v="James Algar"/>
        <s v="David Fincher"/>
        <s v="Wes Ball"/>
        <s v="James Wan"/>
        <s v="George Roy Hill"/>
        <s v="Robert Stevenson"/>
        <s v="Jeff Tremaine"/>
        <s v="Paul Weitz"/>
        <s v="Eric Brevig"/>
        <s v="Dominic Sena"/>
        <s v="Antoine Fuqua"/>
        <s v="Evan Goldberg"/>
        <s v="Brenda Chapman"/>
        <s v="Clint Eastwood"/>
        <s v="D.J. Caruso"/>
        <s v="Simon West"/>
        <s v="Robert Zemeckis"/>
        <s v="Alan J. Pakula"/>
        <s v="Cameron Crowe"/>
        <s v="Igor Kovalyov"/>
        <s v="Adam McKay"/>
        <s v="Todd Phillips"/>
        <s v="Brad Silberling"/>
        <s v="Jake Kasdan"/>
        <s v="John Madden"/>
        <s v="John McTiernan"/>
        <s v="Michael Mann"/>
        <s v="Shawn Levy"/>
        <s v="Peyton Reed"/>
        <s v="David Kellogg"/>
        <s v="Alejandro AmenÃ¡bar"/>
        <s v="Steven Spielberg"/>
        <s v="Peter Weir"/>
        <s v="Kathryn Bigelow"/>
        <s v="Anthony Minghella"/>
        <s v="Robert Luketic"/>
        <s v="Brian Helgeland"/>
        <s v="M. Night Shyamalan"/>
        <s v="Adrian Lyne"/>
        <s v="Albert Hughes"/>
        <s v="Raja Gosnell"/>
        <s v="Nora Ephron"/>
        <s v="Ken Kwapis"/>
        <s v="Wayne Wang"/>
        <s v="Joe Roth"/>
        <s v="David O. Russell"/>
        <s v="Rob Reiner"/>
        <s v="Lawrence Guterman"/>
        <s v="Marc Lawrence"/>
        <s v="Les Mayfield"/>
        <s v="Brett Ratner"/>
        <s v="Ben Affleck"/>
        <s v="Jonathan Frakes"/>
        <s v="Tim Story"/>
        <s v="Ivan Reitman"/>
        <s v="Randall Wallace"/>
        <s v="Jaume Collet-Serra"/>
        <s v="Tony Scott"/>
        <s v="Jan de Bont"/>
        <s v="Morten Tyldum"/>
        <s v="Thomas Carter"/>
        <s v="Chris Columbus"/>
        <s v="John G. Avildsen"/>
        <s v="Andy Fickman"/>
        <s v="Bobby Farrelly"/>
        <s v="Kenny Ortega"/>
        <s v="Tyler Perry"/>
        <s v="Joe Pytka"/>
        <s v="John Landis"/>
        <s v="Robert Schwentke"/>
        <s v="Etan Cohen"/>
        <s v="Chuck Russell"/>
        <s v="Charles Herman-Wurmfeld"/>
        <s v="Olivier Megaton"/>
        <s v="Tom Dey"/>
        <s v="James Bobin"/>
        <s v="Spike Lee"/>
        <s v="John Hamburg"/>
        <s v="Jon Amiel"/>
        <s v="David Gordon Green"/>
        <s v="Sydney Pollack"/>
        <s v="Darren Lynn Bousman"/>
        <s v="Mel Brooks"/>
        <s v="Will Gluck"/>
        <s v="Walt Becker"/>
        <s v="David Ayer"/>
        <s v="Robert Rodriguez"/>
        <s v="Stephen Hillenburg"/>
        <s v="James Cameron"/>
        <s v="Tod Williams"/>
        <s v="Ben Falcone"/>
        <s v="Roger Allers"/>
        <s v="Norman Ferguson"/>
        <s v="John R. Leonetti"/>
        <s v="Glenn Ficarra"/>
        <s v="Renny Harlin"/>
        <s v="Nick Cassavetes"/>
        <s v="Rob Bowman"/>
        <s v="Jason Reitman"/>
        <s v="Jonathan Liebesman"/>
        <s v="Tarsem Singh"/>
        <s v="Jim Abrahams"/>
        <s v="John Lee Hancock"/>
        <s v="Phillip Noyce"/>
        <s v="Bryan Singer"/>
        <s v="Ang Lee"/>
        <s v="Barry Levinson"/>
        <s v="Alexander Payne"/>
        <s v="Stephen Herek"/>
        <s v="Francis Ford Coppola"/>
        <s v="Gary Winick"/>
        <s v="Luke Greenfield"/>
        <s v="Brian Levant"/>
        <s v="Robert Wise"/>
        <s v="Gabor Csupo"/>
        <s v="Ronny Yu"/>
        <s v="Guillermo del Toro"/>
        <s v="Frank Marshall"/>
        <s v="Richard Linklater"/>
        <s v="Seth MacFarlane"/>
        <s v="John A. Davis"/>
        <s v="Ryan Murphy"/>
        <s v="Frank Coraci"/>
        <s v="Paul W.S. Anderson"/>
        <s v="Tom Vaughan"/>
        <s v="Jay Chandrasekhar"/>
        <s v="Jared Hess"/>
        <s v="Doug Liman"/>
        <s v="Matt Reeves"/>
        <s v="Christopher McQuarrie"/>
        <s v="Rob Letterman"/>
        <s v="Lasse HallstrÃ¶m"/>
        <s v="Herbert Ross"/>
        <s v="Alex Proyas"/>
        <s v="Michael Apted"/>
        <s v="Michael Ritchie"/>
        <s v="John Badham"/>
        <s v="Peter Chelsom"/>
        <s v="Scott Derrickson"/>
        <s v="Martin Scorsese"/>
        <s v="Nicholas Meyer"/>
        <s v="Ridley Scott"/>
        <s v="James DeMonaco"/>
        <s v="Michael Pressman"/>
        <s v="George Clooney"/>
        <s v="Luc Jacquet"/>
        <s v="Jonathan Demme"/>
        <s v="Jonathan Mostow"/>
        <s v="Anne Fletcher"/>
        <s v="James Frawley"/>
        <s v="Tobe Hooper"/>
        <s v="Stig Bergqvist"/>
        <s v="Brian De Palma"/>
        <s v="Paul King"/>
        <s v="Richard Donner"/>
        <s v="Hideo Nakata"/>
        <s v="Rob Minkoff"/>
        <s v="David Carson"/>
        <s v="Steven Soderbergh"/>
        <s v="Bennett Miller"/>
        <s v="Anthony Russo"/>
        <s v="Mel Gibson"/>
        <s v="Ruben Fleischer"/>
        <s v="Baltasar KormÃ¡kur"/>
        <s v="Oliver Stone"/>
        <s v="Robert Redford"/>
        <s v="Peter Hewitt"/>
        <s v="Taylor Hackford"/>
        <s v="Henry Selick"/>
        <s v="Nancy Meyers"/>
        <s v="Barbra Streisand"/>
        <s v="Jay Russell"/>
        <s v="John Singleton"/>
        <s v="Ethan Coen"/>
        <s v="Frank Miller"/>
        <s v="Lee Tamahori"/>
        <s v="Gil Kenan"/>
        <s v="Tim Burton"/>
        <s v="Kelly Asbury"/>
        <s v="Thor Freudenthal"/>
        <s v="Jon M. Chu"/>
        <s v="Jay Roach"/>
        <s v="Charles Martin Smith"/>
        <s v="Pete Travis"/>
        <s v="Jim Gillespie"/>
        <s v="Tom Shadyac"/>
        <s v="Barry Sonnenfeld"/>
        <s v="George Cukor"/>
        <s v="Mikael HÃ¥fstrÃ¶m"/>
        <s v="Dan Trachtenberg"/>
        <s v="AndrÃ©s Muschietti"/>
        <s v="Sharon Maguire"/>
        <s v="Dean Parisot"/>
        <s v="Keenen Ivory Wayans"/>
        <s v="Frank Oz"/>
        <s v="James McTeigue"/>
        <s v="Malcolm D. Lee"/>
        <s v="John Woo"/>
        <s v="Andy Tennant"/>
        <s v="John Whitesell"/>
        <s v="Reginald Hudlin"/>
        <s v="Mike McCoy"/>
        <s v="Stephen Norrington"/>
        <s v="Gabriele Muccino"/>
        <s v="Howard Zieff"/>
        <s v="Ron Howard"/>
        <s v="Colin Higgins"/>
        <s v="Callie Khouri"/>
        <s v="Stephen Hopkins"/>
        <s v="Stuart Baird"/>
        <s v="Kevin Rodney Sullivan"/>
        <s v="John Glen"/>
        <s v="Wolfgang Petersen"/>
        <s v="Andrew Davis"/>
        <s v="David Wain"/>
        <s v="Christopher Nolan"/>
        <s v="Miguel Arteta"/>
        <s v="Kevin Lima"/>
        <s v="Peter Hyams"/>
        <s v="Gore Verbinski"/>
        <s v="Roger Michell"/>
        <s v="David McNally"/>
        <s v="Mike Nichols"/>
        <s v="Chris Noonan"/>
        <s v="Edward Zwick"/>
        <s v="Rian Johnson"/>
        <s v="David R. Ellis"/>
        <s v="Jonathan Levine"/>
        <s v="Gregory Jacobs"/>
        <s v="Angela Robinson"/>
        <s v="Michael Bay"/>
        <s v="Luis Llosa"/>
        <s v="Mike Mitchell"/>
        <s v="Jason Moore"/>
        <s v="Curtis Hanson"/>
        <s v="Josh Trank"/>
        <s v="Gavin O'Connor"/>
        <s v="Andrew Douglas"/>
        <s v="Peter Lepeniotis"/>
        <s v="Chris Weitz"/>
        <s v="Burr Steers"/>
        <s v="Mike Newell"/>
        <s v="Terence Young"/>
        <s v="David Frankel"/>
        <s v="Andrey Konchalovskiy"/>
        <s v="Robert Iscove"/>
        <s v="Mike Judge"/>
        <s v="Julie Anne Robinson"/>
        <s v="Nicholas Stoller"/>
        <s v="Lewis Gilbert"/>
        <s v="Scott Cooper"/>
        <s v="Justin Lin"/>
        <s v="George Nolfi"/>
        <s v="Babak Najafi"/>
        <s v="MÃ¥ns MÃ¥rlind"/>
        <s v="Len Wiseman"/>
        <s v="Patricia Riggen"/>
        <s v="Sylvain White"/>
        <s v="Brian Robbins"/>
        <s v="Denis Villeneuve"/>
        <s v="Gary Fleder"/>
        <s v="David Dobkin"/>
        <s v="Scott Hicks"/>
        <s v="Michael McCullers"/>
        <s v="Ben Stiller"/>
        <s v="Terry Zwigoff"/>
        <s v="Roger Donaldson"/>
        <s v="Forest Whitaker"/>
        <s v="Chris Koch"/>
        <s v="Larry Charles"/>
        <s v="Jonathan Dayton"/>
        <s v="Christopher Spencer"/>
        <s v="Mathieu Kassovitz"/>
        <s v="Kirk Jones"/>
        <s v="Richard Curtis"/>
        <s v="Wes Anderson"/>
        <s v="John Moore"/>
        <s v="Zack Snyder"/>
        <s v="John Francis Daley"/>
        <s v="Hugh Hudson"/>
        <s v="Francis Lawrence"/>
        <s v="Harold Becker"/>
        <s v="Matthew O'Callaghan"/>
        <s v="Kevin Costner"/>
        <s v="Don Bluth"/>
        <s v="Steven Brill"/>
        <s v="Brad Furman"/>
        <s v="Joseph L. Mankiewicz"/>
        <s v="John Luessenhop"/>
        <s v="Mary Lambert"/>
        <s v="Baz Luhrmann"/>
        <s v="Jonathan Lynn"/>
        <s v="Cal Brunker"/>
        <s v="Rob Marshall"/>
        <s v="Woody Allen"/>
        <s v="David Hackl"/>
        <s v="Jon Hurwitz"/>
        <s v="Stanley Kubrick"/>
        <s v="Steven Zaillian"/>
        <s v="Simon Wells"/>
        <s v="Steve McQueen"/>
        <s v="Amy Heckerling"/>
        <s v="Jerry Zucker"/>
        <s v="David F. Sandberg"/>
        <s v="George P. Cosmatos"/>
        <s v="Stephen Frears"/>
        <s v="Charles Stone III"/>
        <s v="Thea Sharrock"/>
        <s v="Steve Box"/>
        <s v="Chris Butler"/>
        <s v="Andrzej Bartkowiak"/>
        <s v="Gary Shore"/>
        <s v="Geoffrey Sax"/>
        <s v="Jimmy Hayward"/>
        <s v="Tommy Wirkola"/>
        <s v="Irvin Kershner"/>
        <s v="Jon Lucas"/>
        <s v="Vincent Ward"/>
        <s v="William Shatner"/>
        <s v="Mark A.Z. DippÃ©"/>
        <s v="Michael Caton-Jones"/>
        <s v="McG"/>
        <s v="Nima Nourizadeh"/>
        <s v="Duncan Jones"/>
        <s v="Paul Haggis"/>
        <s v="Sean Anders"/>
        <s v="James Watkins"/>
        <s v="Fede Alvarez"/>
        <s v="Kevin Reynolds"/>
        <s v="Luis Valdez"/>
        <s v="Kevin Munroe"/>
        <s v="James Wong"/>
        <s v="Sidney Lumet"/>
        <s v="Joe Dante"/>
        <s v="Ron Shelton"/>
        <s v="Peter MacDonald"/>
        <s v="Richard LaGravenese"/>
        <s v="James Mangold"/>
        <s v="William Brent Bell"/>
        <s v="John Schlesinger"/>
        <s v="Ted Demme"/>
        <s v="Luis Mandoki"/>
        <s v="David Bowers"/>
        <s v="Sam Miller"/>
        <s v="David S. Goyer"/>
        <s v="Alejandro Agresti"/>
        <s v="Michael Tollin"/>
        <s v="Leigh Whannell"/>
        <s v="Ava DuVernay"/>
        <s v="Trey Parker"/>
        <s v="NimrÃ³d Antal"/>
        <s v="Brad Anderson"/>
        <s v="Peter Hedges"/>
        <s v="Mark Neveldine"/>
        <s v="Gus Van Sant"/>
        <s v="Marc Forster"/>
        <s v="Milos Forman"/>
        <s v="Joe Carnahan"/>
        <s v="Patrick Lussier"/>
        <s v="John Schultz"/>
        <s v="Mark Rosman"/>
        <s v="Jean-Jacques Annaud"/>
        <s v="Rob Cohen"/>
        <s v="Peter Segal"/>
        <s v="Guy Hamilton"/>
        <s v="John Polson"/>
        <s v="Cory Edwards"/>
        <s v="Jon Avnet"/>
        <s v="Garth Jennings"/>
        <s v="Joe Wright"/>
        <s v="Stiles White"/>
        <s v="Sam Fell"/>
        <s v="Stephen Gaghan"/>
        <s v="Graham Annable"/>
        <s v="Richard Attenborough"/>
        <s v="Alexander Witt"/>
        <s v="Irwin Winkler"/>
        <s v="Norman Jewison"/>
        <s v="Russell Mulcahy"/>
        <s v="Ron Underwood"/>
        <s v="Kenneth Branagh"/>
        <s v="R.J. Cutler"/>
        <s v="Darren Grant"/>
        <s v="Steve Pink"/>
        <s v="Kevin Donovan"/>
        <s v="Iain Softley"/>
        <s v="Jorge R. GutiÃ©rrez"/>
        <s v="Rupert Wainwright"/>
        <s v="Geoff Murphy"/>
        <s v="Gillian Armstrong"/>
        <s v="Alan Parker"/>
        <s v="Anthony Hemingway"/>
        <s v="David S. Ward"/>
        <s v="Frederik Du Chau"/>
        <s v="Ole Bornedal"/>
        <s v="Preston A. Whitmore II"/>
        <s v="Tony Gilroy"/>
        <s v="George Tillman Jr."/>
        <s v="Richard Loncraine"/>
        <s v="Aaron Seltzer"/>
        <s v="John Pasquin"/>
        <s v="Robin Budd"/>
        <s v="FrÃ©dÃ©ric Forestier"/>
        <s v="Pou-Soi Cheang"/>
        <s v="Lawrence Kasanoff"/>
        <s v="David Lowery"/>
        <s v="Nils Gaup"/>
        <s v="Yuefeng Song"/>
        <s v="Doug Walker"/>
        <s v="Roland JoffÃ©"/>
        <s v="Hideaki Anno"/>
        <s v="Matt Birch"/>
        <s v="unknown"/>
        <s v="Christopher Barnard"/>
        <s v="Timur Bekmambetov"/>
        <s v="Bob Fosse"/>
        <s v="Lucile Hadzihalilovic"/>
        <s v="Jamel Debbouze"/>
        <s v="Laurent Tirard"/>
        <s v="Reinhard Klooss"/>
        <s v="Michael Winterbottom"/>
        <s v="Ben Stassen"/>
        <s v="Gnana Rajasekaran"/>
        <s v="Alan Yuen"/>
        <s v="Danny Pang"/>
        <s v="Zack Ward"/>
        <s v="JK Youn"/>
        <s v="Dan Curtis"/>
        <s v="Khalil Sullins"/>
        <s v="Juraj Jakubisko"/>
        <s v="John Blanchard"/>
        <s v="Bo Zenga"/>
        <s v="Niels Arden Oplev"/>
        <s v="John Cromwell"/>
        <s v="Lijun Sun"/>
        <s v="Giuliano Montaldo"/>
        <s v="Marcus Raboy"/>
        <s v="Andrew Traucki"/>
        <s v="Ferzan Ozpetek"/>
        <s v="Eric Lavaine"/>
        <s v="Julian Jarrold"/>
        <s v="Martyn Pick"/>
        <s v="Justin Tipping"/>
        <s v="Edward Hall"/>
        <s v="James Nunn"/>
        <s v="Robert C. Cooper"/>
        <s v="Alan Alda"/>
        <s v="Jon Knautz"/>
        <s v="Jake Goldberger"/>
        <s v="William Sachs"/>
        <s v="Collin Schiffli"/>
        <s v="Bob Saget"/>
        <s v="Jim Amatulli"/>
        <s v="Mitch Davis"/>
        <s v="Stanton Barrett"/>
        <s v="Christophe Ali"/>
        <s v="Shekar"/>
        <s v="Walter Lang"/>
        <s v="Kabir Sadanand"/>
        <s v="Leos Carax"/>
        <s v="Vincenzo Natali"/>
        <s v="Sean Byrne"/>
        <s v="Alan Jacobs"/>
        <s v="Gideon Raff"/>
        <s v="Eldar Rapaport"/>
        <s v="Bobby Roth"/>
        <s v="Chris D'Arienzo"/>
        <s v="Leon Ford"/>
        <s v="ThorbjÃ¸rn Christoffersen"/>
        <s v="Jason Stone"/>
        <s v="Shyam Madiraju"/>
        <s v="Neil Mcenery-West"/>
        <s v="Kundan Shah"/>
        <s v="Shane Meadows"/>
        <s v="Danny Provenzano"/>
        <s v="Aaron Hann"/>
        <s v="Phil Claydon"/>
        <s v="Conor McMahon"/>
        <s v="Harald Reinl"/>
        <s v="John Laing"/>
        <s v="Richard Brooks"/>
        <s v="Mitchell Altieri"/>
        <s v="LluÃ­s QuÃ­lez"/>
        <s v="Travis Zariwny"/>
        <s v="Qasim Basir"/>
        <s v="David Caffrey"/>
        <s v="Adam Jay Epstein"/>
        <s v="Shimit Amin"/>
        <s v="Lori Petty"/>
        <s v="Mikel Rueda"/>
        <s v="Katie Aselton"/>
        <s v="Ralph Nelson"/>
        <s v="Justin Molotnikov"/>
        <s v="Clark Baker"/>
        <s v="Joseph Kosinski"/>
        <s v="Emily Dell"/>
        <s v="Thomas Lilti"/>
        <s v="Matt Walsh"/>
        <s v="Jonathan Parker"/>
        <s v="Ol Parker"/>
        <s v="Patrick Gilles"/>
        <s v="Georgia Hilton"/>
        <s v="Justin Paul Miller"/>
        <s v="Eric England"/>
        <s v="Niall Johnson"/>
        <s v="Pece Dingo"/>
        <s v="Lori Silverbush"/>
        <s v="Stuart Hazeldine"/>
        <s v="Rachel Goldenberg"/>
        <s v="Jamin Winans"/>
        <s v="Jason Naumann"/>
        <s v="Matt Cimber"/>
        <s v="Livingston Oden"/>
        <s v="Carl Theodor Dreyer"/>
        <s v="Rania Attieh"/>
        <s v="Pat Holden"/>
        <s v="Eric Bugbee"/>
        <s v="John Reinhardt"/>
        <s v="Laslo Benedek"/>
        <s v="Daniel Schechter"/>
        <s v="Matt Johnson"/>
        <s v="Bruno Barreto"/>
        <s v="Daniel Mellitz"/>
        <s v="Andrew Bujalski"/>
        <s v="Uwe Boll"/>
        <s v="Marcus Nispel"/>
        <s v="Tadeo Garcia"/>
        <s v="Ash Baron-Cohen"/>
        <s v="Scott Smith"/>
        <s v="David Leland"/>
        <s v="Moustapha Akkad"/>
        <s v="Warren Beatty"/>
        <s v="Joachim RÃ¸nning"/>
        <s v="Tom Reeve"/>
        <s v="Kimble Rendall"/>
        <s v="Bille August"/>
        <s v="Olivier Dahan"/>
        <s v="Maksim Fadeev"/>
        <s v="Liliana Cavani"/>
        <s v="Shinji Aramaki"/>
        <s v="Fedor Bondarchuk"/>
        <s v="Scott Walker"/>
        <s v="Peter Yates"/>
        <s v="Rob Hawk"/>
        <s v="Michael Cohn"/>
        <s v="Oleg Stepchenko"/>
        <s v="Bibo Bergeron"/>
        <s v="Walter Murch"/>
        <s v="John Guillermin"/>
        <s v="Roman Polanski"/>
        <s v="JÃ©rÃ´me Deschamps"/>
        <s v="Inna Evlannikova"/>
        <s v="Jonathan English"/>
        <s v="Sergey Bondarchuk"/>
        <s v="Mario Van Peebles"/>
        <s v="Daniel Lee"/>
        <s v="Peter Flinth"/>
        <s v="FrÃ©dÃ©ric Auburtin"/>
        <s v="AgustÃ­n DÃ­az Yanes"/>
        <s v="Tony Kaye"/>
        <s v="Teddy Chan"/>
        <s v="Juan JosÃ© Campanella"/>
        <s v="John Herzfeld"/>
        <s v="Mike Hodges"/>
        <s v="Gary Nelson"/>
        <s v="Joshua Logan"/>
        <s v="Paul Gross"/>
        <s v="Mike Barker"/>
        <s v="Wayne Thornley"/>
        <s v="Tom Walsh"/>
        <s v="Jonathan Jakubowicz"/>
        <s v="Anthony Silverston"/>
        <s v="Billy Ray"/>
        <s v="Scott Mann"/>
        <s v="Greg Tiernan"/>
        <s v="Anthony Mann"/>
        <s v="Gregor Jordan"/>
        <s v="Tran Anh Hung"/>
        <s v="David Hayter"/>
        <s v="Brian A Miller"/>
        <s v="Paul Schrader"/>
        <s v="Richard Fleischer"/>
        <s v="Pascal Chaumeil"/>
        <s v="Jack Smight"/>
        <s v="Luc Besson"/>
        <s v="John Stockwell"/>
        <s v="John Milius"/>
        <s v="Ronald Neame"/>
        <s v="JÃ©rÃ´me Salle"/>
        <s v="Kunihiko Yuyama"/>
        <s v="Michael Cimino"/>
        <s v="Darrell Roodt"/>
        <s v="Gerry Lively"/>
        <s v="Daniele Luchetti"/>
        <s v="Tung-Shing Yee"/>
        <s v="Julien Temple"/>
        <s v="Vidhu Vinod Chopra"/>
        <s v="Hao Ning"/>
        <s v="Deryck Broom"/>
        <s v="Peter Cousens"/>
        <s v="Ted Kotcheff"/>
        <s v="Rodrigo CortÃ©s"/>
        <s v="John Boorman"/>
        <s v="James Cox"/>
        <s v="Oliver Parker"/>
        <s v="Eric Valette"/>
        <s v="LÃ©a Pool"/>
        <s v="William Friedkin"/>
        <s v="Chao-Bin Su"/>
        <s v="Franklin J. Schaffner"/>
        <s v="John Frankenheimer"/>
        <s v="Bob Rafelson"/>
        <s v="Roger Spottiswoode"/>
        <s v="Takashi Yamazaki"/>
        <s v="Christopher Smith"/>
        <s v="David Winters"/>
        <s v="Mabel Cheung"/>
        <s v="Brian Trenchard-Smith"/>
        <s v="Rowan Joffe"/>
        <s v="Jamie Thraves"/>
        <s v="Jon Cassar"/>
        <s v="Guillaume Ivernel"/>
        <s v="Dany Boon"/>
        <s v="Martin Ritt"/>
        <s v="Lisa Azuelos"/>
        <s v="Eric Lartigau"/>
        <s v="Shintaro Shimosawa"/>
        <s v="Ken Annakin"/>
        <s v="Mark L. Lester"/>
        <s v="David Cronenberg"/>
        <s v="Joseph Zito"/>
        <s v="Walter Hill"/>
        <s v="Allan Arkush"/>
        <s v="Rakesh Roshan"/>
        <s v="Michael Radford"/>
        <s v="Kim Farrant"/>
        <s v="Robert Adetuyi"/>
        <s v="Taedong Park"/>
        <s v="Gurinder Chadha"/>
        <s v="Jason Connery"/>
        <s v="Vic Sarin"/>
        <s v="Jim Issa"/>
        <s v="Douglas Aarniokoski"/>
        <s v="William Phillips"/>
        <s v="Sarik Andreasyan"/>
        <s v="Julian Gilbey"/>
        <s v="Joseph Kahn"/>
        <s v="Barrett Esposito"/>
        <s v="Regardt van den Bergh"/>
        <s v="Nate Parker"/>
        <s v="Valeri Milev"/>
        <s v="Gerald Potterton"/>
        <s v="Nicholas Ray"/>
        <s v="Stewart Raffill"/>
        <s v="Emily Young"/>
        <s v="Jeremy Sims"/>
        <s v="Roger Vadim"/>
        <s v="Tom Elkins"/>
        <s v="Roland Suso Richter"/>
        <s v="Kim Nguyen"/>
        <s v="Perry Lang"/>
        <s v="Kriv Stenders"/>
        <s v="Serdar Akar"/>
        <s v="James Ivory"/>
        <s v="George A. Romero"/>
        <s v="AndrÃ©s Couturier"/>
        <s v="Woo-Suk Kang"/>
        <s v="Ken Shapiro"/>
        <s v="Erik Canuel"/>
        <s v="Michael Winner"/>
        <s v="Charles BinamÃ©"/>
        <s v="Keith Parmer"/>
        <s v="Michael Winnick"/>
        <s v="Don Coscarelli"/>
        <s v="Andrucha Waddington"/>
        <s v="Fred Zinnemann"/>
        <s v="David Oelhoffen"/>
        <s v="Mervyn LeRoy"/>
        <s v="Sacha Bennett"/>
        <s v="Jeta Amata"/>
        <s v="Ernie Barbarash"/>
        <s v="Gabe IbÃ¡Ã±ez"/>
        <s v="Aleksey German"/>
        <s v="Troy Duffy"/>
        <s v="David Lam"/>
        <s v="Vladlen Barbe"/>
        <s v="Richard Rich"/>
        <s v="Jackie Earle Haley"/>
        <s v="Ian Sharp"/>
        <s v="Sam Peckinpah"/>
        <s v="Kari Skogland"/>
        <s v="Michael Crichton"/>
        <s v="Greg Marcks"/>
        <s v="William Kaufman"/>
        <s v="Charles Matthau"/>
        <s v="Alfred Hitchcock"/>
        <s v="Liv Ullmann"/>
        <s v="Dennis Gansel"/>
        <s v="Blake Edwards"/>
        <s v="David Lynch"/>
        <s v="Frank Perry"/>
        <s v="Michael Curtiz"/>
        <s v="Bruce Malmuth"/>
        <s v="King Vidor"/>
        <s v="Sergio Leone"/>
        <s v="Jerry Belson"/>
        <s v="Billy Kent"/>
        <s v="Matthew Hastings"/>
        <s v="Jaume BalaguerÃ³"/>
        <s v="Eric Bross"/>
        <s v="Vicky Jewson"/>
        <s v="Marc Bennett"/>
        <s v="Mike Mayhall"/>
        <s v="Kevin Smith"/>
        <s v="Scott Foley"/>
        <s v="Leonard Farlinger"/>
        <s v="Kevin Carraway"/>
        <s v="Nae Caranfil"/>
        <s v="Gabriela Tagliavini"/>
        <s v="Analeine Cal y Mayor"/>
        <s v="Randal Kleiser"/>
        <s v="John Huston"/>
        <s v="Ivan Engler"/>
        <s v="Duane Journey"/>
        <s v="Mora Stephens"/>
        <s v="Peter DeLuise"/>
        <s v="Raja Menon"/>
        <s v="Dan O'Bannon"/>
        <s v="Jon Wright"/>
        <s v="Billy Wilder"/>
        <s v="Carol Reed"/>
        <s v="John Sturges"/>
        <s v="Dan Ireland"/>
        <s v="Sam Levinson"/>
        <s v="Aleksandr Veledinskiy"/>
        <s v="Peter H. Hunt"/>
        <s v="Edward Burns"/>
        <s v="Phil Joanou"/>
        <s v="Chris Stokes"/>
        <s v="Mark Griffiths"/>
        <s v="Bruce Macdonald"/>
        <s v="William Eubank"/>
        <s v="Howard Hughes"/>
        <s v="Benedek Fliegauf"/>
        <s v="George Miller"/>
        <s v="Amanda Gusack"/>
        <s v="Charles Adelman"/>
        <s v="Jay Oliva"/>
        <s v="Mark Young"/>
        <s v="Daniel Petrie Jr."/>
        <s v="Danny Perez"/>
        <s v="Antonio Simoncini"/>
        <s v="Nathan Frankowski"/>
        <s v="Jennifer Finnigan"/>
        <s v="Richard Wallace"/>
        <s v="John Ford"/>
        <s v="John Gulager"/>
        <s v="Brandon Cronenberg"/>
        <s v="Ã‰ric Tessier"/>
        <s v="Frank Capra"/>
        <s v="Nick Murphy"/>
        <s v="Ted Post"/>
        <s v="Michael Schultz"/>
        <s v="Stanley Kramer"/>
        <s v="Howard Hawks"/>
        <s v="Mel Stuart"/>
        <s v="Terrence Malick"/>
        <s v="Matthew Bright"/>
        <s v="Will Canon"/>
        <s v="Philip Zlotorynski"/>
        <s v="Lance Kawas"/>
        <s v="Marcio Garcia"/>
        <s v="Craig Moss"/>
        <s v="Michael Jai White"/>
        <s v="Paolo Monico"/>
        <s v="Darin Scott"/>
        <s v="Christian Sesma"/>
        <s v="Monte Hellman"/>
        <s v="Brian Caunter"/>
        <s v="Isaac Florentine"/>
        <s v="Michael Polish"/>
        <s v="Hank Braxtan"/>
        <s v="Rohit Jugraj"/>
        <s v="Brian Dorton"/>
        <s v="Carroll Ballard"/>
        <s v="Alex van Warmerdam"/>
        <s v="Victor Fleming"/>
        <s v="Tony Giglio"/>
        <s v="Stanley Donen"/>
        <s v="Melville Shavelson"/>
        <s v="Paul Andrew Williams"/>
        <s v="Joe Cross"/>
        <s v="Don Taylor"/>
        <s v="John Murlowski"/>
        <s v="Benni Diez"/>
        <s v="Zackary Adler"/>
        <s v="Dominic Burns"/>
        <s v="Jaco Booyens"/>
        <s v="James Kerwin"/>
        <s v="Rita Merson"/>
        <s v="George Sidney"/>
        <s v="Jerry Rees"/>
        <s v="Dennis Hopper"/>
        <s v="Hayley Cloake"/>
        <s v="Tay Garnett"/>
        <s v="Patricia Cardoso"/>
        <s v="Dan Perri"/>
        <s v="Anthony O'Brien"/>
        <s v="Robert Mulligan"/>
        <s v="Robert Rossen"/>
        <s v="Elia Kazan"/>
        <s v="Henry King"/>
        <s v="Brian Yuzna"/>
        <s v="John Simpson"/>
        <s v="Chris Shadley"/>
        <s v="Simon Napier-Bell"/>
        <s v="Jeff Crook"/>
        <s v="Dave Payne"/>
        <s v="Jonas Ã…kerlund"/>
        <s v="Brad Copeland"/>
        <s v="Michael Moore"/>
        <s v="Tanner Beard"/>
        <s v="Derick Martini"/>
        <s v="Jerry Dugan"/>
        <s v="Richard Boddington"/>
        <s v="Frank Lotito"/>
        <s v="Russell Friedenberg"/>
        <s v="Alex Ranarivelo"/>
        <s v="J. Lee Thompson"/>
        <s v="Jonathan Wacks"/>
        <s v="Tony Krantz"/>
        <s v="W.D. Hogan"/>
        <s v="Corey Grant"/>
        <s v="Dan Reed"/>
        <s v="David Hunt"/>
        <s v="Paul Donovan"/>
        <s v="Jack Conway"/>
        <s v="Chuck Bowman"/>
        <s v="Jehane Noujaim"/>
        <s v="Alex Cox"/>
        <s v="Simeon Rice"/>
        <s v="Adam Green"/>
        <s v="Ira Sachs"/>
        <s v="Jaime Zevallos"/>
        <s v="Robert Greenwald"/>
        <s v="David Ray"/>
        <s v="Dave Rodriguez"/>
        <s v="David Winning"/>
        <s v="Timothy Woodward Jr."/>
        <s v="Tara Subkoff"/>
        <s v="Laurent Bouhnik"/>
        <s v="Edward Dmytryk"/>
        <s v="David Worth"/>
        <s v="Sadyk Sher-Niyaz"/>
        <s v="Joel Anderson"/>
        <s v="Leslie H. Martinson"/>
        <s v="Tyler Oliver"/>
        <s v="Giovanni Zelko"/>
        <s v="Scott Dow"/>
        <s v="Robert M. Young"/>
        <s v="Douglas Cheek"/>
        <s v="Henry Hathaway"/>
        <s v="Harmage Singh Kalirai"/>
        <s v="Justin Thomas Ostensen"/>
        <s v="Brenton Spencer"/>
        <s v="Ossie Davis"/>
        <s v="Jay Alaimo"/>
        <s v="Dylan Bank"/>
        <s v="Matthew R. Anderson"/>
        <s v="Joe Marino"/>
        <s v="Mona Fastvold"/>
        <s v="Andrew Steggall"/>
        <s v="Andrei Tarkovsky"/>
        <s v="Anthony C. Ferrante"/>
        <s v="Avi Nesher"/>
        <s v="Douglas Trumbull"/>
        <s v="Tony Richardson"/>
        <s v="Robert D. Webb"/>
        <s v="Allan Dwan"/>
        <s v="Nickolas Perry"/>
        <s v="Becky Smith"/>
        <s v="A. Raven Cruz"/>
        <s v="Amat Escalante"/>
        <s v="Wajahat Rauf"/>
        <s v="Katherine Brooks"/>
        <s v="David Cross"/>
        <s v="Randall Rubin"/>
        <s v="Robert Bennett"/>
        <s v="Mary Pat Kelly"/>
        <s v="Charlie Levi"/>
        <s v="David DeCoteau"/>
        <s v="Stefan C. Schaefer"/>
        <s v="Michael Taliferro"/>
        <s v="Robert Heath"/>
        <s v="D. Stevens"/>
        <s v="Jeffrey St. Jules"/>
        <s v="Robert Hall"/>
        <s v="K. King"/>
        <s v="Jonathan Meyers"/>
        <s v="Tommy Oliver"/>
        <s v="Caryn Waechter"/>
        <s v="Nick Love"/>
        <s v="Richard Schenkman"/>
        <s v="Blair Erickson"/>
        <s v="Allison Burnett"/>
        <s v="Sanjay Rawal"/>
        <s v="Mariette Monpierre"/>
        <s v="Cassandra Nicolaou"/>
        <s v="Daniel Davila"/>
        <s v="Frank Borzage"/>
        <s v="Youssef Delara"/>
        <s v="Jorge Gaggero"/>
        <s v="Michael Burke"/>
        <s v="Bernardo Bertolucci"/>
        <s v="Christopher Hutson"/>
        <s v="H.M. Coakley"/>
        <s v="William Gazecki"/>
        <s v="Anna Mastro"/>
        <s v="Bill Benenson"/>
        <s v="Ryan Smith"/>
        <s v="Travis Romero"/>
        <s v="Lance McDaniel"/>
        <s v="Michael Walker"/>
        <s v="Amy Holden Jones"/>
        <s v="Pan Nalin"/>
        <s v="Kevin Hamedani"/>
        <s v="Blaz Zavrsnik"/>
        <s v="Tom DiCillo"/>
        <s v="Stephen Kijak"/>
        <s v="Daston Kalili"/>
        <s v="Michael Hoffman Jr."/>
        <s v="Jack Heller"/>
        <s v="Fernando Baez Mella"/>
        <s v="Joel Paul Reisig"/>
        <s v="Luke Dye"/>
        <s v="Alec Asten"/>
        <s v="Matt Jackson"/>
        <s v="Paul Fox"/>
        <s v="Ã‰tienne Faure"/>
        <s v="Michael Herz"/>
        <s v="Matthew Watts"/>
        <s v="Joe Kenemore"/>
        <s v="Chris Atkins"/>
        <s v="Johanna Schwartz"/>
        <s v="Ingmar Bergman"/>
        <s v="D.W. Griffith"/>
        <s v="Sam Raimi"/>
        <s v="Sharron Miller"/>
        <s v="Gerard Johnstone"/>
        <s v="Chad Kapper"/>
        <s v="Babar Ahmed"/>
        <s v="Eric Mendelsohn"/>
        <s v="Jean-Luc Godard"/>
        <s v="Paul Bartel"/>
        <s v="Jerome Elston Scott"/>
        <s v="Jack Perez"/>
        <s v="Daniel Columbie"/>
        <s v="Al Franklin"/>
        <s v="Ken Del Conte"/>
        <s v="Herb Freed"/>
        <s v="Corbin Bernsen"/>
        <s v="Tom Seidman"/>
        <s v="Sam Martin"/>
        <s v="Andrew Hyatt"/>
        <s v="Kristin Rizzo"/>
        <s v="Zoran Lisinac"/>
        <s v="James O'Brien"/>
        <s v="Adam Rifkin"/>
        <s v="Ward Roberts"/>
        <s v="Lowell Sherman"/>
        <s v="Stevan Mena"/>
        <s v="Nadia Tass"/>
        <s v="C. Fraser Press"/>
        <s v="Sharon Greytak"/>
        <s v="Ken Roht"/>
        <s v="Thomas L. Phillips"/>
        <s v="Cary Bell"/>
        <s v="Nicolae Constantin Tanase"/>
        <s v="Warren Sheppard"/>
        <s v="Chris Marker"/>
        <s v="Bill Melendez"/>
        <s v="Deborah Anderson"/>
        <s v="Sai Varadan"/>
        <s v="Amal Al-Agroobi"/>
        <s v="Valentine"/>
        <s v="Andrew Berends"/>
        <s v="David Hewlett"/>
        <s v="Nathan Smith Jones"/>
        <s v="Colin Minihan"/>
        <s v="Natalie Bible'"/>
        <s v="Al Silliman Jr."/>
        <s v="Jamaa Fanaka"/>
        <s v="Lisanne Pajot"/>
        <s v="Patrick Ryan Sims"/>
        <s v="Jason Miller"/>
        <s v="Wade Gasque"/>
        <s v="Brett Piper"/>
        <s v="Kirk Loudon"/>
        <s v="Sut Jhally"/>
        <s v="Mike Flanagan"/>
        <s v="Joseph Green"/>
        <s v="Terron R. Parsons"/>
        <s v="Damir Catic"/>
        <s v="Jem Cohen"/>
        <s v="Andrew Leman"/>
        <s v="Dave Carroll"/>
        <s v="Patrick Meaney"/>
        <s v="Collin Joseph Neal"/>
        <s v="Malcolm Goodwin"/>
        <s v="Chad Hartigan"/>
        <s v="Travis Legge"/>
        <s v="Joseph Mazzella"/>
        <s v="Eric Eason"/>
        <s v="Stephen Langford"/>
        <s v="Alex Kendrick"/>
        <s v="Jason Trost"/>
        <s v="Brandon Landers"/>
        <s v="Jim Chuchu"/>
        <s v="Jane Clark"/>
        <s v="Ivan Kavanagh"/>
        <s v="Anthony Vallone"/>
        <s v="Benjamin Roberds"/>
        <s v="Fred Wolf"/>
        <s v="Joel Zwick"/>
        <s v="Matthew Vaughn"/>
        <s v="Jennifer Flackett"/>
        <s v="Steve Trenbirth"/>
        <s v="Mennan Yapo"/>
        <s v="David Koepp"/>
        <s v="Jean-Pierre Jeunet"/>
        <s v="Peter Berg"/>
        <s v="Steven Quale"/>
        <s v="Lee Daniels"/>
        <s v="Mick Jackson"/>
        <s v="Harald Zwart"/>
        <s v="Eli Roth"/>
        <s v="John Carpenter"/>
        <s v="Christophe Gans"/>
        <s v="Christian Ditter"/>
        <s v="Danny Leiner"/>
        <s v="Griffin Dunne"/>
        <s v="Stephen Kay"/>
        <s v="Paul Weiland"/>
        <s v="Kevin Bray"/>
        <s v="Peter Cattaneo"/>
        <s v="Patrick Tatopoulos"/>
        <s v="Kevin Greutert"/>
        <s v="Jun Falkenstein"/>
        <s v="Joel Coen"/>
        <s v="Guy Ritchie"/>
        <s v="Danny Boyle"/>
        <s v="Tom McCarthy"/>
        <s v="Gregory Hoblit"/>
        <s v="Brian Gibson"/>
        <s v="Howard Deutch"/>
        <s v="Christopher Cain"/>
        <s v="Michel Hazanavicius"/>
        <s v="Martin Brest"/>
        <s v="Sofia Coppola"/>
        <s v="Niki Caro"/>
        <s v="Eugenio Derbez"/>
        <s v="Theodore Melfi"/>
        <s v="Sanaa Hamri"/>
        <s v="Peter Jackson"/>
        <s v="Gary David Goldberg"/>
        <s v="Sean McNamara"/>
        <s v="Nelson McCormick"/>
        <s v="Joel Edgerton"/>
        <s v="Jerome Robbins"/>
        <s v="Audrey Wells"/>
        <s v="Scott Waugh"/>
        <s v="Louis Leterrier"/>
        <s v="Ric Roman Waugh"/>
        <s v="Jim Fall"/>
        <s v="Stuart Gillard"/>
        <s v="Boaz Yakin"/>
        <s v="James Gartner"/>
        <s v="Michael Lehmann"/>
        <s v="Michael Dougherty"/>
        <s v="Lee Toland Krieger"/>
        <s v="Terry Gilliam"/>
        <s v="Alejandro G. IÃ±Ã¡rritu"/>
        <s v="Jorge Blanco"/>
        <s v="James L. Brooks"/>
        <s v="Drew Goddard"/>
        <s v="David Twohy"/>
        <s v="Steve Beck"/>
        <s v="Colin Strause"/>
        <s v="Alexandre Aja"/>
        <s v="Stephen Daldry"/>
        <s v="Carl Franklin"/>
        <s v="Tim McCanlies"/>
        <s v="Robert Altman"/>
        <s v="Mimi Leder"/>
        <s v="Jodie Foster"/>
        <s v="Daniel Stamm"/>
        <s v="William Malone"/>
        <s v="Perry Andelin Blake"/>
        <s v="David Mirkin"/>
        <s v="Jessie Nelson"/>
        <s v="Paul Thomas Anderson"/>
        <s v="Beeban Kidron"/>
        <s v="Scott Stewart"/>
        <s v="Jane Campion"/>
        <s v="Michael Tiddes"/>
        <s v="Danny Cannon"/>
        <s v="Cathy Malkasian"/>
        <s v="Neil Burger"/>
        <s v="Jason Friedberg"/>
        <s v="Xavier Gens"/>
        <s v="David Slade"/>
        <s v="Joe Camp"/>
        <s v="Steve Antin"/>
        <s v="John Eng"/>
        <s v="Patrick Hughes"/>
        <s v="Neil LaBute"/>
        <s v="Breck Eisner"/>
        <s v="Tim Robbins"/>
        <s v="Dave Green"/>
        <s v="Steven Seagal"/>
        <s v="John Crowley"/>
        <s v="Roger Kumble"/>
        <s v="Gil Junger"/>
        <s v="Paul Michael Glaser"/>
        <s v="Jamie Blanks"/>
        <s v="Joel Gallen"/>
        <s v="Jean-Marc VallÃ©e"/>
        <s v="Chris Rock"/>
        <s v="Gina Prince-Bythewood"/>
        <s v="Kerry Conran"/>
        <s v="Joan Chen"/>
        <s v="John Wells"/>
        <s v="Catherine Hardwicke"/>
        <s v="John Hoffman"/>
        <s v="Andrew Niccol"/>
        <s v="Alan Poul"/>
        <s v="Victor Salva"/>
        <s v="Greg Mottola"/>
        <s v="Christian E. Christiansen"/>
        <s v="Salim Akil"/>
        <s v="Tamra Davis"/>
        <s v="Edward Norton"/>
        <s v="Betty Thomas"/>
        <s v="Kevin Macdonald"/>
        <s v="Chris Nahon"/>
        <s v="Chuck Sheetz"/>
        <s v="Don Siegel"/>
        <s v="Craig Gillespie"/>
        <s v="Bille Woodruff"/>
        <s v="Clark Johnson"/>
        <s v="Steve Miner"/>
        <s v="Barry Cook"/>
        <s v="Diane Keaton"/>
        <s v="Henry Koster"/>
        <s v="Cecil B. DeMille"/>
        <s v="Dennie Gordon"/>
        <s v="Todd Field"/>
        <s v="James Marsh"/>
        <s v="Robert Lorenz"/>
        <s v="Anton Corbijn"/>
        <s v="Tom Hanks"/>
        <s v="Dan Mazer"/>
        <s v="Gregory Nava"/>
        <s v="Joseph Ruben"/>
        <s v="Alfonso CuarÃ³n"/>
        <s v="Kimberly Peirce"/>
        <s v="Mark Pellington"/>
        <s v="Scott Speer"/>
        <s v="Nicolas Winding Refn"/>
        <s v="Todd Strauss-Schulson"/>
        <s v="Mark Helfrich"/>
        <s v="J Blakeson"/>
        <s v="Rachel Talalay"/>
        <s v="Martin Lawrence"/>
        <s v="Liz Friedlander"/>
        <s v="Florent-Emilio Siri"/>
        <s v="Peter Landesman"/>
        <s v="Patty Jenkins"/>
        <s v="Akiva Schaffer"/>
        <s v="Michel Gondry"/>
        <s v="Ari Sandel"/>
        <s v="Kelly Makin"/>
        <s v="Phil Traill"/>
        <s v="Matt Williams"/>
        <s v="Lawrence Kasdan"/>
        <s v="Jonathan Hensleigh"/>
        <s v="Rupert Wyatt"/>
        <s v="John Erick Dowdle"/>
        <s v="Fernando Meirelles"/>
        <s v="Kent Alterman"/>
        <s v="Steven E. de Souza"/>
        <s v="John Patrick Shanley"/>
        <s v="Rob Zombie"/>
        <s v="Dinesh D'Souza"/>
        <s v="Simon Curtis"/>
        <s v="Tom Holland"/>
        <s v="Andrew Bergman"/>
        <s v="Dennis Iliadis"/>
        <s v="John Gatins"/>
        <s v="Bonnie Hunt"/>
        <s v="Steve Bendelack"/>
        <s v="Christopher Landon"/>
        <s v="Grant Heslov"/>
        <s v="Marc Webb"/>
        <s v="Stanley Tong"/>
        <s v="Dan Gilroy"/>
        <s v="Leslie Small"/>
        <s v="Marco Schnabel"/>
        <s v="Brett Leonard"/>
        <s v="Jake Schreier"/>
        <s v="Adam Brooks"/>
        <s v="Mike Figgis"/>
        <s v="Barbet Schroeder"/>
        <s v="Shane Acker"/>
        <s v="Kirsten Sheridan"/>
        <s v="Mark Tonderai"/>
        <s v="Mark Romanek"/>
        <s v="Clare Kilner"/>
        <s v="Jim Field Smith"/>
        <s v="Neill Blomkamp"/>
        <s v="Levan Gabriadze"/>
        <s v="Dwight H. Little"/>
        <s v="Edgar Wright"/>
        <s v="Peter Sollett"/>
        <s v="David Moreau"/>
        <s v="Christopher Erskin"/>
        <s v="Jim Sheridan"/>
        <s v="Todd Graff"/>
        <s v="Ken Scott"/>
        <s v="Bruce McCulloch"/>
        <s v="Tate Taylor"/>
        <s v="Chris Kentis"/>
        <s v="John Fortenberry"/>
        <s v="Michael Rymer"/>
        <s v="Bob Dolman"/>
        <s v="Rick Rosenthal"/>
        <s v="Denzel Washington"/>
        <s v="Christian Duguay"/>
        <s v="Kirk De Micco"/>
        <s v="Sheldon Lettich"/>
        <s v="Rowdy Herrington"/>
        <s v="Shekhar Kapur"/>
        <s v="Jack Sholder"/>
        <s v="Michael Spierig"/>
        <s v="Phyllida Lloyd"/>
        <s v="John McNaughton"/>
        <s v="Kinka Usher"/>
        <s v="Sara Sugarman"/>
        <s v="Bob Spiers"/>
        <s v="Mark Rydell"/>
        <s v="Nicholas Hytner"/>
        <s v="Susanna White"/>
        <s v="Ed Decter"/>
        <s v="Joe Charbanic"/>
        <s v="Morgan Spurlock"/>
        <s v="Jeff Wadlow"/>
        <s v="Juan Carlos Fresnadillo"/>
        <s v="James Gray"/>
        <s v="John Lafia"/>
        <s v="Greg Coolidge"/>
        <s v="John Stainton"/>
        <s v="Frank Darabont"/>
        <s v="Martha Coolidge"/>
        <s v="Jon Favreau"/>
        <s v="George Armitage"/>
        <s v="Gene Quintano"/>
        <s v="Peter Howitt"/>
        <s v="Daniel Barnz"/>
        <s v="Josh Gordon"/>
        <s v="CiarÃ¡n Foy"/>
        <s v="Peter Webber"/>
        <s v="Gary Hardwick"/>
        <s v="Rick Famuyiwa"/>
        <s v="Tony Goldwyn"/>
        <s v="Brian Henson"/>
        <s v="David Lean"/>
        <s v="Kirk Wong"/>
        <s v="Rick Friedberg"/>
        <s v="Diane English"/>
        <s v="Jessica Bendinger"/>
        <s v="Justin Chadwick"/>
        <s v="Zach Braff"/>
        <s v="Michael Hoffman"/>
        <s v="Stephen J. Anderson"/>
        <s v="Ethan Maniquis"/>
        <s v="Jason Zada"/>
        <s v="Bronwen Hughes"/>
        <s v="Joe Berlinger"/>
        <s v="Patrick Gilmore"/>
        <s v="Elizabeth Allen Rosenbaum"/>
        <s v="Troy Miller"/>
        <s v="Tom Gormican"/>
        <s v="Neil Marshall"/>
        <s v="Des McAnuff"/>
        <s v="Scott Frank"/>
        <s v="Masayuki Ochiai"/>
        <s v="Craig Mazin"/>
        <s v="Karyn Kusama"/>
        <s v="David Gelb"/>
        <s v="Julie Taymor"/>
        <s v="Damien Dante Wayans"/>
        <s v="Simon Wincer"/>
        <s v="Andrew Fleming"/>
        <s v="Mike Nawrocki"/>
        <s v="Spike Jonze"/>
        <s v="Walter Salles"/>
        <s v="Olatunde Osunsanmi"/>
        <s v="Tom Tykwer"/>
        <s v="Alex Garland"/>
        <s v="Harry Elfont"/>
        <s v="Joss Whedon"/>
        <s v="Dan Cutforth"/>
        <s v="Pat O'Connor"/>
        <s v="Robert Eggers"/>
        <s v="Gary McKendry"/>
        <s v="Anthony Bell"/>
        <s v="Michael Anderson"/>
        <s v="Jesse Peretz"/>
        <s v="Erik White"/>
        <s v="Billy Bob Thornton"/>
        <s v="Joseph Gordon-Levitt"/>
        <s v="Tim Fywell"/>
        <s v="Danny DeVito"/>
        <s v="Tomas Alfredson"/>
        <s v="Stephen Sommers"/>
        <s v="Troy Nixey"/>
        <s v="Jody Hill"/>
        <s v="Rob Pritts"/>
        <s v="Davis Guggenheim"/>
        <s v="William Wyler"/>
        <s v="Terry George"/>
        <s v="Shana Feste"/>
        <s v="Pierre Morel"/>
        <s v="Kevin Allen"/>
        <s v="Thomas Bezucha"/>
        <s v="Brad Bird"/>
        <s v="Alister Grierson"/>
        <s v="Ice Cube"/>
        <s v="Paul Hunter"/>
        <s v="Brandon Camp"/>
        <s v="Tommy O'Haver"/>
        <s v="John Dahl"/>
        <s v="Peter R. Hunt"/>
        <s v="Travis Cluff"/>
        <s v="Don Scardino"/>
        <s v="Paul McGuigan"/>
        <s v="Philip G. Atwell"/>
        <s v="Kevin Tancharoen"/>
        <s v="Dean Israelite"/>
        <s v="Mike Bigelow"/>
        <s v="Mark Brown"/>
        <s v="Craig Brewer"/>
        <s v="Jeremy Leven"/>
        <s v="Robert Harmon"/>
        <s v="Gordon Chan"/>
        <s v="Nigel Cole"/>
        <s v="Justin Zackham"/>
        <s v="Jeff Nichols"/>
        <s v="Mike Binder"/>
        <s v="David E. Talbert"/>
        <s v="Nat Faxon"/>
        <s v="Philip Kaufman"/>
        <s v="Brian Percival"/>
        <s v="Roger Christian"/>
        <s v="John Ottman"/>
        <s v="Chris Gorak"/>
        <s v="Derek Cianfrance"/>
        <s v="Danny Steinmann"/>
        <s v="Chris Robinson"/>
        <s v="Ernest R. Dickerson"/>
        <s v="Michael Mayer"/>
        <s v="Chris Carter"/>
        <s v="Annabel Jankel"/>
        <s v="Lisa Cholodenko"/>
        <s v="Martin Weisz"/>
        <s v="Harold Cronk"/>
        <s v="Joseph Sargent"/>
        <s v="Robert Duvall"/>
        <s v="Peter Atencio"/>
        <s v="Nick Hurran"/>
        <s v="John Gray"/>
        <s v="Gary Ross"/>
        <s v="Robert Ben Garant"/>
        <s v="Paul Verhoeven"/>
        <s v="Camille Delamarre"/>
        <s v="Jim Sonzero"/>
        <s v="Craig R. Baxley"/>
        <s v="Ed Harris"/>
        <s v="Alan Shapiro"/>
        <s v="Kris Isacsson"/>
        <s v="Jean-FranÃ§ois Richet"/>
        <s v="Mikael Salomon"/>
        <s v="Sean Penn"/>
        <s v="Allen Hughes"/>
        <s v="Tom McLoughlin"/>
        <s v="Gary Chapman"/>
        <s v="Maurice Joyce"/>
        <s v="Jacques Perrin"/>
        <s v="Susan Stroman"/>
        <s v="George Jackson"/>
        <s v="David Raynr"/>
        <s v="John Carl Buechler"/>
        <s v="Adrienne Shelly"/>
        <s v="Stuart Beattie"/>
        <s v="Allen Coulter"/>
        <s v="J.A. Bayona"/>
        <s v="John Bonito"/>
        <s v="Doug Atchison"/>
        <s v="Richard Glatzer"/>
        <s v="Don Kempf"/>
        <s v="Christopher Guest"/>
        <s v="Asger Leth"/>
        <s v="Kurt Wimmer"/>
        <s v="Ricky Gervais"/>
        <s v="Dustin Hoffman"/>
        <s v="Leon Ichaso"/>
        <s v="Mark Steven Johnson"/>
        <s v="Rod Lurie"/>
        <s v="Bradley Parker"/>
        <s v="Frank Nissen"/>
        <s v="Daniel Sackheim"/>
        <s v="Nanette Burstein"/>
        <s v="Katt Shea"/>
        <s v="Stephen Chbosky"/>
        <s v="Jeff Schaffer"/>
        <s v="Gonzalo LÃ³pez-Gallego"/>
        <s v="Patricia Rozema"/>
        <s v="Nicole Holofcener"/>
        <s v="Michael J. Bassett"/>
        <s v="Richard Eyre"/>
        <s v="Antony Hoffman"/>
        <s v="Carter Smith"/>
        <s v="David Nutter"/>
        <s v="Cheryl Dunye"/>
        <s v="Ellory Elkayem"/>
        <s v="Stephen Chow"/>
        <s v="Kevin Hooks"/>
        <s v="Don Mancini"/>
        <s v="John 'Bud' Cardos"/>
        <s v="Peter Hastings"/>
        <s v="Ben Younger"/>
        <s v="Janusz Kaminski"/>
        <s v="Bart Freundlich"/>
        <s v="Jonas Elmer"/>
        <s v="Patrick Read Johnson"/>
        <s v="Paul Feig"/>
        <s v="Mark Christopher"/>
        <s v="Stephan Elliott"/>
        <s v="Peter Kosminsky"/>
        <s v="Courtney Solomon"/>
        <s v="Willard Huyck"/>
        <s v="Joshua Michael Stern"/>
        <s v="Michael Cristofer"/>
        <s v="Glen Morgan"/>
        <s v="John Carney"/>
        <s v="Mira Nair"/>
        <s v="James Bridges"/>
        <s v="Gregory Widen"/>
        <s v="Rob McKittrick"/>
        <s v="Karey Kirkpatrick"/>
        <s v="Tim Blake Nelson"/>
        <s v="Adam Marcus"/>
        <s v="Britt Allcroft"/>
        <s v="Todd Haynes"/>
        <s v="Matt Bettinelli-Olpin"/>
        <s v="Dexter Fletcher"/>
        <s v="Demian Lichtenstein"/>
        <s v="Paul Abascal"/>
        <s v="Sidney J. Furie"/>
        <s v="Trent Cooper"/>
        <s v="RZA"/>
        <s v="Paul Bolger"/>
        <s v="Josef Rusnak"/>
        <s v="Nick Gomez"/>
        <s v="Rob Schmidt"/>
        <s v="Don Michael Paul"/>
        <s v="Bill Paxton"/>
        <s v="Melvin Van Peebles"/>
        <s v="James Foley"/>
        <s v="Ed Gass-Donnelly"/>
        <s v="Joe Chappelle"/>
        <s v="Neal Brennan"/>
        <s v="Steve Barron"/>
        <s v="Hayao Miyazaki"/>
        <s v="Oliver Hirschbiegel"/>
        <s v="Alan Cohn"/>
        <s v="Mary Harron"/>
        <s v="Richard Kelly"/>
        <s v="Martin McDonagh"/>
        <s v="Andrew Dominik"/>
        <s v="Bruce Hunt"/>
        <s v="Kasi Lemmons"/>
        <s v="Lenny Abrahamson"/>
        <s v="David Robert Mitchell"/>
        <s v="Clive Barker"/>
        <s v="Tommy Lee Wallace"/>
        <s v="Elaine May"/>
        <s v="Joby Harold"/>
        <s v="Franco Zeffirelli"/>
        <s v="Rob Hedden"/>
        <s v="Nick Hamm"/>
        <s v="Wych Kaosayananda"/>
        <s v="James Mather"/>
        <s v="Ariel Vromen"/>
        <s v="Tom Green"/>
        <s v="Harmony Korine"/>
        <s v="Gary Sherman"/>
        <s v="Ringo Lam"/>
        <s v="Michael Gornick"/>
        <s v="Vic Armstrong"/>
        <s v="Mark Mylod"/>
        <s v="Lionel C. Martin"/>
        <s v="Jessy Terrero"/>
        <s v="Brendan Malloy"/>
        <s v="Richard Benjamin"/>
        <s v="Andrew Morahan"/>
        <s v="Saul Dibb"/>
        <s v="Lone Scherfig"/>
        <s v="Miguel Sapochnik"/>
        <s v="David Palmer"/>
        <s v="Tuck Tucker"/>
        <s v="Jesse Vaughan"/>
        <s v="Gregory Poirier"/>
        <s v="Uli Edel"/>
        <s v="Charles Shyer"/>
        <s v="Michael O. Sajbel"/>
        <s v="Ulu Grosbard"/>
        <s v="Mickey Liddell"/>
        <s v="Michael Wadleigh"/>
        <s v="John Sayles"/>
        <s v="Christian Alvart"/>
        <s v="Fred Savage"/>
        <s v="Damien Chazelle"/>
        <s v="Tony Bill"/>
        <s v="Drew Barrymore"/>
        <s v="Michael Dinner"/>
        <s v="Vadim Perelman"/>
        <s v="Jon Gunn"/>
        <s v="Fred Walton"/>
        <s v="Pedro AlmodÃ³var"/>
        <s v="Ron Maxwell"/>
        <s v="Benh Zeitlin"/>
        <s v="Jerry Zaks"/>
        <s v="Sammo Kam-Bo Hung"/>
        <s v="John Hillcoat"/>
        <s v="James Isaac"/>
        <s v="Robert Marcarelli"/>
        <s v="Richard Shepard"/>
        <s v="Bryan Barber"/>
        <s v="Theodore Witcher"/>
        <s v="Andrew Adamson"/>
        <s v="Steve Carver"/>
        <s v="Andy Cadiff"/>
        <s v="Christine Jeffs"/>
        <s v="Jee-woon Kim"/>
        <s v="Stewart Hendler"/>
        <s v="Daniel Taplitz"/>
        <s v="Newt Arnold"/>
        <s v="Rusty Cundieff"/>
        <s v="Charles T. Kanganis"/>
        <s v="Jim Hanon"/>
        <s v="Joe Nussbaum"/>
        <s v="Dominique Othenin-Girard"/>
        <s v="Gary Halvorson"/>
        <s v="Brian Koppelman"/>
        <s v="Albert Brooks"/>
        <s v="Chris Roberts"/>
        <s v="Chia-Liang Liu"/>
        <s v="Lance Rivera"/>
        <s v="Fred Durst"/>
        <s v="Robert Butler"/>
        <s v="Brian Klugman"/>
        <s v="Florian Henckel von Donnersmarck"/>
        <s v="Hugh Johnson"/>
        <s v="Emilio Estevez"/>
        <s v="Steve Gomer"/>
        <s v="Jon Kasdan"/>
        <s v="Hyung-rae Shim"/>
        <s v="William Arntz"/>
        <s v="Fred Dekker"/>
        <s v="Rand Ravich"/>
        <s v="Bill Duke"/>
        <s v="Michael Patrick Jann"/>
        <s v="Costa-Gavras"/>
        <s v="Damon Santostefano"/>
        <s v="Mark Piznarski"/>
        <s v="Mic Rodgers"/>
        <s v="Andrew Erwin"/>
        <s v="Catherine Owens"/>
        <s v="Michael Martin"/>
        <s v="Anand Tucker"/>
        <s v="David Mamet"/>
        <s v="Wallace Wolodarsky"/>
        <s v="Louis Morneau"/>
        <s v="Mike Disa"/>
        <s v="Jonathan Kaplan"/>
        <s v="FranÃ§ois Ozon"/>
        <s v="DJ Pooh"/>
        <s v="Hark Tsui"/>
        <s v="Benny Boom"/>
        <s v="Gavin Hood"/>
        <s v="Douglas McGrath"/>
        <s v="Mamoru Hosoda"/>
        <s v="FranÃ§ois Girard"/>
        <s v="Josh Schwartz"/>
        <s v="Kenneth Lonergan"/>
        <s v="Aaron Schneider"/>
        <s v="Tom Ford"/>
        <s v="Tina Gordon Chism"/>
        <s v="Victor Nunez"/>
        <s v="Mark Herman"/>
        <s v="Duncan Tucker"/>
        <s v="Russ Meyer"/>
        <s v="Benson Lee"/>
        <s v="Matty Rich"/>
        <s v="Elizabeth Banks"/>
        <s v="Brian Dannelly"/>
        <s v="E. Elias Merhige"/>
        <s v="Mort Nathan"/>
        <s v="Jeff Kanew"/>
        <s v="Steve Rash"/>
        <s v="Jorma Taccone"/>
        <s v="Will Finn"/>
        <s v="Wayne Kramer"/>
        <s v="Darnell Martin"/>
        <s v="Alejandro Monteverde"/>
        <s v="Wil Shriner"/>
        <s v="Michael Lembeck"/>
        <s v="John Curran"/>
        <s v="Marilyn Agrelo"/>
        <s v="Daisy von Scherler Mayer"/>
        <s v="George Stevens"/>
        <s v="William A. Fraker"/>
        <s v="Lexi Alexander"/>
        <s v="Nicholas Jarecki"/>
        <s v="Christopher Leitch"/>
        <s v="John Waters"/>
        <s v="Steve James"/>
        <s v="Patrick Stettner"/>
        <s v="James Gunn"/>
        <s v="Jason Bateman"/>
        <s v="IstvÃ¡n SzabÃ³"/>
        <s v="Lauren Lazin"/>
        <s v="Gilles Paquet-Brenner"/>
        <s v="Noah Baumbach"/>
        <s v="Jeff Lowell"/>
        <s v="James Melkonian"/>
        <s v="Jean-Jacques Mantello"/>
        <s v="Richard J. Lewis"/>
        <s v="Menno Meyjes"/>
        <s v="Jay Duplass"/>
        <s v="Larry Clark"/>
        <s v="Dave Borthwick"/>
        <s v="Kevin Tenney"/>
        <s v="Michael Corrente"/>
        <s v="Asghar Farhadi"/>
        <s v="Ian Iqbal Rashid"/>
        <s v="Nnegest LikkÃ©"/>
        <s v="Sylvain Chomet"/>
        <s v="Jerry Jameson"/>
        <s v="Scott Alexander"/>
        <s v="Jonathan Glazer"/>
        <s v="Michael Dowse"/>
        <s v="James Ponsoldt"/>
        <s v="Risa Bramon Garcia"/>
        <s v="Marcus Dunstan"/>
        <s v="J.S. Cardone"/>
        <s v="Stuart Gordon"/>
        <s v="Chris Eyre"/>
        <s v="Raymond De Felitta"/>
        <s v="Lorene Scafaria"/>
        <s v="Tamara Jenkins"/>
        <s v="Kar-Wai Wong"/>
        <s v="Yimou Zhang"/>
        <s v="Debra Granik"/>
        <s v="Roger Avary"/>
        <s v="Joshua Marston"/>
        <s v="S.S. Rajamouli"/>
        <s v="Timothy BjÃ¶rklund"/>
        <s v="Jeb Stuart"/>
        <s v="Cyrus Nowrasteh"/>
        <s v="Vicky Jenson"/>
        <s v="Anna Boden"/>
        <s v="John Maybury"/>
        <s v="J.C. Chandor"/>
        <s v="Ã‰mile Gaudreault"/>
        <s v="Mike Leigh"/>
        <s v="Caroline Link"/>
        <s v="Jay Levey"/>
        <s v="Kevin Spacey"/>
        <s v="Linda Mendoza"/>
        <s v="Anne Fontaine"/>
        <s v="Nicholaus Goossen"/>
        <s v="Scott Kalvert"/>
        <s v="Dave Meyers"/>
        <s v="Shari Springer Berman"/>
        <s v="Matthew Robbins"/>
        <s v="David Schwimmer"/>
        <s v="Ben Lewin"/>
        <s v="Julian Schnabel"/>
        <s v="Doug Lefler"/>
        <s v="Matt Piedmont"/>
        <s v="Charles S. Dutton"/>
        <s v="Craig Bolotin"/>
        <s v="Mike Mills"/>
        <s v="Carlos Carrera"/>
        <s v="Sergey Bodrov"/>
        <s v="Dean Wright"/>
        <s v="Sngmoo Lee"/>
        <s v="Marcos Siega"/>
        <s v="Matt Maiellaro"/>
        <s v="J.B. Rogers"/>
        <s v="Werner Herzog"/>
        <s v="Tony Maylam"/>
        <s v="John Michael McDonagh"/>
        <s v="Dan Fogelman"/>
        <s v="Hal Needham"/>
        <s v="Craig Johnson"/>
        <s v="Robert Townsend"/>
        <s v="Atom Egoyan"/>
        <s v="Tommy Lee Jones"/>
        <s v="Fina Torres"/>
        <s v="Luca Guadagnino"/>
        <s v="Blair Hayes"/>
        <s v="EugÃ¨ne LouriÃ©"/>
        <s v="Peter Kassovitz"/>
        <s v="Morgan Neville"/>
        <s v="Todd Lincoln"/>
        <s v="Jez Butterworth"/>
        <s v="Olivier Assayas"/>
        <s v="Laurence Dunmore"/>
        <s v="Dewey Nicks"/>
        <s v="Jean-Marie PoirÃ©"/>
        <s v="Todd Solondz"/>
        <s v="Bruce Paltrow"/>
        <s v="Deb Hagan"/>
        <s v="Bob Odenkirk"/>
        <s v="Tim Hunter"/>
        <s v="Joon-ho Bong"/>
        <s v="Zach Cregger"/>
        <s v="Roland Emmerich"/>
        <s v="Vincent Paronnaud"/>
        <s v="Jonathan Teplitzky"/>
        <s v="Robert Kenner"/>
        <s v="Mark Tarlov"/>
        <s v="Hart Bochner"/>
        <s v="Scott Marshall"/>
        <s v="Charles Ferguson"/>
        <s v="Steve Boyum"/>
        <s v="Allison Anders"/>
        <s v="Vondie Curtis-Hall"/>
        <s v="Shane Black"/>
        <s v="Marc Abraham"/>
        <s v="Ritesh Batra"/>
        <s v="Russell Crowe"/>
        <s v="Damien O'Donnell"/>
        <s v="Lars von Trier"/>
        <s v="Peter M. Cohen"/>
        <s v="Charles Robert Carner"/>
        <s v="Gareth Evans"/>
        <s v="Ronan Chapalain"/>
        <s v="Philip Saville"/>
        <s v="Wolfgang Becker"/>
        <s v="Steven Shainberg"/>
        <s v="Randall Miller"/>
        <s v="Karan Johar"/>
        <s v="Colin Trevorrow"/>
        <s v="Jeffrey W. Byrd"/>
        <s v="Rodman Flender"/>
        <s v="Sam Firstenberg"/>
        <s v="Jon Poll"/>
        <s v="Xavier Beauvois"/>
        <s v="Anthony Hickox"/>
        <s v="CÃ©dric Klapisch"/>
        <s v="Miranda July"/>
        <s v="Ayan Mukerji"/>
        <s v="Pawel Pawlikowski"/>
        <s v="Lana Wachowski"/>
        <s v="Brian Baugh"/>
        <s v="Laurent Cantet"/>
        <s v="Mabrouk El Mechri"/>
        <s v="Rick de Oliveira"/>
        <s v="Christophe Barratier"/>
        <s v="Max Joseph"/>
        <s v="Floria Sigismondi"/>
        <s v="Mark Dindal"/>
        <s v="Tom Schulman"/>
        <s v="Katja von Garnier"/>
        <s v="Mike Marvin"/>
        <s v="Maggie Carey"/>
        <s v="Duke Johnson"/>
        <s v="Denys Arcand"/>
        <s v="Drake Doremus"/>
        <s v="Russell Holt"/>
        <s v="John Putch"/>
        <s v="Jim Jarmusch"/>
        <s v="Louis C.K."/>
        <s v="Jill Sprecher"/>
        <s v="David LaChapelle"/>
        <s v="Peter Medak"/>
        <s v="Deepa Mehta"/>
        <s v="Jeremy Saulnier"/>
        <s v="Susan Seidelman"/>
        <s v="Gillian Robespierre"/>
        <s v="Patrick Creadon"/>
        <s v="Enrique Begne"/>
        <s v="Stephen Carpenter"/>
        <s v="Jon Stewart"/>
        <s v="Charlie Kaufman"/>
        <s v="Darren Stein"/>
        <s v="Harley Cokeliss"/>
        <s v="Maggie Greenwald"/>
        <s v="Yash Chopra"/>
        <s v="Terence Davies"/>
        <s v="John Cameron Mitchell"/>
        <s v="Rodrigo GarcÃ­a"/>
        <s v="Mark Sandrich"/>
        <s v="Harry F. Millarde"/>
        <s v="Sean Durkin"/>
        <s v="Vincente Minnelli"/>
        <s v="Whit Stillman"/>
        <s v="Clark Gregg"/>
        <s v="David Boyd"/>
        <s v="Susanne Bier"/>
        <s v="David Nixon"/>
        <s v="Paolo Sorrentino"/>
        <s v="Harry Beaumont"/>
        <s v="William A. Graham"/>
        <s v="Jeff Franklin"/>
        <s v="Robert B. Weide"/>
        <s v="Dan Rush"/>
        <s v="Ryan Fleck"/>
        <s v="Ron Fricke"/>
        <s v="David M. Matthews"/>
        <s v="Richard Kwietniowski"/>
        <s v="Courtney Hunt"/>
        <s v="Brad J. Silverman"/>
        <s v="Andy Garcia"/>
        <s v="Michael Cuesta"/>
        <s v="David G. Evans"/>
        <s v="Dror Moreh"/>
        <s v="Vincent Gallo"/>
        <s v="Jean-Paul Rappeneau"/>
        <s v="Tom Brady"/>
        <s v="Fred Schepisi"/>
        <s v="Jim Goddard"/>
        <s v="Christopher Scott Cherot"/>
        <s v="Lloyd Bacon"/>
        <s v="Ari Folman"/>
        <s v="Max Mayer"/>
        <s v="Stacy Peralta"/>
        <s v="Zal Batmanglij"/>
        <s v="Angelo Pizzo"/>
        <s v="George Gallo"/>
        <s v="Michael Haneke"/>
        <s v="John Stephenson"/>
        <s v="Jamie Babbit"/>
        <s v="Rakeysh Omprakash Mehra"/>
        <s v="Chan-wook Park"/>
        <s v="Kevin Brodie"/>
        <s v="Wilson Yip"/>
        <s v="Emile Ardolino"/>
        <s v="Paul Mazursky"/>
        <s v="Antonia Bird"/>
        <s v="Barry W. Blaustein"/>
        <s v="David Atkins"/>
        <s v="Sterling Van Wagenen"/>
        <s v="Nancy Walker"/>
        <s v="Noel Marshall"/>
        <s v="Maria Maggenti"/>
        <s v="Antonio Banderas"/>
        <s v="Michael Chapman"/>
        <s v="James Toback"/>
        <s v="Mark Illsley"/>
        <s v="Tim Chambers"/>
        <s v="Ken Loach"/>
        <s v="Daniel Barber"/>
        <s v="Peter Care"/>
        <s v="Greg Berlanti"/>
        <s v="Lynne Ramsay"/>
        <s v="Frank LaLoggia"/>
        <s v="Kenneth Johnson"/>
        <s v="Chris Paine"/>
        <s v="George Hickenlooper"/>
        <s v="Thomas Vinterberg"/>
        <s v="Eric Blakeney"/>
        <s v="Lynn Shelton"/>
        <s v="Henry Alex Rubin"/>
        <s v="Marielle Heller"/>
        <s v="Derrick Borte"/>
        <s v="Sam Taylor-Johnson"/>
        <s v="Gavin Wiesen"/>
        <s v="Bob Gosse"/>
        <s v="Jeff Burr"/>
        <s v="Beto GÃ³mez"/>
        <s v="Shona Auerbach"/>
        <s v="Mark Osborne"/>
        <s v="Mike Cahill"/>
        <s v="Ryan Little"/>
        <s v="Alison Maclean"/>
        <s v="Kurt Hale"/>
        <s v="Jamie Travis"/>
        <s v="Abel Ferrara"/>
        <s v="FabiÃ¡n Bielinsky"/>
        <s v="Vipul Amrutlal Shah"/>
        <s v="Daniel Espinosa"/>
        <s v="Jon Hess"/>
        <s v="Alice Wu"/>
        <s v="Cristian Mungiu"/>
        <s v="Wayne Beach"/>
        <s v="Sajid Khan"/>
        <s v="David Sington"/>
        <s v="Siddiq Barmak"/>
        <s v="Greg Harrison"/>
        <s v="Je-kyu Kang"/>
        <s v="Gary Rogers"/>
        <s v="Sarah Gavron"/>
        <s v="William Dear"/>
        <s v="Matthew Diamond"/>
        <s v="Nadine Labaki"/>
        <s v="Christian Carion"/>
        <s v="Meiert Avis"/>
        <s v="Jon Shear"/>
        <s v="Joe Cornish"/>
        <s v="James Fargo"/>
        <s v="Dick Richards"/>
        <s v="Marc Levin"/>
        <s v="Robby Henson"/>
        <s v="Kelly Reichardt"/>
        <s v="Max FÃ¤rberbÃ¶ck"/>
        <s v="Majid Majidi"/>
        <s v="Joseph Dorman"/>
        <s v="Piyush Dinker Pandya"/>
        <s v="Salvador Carrasco"/>
        <s v="Marc Forby"/>
        <s v="David Webb Peoples"/>
        <s v="Siddharth Anand"/>
        <s v="Sylvio Tabet"/>
        <s v="Dave McKean"/>
        <s v="Vera Farmiga"/>
        <s v="John Turturro"/>
        <s v="James Manera"/>
        <s v="Henry Jaglom"/>
        <s v="C. Jay Cox"/>
        <s v="Ruggero Deodato"/>
        <s v="Richard Dutcher"/>
        <s v="Michael McGowan"/>
        <s v="Robert Towne"/>
        <s v="Hong-jin Na"/>
        <s v="Ralph Fiennes"/>
        <s v="Gaspar NoÃ©"/>
        <s v="Gia Coppola"/>
        <s v="Mike van Diem"/>
        <s v="Rebecca Miller"/>
        <s v="RenÃ© FÃ©ret"/>
        <s v="Jason Eisener"/>
        <s v="Steve Buscemi"/>
        <s v="Tomm Moore"/>
        <s v="Jafar Panahi"/>
        <s v="Richard Williams"/>
        <s v="Kaige Chen"/>
        <s v="Fenton Bailey"/>
        <s v="Ham Tran"/>
        <s v="Scandar Copti"/>
        <s v="JirÃ­ Menzel"/>
        <s v="Roger Nygard"/>
        <s v="Hsiao-Hsien Hou"/>
        <s v="Aki KaurismÃ¤ki"/>
        <s v="Khalid Mohamed"/>
        <s v="Rich Cowan"/>
        <s v="Jacob Aaron Estes"/>
        <s v="Steve Taylor"/>
        <s v="Jonathan Caouette"/>
        <s v="Joshua Seftel"/>
        <s v="Andrew Jarecki"/>
        <s v="David Jacobson"/>
        <s v="Rohan Sippy"/>
        <s v="Mars Callahan"/>
        <s v="James Schamus"/>
        <s v="Bill Muir"/>
        <s v="Martin Koolhoven"/>
        <s v="Myles Berkowitz"/>
        <s v="Huck Botko"/>
        <s v="Angelina Jolie Pitt"/>
        <s v="Michel Leclerc"/>
        <s v="Marc F. Adler"/>
        <s v="William Bindley"/>
        <s v="Khyentse Norbu"/>
        <s v="Andrey Zvyagintsev"/>
        <s v="Joshua Oppenheimer"/>
        <s v="Corey Yuen"/>
        <s v="Frank Sebastiano"/>
        <s v="Andrew Haigh"/>
        <s v="Richard Ayoade"/>
        <s v="Finn Taylor"/>
        <s v="Karen Moncrieff"/>
        <s v="Jeff Nathanson"/>
        <s v="Tom Hooper"/>
        <s v="Takeshi Kitano"/>
        <s v="Jamal Hill"/>
        <s v="Maryam Keshavarz"/>
        <s v="Tom Kalin"/>
        <s v="JosÃ© Luis Valenzuela"/>
        <s v="Ray Griggs"/>
        <s v="Shane Carruth"/>
        <s v="Leslye Headland"/>
        <s v="Henry Bean"/>
        <s v="Alain Resnais"/>
        <s v="Ray Lawrence"/>
        <s v="Rick Bieber"/>
        <s v="Sally Potter"/>
        <s v="Isabel Coixet"/>
        <s v="Lena Dunham"/>
        <s v="Spencer Susser"/>
        <s v="Maurizio Benazzo"/>
        <s v="Michael Landon Jr."/>
        <s v="Hans Canosa"/>
        <s v="Anna Muylaert"/>
        <s v="David Anspaugh"/>
        <s v="Andrea Arnold"/>
        <s v="David Duchovny"/>
        <s v="Agnieszka Holland"/>
        <s v="Ashish R. Mohan"/>
        <s v="Dario Argento"/>
        <s v="Mitchell Lichtenstein"/>
        <s v="Joe Swanberg"/>
        <s v="Keith Gordon"/>
        <s v="Morgan J. Freeman"/>
        <s v="Matt Dillon"/>
        <s v="Craig Zobel"/>
        <s v="Udayan Prasad"/>
        <s v="Petter NÃ¦ss"/>
        <s v="Alex Zamm"/>
        <s v="Christopher Morris"/>
        <s v="Lucrecia Martel"/>
        <s v="Stefan Schwartz"/>
        <s v="Andrew Currie"/>
        <s v="Eric Schaeffer"/>
        <s v="Anthony Powell"/>
        <s v="Efram Potelle"/>
        <s v="Kevin Jordan"/>
        <s v="Alex Gibney"/>
        <s v="Fatih Akin"/>
        <s v="Akira Kurosawa"/>
        <s v="Robert Lee King"/>
        <s v="AndrÃ© Ã˜vredal"/>
        <s v="Harry Gantz"/>
        <s v="Paul Fierlinger"/>
        <s v="Bigas Luna"/>
        <s v="Mike Bruce"/>
        <s v="Neema Barnette"/>
        <s v="Feroz Abbas Khan"/>
        <s v="Jeremy Brock"/>
        <s v="Gareth Edwards"/>
        <s v="Richard E. Grant"/>
        <s v="Claude Chabrol"/>
        <s v="Mathieu Amalric"/>
        <s v="Lance Hool"/>
        <s v="John Maclean"/>
        <s v="Errol Morris"/>
        <s v="Dan Harris"/>
        <s v="Rohit Jagessar"/>
        <s v="Mel Smith"/>
        <s v="Eli Craig"/>
        <s v="Bobcat Goldthwait"/>
        <s v="Robert Cary"/>
        <s v="Justin Dillon"/>
        <s v="Marco Kreuzpaintner"/>
        <s v="Emma-Kate Croghan"/>
        <s v="Claude Miller"/>
        <s v="Bill Plympton"/>
        <s v="Tim Heidecker"/>
        <s v="Mateo Gil"/>
        <s v="Laurie Collyer"/>
        <s v="Thaddeus O'Sullivan"/>
        <s v="Jeff Garlin"/>
        <s v="Guillaume Canet"/>
        <s v="Lukas Moodysson"/>
        <s v="Carmen Marron"/>
        <s v="Alan Rudolph"/>
        <s v="Sherman Alexie"/>
        <s v="Joshua Tickell"/>
        <s v="Bruce Campbell"/>
        <s v="MaÃ¯wenn"/>
        <s v="Randy Moore"/>
        <s v="Rafa Lara"/>
        <s v="Charles Chaplin"/>
        <s v="Michel Orion Scott"/>
        <s v="Eytan Fox"/>
        <s v="Jake Scott"/>
        <s v="Molly Bernstein"/>
        <s v="Fernando LeÃ³n de Aranoa"/>
        <s v="Lucky McKee"/>
        <s v="Ole Christian Madsen"/>
        <s v="Paul Crowder"/>
        <s v="Richard Raymond"/>
        <s v="Deon Taylor"/>
        <s v="Marius A. Markevicius"/>
        <s v="Henry Hobson"/>
        <s v="Romesh Sharma"/>
        <s v="Peter Ho-Sun Chan"/>
        <s v="Conor McPherson"/>
        <s v="Li Zhang"/>
        <s v="Andrew Wilson"/>
        <s v="Lucio Fulci"/>
        <s v="Alan Metter"/>
        <s v="Floyd Mutrux"/>
        <s v="Nicholas Fackler"/>
        <s v="Lance Mungia"/>
        <s v="Warren P. Sonoda"/>
        <s v="Daniel Algrant"/>
        <s v="Chuan Lu"/>
        <s v="Pete Jones"/>
        <s v="Tim Boxell"/>
        <s v="Joey Lauren Adams"/>
        <s v="James Dodson"/>
        <s v="Tom Putnam"/>
        <s v="Robinson Devor"/>
        <s v="Larry Blamire"/>
        <s v="Yorgos Lanthimos"/>
        <s v="Rachel Perkins"/>
        <s v="Bob Giraldi"/>
        <s v="Marc SchÃ¶lermann"/>
        <s v="Agnieszka Wojtowicz-Vosloo"/>
        <s v="Andrea Di Stefano"/>
        <s v="Adam Carolla"/>
        <s v="Justin Kerrigan"/>
        <s v="Goran Dukic"/>
        <s v="Adam Rapp"/>
        <s v="Heidi Ewing"/>
        <s v="Hue Rhodes"/>
        <s v="Ti West"/>
        <s v="Julio DePietro"/>
        <s v="Jorge RamÃ­rez SuÃ¡rez"/>
        <s v="Arjun Sablok"/>
        <s v="Kief Davidson"/>
        <s v="Reed Cowan"/>
        <s v="Quentin Dupieux"/>
        <s v="Johnny Remo"/>
        <s v="Remo"/>
        <s v="Kiyoshi Kurosawa"/>
        <s v="Katherine Dieckmann"/>
        <s v="Steven R. Monroe"/>
        <s v="Barry Skolnick"/>
        <s v="David Pastor"/>
        <s v="Giuseppe Tornatore"/>
        <s v="Doug Block"/>
        <s v="GÃ©rard Krawczyk"/>
        <s v="Richard Montoya"/>
        <s v="Daryl Wein"/>
        <s v="Alex Rivera"/>
        <s v="Kate Connor"/>
        <s v="RyÃ»hei Kitamura"/>
        <s v="Michael D. Sellers"/>
        <s v="StÃ©phane Aubier"/>
        <s v="Michael Clancy"/>
        <s v="Neill Dela Llana"/>
        <s v="Gary Sinyor"/>
        <s v="Oren Moverman"/>
        <s v="Stefan Ruzowitzky"/>
        <s v="Hans Petter Moland"/>
        <s v="Christian Volckman"/>
        <s v="Benjamin Dickinson"/>
        <s v="E.L. Katz"/>
        <s v="Kurt Voss"/>
        <s v="Catherine Jelski"/>
        <s v="Panos Cosmatos"/>
        <s v="Jugal Hansraj"/>
        <s v="Robert Moresco"/>
        <s v="Claudia Llosa"/>
        <s v="James Mottern"/>
        <s v="Arie Posin"/>
        <s v="Johnnie To"/>
        <s v="Vivek Agnihotri"/>
        <s v="Nick Tomnay"/>
        <s v="Michael Kang"/>
        <s v="Stephen Milburn Anderson"/>
        <s v="Mary McGuckian"/>
        <s v="Brandon Trost"/>
        <s v="Jason Alexander"/>
        <s v="Guy Maddin"/>
        <s v="Nacho Vigalondo"/>
        <s v="Peter Stebbings"/>
        <s v="William H. Macy"/>
        <s v="Zak Penn"/>
        <s v="S.R. Bindler"/>
        <s v="Shane Dawson"/>
        <s v="Mor Loushy"/>
        <s v="Julie Davis"/>
        <s v="Florence Ayisi"/>
        <s v="John H. Lee"/>
        <s v="Dito Montiel"/>
        <s v="George Ratliff"/>
        <s v="FranÃ§ois Truffaut"/>
        <s v="Fritz Lang"/>
        <s v="Ben Wheatley"/>
        <s v="Ari Kirschenbaum"/>
        <s v="Bradley Rust Gray"/>
        <s v="Eric Bress"/>
        <s v="Ruairi Robinson"/>
        <s v="Gene Teigland"/>
        <s v="Vicente Amorim"/>
        <s v="Lloyd Kaufman"/>
        <s v="Hitoshi Matsumoto"/>
        <s v="Akiva Goldsman"/>
        <s v="Dan Zukovic"/>
        <s v="Catherine Gund"/>
        <s v="Jake Paltrow"/>
        <s v="Karim AÃ¯nouz"/>
        <s v="Kate Barker-Froyland"/>
        <s v="Kat Coiro"/>
        <s v="Dagur KÃ¡ri"/>
        <s v="Jonathan Kesselman"/>
        <s v="Michael Meredith"/>
        <s v="Jim Mickle"/>
        <s v="Pascal Arnold"/>
        <s v="Oliver Blackburn"/>
        <s v="Hilary Brougher"/>
        <s v="Noah Buschel"/>
        <s v="Klaus Menzel"/>
        <s v="John Duigan"/>
        <s v="Marianna Palka"/>
        <s v="Arthur Hiller"/>
        <s v="Rich Christiano"/>
        <s v="Christopher M. Bessette"/>
        <s v="Timothy Hines"/>
        <s v="Scott Ziehl"/>
        <s v="Simon Yin"/>
        <s v="Alex Smith"/>
        <s v="Franck Khalfoun"/>
        <s v="Hunter Richards"/>
        <s v="Michael Roemer"/>
        <s v="Sol Tryon"/>
        <s v="Benedikt Erlingsson"/>
        <s v="Sue Corcoran"/>
        <s v="Claudia Sainte-Luce"/>
        <s v="Damian Nieman"/>
        <s v="Jennifer Wynne Farmer"/>
        <s v="Daniel Hsia"/>
        <s v="Eric Nicholas"/>
        <s v="Georg Wilhelm Pabst"/>
        <s v="Kay Pollak"/>
        <s v="James Bidgood"/>
        <s v="JosÃ© Padilha"/>
        <s v="Orson Welles"/>
        <s v="James David Pasternak"/>
        <s v="Eric Styles"/>
        <s v="Ramaa Mosley"/>
        <s v="Hal Haberman"/>
        <s v="Sara Newens"/>
        <s v="Eddie O'Flaherty"/>
        <s v="Francesca Gregorini"/>
        <s v="Ralph Ziman"/>
        <s v="Dena Seidel"/>
        <s v="Jonathan Newman"/>
        <s v="Phil Morrison"/>
        <s v="Jeremy Degruson"/>
        <s v="Ruba Nadda"/>
        <s v="Tom Sanchez"/>
        <s v="Ãlex de la Iglesia"/>
        <s v="Bruce McDonald"/>
        <s v="Robert Fontaine"/>
        <s v="AndrÃ© TÃ©chinÃ©"/>
        <s v="Adam Goldberg"/>
        <s v="Bruce Dellis"/>
        <s v="Paul Bunnell"/>
        <s v="U. Roberto Romano"/>
        <s v="John D. Hancock"/>
        <s v="Boris Rodriguez"/>
        <s v="Alex Craig Mann"/>
        <s v="Ricki Stern"/>
        <s v="Ian Fitzgibbon"/>
        <s v="Robert Sarkies"/>
        <s v="Frank Whaley"/>
        <s v="Ekachai Uekrongtham"/>
      </sharedItems>
    </cacheField>
    <cacheField name="duration" numFmtId="0">
      <sharedItems containsSemiMixedTypes="0" containsString="0" containsNumber="1" containsInteger="1" minValue="7" maxValue="511" count="178">
        <n v="97"/>
        <n v="98"/>
        <n v="129"/>
        <n v="84"/>
        <n v="99"/>
        <n v="119"/>
        <n v="133"/>
        <n v="108"/>
        <n v="113"/>
        <n v="149"/>
        <n v="90"/>
        <n v="111"/>
        <n v="116"/>
        <n v="95"/>
        <n v="178"/>
        <n v="128"/>
        <n v="134"/>
        <n v="109"/>
        <n v="103"/>
        <n v="130"/>
        <n v="94"/>
        <n v="123"/>
        <n v="92"/>
        <n v="74"/>
        <n v="117"/>
        <n v="131"/>
        <n v="70"/>
        <n v="158"/>
        <n v="110"/>
        <n v="139"/>
        <n v="102"/>
        <n v="93"/>
        <n v="127"/>
        <n v="132"/>
        <n v="107"/>
        <n v="120"/>
        <n v="118"/>
        <n v="150"/>
        <n v="141"/>
        <n v="83"/>
        <n v="106"/>
        <n v="100"/>
        <n v="80"/>
        <n v="101"/>
        <n v="104"/>
        <n v="185"/>
        <n v="157"/>
        <n v="154"/>
        <n v="112"/>
        <n v="96"/>
        <n v="91"/>
        <n v="105"/>
        <n v="136"/>
        <n v="138"/>
        <n v="87"/>
        <n v="124"/>
        <n v="89"/>
        <n v="122"/>
        <n v="114"/>
        <n v="126"/>
        <n v="88"/>
        <n v="115"/>
        <n v="161"/>
        <n v="85"/>
        <n v="121"/>
        <n v="125"/>
        <n v="143"/>
        <n v="155"/>
        <n v="82"/>
        <n v="140"/>
        <n v="146"/>
        <n v="289"/>
        <n v="162"/>
        <n v="78"/>
        <n v="135"/>
        <n v="156"/>
        <n v="170"/>
        <n v="147"/>
        <n v="142"/>
        <n v="206"/>
        <n v="145"/>
        <n v="81"/>
        <n v="137"/>
        <n v="144"/>
        <n v="153"/>
        <n v="251"/>
        <n v="75"/>
        <n v="220"/>
        <n v="159"/>
        <n v="86"/>
        <n v="171"/>
        <n v="148"/>
        <n v="187"/>
        <n v="68"/>
        <n v="77"/>
        <n v="180"/>
        <n v="175"/>
        <n v="181"/>
        <n v="72"/>
        <n v="60"/>
        <n v="22"/>
        <n v="44"/>
        <n v="54"/>
        <n v="25"/>
        <n v="43"/>
        <n v="45"/>
        <n v="30"/>
        <n v="64"/>
        <n v="52"/>
        <n v="28"/>
        <n v="511"/>
        <n v="42"/>
        <n v="7"/>
        <n v="50"/>
        <n v="24"/>
        <n v="286"/>
        <n v="65"/>
        <n v="41"/>
        <n v="55"/>
        <n v="40"/>
        <n v="76"/>
        <n v="23"/>
        <n v="53"/>
        <n v="240"/>
        <n v="79"/>
        <n v="199"/>
        <n v="11"/>
        <n v="173"/>
        <n v="27"/>
        <n v="14"/>
        <n v="58"/>
        <n v="35"/>
        <n v="195"/>
        <n v="270"/>
        <n v="172"/>
        <n v="183"/>
        <n v="197"/>
        <n v="184"/>
        <n v="168"/>
        <n v="67"/>
        <n v="177"/>
        <n v="186"/>
        <n v="152"/>
        <n v="20"/>
        <n v="71"/>
        <n v="66"/>
        <n v="151"/>
        <n v="59"/>
        <n v="62"/>
        <n v="47"/>
        <n v="202"/>
        <n v="69"/>
        <n v="163"/>
        <n v="219"/>
        <n v="215"/>
        <n v="63"/>
        <n v="164"/>
        <n v="165"/>
        <n v="212"/>
        <n v="189"/>
        <n v="188"/>
        <n v="193"/>
        <n v="46"/>
        <n v="160"/>
        <n v="280"/>
        <n v="73"/>
        <n v="293"/>
        <n v="271"/>
        <n v="225"/>
        <n v="227"/>
        <n v="37"/>
        <n v="330"/>
        <n v="176"/>
        <n v="192"/>
        <n v="325"/>
        <n v="167"/>
        <n v="34"/>
        <n v="334"/>
      </sharedItems>
      <fieldGroup base="1">
        <rangePr autoStart="0" startNum="1" endNum="511" groupInterval="50"/>
        <groupItems count="13">
          <s v="&lt;1"/>
          <s v="1-50"/>
          <s v="51-100"/>
          <s v="101-150"/>
          <s v="151-200"/>
          <s v="201-250"/>
          <s v="251-300"/>
          <s v="301-350"/>
          <s v="351-400"/>
          <s v="401-450"/>
          <s v="451-500"/>
          <s v="501-550"/>
          <s v="&gt;551"/>
        </groupItems>
      </fieldGroup>
    </cacheField>
    <cacheField name="gross" numFmtId="0">
      <sharedItems containsSemiMixedTypes="0" containsString="0" containsNumber="1" containsInteger="1" minValue="162" maxValue="110222438"/>
    </cacheField>
    <cacheField name="movie_title" numFmtId="0">
      <sharedItems count="4285">
        <s v="Freaky FridayÂ "/>
        <s v="The GrudgeÂ "/>
        <s v="TrainwreckÂ "/>
        <s v="Scary Movie 3Â "/>
        <s v="Bedtime StoriesÂ "/>
        <s v="Star Trek IV: The Voyage HomeÂ "/>
        <s v="CreedÂ "/>
        <s v="Crocodile Dundee IIÂ "/>
        <s v="The 40-Year-Old VirginÂ "/>
        <s v="Couples RetreatÂ "/>
        <s v="A Time to KillÂ "/>
        <s v="Ace Ventura: When Nature CallsÂ "/>
        <s v="The Princess DiariesÂ "/>
        <s v="Superman IIÂ "/>
        <s v="HopÂ "/>
        <s v="Pulp FictionÂ "/>
        <s v="Paranormal ActivityÂ "/>
        <s v="A League of Their OwnÂ "/>
        <s v="The Angry Birds MovieÂ "/>
        <s v="Captain PhillipsÂ "/>
        <s v="Black SwanÂ "/>
        <s v="Miss CongenialityÂ "/>
        <s v="Chicken RunÂ "/>
        <s v="Analyze ThisÂ "/>
        <s v="GoldenEyeÂ "/>
        <s v="Driving Miss DaisyÂ "/>
        <s v="The Italian JobÂ "/>
        <s v="How to Lose a Guy in 10 DaysÂ "/>
        <s v="Porky'sÂ "/>
        <s v="The First Wives ClubÂ "/>
        <s v="Interview with the Vampire: The Vampire ChroniclesÂ "/>
        <s v="George of the JungleÂ "/>
        <s v="PhenomenonÂ "/>
        <s v="American WeddingÂ "/>
        <s v="Daddy Day CareÂ "/>
        <s v="Road to PerditionÂ "/>
        <s v="Paranormal Activity 3Â "/>
        <s v="Journey 2: The Mysterious IslandÂ "/>
        <s v="DreamgirlsÂ "/>
        <s v="Just Go with ItÂ "/>
        <s v="ScreamÂ "/>
        <s v="The ExpendablesÂ "/>
        <s v="Jaws 2Â "/>
        <s v="BambiÂ "/>
        <s v="The Girl with the Dragon TattooÂ "/>
        <s v="The Maze RunnerÂ "/>
        <s v="The Conjuring 2Â "/>
        <s v="Butch Cassidy and the Sundance KidÂ "/>
        <s v="Mary PoppinsÂ "/>
        <s v="Bad GrandpaÂ "/>
        <s v="American PieÂ "/>
        <s v="Journey to the Center of the EarthÂ "/>
        <s v="Gone in Sixty SecondsÂ "/>
        <s v="The EqualizerÂ "/>
        <s v="This Is the EndÂ "/>
        <s v="Scream 2Â "/>
        <s v="The Prince of EgyptÂ "/>
        <s v="UnforgivenÂ "/>
        <s v="Eagle EyeÂ "/>
        <s v="Con AirÂ "/>
        <s v="ContactÂ "/>
        <s v="The Pelican BriefÂ "/>
        <s v="Vanilla SkyÂ "/>
        <s v="The Rugrats MovieÂ "/>
        <s v="Step BrothersÂ "/>
        <s v="Due DateÂ "/>
        <s v="Million Dollar BabyÂ "/>
        <s v="CasperÂ "/>
        <s v="Bad TeacherÂ "/>
        <s v="Shakespeare in LoveÂ "/>
        <s v="Yogi BearÂ "/>
        <s v="Se7enÂ "/>
        <s v="You Don't Mess with the ZohanÂ "/>
        <s v="Die Hard with a VengeanceÂ "/>
        <s v="CollateralÂ "/>
        <s v="Olympus Has FallenÂ "/>
        <s v="Date NightÂ "/>
        <s v="Yes ManÂ "/>
        <s v="Inspector GadgetÂ "/>
        <s v="The Social NetworkÂ "/>
        <s v="The OthersÂ "/>
        <s v="Schindler's ListÂ "/>
        <s v="Dead Poets SocietyÂ "/>
        <s v="Zero Dark ThirtyÂ "/>
        <s v="Cold MountainÂ "/>
        <s v="Panic RoomÂ "/>
        <s v="The Princess Diaries 2: Royal EngagementÂ "/>
        <s v="Legally BlondeÂ "/>
        <s v="42Â "/>
        <s v="UnbreakableÂ "/>
        <s v="FlashdanceÂ "/>
        <s v="The Book of EliÂ "/>
        <s v="Beverly Hills ChihuahuaÂ "/>
        <s v="The Color PurpleÂ "/>
        <s v="Julie &amp; JuliaÂ "/>
        <s v="He's Just Not That Into YouÂ "/>
        <s v="Maid in ManhattanÂ "/>
        <s v="The Mask of ZorroÂ "/>
        <s v="FlightÂ "/>
        <s v="America's SweetheartsÂ "/>
        <s v="The FighterÂ "/>
        <s v="The Bucket ListÂ "/>
        <s v="Cats &amp; DogsÂ "/>
        <s v="Two Weeks NoticeÂ "/>
        <s v="FlubberÂ "/>
        <s v="Red DragonÂ "/>
        <s v="When Harry Met Sally...Â "/>
        <s v="The TownÂ "/>
        <s v="The ClientÂ "/>
        <s v="Star Trek: First ContactÂ "/>
        <s v="Think Like a ManÂ "/>
        <s v="Kindergarten CopÂ "/>
        <s v="Heaven Is for RealÂ "/>
        <s v="Non-StopÂ "/>
        <s v="Crimson TideÂ "/>
        <s v="The HauntingÂ "/>
        <s v="The Imitation GameÂ "/>
        <s v="Save the Last DanceÂ "/>
        <s v="StepmomÂ "/>
        <s v="Ride Along 2Â "/>
        <s v="The Karate KidÂ "/>
        <s v="Scary Movie 4Â "/>
        <s v="The Game PlanÂ "/>
        <s v="Me, Myself &amp; IreneÂ "/>
        <s v="High School Musical 3: Senior YearÂ "/>
        <s v="Madea Goes to JailÂ "/>
        <s v="Space CowboysÂ "/>
        <s v="Space JamÂ "/>
        <s v="Trading PlacesÂ "/>
        <s v="REDÂ "/>
        <s v="Get HardÂ "/>
        <s v="The Scorpion KingÂ "/>
        <s v="Mystic RiverÂ "/>
        <s v="Legally Blonde 2: Red, White &amp; BlondeÂ "/>
        <s v="FlightplanÂ "/>
        <s v="Taken 3Â "/>
        <s v="Scream 3Â "/>
        <s v="The Ugly TruthÂ "/>
        <s v="Failure to LaunchÂ "/>
        <s v="The MuppetsÂ "/>
        <s v="Inside ManÂ "/>
        <s v="Starsky &amp; HutchÂ "/>
        <s v="Along Came PollyÂ "/>
        <s v="EntrapmentÂ "/>
        <s v="Back to the Future Part IIIÂ "/>
        <s v="Pineapple ExpressÂ "/>
        <s v="Out of AfricaÂ "/>
        <s v="Saw IIÂ "/>
        <s v="The Naked Gun 2Â½: The Smell of FearÂ "/>
        <s v="Young FrankensteinÂ "/>
        <s v="Dumb and Dumber ToÂ "/>
        <s v="Mean GirlsÂ "/>
        <s v="AnnieÂ "/>
        <s v="Alvin and the Chipmunks: The Road ChipÂ "/>
        <s v="FuryÂ "/>
        <s v="Spy Kids 2: Island of Lost DreamsÂ "/>
        <s v="The SpongeBob SquarePants MovieÂ "/>
        <s v="StripesÂ "/>
        <s v="AliensÂ "/>
        <s v="Paranormal Activity 2Â "/>
        <s v="TammyÂ "/>
        <s v="Open SeasonÂ "/>
        <s v="PinocchioÂ "/>
        <s v="AnnabelleÂ "/>
        <s v="Crazy, Stupid, Love.Â "/>
        <s v="Scooby-Doo 2: Monsters UnleashedÂ "/>
        <s v="Anchorman: The Legend of Ron BurgundyÂ "/>
        <s v="CliffhangerÂ "/>
        <s v="The Other WomanÂ "/>
        <s v="The X FilesÂ "/>
        <s v="Up in the AirÂ "/>
        <s v="Insidious: Chapter 2Â "/>
        <s v="Battle Los AngelesÂ "/>
        <s v="ImmortalsÂ "/>
        <s v="Airplane!Â "/>
        <s v="Saving Mr. BanksÂ "/>
        <s v="Patriot GamesÂ "/>
        <s v="ValkyrieÂ "/>
        <s v="Brokeback MountainÂ "/>
        <s v="DisclosureÂ "/>
        <s v="Monster-in-LawÂ "/>
        <s v="Days of ThunderÂ "/>
        <s v="The DescendantsÂ "/>
        <s v="Cheaper by the Dozen 2Â "/>
        <s v="Mr. Holland's OpusÂ "/>
        <s v="Bram Stoker's DraculaÂ "/>
        <s v="Charlotte's WebÂ "/>
        <s v="Let's Be CopsÂ "/>
        <s v="Are We There Yet?Â "/>
        <s v="Star Trek: The Motion PictureÂ "/>
        <s v="Bridge to TerabithiaÂ "/>
        <s v="The Pink PantherÂ "/>
        <s v="Freddy vs. JasonÂ "/>
        <s v="The Scorch TrialsÂ "/>
        <s v="Blade IIÂ "/>
        <s v="Eight BelowÂ "/>
        <s v="PaybackÂ "/>
        <s v="Die HardÂ "/>
        <s v="The Talented Mr. RipleyÂ "/>
        <s v="School of RockÂ "/>
        <s v="Ted 2Â "/>
        <s v="Police AcademyÂ "/>
        <s v="21Â "/>
        <s v="Snow DogsÂ "/>
        <s v="CongoÂ "/>
        <s v="Jimmy Neutron: Boy GeniusÂ "/>
        <s v="Eat Pray LoveÂ "/>
        <s v="ZookeeperÂ "/>
        <s v="AVP: Alien vs. PredatorÂ "/>
        <s v="What Happens in VegasÂ "/>
        <s v="The Dukes of HazzardÂ "/>
        <s v="Nacho LibreÂ "/>
        <s v="JumperÂ "/>
        <s v="Saw IIIÂ "/>
        <s v="DisturbiaÂ "/>
        <s v="CloverfieldÂ "/>
        <s v="Jack ReacherÂ "/>
        <s v="GoosebumpsÂ "/>
        <s v="Dear JohnÂ "/>
        <s v="FootlooseÂ "/>
        <s v="KnowingÂ "/>
        <s v="Coal Miner's DaughterÂ "/>
        <s v="War HorseÂ "/>
        <s v="The Golden ChildÂ "/>
        <s v="WarGamesÂ "/>
        <s v="Hannah Montana: The MovieÂ "/>
        <s v="The Day the Earth Stood StillÂ "/>
        <s v="Cape FearÂ "/>
        <s v="Star Trek II: The Wrath of KhanÂ "/>
        <s v="AlienÂ "/>
        <s v="The Purge: Election YearÂ "/>
        <s v="Apocalypse NowÂ "/>
        <s v="PixelsÂ "/>
        <s v="City of AngelsÂ "/>
        <s v="Teenage Mutant Ninja Turtles II: The Secret of the OozeÂ "/>
        <s v="The English PatientÂ "/>
        <s v="We Were SoldiersÂ "/>
        <s v="The Monuments MenÂ "/>
        <s v="Tower HeistÂ "/>
        <s v="Man on FireÂ "/>
        <s v="March of the PenguinsÂ "/>
        <s v="PhiladelphiaÂ "/>
        <s v="Parental GuidanceÂ "/>
        <s v="U-571Â "/>
        <s v="The TerminalÂ "/>
        <s v="27 DressesÂ "/>
        <s v="The Muppet MovieÂ "/>
        <s v="PoltergeistÂ "/>
        <s v="Rugrats in Paris: The MovieÂ "/>
        <s v="Star Trek III: The Search for SpockÂ "/>
        <s v="FantasiaÂ "/>
        <s v="The UntouchablesÂ "/>
        <s v="Training DayÂ "/>
        <s v="PaddingtonÂ "/>
        <s v="Conspiracy TheoryÂ "/>
        <s v="The Ring TwoÂ "/>
        <s v="The Haunted MansionÂ "/>
        <s v="The Family ManÂ "/>
        <s v="Hellboy II: The Golden ArmyÂ "/>
        <s v="Star Trek: GenerationsÂ "/>
        <s v="ContagionÂ "/>
        <s v="We Bought a ZooÂ "/>
        <s v="MoneyballÂ "/>
        <s v="You, Me and DupreeÂ "/>
        <s v="BraveheartÂ "/>
        <s v="The RookieÂ "/>
        <s v="ZombielandÂ "/>
        <s v="2 GunsÂ "/>
        <s v="Any Given SundayÂ "/>
        <s v="The Horse WhispererÂ "/>
        <s v="GarfieldÂ "/>
        <s v="RayÂ "/>
        <s v="CoralineÂ "/>
        <s v="The InternÂ "/>
        <s v="BarbershopÂ "/>
        <s v="The Exorcism of Emily RoseÂ "/>
        <s v="Star Trek VI: The Undiscovered CountryÂ "/>
        <s v="The Prince of TidesÂ "/>
        <s v="Old SchoolÂ "/>
        <s v="Ladder 49Â "/>
        <s v="Four BrothersÂ "/>
        <s v="Six Days Seven NightsÂ "/>
        <s v="No Country for Old MenÂ "/>
        <s v="Jack and JillÂ "/>
        <s v="Sin CityÂ "/>
        <s v="Along Came a SpiderÂ "/>
        <s v="Christmas with the KranksÂ "/>
        <s v="Monster HouseÂ "/>
        <s v="Deep Blue SeaÂ "/>
        <s v="Law Abiding CitizenÂ "/>
        <s v="BeetlejuiceÂ "/>
        <s v="Spirit: Stallion of the CimarronÂ "/>
        <s v="Hotel for DogsÂ "/>
        <s v="Justin Bieber: Never Say NeverÂ "/>
        <s v="Dinner for SchmucksÂ "/>
        <s v="Jackass Number TwoÂ "/>
        <s v="BarnyardÂ "/>
        <s v="The InterpreterÂ "/>
        <s v="The Last of the MohicansÂ "/>
        <s v="Bridge of SpiesÂ "/>
        <s v="Dolphin TaleÂ "/>
        <s v="Vantage PointÂ "/>
        <s v="I Know What You Did Last SummerÂ "/>
        <s v="Ace Ventura: Pet DetectiveÂ "/>
        <s v="Get ShortyÂ "/>
        <s v="My Fair LadyÂ "/>
        <s v="1408Â "/>
        <s v="10 Cloverfield LaneÂ "/>
        <s v="This Is ItÂ "/>
        <s v="MamaÂ "/>
        <s v="The Purge: AnarchyÂ "/>
        <s v="SidewaysÂ "/>
        <s v="Bridget Jones's DiaryÂ "/>
        <s v="Galaxy QuestÂ "/>
        <s v="I Love You, ManÂ "/>
        <s v="Safe HavenÂ "/>
        <s v="ChocolatÂ "/>
        <s v="Scary Movie 2Â "/>
        <s v="The Spiderwick ChroniclesÂ "/>
        <s v="The ScoreÂ "/>
        <s v="Paul Blart: Mall Cop 2Â "/>
        <s v="John QÂ "/>
        <s v="The Bridges of Madison CountyÂ "/>
        <s v="Groundhog DayÂ "/>
        <s v="Shallow HalÂ "/>
        <s v="No Strings AttachedÂ "/>
        <s v="V for VendettaÂ "/>
        <s v="The Best Man HolidayÂ "/>
        <s v="Broken ArrowÂ "/>
        <s v="JFKÂ "/>
        <s v="Mortal KombatÂ "/>
        <s v="ShaftÂ "/>
        <s v="Rocky BalboaÂ "/>
        <s v="World Trade CenterÂ "/>
        <s v="The Big ShortÂ "/>
        <s v="Fool's GoldÂ "/>
        <s v="Big Momma's House 2Â "/>
        <s v="Star Trek: InsurrectionÂ "/>
        <s v="BoomerangÂ "/>
        <s v="Kill Bill: Vol. 1Â "/>
        <s v="Act of ValorÂ "/>
        <s v="Born on the Fourth of JulyÂ "/>
        <s v="BladeÂ "/>
        <s v="Seven PoundsÂ "/>
        <s v="Private BenjaminÂ "/>
        <s v="SplashÂ "/>
        <s v="SwordfishÂ "/>
        <s v="The Best Little Whorehouse in TexasÂ "/>
        <s v="The KidÂ "/>
        <s v="Divine Secrets of the Ya-Ya SisterhoodÂ "/>
        <s v="The Thomas Crown AffairÂ "/>
        <s v="White ChicksÂ "/>
        <s v="Lost in SpaceÂ "/>
        <s v="Cool RunningsÂ "/>
        <s v="Executive DecisionÂ "/>
        <s v="Percy Jackson: Sea of MonstersÂ "/>
        <s v="Road TripÂ "/>
        <s v="Vertical LimitÂ "/>
        <s v="Bring It OnÂ "/>
        <s v="Mr. Popper's PenguinsÂ "/>
        <s v="Blue StreakÂ "/>
        <s v="Guess WhoÂ "/>
        <s v="OctopussyÂ "/>
        <s v="OutbreakÂ "/>
        <s v="This Is 40Â "/>
        <s v="HolesÂ "/>
        <s v="Role ModelsÂ "/>
        <s v="InsomniaÂ "/>
        <s v="Coach CarterÂ "/>
        <s v="Race to Witch MountainÂ "/>
        <s v="The Bounty HunterÂ "/>
        <s v="Alexander and the Terrible, Horrible, No Good, Very Bad DayÂ "/>
        <s v="102 DalmatiansÂ "/>
        <s v="End of DaysÂ "/>
        <s v="The MexicanÂ "/>
        <s v="Changing LanesÂ "/>
        <s v="Kangaroo JackÂ "/>
        <s v="The Godfather: Part IIIÂ "/>
        <s v="Charlie Wilson's WarÂ "/>
        <s v="BabeÂ "/>
        <s v="Legends of the FallÂ "/>
        <s v="ContrabandÂ "/>
        <s v="The Bone CollectorÂ "/>
        <s v="LooperÂ "/>
        <s v="The Final DestinationÂ "/>
        <s v="The League of Extraordinary GentlemenÂ "/>
        <s v="BowfingerÂ "/>
        <s v="Warm BodiesÂ "/>
        <s v="Big FishÂ "/>
        <s v="Kill Bill: Vol. 2Â "/>
        <s v="Magic Mike XXLÂ "/>
        <s v="Herbie Fully LoadedÂ "/>
        <s v="The Manchurian CandidateÂ "/>
        <s v="Bad BoysÂ "/>
        <s v="Ever After: A Cinderella StoryÂ "/>
        <s v="Madea's Witness ProtectionÂ "/>
        <s v="AnacondaÂ "/>
        <s v="Deuce Bigalow: Male GigoloÂ "/>
        <s v="WitnessÂ "/>
        <s v="Step UpÂ "/>
        <s v="Think Like a Man TooÂ "/>
        <s v="The VisitÂ "/>
        <s v="WolfÂ "/>
        <s v="About SchmidtÂ "/>
        <s v="The American PresidentÂ "/>
        <s v="Pitch PerfectÂ "/>
        <s v="Barbershop 2: Back in BusinessÂ "/>
        <s v="Mirror MirrorÂ "/>
        <s v="Now You See Me 2Â "/>
        <s v="L.A. ConfidentialÂ "/>
        <s v="ChronicleÂ "/>
        <s v="The HappeningÂ "/>
        <s v="The PurgeÂ "/>
        <s v="MiracleÂ "/>
        <s v="Jackass: The MovieÂ "/>
        <s v="The Amityville HorrorÂ "/>
        <s v="The Nut JobÂ "/>
        <s v="Down to EarthÂ "/>
        <s v="17 AgainÂ "/>
        <s v="Diary of a Wimpy KidÂ "/>
        <s v="Sky HighÂ "/>
        <s v="Last VegasÂ "/>
        <s v="In &amp; OutÂ "/>
        <s v="Mona Lisa SmileÂ "/>
        <s v="ThunderballÂ "/>
        <s v="Hope SpringsÂ "/>
        <s v="The Time Traveler's WifeÂ "/>
        <s v="Tango &amp; CashÂ "/>
        <s v="She's All ThatÂ "/>
        <s v="Saw IVÂ "/>
        <s v="Madea's Family ReunionÂ "/>
        <s v="The HolidayÂ "/>
        <s v="Beavis and Butt-Head Do AmericaÂ "/>
        <s v="The BossÂ "/>
        <s v="The Last SongÂ "/>
        <s v="Forgetting Sarah MarshallÂ "/>
        <s v="MoonrakerÂ "/>
        <s v="JarheadÂ "/>
        <s v="Black MassÂ "/>
        <s v="The Crying GameÂ "/>
        <s v="The Fast and the Furious: Tokyo DriftÂ "/>
        <s v="The Adjustment BureauÂ "/>
        <s v="London Has FallenÂ "/>
        <s v="Underworld: AwakeningÂ "/>
        <s v="Underworld: EvolutionÂ "/>
        <s v="For Your Eyes OnlyÂ "/>
        <s v="Miracles from HeavenÂ "/>
        <s v="Cinderella ManÂ "/>
        <s v="FlatlinersÂ "/>
        <s v="National Lampoon's VacationÂ "/>
        <s v="Stomp the YardÂ "/>
        <s v="The SaintÂ "/>
        <s v="The CellÂ "/>
        <s v="The Shaggy DogÂ "/>
        <s v="UnknownÂ "/>
        <s v="The Devil's AdvocateÂ "/>
        <s v="PrisonersÂ "/>
        <s v="Get Him to the GreekÂ "/>
        <s v="Mission to MarsÂ "/>
        <s v="Coyote UglyÂ "/>
        <s v="Three KingsÂ "/>
        <s v="Jingle All the WayÂ "/>
        <s v="Fantasia 2000Â "/>
        <s v="Kiss the GirlsÂ "/>
        <s v="Shanghai KnightsÂ "/>
        <s v="The Lucky OneÂ "/>
        <s v="The Wedding PlannerÂ "/>
        <s v="Burn After ReadingÂ "/>
        <s v="ScroogedÂ "/>
        <s v="Baby MamaÂ "/>
        <s v="The Cable GuyÂ "/>
        <s v="Resident Evil: AfterlifeÂ "/>
        <s v="Why Did I Get Married Too?Â "/>
        <s v="Bad SantaÂ "/>
        <s v="SpeciesÂ "/>
        <s v="Hope FloatsÂ "/>
        <s v="Snow DayÂ "/>
        <s v="Superman IIIÂ "/>
        <s v="BrÃ¼noÂ "/>
        <s v="Little Miss SunshineÂ "/>
        <s v="My GirlÂ "/>
        <s v="PredatorÂ "/>
        <s v="SecretariatÂ "/>
        <s v="Son of GodÂ "/>
        <s v="The DictatorÂ "/>
        <s v="GothikaÂ "/>
        <s v="My Big Fat Greek Wedding 2Â "/>
        <s v="The Stepford WivesÂ "/>
        <s v="Love ActuallyÂ "/>
        <s v="The Grand Budapest HotelÂ "/>
        <s v="Behind Enemy LinesÂ "/>
        <s v="HellboyÂ "/>
        <s v="Courage Under FireÂ "/>
        <s v="Dawn of the DeadÂ "/>
        <s v="VacationÂ "/>
        <s v="Chariots of FireÂ "/>
        <s v="Bride WarsÂ "/>
        <s v="Water for ElephantsÂ "/>
        <s v="Sea of LoveÂ "/>
        <s v="Death Becomes HerÂ "/>
        <s v="Easy AÂ "/>
        <s v="Curious GeorgeÂ "/>
        <s v="Open RangeÂ "/>
        <s v="AnastasiaÂ "/>
        <s v="LittlemanÂ "/>
        <s v="The Secret Life of Walter MittyÂ "/>
        <s v="Without a PaddleÂ "/>
        <s v="Step Up 2: The StreetsÂ "/>
        <s v="The Lincoln LawyerÂ "/>
        <s v="Shall We DanceÂ "/>
        <s v="Red EyeÂ "/>
        <s v="CleopatraÂ "/>
        <s v="TakersÂ "/>
        <s v="The BenchwarmersÂ "/>
        <s v="Boyz n the HoodÂ "/>
        <s v="Pet SemataryÂ "/>
        <s v="Moulin Rouge!Â "/>
        <s v="The SpecialistÂ "/>
        <s v="The Godfather: Part IIÂ "/>
        <s v="The Whole Nine YardsÂ "/>
        <s v="Next FridayÂ "/>
        <s v="Escape from Planet EarthÂ "/>
        <s v="Memoirs of a GeishaÂ "/>
        <s v="Shanghai NoonÂ "/>
        <s v="The Man in the Iron MaskÂ "/>
        <s v="Midnight in ParisÂ "/>
        <s v="Saw VÂ "/>
        <s v="American ReunionÂ "/>
        <s v="2001: A Space OdysseyÂ "/>
        <s v="A Civil ActionÂ "/>
        <s v="The Time MachineÂ "/>
        <s v="12 Years a SlaveÂ "/>
        <s v="CluelessÂ "/>
        <s v="Rat RaceÂ "/>
        <s v="Lights OutÂ "/>
        <s v="TombstoneÂ "/>
        <s v="JoyÂ "/>
        <s v="The QueenÂ "/>
        <s v="DrumlineÂ "/>
        <s v="Edward ScissorhandsÂ "/>
        <s v="Me Before YouÂ "/>
        <s v="Just MarriedÂ "/>
        <s v="A Knight's TaleÂ "/>
        <s v="The Curse of the Were-RabbitÂ "/>
        <s v="13 Going on 30Â "/>
        <s v="ParaNormanÂ "/>
        <s v="Romeo Must DieÂ "/>
        <s v="Dracula UntoldÂ "/>
        <s v="White NoiseÂ "/>
        <s v="Once Upon a Time in MexicoÂ "/>
        <s v="Be CoolÂ "/>
        <s v="Friends with BenefitsÂ "/>
        <s v="The AnimalÂ "/>
        <s v="Free BirdsÂ "/>
        <s v="Hansel &amp; Gretel: Witch HuntersÂ "/>
        <s v="Legend of the Guardians: The Owls of Ga'HooleÂ "/>
        <s v="Eyes Wide ShutÂ "/>
        <s v="Snake EyesÂ "/>
        <s v="Never Say Never AgainÂ "/>
        <s v="Alien 3Â "/>
        <s v="Bad MomsÂ "/>
        <s v="What Dreams May ComeÂ "/>
        <s v="Neighbors 2: Sorority RisingÂ "/>
        <s v="Star Trek V: The Final FrontierÂ "/>
        <s v="Why Did I Get Married?Â "/>
        <s v="SawÂ "/>
        <s v="I Am Number FourÂ "/>
        <s v="Don't Say a WordÂ "/>
        <s v="SpawnÂ "/>
        <s v="The JackalÂ "/>
        <s v="Ordinary PeopleÂ "/>
        <s v="This Means WarÂ "/>
        <s v="Project XÂ "/>
        <s v="Source CodeÂ "/>
        <s v="CrashÂ "/>
        <s v="New Year's EveÂ "/>
        <s v="Horrible Bosses 2Â "/>
        <s v="The Woman in BlackÂ "/>
        <s v="The ShallowsÂ "/>
        <s v="Evil DeadÂ "/>
        <s v="The Hundred-Foot JourneyÂ "/>
        <s v="The Count of Monte CristoÂ "/>
        <s v="The AbyssÂ "/>
        <s v="La BambaÂ "/>
        <s v="The Blues BrothersÂ "/>
        <s v="TMNTÂ "/>
        <s v="The Hateful EightÂ "/>
        <s v="Final Destination 3Â "/>
        <s v="The VerdictÂ "/>
        <s v="InsidiousÂ "/>
        <s v="Small SoldiersÂ "/>
        <s v="Paranormal Activity 4Â "/>
        <s v="Austin Powers: International Man of MysteryÂ "/>
        <s v="Tin CupÂ "/>
        <s v="FocusÂ "/>
        <s v="PaycheckÂ "/>
        <s v="Rambo IIIÂ "/>
        <s v="P.S. I Love YouÂ "/>
        <s v="3:10 to YumaÂ "/>
        <s v="Corpse BrideÂ "/>
        <s v="Final DestinationÂ "/>
        <s v="SleepersÂ "/>
        <s v="The Devil InsideÂ "/>
        <s v="RED 2Â "/>
        <s v="Eye for an EyeÂ "/>
        <s v="ArachnophobiaÂ "/>
        <s v="The PrestigeÂ "/>
        <s v="Letters to JulietÂ "/>
        <s v="BlowÂ "/>
        <s v="My Cousin VinnyÂ "/>
        <s v="Varsity BluesÂ "/>
        <s v="13 HoursÂ "/>
        <s v="Message in a BottleÂ "/>
        <s v="UnfaithfulÂ "/>
        <s v="Four Weddings and a FuneralÂ "/>
        <s v="Diary of a Wimpy Kid: Rodrick RulesÂ "/>
        <s v="Kicking &amp; ScreamingÂ "/>
        <s v="No Good DeedÂ "/>
        <s v="A Madea ChristmasÂ "/>
        <s v="Wall Street: Money Never SleepsÂ "/>
        <s v="SouthpawÂ "/>
        <s v="Blade: TrinityÂ "/>
        <s v="The Royal TenenbaumsÂ "/>
        <s v="The Lake HouseÂ "/>
        <s v="The Color of MoneyÂ "/>
        <s v="Stand by MeÂ "/>
        <s v="RadioÂ "/>
        <s v="Insidious: Chapter 3Â "/>
        <s v="SelmaÂ "/>
        <s v="South Park: Bigger Longer &amp; UncutÂ "/>
        <s v="PredatorsÂ "/>
        <s v="The CallÂ "/>
        <s v="The Odd Life of Timothy GreenÂ "/>
        <s v="Funny PeopleÂ "/>
        <s v="Ghost Rider: Spirit of VengeanceÂ "/>
        <s v="Finding ForresterÂ "/>
        <s v="Exit WoundsÂ "/>
        <s v="I Can Do Bad All by MyselfÂ "/>
        <s v="Finding NeverlandÂ "/>
        <s v="AmadeusÂ "/>
        <s v="The GreyÂ "/>
        <s v="My Bloody ValentineÂ "/>
        <s v="UnderworldÂ "/>
        <s v="IdentityÂ "/>
        <s v="Like MikeÂ "/>
        <s v="A Cinderella StoryÂ "/>
        <s v="Enemy at the GatesÂ "/>
        <s v="DragonHeartÂ "/>
        <s v="The Phantom of the OperaÂ "/>
        <s v="The Living DaylightsÂ "/>
        <s v="Muppets Most WantedÂ "/>
        <s v="Naked Gun 33 1/3: The Final InsultÂ "/>
        <s v="GoldfingerÂ "/>
        <s v="Hide and SeekÂ "/>
        <s v="Hoodwinked!Â "/>
        <s v="Up Close &amp; PersonalÂ "/>
        <s v="The Hitchhiker's Guide to the GalaxyÂ "/>
        <s v="AtonementÂ "/>
        <s v="ApocalyptoÂ "/>
        <s v="OuijaÂ "/>
        <s v="The Tale of DespereauxÂ "/>
        <s v="SyrianaÂ "/>
        <s v="The BoxtrollsÂ "/>
        <s v="A Bridge Too FarÂ "/>
        <s v="The Mighty DucksÂ "/>
        <s v="Resident Evil: ApocalypseÂ "/>
        <s v="The NetÂ "/>
        <s v="The CrowÂ "/>
        <s v="The HurricaneÂ "/>
        <s v="Resident Evil: ExtinctionÂ "/>
        <s v="Mighty Joe YoungÂ "/>
        <s v="Music and LyricsÂ "/>
        <s v="Jack Ryan: Shadow RecruitÂ "/>
        <s v="If I StayÂ "/>
        <s v="Diary of a Mad Black WomanÂ "/>
        <s v="A View to a KillÂ "/>
        <s v="Hot Tub Time MachineÂ "/>
        <s v="The TuxedoÂ "/>
        <s v="K-PAXÂ "/>
        <s v="The Book of LifeÂ "/>
        <s v="BreakdownÂ "/>
        <s v="StigmataÂ "/>
        <s v="Under Siege 2: Dark TerritoryÂ "/>
        <s v="Last Action HeroÂ "/>
        <s v="Absolute PowerÂ "/>
        <s v="Little WomenÂ "/>
        <s v="Fiddler on the RoofÂ "/>
        <s v="EvitaÂ "/>
        <s v="SerendipityÂ "/>
        <s v="Red TailsÂ "/>
        <s v="Pain &amp; GainÂ "/>
        <s v="Legal EaglesÂ "/>
        <s v="Major LeagueÂ "/>
        <s v="Old DogsÂ "/>
        <s v="A Nightmare on Elm Street 4: The Dream MasterÂ "/>
        <s v="Racing StripesÂ "/>
        <s v="My Sister's KeeperÂ "/>
        <s v="The PossessionÂ "/>
        <s v="This ChristmasÂ "/>
        <s v="Michael ClaytonÂ "/>
        <s v="Diary of a Wimpy Kid: Dog DaysÂ "/>
        <s v="Men of HonorÂ "/>
        <s v="FirewallÂ "/>
        <s v="About Last NightÂ "/>
        <s v="Date MovieÂ "/>
        <s v="Miss Congeniality 2: Armed and FabulousÂ "/>
        <s v="The DilemmaÂ "/>
        <s v="Return to Never LandÂ "/>
        <s v="Asterix at the Olympic GamesÂ "/>
        <s v="Xi you ji zhi: Sun Wukong san da Baigu JingÂ "/>
        <s v="Foodfight!Â "/>
        <s v="Pete's DragonÂ "/>
        <s v="ShipwreckedÂ "/>
        <s v="Eye See YouÂ "/>
        <s v="InchonÂ "/>
        <s v="Dragon Nest: Warriors' DawnÂ "/>
        <s v="Star Wars: Episode VII - The Force AwakensÂ             "/>
        <s v="The LoversÂ "/>
        <s v="Godzilla ResurgenceÂ "/>
        <s v="Harry Potter and the Deathly Hallows: Part IIÂ "/>
        <s v="Harry Potter and the Deathly Hallows: Part IÂ "/>
        <s v="The A-TeamÂ             "/>
        <s v="10,000 B.C.Â             "/>
        <s v="Ben-HurÂ "/>
        <s v="HannibalÂ             "/>
        <s v="All That JazzÂ "/>
        <s v="DaredevilÂ             "/>
        <s v="BewitchedÂ             "/>
        <s v="EvolutionÂ "/>
        <s v="ConstantineÂ             "/>
        <s v="LifeÂ             "/>
        <s v="Sleepy HollowÂ             "/>
        <s v="Last Man StandingÂ             "/>
        <s v="The MissingÂ             "/>
        <s v="Rules of EngagementÂ             "/>
        <s v="The Ridiculous 6Â "/>
        <s v="Sex and the CityÂ             "/>
        <s v="Anger ManagementÂ             "/>
        <s v="UnforgottenÂ             "/>
        <s v="A Touch of FrostÂ             "/>
        <s v="TwistedÂ             "/>
        <s v="DefianceÂ             "/>
        <s v="OutlanderÂ             "/>
        <s v="The ReturnedÂ             "/>
        <s v="McHale's NavyÂ             "/>
        <s v="Animal Kingdom: Let's go ApeÂ "/>
        <s v="ArthurÂ             "/>
        <s v="3rd Rock from the SunÂ             "/>
        <s v="Rush HourÂ             "/>
        <s v="Hit the FloorÂ             "/>
        <s v="The Bad News BearsÂ "/>
        <s v="LutherÂ             "/>
        <s v="Friday Night LightsÂ             "/>
        <s v="The FamilyÂ             "/>
        <s v="EntourageÂ             "/>
        <s v="TrappedÂ             "/>
        <s v="Little NicholasÂ "/>
        <s v="Animals UnitedÂ "/>
        <s v="12 MonkeysÂ             "/>
        <s v="LimitlessÂ             "/>
        <s v="The HoneymoonersÂ             "/>
        <s v="It's Always Sunny in PhiladelphiaÂ             "/>
        <s v="The Face of an AngelÂ "/>
        <s v="Shaun the SheepÂ             "/>
        <s v="The Powerpuff GirlsÂ             "/>
        <s v="A Turtle's Tale: Sammy's AdventuresÂ "/>
        <s v="RogueÂ             "/>
        <s v="Meet the BrownsÂ             "/>
        <s v="Yu-Gi-Oh! Duel MonstersÂ             "/>
        <s v="Fired UpÂ             "/>
        <s v="PerceptionÂ             "/>
        <s v="The Doombolt ChaseÂ             "/>
        <s v="RamanujanÂ "/>
        <s v="Gone, Baby, GoneÂ             "/>
        <s v="FirestormÂ "/>
        <s v="Out of InfernoÂ "/>
        <s v="The O.C.Â             "/>
        <s v="UnforgettableÂ             "/>
        <s v="RestorationÂ "/>
        <s v="The MessengersÂ             "/>
        <s v="Scream: The TV SeriesÂ             "/>
        <s v="Tidal WaveÂ "/>
        <s v="The Dead ZoneÂ             "/>
        <s v="The Love LetterÂ "/>
        <s v="The CompanyÂ             "/>
        <s v="ListeningÂ "/>
        <s v="Bathory: Countess of BloodÂ "/>
        <s v="Towering InfernoÂ             "/>
        <s v="Ghost HuntersÂ             "/>
        <s v="Stan HelsingÂ "/>
        <s v="The BorderÂ             "/>
        <s v="Del 1 - MÃ¤n som hatar kvinnorÂ             "/>
        <s v="The Prisoner of ZendaÂ "/>
        <s v="Spartacus: War of the DamnedÂ             "/>
        <s v="Legend of Kung Fu RabbitÂ "/>
        <s v="Machine Gun McCainÂ "/>
        <s v="LovesickÂ             "/>
        <s v="BonesÂ             "/>
        <s v="The Janky PromotersÂ "/>
        <s v="The ReefÂ "/>
        <s v="Loose CannonsÂ "/>
        <s v="The Bold and the BeautifulÂ             "/>
        <s v="BarbecueÂ "/>
        <s v="Red Riding: In the Year of Our Lord 1974Â "/>
        <s v="Ultramarines: A Warhammer 40,000 MovieÂ "/>
        <s v="Star Wars: The Clone WarsÂ             "/>
        <s v="KicksÂ "/>
        <s v="The PlayerÂ             "/>
        <s v="PreacherÂ             "/>
        <s v="RestlessÂ "/>
        <s v="Wuthering HeightsÂ             "/>
        <s v="Green Street 3: Never Back DownÂ "/>
        <s v="FargoÂ             "/>
        <s v="NikitaÂ             "/>
        <s v="Dark AngelÂ             "/>
        <s v="Stargate: The Ark of TruthÂ "/>
        <s v="The Four SeasonsÂ "/>
        <s v="GomorrahÂ             "/>
        <s v="War &amp; PeaceÂ             "/>
        <s v="Veronica MarsÂ             "/>
        <s v="Goddess of LoveÂ "/>
        <s v="Don McKayÂ "/>
        <s v="EmmaÂ             "/>
        <s v="The InbetweenersÂ             "/>
        <s v="GalaxinaÂ "/>
        <s v="AnimalsÂ "/>
        <s v="Saving GraceÂ             "/>
        <s v="Farce of the PenguinsÂ "/>
        <s v="Flying ByÂ "/>
        <s v="PsychÂ             "/>
        <s v="Christmas EveÂ "/>
        <s v="Navy Seals vs. ZombiesÂ "/>
        <s v="Camping sauvageÂ "/>
        <s v="BarfiÂ "/>
        <s v="Secrets and LiesÂ             "/>
        <s v="State FairÂ "/>
        <s v="FuglyÂ "/>
        <s v="Anne of Green GablesÂ             "/>
        <s v="Animal KingdomÂ             "/>
        <s v="Holy MotorsÂ "/>
        <s v="Sonny with a ChanceÂ             "/>
        <s v="NothingÂ "/>
        <s v="The Loved OnesÂ "/>
        <s v="Down for LifeÂ "/>
        <s v="M*A*S*HÂ             "/>
        <s v="EmpireÂ             "/>
        <s v="TrainÂ "/>
        <s v="The SecretÂ             "/>
        <s v="AugustÂ "/>
        <s v="Robot ChickenÂ             "/>
        <s v="CreatureÂ             "/>
        <s v="BrainDeadÂ             "/>
        <s v="Brave New GirlÂ "/>
        <s v="The GrandÂ             "/>
        <s v="They Came TogetherÂ "/>
        <s v="Barry MundayÂ "/>
        <s v="Griff the InvisibleÂ "/>
        <s v="Journey to SaturnÂ "/>
        <s v="The CallingÂ "/>
        <s v="EdenÂ "/>
        <s v="ContainmentÂ "/>
        <s v="In the Heat of the NightÂ             "/>
        <s v="Strangers with CandyÂ             "/>
        <s v="Get RealÂ             "/>
        <s v="Hum To Mohabbat KaregaÂ "/>
        <s v="24 7: Twenty Four SevenÂ "/>
        <s v="EurekaÂ             "/>
        <s v="This Thing of OursÂ "/>
        <s v="CircleÂ "/>
        <s v="Vampire KillersÂ "/>
        <s v="StitchesÂ "/>
        <s v="WingsÂ             "/>
        <s v="The Torture Chamber of Dr. SadismÂ "/>
        <s v="AbandonedÂ "/>
        <s v="Deadline - U.S.A.Â "/>
        <s v="A Beginner's Guide to SnuffÂ "/>
        <s v="Out of the DarkÂ "/>
        <s v="Cabin FeverÂ "/>
        <s v="Mooz-LumÂ "/>
        <s v="The Streets of San FranciscoÂ             "/>
        <s v="The Girlfriend ExperienceÂ             "/>
        <s v="The Blue BirdÂ "/>
        <s v="Grand Theft ParsonsÂ "/>
        <s v="Extreme MovieÂ "/>
        <s v="Wolf CreekÂ             "/>
        <s v="Rocket Singh: Salesman of the YearÂ "/>
        <s v="The Party's OverÂ "/>
        <s v="The Poker HouseÂ "/>
        <s v="Hidden AwayÂ "/>
        <s v="Black RockÂ "/>
        <s v="CharlyÂ "/>
        <s v="JesseÂ             "/>
        <s v="Crying with LaughterÂ "/>
        <s v="VesselÂ "/>
        <s v="DestinyÂ "/>
        <s v="B-GirlÂ "/>
        <s v="IrreplaceableÂ "/>
        <s v="High RoadÂ "/>
        <s v="The CaliforniansÂ "/>
        <s v="Now Is GoodÂ "/>
        <s v="America Is Still the PlaceÂ "/>
        <s v="SubconsciousÂ "/>
        <s v="The Sound and the ShadowÂ "/>
        <s v="RoadsideÂ "/>
        <s v="HeroesÂ             "/>
        <s v="Home MoviesÂ             "/>
        <s v="RevolutionÂ             "/>
        <s v="The Big SwapÂ "/>
        <s v="Midnight CabaretÂ "/>
        <s v="Happy ValleyÂ             "/>
        <s v="On the OutsÂ "/>
        <s v="ExamÂ "/>
        <s v="Sunday School MusicalÂ "/>
        <s v="InkÂ "/>
        <s v="Jesus PeopleÂ "/>
        <s v="ButterflyÂ "/>
        <s v="SolitudeÂ "/>
        <s v="OrdetÂ "/>
        <s v="H.Â "/>
        <s v="When the Lights Went OutÂ "/>
        <s v="Heroes of DirtÂ "/>
        <s v="Open SecretÂ "/>
        <s v="The Night VisitorÂ "/>
        <s v="Supporting CharactersÂ "/>
        <s v="The DirtiesÂ "/>
        <s v="GabrielaÂ "/>
        <s v="The Naked ApeÂ "/>
        <s v="Mutual AppreciationÂ "/>
        <s v="Funny Ha HaÂ "/>
        <s v="RampageÂ "/>
        <s v="ExeterÂ "/>
        <s v="On the DownlowÂ "/>
        <s v="BangÂ "/>
        <s v="Signed Sealed DeliveredÂ "/>
        <s v="The FollowingÂ             "/>
        <s v="Virgin TerritoryÂ "/>
        <s v="Lion of the DesertÂ "/>
        <s v="RedsÂ "/>
        <s v="1941Â "/>
        <s v="LilyhammerÂ             "/>
        <s v="BandidasÂ "/>
        <s v="George and the DragonÂ "/>
        <s v="BaitÂ "/>
        <s v="Wild CardÂ "/>
        <s v="The Color of FreedomÂ "/>
        <s v="Grace of MonacoÂ "/>
        <s v="A Warrior's TailÂ "/>
        <s v="Ripley's GameÂ "/>
        <s v="Harlock: Space PirateÂ "/>
        <s v="Obitaemyy ostrovÂ "/>
        <s v="Confessions of a Dangerous MindÂ "/>
        <s v="Florence Foster JenkinsÂ "/>
        <s v="The Frozen GroundÂ "/>
        <s v="KrullÂ "/>
        <s v="The NeverEnding StoryÂ "/>
        <s v="The Magic FluteÂ "/>
        <s v="Fight ValleyÂ "/>
        <s v="Snow White: A Tale of TerrorÂ "/>
        <s v="Accidental LoveÂ "/>
        <s v="ViyÂ "/>
        <s v="A Monster in ParisÂ "/>
        <s v="Return to OzÂ "/>
        <s v="LifeforceÂ "/>
        <s v="SheenaÂ "/>
        <s v="CarnageÂ "/>
        <s v="The True Story of Puss'N BootsÂ "/>
        <s v="Space DogsÂ "/>
        <s v="IroncladÂ "/>
        <s v="WaterlooÂ "/>
        <s v="Red SkyÂ "/>
        <s v="Three Kingdoms: Resurrection of the DragonÂ "/>
        <s v="Arn: The Knight TemplarÂ "/>
        <s v="United PassionsÂ "/>
        <s v="Captain Alatriste: The Spanish MusketeerÂ "/>
        <s v="Black Water TransitÂ "/>
        <s v="Bodyguards and AssassinsÂ "/>
        <s v="GandhiÂ "/>
        <s v="UnderdogsÂ "/>
        <s v="The Death and Life of Bobby ZÂ "/>
        <s v="Flash GordonÂ "/>
        <s v="The Black HoleÂ "/>
        <s v="Paint Your WagonÂ "/>
        <s v="LadyhawkeÂ "/>
        <s v="Sweet CharityÂ "/>
        <s v="PasschendaeleÂ "/>
        <s v="ShatteredÂ "/>
        <s v="ZambeziaÂ "/>
        <s v="Dwegons and LeprechaunsÂ "/>
        <s v="Hands of StoneÂ "/>
        <s v="SurvivorÂ "/>
        <s v="KhumbaÂ "/>
        <s v="Secret in Their EyesÂ "/>
        <s v="HeistÂ "/>
        <s v="Sausage PartyÂ "/>
        <s v="The ShiningÂ "/>
        <s v="The Fall of the Roman EmpireÂ "/>
        <s v="Catch-22Â "/>
        <s v="Blow OutÂ "/>
        <s v="The InformersÂ "/>
        <s v="I Come with the RainÂ "/>
        <s v="I Am WrathÂ "/>
        <s v="WolvesÂ "/>
        <s v="The PrinceÂ "/>
        <s v="Cat PeopleÂ "/>
        <s v="Red SonjaÂ "/>
        <s v="A Perfect PlanÂ "/>
        <s v="Damnation AlleyÂ "/>
        <s v="SubwayÂ "/>
        <s v="Kickboxer: VengeanceÂ "/>
        <s v="Red DawnÂ "/>
        <s v="MeteorÂ "/>
        <s v="Hachi: A Dog's TaleÂ "/>
        <s v="ZuluÂ "/>
        <s v="PokÃ©mon 3: The MovieÂ "/>
        <s v="The Deer HunterÂ "/>
        <s v="Winnie MandelaÂ "/>
        <s v="Dungeons &amp; Dragons: Wrath of the Dragon GodÂ "/>
        <s v="Chiamatemi Francesco - Il Papa della genteÂ "/>
        <s v="Shinjuku IncidentÂ "/>
        <s v="PandaemoniumÂ "/>
        <s v="Broken HorsesÂ "/>
        <s v="Deadline GallipoliÂ             "/>
        <s v="Silver MedallistÂ "/>
        <s v="The Lion of JudahÂ "/>
        <s v="FreedomÂ "/>
        <s v="First BloodÂ "/>
        <s v="Red LightsÂ "/>
        <s v="Exorcist II: The HereticÂ "/>
        <s v="New York, New YorkÂ "/>
        <s v="HighwayÂ "/>
        <s v="St. Trinian'sÂ "/>
        <s v="Super HybridÂ "/>
        <s v="Quest for FireÂ "/>
        <s v="The Blue ButterflyÂ "/>
        <s v="SorcererÂ "/>
        <s v="Reign of AssassinsÂ "/>
        <s v="PattonÂ "/>
        <s v="ProphecyÂ "/>
        <s v="The Boys from BrazilÂ "/>
        <s v="The Postman Always Rings TwiceÂ "/>
        <s v="The Pursuit of D.B. CooperÂ "/>
        <s v="Space Battleship YamatoÂ "/>
        <s v="TriangleÂ "/>
        <s v="Dancin' It's OnÂ "/>
        <s v="A Tale of Three CitiesÂ "/>
        <s v="Drive HardÂ "/>
        <s v="Brighton RockÂ "/>
        <s v="The HoleÂ "/>
        <s v="The Cry of the OwlÂ "/>
        <s v="ForsakenÂ "/>
        <s v="Dragon HuntersÂ "/>
        <s v="Welcome to the SticksÂ "/>
        <s v="History of the World: Part IÂ "/>
        <s v="F.I.S.T.Â "/>
        <s v="Barry LyndonÂ "/>
        <s v="The Molly MaguiresÂ "/>
        <s v="LOLÂ "/>
        <s v="La Famille BÃ©lierÂ "/>
        <s v="MisconductÂ "/>
        <s v="The Longest DayÂ "/>
        <s v="CommandoÂ "/>
        <s v="The Dead ZoneÂ "/>
        <s v="Invasion U.S.A.Â "/>
        <s v="The Long RidersÂ "/>
        <s v="Body DoubleÂ "/>
        <s v="HeartbeepsÂ "/>
        <s v="KrrishÂ "/>
        <s v="Elsa &amp; FredÂ "/>
        <s v="StrangerlandÂ "/>
        <s v="White Noise 2: The LightÂ "/>
        <s v="You Got Served: Beat the WorldÂ "/>
        <s v="Jungle ShuffleÂ "/>
        <s v="Adam ResurrectedÂ "/>
        <s v="It's a Wonderful AfterlifeÂ "/>
        <s v="The Devil's TombÂ "/>
        <s v="PartitionÂ "/>
        <s v="Good IntentionsÂ "/>
        <s v="Nurse 3DÂ "/>
        <s v="GunlessÂ "/>
        <s v="American HeistÂ "/>
        <s v="PlasticÂ "/>
        <s v="Into the Grizzly MazeÂ "/>
        <s v="DetentionÂ "/>
        <s v="Henry &amp; MeÂ "/>
        <s v="Faith Like PotatoesÂ "/>
        <s v="The Birth of a NationÂ "/>
        <s v="Re-KillÂ "/>
        <s v="Heavy MetalÂ "/>
        <s v="55 Days at PekingÂ "/>
        <s v="Silent TriggerÂ "/>
        <s v="The Ice PiratesÂ "/>
        <s v="Veronika Decides to DieÂ "/>
        <s v="Beneath Hill 60Â "/>
        <s v="BarbarellaÂ "/>
        <s v="The Haunting in Connecticut 2: Ghosts of GeorgiaÂ "/>
        <s v="The I InsideÂ "/>
        <s v="Two Lovers and a BearÂ "/>
        <s v="Men of WarÂ "/>
        <s v="Red DogÂ "/>
        <s v="Valley of the Wolves: IraqÂ "/>
        <s v="The City of Your Final DestinationÂ "/>
        <s v="CreepshowÂ "/>
        <s v="Top Cat BeginsÂ "/>
        <s v="SilmidoÂ "/>
        <s v="Modern ProblemsÂ "/>
        <s v="Bon Cop Bad CopÂ "/>
        <s v="The PallbearerÂ "/>
        <s v="The Wicked LadyÂ "/>
        <s v="The Rocket: The Legend of Rocket RichardÂ "/>
        <s v="SwelterÂ "/>
        <s v="Mr. ChurchÂ "/>
        <s v="Code of HonorÂ "/>
        <s v="The BeastmasterÂ "/>
        <s v="House of SandÂ "/>
        <s v="JuliaÂ "/>
        <s v="Far from MenÂ "/>
        <s v="Quo VadisÂ "/>
        <s v="CypherÂ "/>
        <s v="Outside BetÂ "/>
        <s v="Black NovemberÂ "/>
        <s v="Pound of FleshÂ "/>
        <s v="AutomataÂ "/>
        <s v="Losin' ItÂ "/>
        <s v="Hard to Be a GodÂ "/>
        <s v="The Boondock SaintsÂ "/>
        <s v="Z StormÂ "/>
        <s v="TwixtÂ "/>
        <s v="Snow QueenÂ "/>
        <s v="Alpha and Omega 4: The Legend of the Saw Toothed CaveÂ "/>
        <s v="High School Musical 2Â "/>
        <s v="Criminal ActivitiesÂ "/>
        <s v="The TrainÂ "/>
        <s v="The Andromeda StrainÂ "/>
        <s v="TrackerÂ "/>
        <s v="The Wild BunchÂ "/>
        <s v="Fifty Dead Men WalkingÂ "/>
        <s v="The Great Train RobberyÂ "/>
        <s v="11:14Â "/>
        <s v="A Shine of RainbowsÂ "/>
        <s v="The Hit ListÂ "/>
        <s v="Freaky DeakyÂ "/>
        <s v="Torn CurtainÂ "/>
        <s v="VideodromeÂ "/>
        <s v="High Plains DrifterÂ "/>
        <s v="Miss JulieÂ "/>
        <s v="Somewhere in TimeÂ "/>
        <s v="The WaveÂ "/>
        <s v="The Return of the Pink PantherÂ "/>
        <s v="20,000 Leagues Under the SeaÂ "/>
        <s v="The Elephant ManÂ "/>
        <s v="Mommie DearestÂ "/>
        <s v="The EgyptianÂ "/>
        <s v="NighthawksÂ "/>
        <s v="Solomon and ShebaÂ "/>
        <s v="Robin and MarianÂ "/>
        <s v="Force 10 from NavaroneÂ "/>
        <s v="Once Upon a Time in the WestÂ "/>
        <s v="Jekyll and Hyde... Together AgainÂ "/>
        <s v="The Oh in OhioÂ "/>
        <s v="DecoysÂ "/>
        <s v="Area 51Â "/>
        <s v="Sleep TightÂ "/>
        <s v="Dead Like Me: Life After DeathÂ "/>
        <s v="We Have Your HusbandÂ "/>
        <s v="Dying of the LightÂ "/>
        <s v="Born of WarÂ "/>
        <s v="Capricorn OneÂ "/>
        <s v="Should've Been RomeoÂ "/>
        <s v="Running ForeverÂ "/>
        <s v="Yoga HosersÂ "/>
        <s v="Let's Kill Ward's WifeÂ "/>
        <s v="All HatÂ "/>
        <s v="Chain of CommandÂ "/>
        <s v="Closer to the MoonÂ "/>
        <s v="Space: Above and BeyondÂ             "/>
        <s v="Without MenÂ "/>
        <s v="Treading WaterÂ "/>
        <s v="Pat Garrett &amp; Billy the KidÂ "/>
        <s v="The Blue LagoonÂ "/>
        <s v="Fast Times at Ridgemont HighÂ "/>
        <s v="Moby DickÂ "/>
        <s v="SalvadorÂ "/>
        <s v="CargoÂ "/>
        <s v="Hansel &amp; Gretel Get BakedÂ "/>
        <s v="ZipperÂ "/>
        <s v="Family PlotÂ "/>
        <s v="R.L. Stine's Monsterville: The Cabinet of SoulsÂ "/>
        <s v="Silent MovieÂ "/>
        <s v="AirliftÂ "/>
        <s v="Class of 1984Â "/>
        <s v="High School MusicalÂ "/>
        <s v="The Return of the Living DeadÂ "/>
        <s v="GrabbersÂ "/>
        <s v="The Front PageÂ "/>
        <s v="TrapezeÂ "/>
        <s v="The Great EscapeÂ "/>
        <s v="The MisfitsÂ "/>
        <s v="TopazÂ "/>
        <s v="Red StateÂ "/>
        <s v="The Velocity of GaryÂ "/>
        <s v="Another Happy DayÂ "/>
        <s v="A Lonely Place to DieÂ "/>
        <s v="The Geographer Drank His Globe AwayÂ "/>
        <s v="1776Â "/>
        <s v="Purple VioletsÂ "/>
        <s v="The VeilÂ "/>
        <s v="No VacancyÂ "/>
        <s v="How to Fall in LoveÂ "/>
        <s v="The Perfect WaveÂ "/>
        <s v="A Christmas StoryÂ "/>
        <s v="The SignalÂ "/>
        <s v="Hell's AngelsÂ "/>
        <s v="NetworkÂ "/>
        <s v="The Ballad of Cable HogueÂ "/>
        <s v="WombÂ "/>
        <s v="Midnight CowboyÂ "/>
        <s v="Day of the DeadÂ "/>
        <s v="The Man from Snowy RiverÂ "/>
        <s v="In Cold BloodÂ "/>
        <s v="The Nun's StoryÂ "/>
        <s v="HarperÂ "/>
        <s v="The BetrayedÂ "/>
        <s v="2:13Â "/>
        <s v="Batman: The Dark Knight Returns, Part 2Â "/>
        <s v="In the Name of the King: The Last JobÂ "/>
        <s v="Wicked BloodÂ "/>
        <s v="Dawn PatrolÂ "/>
        <s v="AntibirthÂ "/>
        <s v="Lords of LondonÂ "/>
        <s v="High AnxietyÂ "/>
        <s v="Day OneÂ "/>
        <s v="The Opposite SexÂ "/>
        <s v="TycoonÂ "/>
        <s v="The Man Who Shot Liberty ValanceÂ "/>
        <s v="FeastÂ "/>
        <s v="AntiviralÂ "/>
        <s v="Sur le seuilÂ "/>
        <s v="It's a Wonderful LifeÂ "/>
        <s v="Girl HouseÂ "/>
        <s v="Sabrina, the Teenage WitchÂ             "/>
        <s v="The BachelorÂ             "/>
        <s v="The AwakeningÂ "/>
        <s v="Cat on a Hot Tin RoofÂ "/>
        <s v="Beneath the Planet of the ApesÂ "/>
        <s v="The ApartmentÂ "/>
        <s v="Krush GrooveÂ "/>
        <s v="Elmer GantryÂ "/>
        <s v="Judgment at NurembergÂ "/>
        <s v="Red RiverÂ "/>
        <s v="Willy Wonka &amp; the Chocolate FactoryÂ "/>
        <s v="Days of HeavenÂ "/>
        <s v="FreewayÂ "/>
        <s v="DemonicÂ "/>
        <s v="My Big Fat Independent MovieÂ "/>
        <s v="The DeportedÂ "/>
        <s v="Open RoadÂ "/>
        <s v="30 Nights of Paranormal Activity with the Devil Inside the Girl with the Dragon TattooÂ "/>
        <s v="Never Back Down 2: The BeatdownÂ "/>
        <s v="Point BlankÂ "/>
        <s v="Four Single FathersÂ "/>
        <s v="Something WickedÂ "/>
        <s v="AWOL-72Â "/>
        <s v="IguanaÂ "/>
        <s v="Chicago OvercoatÂ "/>
        <s v="Close RangeÂ "/>
        <s v="AmnesiacÂ "/>
        <s v="UnnaturalÂ "/>
        <s v="Sardaar JiÂ "/>
        <s v="The Horror Network Vol. 1Â "/>
        <s v="Crazy StoneÂ "/>
        <s v="Pocketful of MiraclesÂ "/>
        <s v="The OmenÂ "/>
        <s v="The Black StallionÂ "/>
        <s v="Donovan's ReefÂ "/>
        <s v="The DressÂ "/>
        <s v="A Guy Named JoeÂ "/>
        <s v="Timber FallsÂ "/>
        <s v="Singin' in the RainÂ "/>
        <s v="Yours, Mine and OursÂ "/>
        <s v="The CottageÂ "/>
        <s v="Fat, Sick &amp; Nearly DeadÂ "/>
        <s v="Escape from the Planet of the ApesÂ "/>
        <s v="HudÂ "/>
        <s v="Christmas MailÂ "/>
        <s v="StungÂ "/>
        <s v="The Rise of the KraysÂ "/>
        <s v="Alien UprisingÂ "/>
        <s v="8 DaysÂ "/>
        <s v="Jack Brooks: Monster SlayerÂ "/>
        <s v="Yesterday Was a LieÂ "/>
        <s v="Always WoodstockÂ "/>
        <s v="Bathing BeautyÂ "/>
        <s v="Buffy the Vampire SlayerÂ             "/>
        <s v="Rosemary's BabyÂ "/>
        <s v="The Brave Little ToasterÂ "/>
        <s v="Show BoatÂ "/>
        <s v="Out of the BlueÂ "/>
        <s v="Impact PointÂ "/>
        <s v="The Valley of DecisionÂ "/>
        <s v="Lies in Plain SightÂ "/>
        <s v="SharkskinÂ "/>
        <s v="The TimberÂ "/>
        <s v="LolitaÂ "/>
        <s v="A Man for All SeasonsÂ "/>
        <s v="FrenzyÂ "/>
        <s v="SleeperÂ "/>
        <s v="Everything You Always Wanted to Know About Sex * But Were Afraid to AskÂ "/>
        <s v="To Kill a MockingbirdÂ "/>
        <s v="The HustlerÂ "/>
        <s v="Gentleman's AgreementÂ "/>
        <s v="Alexander's Ragtime BandÂ "/>
        <s v="Return of the Living Dead IIIÂ "/>
        <s v="Freeze FrameÂ "/>
        <s v="Nine DeadÂ "/>
        <s v="To Be Frank, Sinatra at 100Â "/>
        <s v="BananasÂ "/>
        <s v="RockawayÂ "/>
        <s v="No Man's Land: The Rise of ReekerÂ "/>
        <s v="Small ApartmentsÂ "/>
        <s v="Coffee TownÂ "/>
        <s v="Straight A'sÂ "/>
        <s v="A Funny Thing Happened on the Way to the ForumÂ "/>
        <s v="Slacker UprisingÂ "/>
        <s v="The Legend of Hell's Gate: An American ConspiracyÂ "/>
        <s v="The Curse of Downers GroveÂ "/>
        <s v="Shark LakeÂ "/>
        <s v="Against the WildÂ "/>
        <s v="Growing Up SmithÂ "/>
        <s v="Wind WalkersÂ "/>
        <s v="The Dog LoverÂ "/>
        <s v="The Marine 4: Moving TargetÂ "/>
        <s v="The French ConnectionÂ "/>
        <s v="A Streetcar Named DesireÂ "/>
        <s v="Dr. Strangelove or: How I Learned to Stop Worrying and Love the BombÂ "/>
        <s v="Battle for the Planet of the ApesÂ "/>
        <s v="Ed and His Dead MotherÂ "/>
        <s v="Hang 'Em HighÂ "/>
        <s v="SublimeÂ "/>
        <s v="Independence DaysasterÂ "/>
        <s v="Dysfunctional FriendsÂ "/>
        <s v="ClosureÂ "/>
        <s v="Living Dark: The Story of Ted the CaverÂ "/>
        <s v="Def-Con 4Â "/>
        <s v="Conquest of the Planet of the ApesÂ "/>
        <s v="SpellboundÂ "/>
        <s v="From Here to EternityÂ "/>
        <s v="You Can't Take It with YouÂ "/>
        <s v="Boom TownÂ "/>
        <s v="She Wore a Yellow RibbonÂ "/>
        <s v="The ConversationÂ "/>
        <s v="Miami ViceÂ             "/>
        <s v="The Tooth FairyÂ "/>
        <s v="[Rec]Â "/>
        <s v="The SquareÂ "/>
        <s v="Mr. Smith Goes to WashingtonÂ "/>
        <s v="Repo ManÂ "/>
        <s v="UnsulliedÂ "/>
        <s v="HatchetÂ "/>
        <s v="Forty Shades of BlueÂ "/>
        <s v="Me You and Five BucksÂ "/>
        <s v="Wal-Mart: The High Cost of Low PriceÂ "/>
        <s v="Fetching CodyÂ "/>
        <s v="Once Upon a Time in QueensÂ "/>
        <s v="Mutant WorldÂ "/>
        <s v="CheckmateÂ "/>
        <s v="#HorrorÂ "/>
        <s v="QÂ "/>
        <s v="ShalakoÂ "/>
        <s v="Da Sweet Blood of JesusÂ "/>
        <s v="Stargate SG-1Â             "/>
        <s v="House at the End of the DriveÂ "/>
        <s v="Queen of the MountainsÂ "/>
        <s v="Lake MungoÂ "/>
        <s v="Batman: The MovieÂ "/>
        <s v="The 41-Year-Old Virgin Who Knocked Up Sarah Marshall and Felt Superbad About ItÂ "/>
        <s v="Forget Me NotÂ "/>
        <s v="The AlgerianÂ "/>
        <s v="Taxi DriverÂ "/>
        <s v="RebeccaÂ "/>
        <s v="The Walking DeceasedÂ "/>
        <s v="The Ballad of Gregorio CortezÂ "/>
        <s v="The Lost WeekendÂ "/>
        <s v="C.H.U.D.Â "/>
        <s v="NiagaraÂ "/>
        <s v="How Green Was My ValleyÂ "/>
        <s v="Chicken Tikka MasalaÂ "/>
        <s v="The Trouble with HarryÂ "/>
        <s v="The Charge of the Light BrigadeÂ "/>
        <s v="Below ZeroÂ "/>
        <s v="CrowsnestÂ "/>
        <s v="Cotton Comes to HarlemÂ "/>
        <s v="The Wicked WithinÂ "/>
        <s v="Bleeding HeartsÂ "/>
        <s v="The Dead UndeadÂ "/>
        <s v="The Vatican ExorcismsÂ "/>
        <s v="The SleepwalkerÂ "/>
        <s v="DepartureÂ "/>
        <s v="SolarisÂ "/>
        <s v="SharknadoÂ "/>
        <s v="TaxmanÂ "/>
        <s v="Silent RunningÂ "/>
        <s v="Tom JonesÂ "/>
        <s v="Love Me TenderÂ "/>
        <s v="Sands of Iwo JimaÂ "/>
        <s v="Bubba Ho-TepÂ "/>
        <s v="Speedway JunkyÂ "/>
        <s v="16 to LifeÂ "/>
        <s v="The Helix... LoadedÂ "/>
        <s v="HeliÂ "/>
        <s v="Karachi se LahoreÂ "/>
        <s v="Loving AnnabelleÂ "/>
        <s v="HitsÂ "/>
        <s v="Jimmy and JudyÂ "/>
        <s v="Frat PartyÂ "/>
        <s v="ProudÂ "/>
        <s v="ChildlessÂ "/>
        <s v="Snow White: A Deadly SummerÂ "/>
        <s v="My Last Day Without YouÂ "/>
        <s v="Steppin: The MovieÂ "/>
        <s v="Doc Holliday's RevengeÂ "/>
        <s v="Truth or DieÂ "/>
        <s v="The PetÂ "/>
        <s v="Bang Bang BabyÂ "/>
        <s v="Fear ClinicÂ "/>
        <s v="Zombie HunterÂ "/>
        <s v="A Fine StepÂ "/>
        <s v="1982Â "/>
        <s v="The Sisterhood of NightÂ "/>
        <s v="American HeroÂ "/>
        <s v="And Then Came LoveÂ "/>
        <s v="CasablancaÂ "/>
        <s v="Banshee ChapterÂ "/>
        <s v="Ask Me AnythingÂ "/>
        <s v="Food ChainsÂ "/>
        <s v="ElzaÂ "/>
        <s v="Show MeÂ "/>
        <s v="Harrison MontgomeryÂ "/>
        <s v="A Farewell to ArmsÂ "/>
        <s v="Enter the Dangerous MindÂ "/>
        <s v="Live-In MaidÂ "/>
        <s v="The Mudge BoyÂ "/>
        <s v="Iraq for Sale: The War ProfiteersÂ "/>
        <s v="The ConformistÂ "/>
        <s v="All the Boys Love Mandy LaneÂ "/>
        <s v="BledÂ "/>
        <s v="High NoonÂ "/>
        <s v="AdulterersÂ "/>
        <s v="Crop Circles: Quest for TruthÂ "/>
        <s v="WalterÂ "/>
        <s v="The Hadza: Last of the FirstÂ "/>
        <s v="AfterÂ "/>
        <s v="The Kentucky Fried MovieÂ "/>
        <s v="My Beautiful LaundretteÂ "/>
        <s v="TreacheryÂ "/>
        <s v="Light from the DarkroomÂ "/>
        <s v="The Maid's RoomÂ "/>
        <s v="Love LettersÂ "/>
        <s v="Faith ConnectionsÂ "/>
        <s v="ZMD: Zombies of Mass DestructionÂ "/>
        <s v="London to BrightonÂ "/>
        <s v="Julija in alfa RomeoÂ "/>
        <s v="Johnny SuedeÂ "/>
        <s v="Scott Walker: 30 Century ManÂ "/>
        <s v="Insomnia ManicaÂ "/>
        <s v="The Outrageous Sophie TuckerÂ "/>
        <s v="Girls Gone DeadÂ "/>
        <s v="Enter NowhereÂ "/>
        <s v="The King of NajayoÂ "/>
        <s v="Alleluia! The Devil's CarnivalÂ "/>
        <s v="Rodeo GirlÂ "/>
        <s v="The Little Ponderosa ZooÂ "/>
        <s v="Diamond RuffÂ "/>
        <s v="Love in the Time of MonstersÂ "/>
        <s v="The Dark HoursÂ "/>
        <s v="BizarreÂ "/>
        <s v="The Toxic AvengerÂ "/>
        <s v="Mutual FriendsÂ "/>
        <s v="Rise of the Entrepreneur: The Search for a Better WayÂ "/>
        <s v="StarsuckersÂ "/>
        <s v="They Will Have to Kill Us FirstÂ "/>
        <s v="Cries &amp; WhispersÂ "/>
        <s v="Intolerance: Love's Struggle Throughout the AgesÂ "/>
        <s v="The Evil DeadÂ "/>
        <s v="Alien ZoneÂ "/>
        <s v="HouseboundÂ "/>
        <s v="Rotor DR1Â "/>
        <s v="12 Angry MenÂ "/>
        <s v="Royal KillÂ "/>
        <s v="It Happened One NightÂ "/>
        <s v="3 BackyardsÂ "/>
        <s v="Pierrot le FouÂ "/>
        <s v="Death Race 2000Â "/>
        <s v="Anderson's CrossÂ "/>
        <s v="Some Guy Who Kills PeopleÂ "/>
        <s v="Amidst the Devil's WingsÂ "/>
        <s v="Teeth and BloodÂ "/>
        <s v="Death CallsÂ "/>
        <s v="Graduation DayÂ "/>
        <s v="RustÂ "/>
        <s v="The Christmas BunnyÂ "/>
        <s v="UnDividedÂ "/>
        <s v="The FrozenÂ "/>
        <s v="Horse CampÂ "/>
        <s v="Give Me ShelterÂ "/>
        <s v="Along the RoadsideÂ "/>
        <s v="Western ReligionÂ "/>
        <s v="Shooting the WarwicksÂ "/>
        <s v="The Big ParadeÂ "/>
        <s v="Little Big TopÂ "/>
        <s v="Mad MaxÂ "/>
        <s v="She Done Him WrongÂ "/>
        <s v="MalevolenceÂ "/>
        <s v="The Man from EarthÂ "/>
        <s v="An American Girl HolidayÂ "/>
        <s v="Theresa Is a MotherÂ "/>
        <s v="Archaeology of a WomanÂ "/>
        <s v="Perfect CowboyÂ "/>
        <s v="Sanctuary; Quite a ConundrumÂ "/>
        <s v="Butterfly GirlÂ "/>
        <s v="The World Is MineÂ "/>
        <s v="Fight to the FinishÂ "/>
        <s v="The Case of the Grinning CatÂ "/>
        <s v="A Charlie Brown ChristmasÂ "/>
        <s v="ArousedÂ "/>
        <s v="An American in HollywoodÂ "/>
        <s v="The Brain That SingsÂ "/>
        <s v="Romantic SchemerÂ "/>
        <s v="The Blood of My BrotherÂ "/>
        <s v="A Dog's BreakfastÂ "/>
        <s v="Une Femme MariÃ©eÂ "/>
        <s v="Night of the Living DeadÂ "/>
        <s v="The Work and the StoryÂ "/>
        <s v="Grave EncountersÂ "/>
        <s v="Windsor DriveÂ "/>
        <s v="Everything Put TogetherÂ "/>
        <s v="The StewardessesÂ "/>
        <s v="PenitentiaryÂ "/>
        <s v="Indie Game: The MovieÂ "/>
        <s v="Echo Dr.Â "/>
        <s v="The Past is a Grotesque AnimalÂ "/>
        <s v="Tiger OrangeÂ "/>
        <s v="Queen CrabÂ "/>
        <s v="Dawn of the Crescent MoonÂ "/>
        <s v="Peace, Propaganda &amp; the Promised LandÂ "/>
        <s v="AbsentiaÂ "/>
        <s v="The Brain That Wouldn't DieÂ "/>
        <s v="HayrideÂ "/>
        <s v="Her Cry: La Llorona InvestigationÂ "/>
        <s v="CountingÂ "/>
        <s v="The Call of CthulhuÂ "/>
        <s v="Bending SteelÂ "/>
        <s v="The Image RevolutionÂ "/>
        <s v="Run, Hide, DieÂ "/>
        <s v="A True StoryÂ "/>
        <s v="This Is Martin BonnerÂ "/>
        <s v="Raymond Did ItÂ "/>
        <s v="Dutch KillsÂ "/>
        <s v="ManitoÂ "/>
        <s v="Dry SpellÂ "/>
        <s v="EraserheadÂ "/>
        <s v="Dude, Where's My Dog?!Â "/>
        <s v="FlywheelÂ "/>
        <s v="All Superheroes Must DieÂ "/>
        <s v="The RidgesÂ "/>
        <s v="Stories of Our LivesÂ "/>
        <s v="The TouchÂ "/>
        <s v="Tin Can ManÂ "/>
        <s v="The Mongol KingÂ "/>
        <s v="A Plague So PleasantÂ "/>
        <s v="Just Like HeavenÂ "/>
        <s v="The GameÂ "/>
        <s v="The House BunnyÂ "/>
        <s v="Malcolm XÂ "/>
        <s v="G.I. JaneÂ "/>
        <s v="Fat AlbertÂ "/>
        <s v="The Land Before TimeÂ "/>
        <s v="SinisterÂ "/>
        <s v="Kick-AssÂ "/>
        <s v="Nim's IslandÂ "/>
        <s v="The Jungle Book 2Â "/>
        <s v="When a Stranger CallsÂ "/>
        <s v="PremonitionÂ "/>
        <s v="Big Fat LiarÂ "/>
        <s v="The Skeleton KeyÂ "/>
        <s v="Secret WindowÂ "/>
        <s v="Alien: ResurrectionÂ "/>
        <s v="The RundownÂ "/>
        <s v="Into the StormÂ "/>
        <s v="PreciousÂ "/>
        <s v="VolcanoÂ "/>
        <s v="The KingdomÂ "/>
        <s v="MunichÂ "/>
        <s v="SavagesÂ "/>
        <s v="Agent Cody BanksÂ "/>
        <s v="HostelÂ "/>
        <s v="Nanny McPheeÂ "/>
        <s v="The JudgeÂ "/>
        <s v="Kate &amp; LeopoldÂ "/>
        <s v="Jersey BoysÂ "/>
        <s v="KillersÂ "/>
        <s v="HalloweenÂ "/>
        <s v="Silent HillÂ "/>
        <s v="ShooterÂ "/>
        <s v="SicarioÂ "/>
        <s v="GoodfellasÂ "/>
        <s v="The River WildÂ "/>
        <s v="How to Be SingleÂ "/>
        <s v="The Spy Who Loved MeÂ "/>
        <s v="Dude, Where's My Car?Â "/>
        <s v="FirefoxÂ "/>
        <s v="Practical MagicÂ "/>
        <s v="Phone BoothÂ "/>
        <s v="Final Destination 2Â "/>
        <s v="The Best Exotic Marigold HotelÂ "/>
        <s v="BoogeymanÂ "/>
        <s v="Romeo + JulietÂ "/>
        <s v="It's a Mad, Mad, Mad, Mad WorldÂ "/>
        <s v="BlendedÂ "/>
        <s v="Made of HonorÂ "/>
        <s v="Gangster SquadÂ "/>
        <s v="Walking TallÂ "/>
        <s v="The Full MontyÂ "/>
        <s v="The RainmakerÂ "/>
        <s v="Underworld: Rise of the LycansÂ "/>
        <s v="Saw 3D: The Final ChapterÂ "/>
        <s v="Black RainÂ "/>
        <s v="The Tigger MovieÂ "/>
        <s v="Moonrise KingdomÂ "/>
        <s v="O Brother, Where Art Thou?Â "/>
        <s v="Medicine ManÂ "/>
        <s v="In Good CompanyÂ "/>
        <s v="The Man from U.N.C.L.E.Â "/>
        <s v="The Legend of ZorroÂ "/>
        <s v="Here Comes the BoomÂ "/>
        <s v="Domestic DisturbanceÂ "/>
        <s v="ZoolanderÂ "/>
        <s v="The GiverÂ "/>
        <s v="28 Days Later...Â "/>
        <s v="Hall PassÂ "/>
        <s v="SpotlightÂ "/>
        <s v="FrequencyÂ "/>
        <s v="Cop LandÂ "/>
        <s v="Cop OutÂ "/>
        <s v="The JurorÂ "/>
        <s v="A Nightmare on Elm Street 3: Dream WarriorsÂ "/>
        <s v="The ReplacementsÂ "/>
        <s v="Young GunsÂ "/>
        <s v="ScarfaceÂ "/>
        <s v="The ArtistÂ "/>
        <s v="The InternshipÂ "/>
        <s v="Meet Joe BlackÂ "/>
        <s v="Lost in TranslationÂ "/>
        <s v="Napoleon DynamiteÂ "/>
        <s v="The NegotiatorÂ "/>
        <s v="McFarland, USAÂ "/>
        <s v="Instructions Not IncludedÂ "/>
        <s v="Nothing to LoseÂ "/>
        <s v="TimecopÂ "/>
        <s v="The Three StoogesÂ "/>
        <s v="AmistadÂ "/>
        <s v="St. VincentÂ "/>
        <s v="The Sisterhood of the Traveling Pants 2Â "/>
        <s v="The Last EmperorÂ "/>
        <s v="The Lovely BonesÂ "/>
        <s v="The OneÂ "/>
        <s v="Must Love DogsÂ "/>
        <s v="Soul SurferÂ "/>
        <s v="Wall StreetÂ "/>
        <s v="Prom NightÂ "/>
        <s v="Diamonds Are ForeverÂ "/>
        <s v="License to WedÂ "/>
        <s v="The GiftÂ "/>
        <s v="West Side StoryÂ "/>
        <s v="Under the Tuscan SunÂ "/>
        <s v="Cats &amp; Dogs: The Revenge of Kitty GaloreÂ "/>
        <s v="Need for SpeedÂ "/>
        <s v="We Are MarshallÂ "/>
        <s v="Soul FoodÂ "/>
        <s v="Tears of the SunÂ "/>
        <s v="Year OneÂ "/>
        <s v="Edge of DarknessÂ "/>
        <s v="EverestÂ "/>
        <s v="Star Trek: NemesisÂ "/>
        <s v="You Only Live TwiceÂ "/>
        <s v="No ReservationsÂ "/>
        <s v="Transporter 2Â "/>
        <s v="Reign of FireÂ "/>
        <s v="Wag the DogÂ "/>
        <s v="SnitchÂ "/>
        <s v="The Devil's OwnÂ "/>
        <s v="Sense and SensibilityÂ "/>
        <s v="The Lizzie McGuire MovieÂ "/>
        <s v="Teenage Mutant Ninja Turtles IIIÂ "/>
        <s v="MaxÂ "/>
        <s v="Glory RoadÂ "/>
        <s v="Because I Said SoÂ "/>
        <s v="The UnbornÂ "/>
        <s v="A Million Ways to Die in the WestÂ "/>
        <s v="Beverly Hills Cop IIIÂ "/>
        <s v="KrampusÂ "/>
        <s v="Final Destination 5Â "/>
        <s v="The Age of AdalineÂ "/>
        <s v="CasinoÂ "/>
        <s v="Step Up 3DÂ "/>
        <s v="Time BanditsÂ "/>
        <s v="Resident Evil: RetributionÂ "/>
        <s v="Birdman or (The Unexpected Virtue of Ignorance)Â "/>
        <s v="Lady in the WaterÂ "/>
        <s v="Planet 51Â "/>
        <s v="Welcome Home, Roscoe JenkinsÂ "/>
        <s v="Fever PitchÂ "/>
        <s v="Drag Me to HellÂ "/>
        <s v="SpanglishÂ "/>
        <s v="The Cabin in the WoodsÂ "/>
        <s v="Dolphin Tale 2Â "/>
        <s v="RiddickÂ "/>
        <s v="Donnie BrascoÂ "/>
        <s v="The Fisher KingÂ "/>
        <s v="Thir13en GhostsÂ "/>
        <s v="Exorcist: The BeginningÂ "/>
        <s v="Aliens vs. Predator: RequiemÂ "/>
        <s v="The Hills Have EyesÂ "/>
        <s v="RoninÂ "/>
        <s v="The HoursÂ "/>
        <s v="OrphanÂ "/>
        <s v="High CrimesÂ "/>
        <s v="BanditsÂ "/>
        <s v="Gremlins 2: The New BatchÂ "/>
        <s v="Secondhand LionsÂ "/>
        <s v="Pale RiderÂ "/>
        <s v="Peggy Sue Got MarriedÂ "/>
        <s v="Gosford ParkÂ "/>
        <s v="The PeacemakerÂ "/>
        <s v="The Mirror Has Two FacesÂ "/>
        <s v="A Walk to RememberÂ "/>
        <s v="What to Expect When You're ExpectingÂ "/>
        <s v="Money TalksÂ "/>
        <s v="Money MonsterÂ "/>
        <s v="The Last ExorcismÂ "/>
        <s v="End of WatchÂ "/>
        <s v="The Ides of MarchÂ "/>
        <s v="The SiegeÂ "/>
        <s v="Out of TimeÂ "/>
        <s v="House on Haunted HillÂ "/>
        <s v="Max PayneÂ "/>
        <s v="About a BoyÂ "/>
        <s v="DuplicityÂ "/>
        <s v="Bill &amp; Ted's Excellent AdventureÂ "/>
        <s v="The Master of DisguiseÂ "/>
        <s v="HeartbreakersÂ "/>
        <s v="I Am SamÂ "/>
        <s v="HannaÂ "/>
        <s v="HardballÂ "/>
        <s v="There Will Be BloodÂ "/>
        <s v="Bridget Jones: The Edge of ReasonÂ "/>
        <s v="LegionÂ "/>
        <s v="The PianoÂ "/>
        <s v="Stranger Than FictionÂ "/>
        <s v="Blue CrushÂ "/>
        <s v="Righteous KillÂ "/>
        <s v="You Got ServedÂ "/>
        <s v="The FacultyÂ "/>
        <s v="Collateral DamageÂ "/>
        <s v="A Haunted HouseÂ "/>
        <s v="I Still Know What You Did Last SummerÂ "/>
        <s v="The Wild Thornberrys MovieÂ "/>
        <s v="The IllusionistÂ "/>
        <s v="CaddyshackÂ "/>
        <s v="The BeachÂ "/>
        <s v="Epic MovieÂ "/>
        <s v="The LadykillersÂ "/>
        <s v="HitmanÂ "/>
        <s v="Jackie BrownÂ "/>
        <s v="30 Days of NightÂ "/>
        <s v="BenjiÂ "/>
        <s v="Resident EvilÂ "/>
        <s v="Hocus PocusÂ "/>
        <s v="The Texas Chainsaw Massacre: The BeginningÂ "/>
        <s v="Crazy HeartÂ "/>
        <s v="Little NickyÂ "/>
        <s v="BurlesqueÂ "/>
        <s v="Rugrats Go WildÂ "/>
        <s v="Body of LiesÂ "/>
        <s v="The Expendables 3Â "/>
        <s v="Lakeview TerraceÂ "/>
        <s v="Anna and the KingÂ "/>
        <s v="Pitch BlackÂ "/>
        <s v="Annie HallÂ "/>
        <s v="The Adventures of Sharkboy and Lavagirl 3-DÂ "/>
        <s v="EnoughÂ "/>
        <s v="The Grudge 2Â "/>
        <s v="The CraziesÂ "/>
        <s v="What's Love Got to Do with ItÂ "/>
        <s v="Something BorrowedÂ "/>
        <s v="Dead Man WalkingÂ "/>
        <s v="The Sisterhood of the Traveling PantsÂ "/>
        <s v="Primary ColorsÂ "/>
        <s v="Earth to EchoÂ "/>
        <s v="Little Shop of HorrorsÂ "/>
        <s v="Happy GilmoreÂ "/>
        <s v="On Deadly GroundÂ "/>
        <s v="The Ghost and the DarknessÂ "/>
        <s v="Sex TapeÂ "/>
        <s v="SurrogatesÂ "/>
        <s v="Spy Kids: All the Time in the World in 4DÂ "/>
        <s v="Rock of AgesÂ "/>
        <s v="Gridiron GangÂ "/>
        <s v="Midnight RunÂ "/>
        <s v="The TerminatorÂ "/>
        <s v="Pride &amp; PrejudiceÂ "/>
        <s v="Last HolidayÂ "/>
        <s v="StardustÂ "/>
        <s v="BrooklynÂ "/>
        <s v="Meet the SpartansÂ "/>
        <s v="Undercover BrotherÂ "/>
        <s v="Cruel IntentionsÂ "/>
        <s v="Scream 4Â "/>
        <s v="10 Things I Hate About YouÂ "/>
        <s v="The Original Kings of ComedyÂ "/>
        <s v="The Running ManÂ "/>
        <s v="SpaceballsÂ "/>
        <s v="Ninja AssassinÂ "/>
        <s v="RiÂ¢hie RiÂ¢hÂ "/>
        <s v="Harold &amp; Kumar Escape from Guantanamo BayÂ "/>
        <s v="Urban LegendÂ "/>
        <s v="Bill &amp; Ted's Bogus JourneyÂ "/>
        <s v="40 Days and 40 NightsÂ "/>
        <s v="Big Mommas: Like Father, Like SonÂ "/>
        <s v="Seven Years in TibetÂ "/>
        <s v="The Brothers GrimmÂ "/>
        <s v="Not Another Teen MovieÂ "/>
        <s v="BedazzledÂ "/>
        <s v="WildÂ "/>
        <s v="Head of StateÂ "/>
        <s v="The Secret Life of BeesÂ "/>
        <s v="Sky Captain and the World of TomorrowÂ "/>
        <s v="Mars Attacks!Â "/>
        <s v="Autumn in New YorkÂ "/>
        <s v="August: Osage CountyÂ "/>
        <s v="For Colored GirlsÂ "/>
        <s v="PhilomenaÂ "/>
        <s v="How Stella Got Her Groove BackÂ "/>
        <s v="Red Riding HoodÂ "/>
        <s v="Pan's LabyrinthÂ "/>
        <s v="The Nativity StoryÂ "/>
        <s v="First KnightÂ "/>
        <s v="Conan the BarbarianÂ "/>
        <s v="Good Boy!Â "/>
        <s v="In TimeÂ "/>
        <s v="Abraham Lincoln: Vampire HunterÂ "/>
        <s v="Raising HelenÂ "/>
        <s v="The Back-up PlanÂ "/>
        <s v="InvictusÂ "/>
        <s v="Jeepers CreepersÂ "/>
        <s v="Man of the YearÂ "/>
        <s v="The Longest RideÂ "/>
        <s v="PaulÂ "/>
        <s v="Out of SightÂ "/>
        <s v="J. EdgarÂ "/>
        <s v="The RoommateÂ "/>
        <s v="Jumping the BroomÂ "/>
        <s v="CrossroadsÂ "/>
        <s v="The Guilt TripÂ "/>
        <s v="30 Minutes or LessÂ "/>
        <s v="Keeping the FaithÂ "/>
        <s v="The Change-UpÂ "/>
        <s v="28 DaysÂ "/>
        <s v="Fight ClubÂ "/>
        <s v="ClockstoppersÂ "/>
        <s v="SphereÂ "/>
        <s v="State of PlayÂ "/>
        <s v="That's My BoyÂ "/>
        <s v="16 BlocksÂ "/>
        <s v="RisenÂ "/>
        <s v="Kiss of the DragonÂ "/>
        <s v="My Favorite MartianÂ "/>
        <s v="AliveÂ "/>
        <s v="Recess: School's OutÂ "/>
        <s v="ColombianaÂ "/>
        <s v="Vampires SuckÂ "/>
        <s v="Freedom WritersÂ "/>
        <s v="Escape from AlcatrazÂ "/>
        <s v="Million Dollar ArmÂ "/>
        <s v="The Thin Red LineÂ "/>
        <s v="Sucker PunchÂ "/>
        <s v="Beauty ShopÂ "/>
        <s v="8MMÂ "/>
        <s v="The SentinelÂ "/>
        <s v="Mad Max Beyond ThunderdomeÂ "/>
        <s v="Friday the 13th Part IIIÂ "/>
        <s v="Walking with Dinosaurs 3DÂ "/>
        <s v="Death RaceÂ "/>
        <s v="Set It OffÂ "/>
        <s v="Hanging UpÂ "/>
        <s v="DerailedÂ "/>
        <s v="The RobeÂ "/>
        <s v="The Greatest Show on EarthÂ "/>
        <s v="What a Girl WantsÂ "/>
        <s v="Mortal Kombat: AnnihilationÂ "/>
        <s v="In the BedroomÂ "/>
        <s v="The Theory of EverythingÂ "/>
        <s v="ShineÂ "/>
        <s v="The BoyÂ "/>
        <s v="Trouble with the CurveÂ "/>
        <s v="ChangelingÂ "/>
        <s v="Smokin' AcesÂ "/>
        <s v="The Indian in the CupboardÂ "/>
        <s v="The AmericanÂ "/>
        <s v="Larry CrowneÂ "/>
        <s v="Dirty GrandpaÂ "/>
        <s v="SelenaÂ "/>
        <s v="Live and Let DieÂ "/>
        <s v="The Boy Next DoorÂ "/>
        <s v="Money TrainÂ "/>
        <s v="FrankenweenieÂ "/>
        <s v="Children of MenÂ "/>
        <s v="CarrieÂ "/>
        <s v="The Flintstones in Viva Rock VegasÂ "/>
        <s v="The Mothman PropheciesÂ "/>
        <s v="The DoorsÂ "/>
        <s v="For Love of the GameÂ "/>
        <s v="Jeepers Creepers IIÂ "/>
        <s v="Intolerable CrueltyÂ "/>
        <s v="Deck the HallsÂ "/>
        <s v="The Number 23Â "/>
        <s v="Step Up RevolutionÂ "/>
        <s v="DriveÂ "/>
        <s v="A Very Harold &amp; Kumar 3D ChristmasÂ "/>
        <s v="Good DeedsÂ "/>
        <s v="The SkullsÂ "/>
        <s v="Good Luck ChuckÂ "/>
        <s v="50/50Â "/>
        <s v="The 5th WaveÂ "/>
        <s v="Freddy's Dead: The Final NightmareÂ "/>
        <s v="White FangÂ "/>
        <s v="A Thin Line Between Love and HateÂ "/>
        <s v="Take the LeadÂ "/>
        <s v="Dangerous LiaisonsÂ "/>
        <s v="Licence to KillÂ "/>
        <s v="HostageÂ "/>
        <s v="Cradle 2 the GraveÂ "/>
        <s v="Man on the MoonÂ "/>
        <s v="Thirteen DaysÂ "/>
        <s v="The 6th DayÂ "/>
        <s v="ConcussionÂ "/>
        <s v="CourageousÂ "/>
        <s v="Hot PursuitÂ "/>
        <s v="MonsterÂ "/>
        <s v="The WatchÂ "/>
        <s v="Texas Chainsaw 3DÂ "/>
        <s v="Malibu's Most WantedÂ "/>
        <s v="BabelÂ "/>
        <s v="This Is Where I Leave YouÂ "/>
        <s v="The HuntedÂ "/>
        <s v="The ReaderÂ "/>
        <s v="Eternal Sunshine of the Spotless MindÂ "/>
        <s v="My Dog SkipÂ "/>
        <s v="InstinctÂ "/>
        <s v="The Best ManÂ "/>
        <s v="The DUFFÂ "/>
        <s v="Snakes on a PlaneÂ "/>
        <s v="CloserÂ "/>
        <s v="The RelicÂ "/>
        <s v="Mickey Blue EyesÂ "/>
        <s v="All About SteveÂ "/>
        <s v="Stuck on YouÂ "/>
        <s v="Where the Heart IsÂ "/>
        <s v="She's the ManÂ "/>
        <s v="DreamcatcherÂ "/>
        <s v="The PunisherÂ "/>
        <s v="MarmadukeÂ "/>
        <s v="The GamblerÂ "/>
        <s v="DevilÂ "/>
        <s v="Flags of Our FathersÂ "/>
        <s v="The Constant GardenerÂ "/>
        <s v="Pay It ForwardÂ "/>
        <s v="Semi-ProÂ "/>
        <s v="FireproofÂ "/>
        <s v="Street FighterÂ "/>
        <s v="Black KnightÂ "/>
        <s v="DoubtÂ "/>
        <s v="Blue JasmineÂ "/>
        <s v="Halloween IIÂ "/>
        <s v="See Spot RunÂ "/>
        <s v="2016: Obama's AmericaÂ "/>
        <s v="The Long Kiss GoodnightÂ "/>
        <s v="The Informant!Â "/>
        <s v="Woman in GoldÂ "/>
        <s v="Child's PlayÂ "/>
        <s v="AmÃ©lieÂ "/>
        <s v="SilveradoÂ "/>
        <s v="I SpyÂ "/>
        <s v="The Second Best Exotic Marigold HotelÂ "/>
        <s v="ZodiacÂ "/>
        <s v="The RiteÂ "/>
        <s v="Dracula 2000Â "/>
        <s v="The Last DragonÂ "/>
        <s v="Friday After NextÂ "/>
        <s v="Mercury RisingÂ "/>
        <s v="DaylightÂ "/>
        <s v="Drillbit TaylorÂ "/>
        <s v="StripteaseÂ "/>
        <s v="Team America: World PoliceÂ "/>
        <s v="HereafterÂ "/>
        <s v="The Last House on the LeftÂ "/>
        <s v="Dreamer: Inspired by a True StoryÂ "/>
        <s v="The 13th WarriorÂ "/>
        <s v="Return to MeÂ "/>
        <s v="Because of Winn-DixieÂ "/>
        <s v="DrivenÂ "/>
        <s v="Friday the 13th: The Final ChapterÂ "/>
        <s v="Proof of LifeÂ "/>
        <s v="Mr. Bean's HolidayÂ "/>
        <s v="Bend It Like BeckhamÂ "/>
        <s v="Almost FamousÂ "/>
        <s v="The PianistÂ "/>
        <s v="Paranormal Activity: The Marked OnesÂ "/>
        <s v="The Men Who Stare at GoatsÂ "/>
        <s v="500 Days of SummerÂ "/>
        <s v="Bride of ChuckyÂ "/>
        <s v="Love &amp; Other DrugsÂ "/>
        <s v="Rumble in the BronxÂ "/>
        <s v="NightcrawlerÂ "/>
        <s v="Kevin Hart: Let Me ExplainÂ "/>
        <s v="The Lost BoysÂ "/>
        <s v="The Love GuruÂ "/>
        <s v="Side EffectsÂ "/>
        <s v="Darkness FallsÂ "/>
        <s v="Analyze ThatÂ "/>
        <s v="The Lawnmower ManÂ "/>
        <s v="What's the Worst That Could Happen?Â "/>
        <s v="The ShadowÂ "/>
        <s v="CopycatÂ "/>
        <s v="House of WaxÂ "/>
        <s v="Scary Movie 5Â "/>
        <s v="CellularÂ "/>
        <s v="The Age of InnocenceÂ "/>
        <s v="PsychoÂ "/>
        <s v="Paper TownsÂ "/>
        <s v="Definitely, MaybeÂ "/>
        <s v="Leaving Las VegasÂ "/>
        <s v="Dressed to KillÂ "/>
        <s v="Murder by NumbersÂ "/>
        <s v="MilkÂ "/>
        <s v="Extremely Loud &amp; Incredibly CloseÂ "/>
        <s v="Lake PlacidÂ "/>
        <s v="9Â "/>
        <s v="QuarantineÂ "/>
        <s v="The SoloistÂ "/>
        <s v="August RushÂ "/>
        <s v="House at the End of the StreetÂ "/>
        <s v="Rob RoyÂ "/>
        <s v="From HellÂ "/>
        <s v="One Hour PhotoÂ "/>
        <s v="The Wedding DateÂ "/>
        <s v="She's Out of My LeagueÂ "/>
        <s v="ChappieÂ "/>
        <s v="UnfriendedÂ "/>
        <s v="Anacondas: The Hunt for the Blood OrchidÂ "/>
        <s v="Good Night, and Good Luck.Â "/>
        <s v="Scott Pilgrim vs. the WorldÂ "/>
        <s v="A History of ViolenceÂ "/>
        <s v="Nick and Norah's Infinite PlaylistÂ "/>
        <s v="United 93Â "/>
        <s v="Zack and Miri Make a PornoÂ "/>
        <s v="The EyeÂ "/>
        <s v="Monster's BallÂ "/>
        <s v="LeatherheadsÂ "/>
        <s v="Johnson Family VacationÂ "/>
        <s v="The Mortal Instruments: City of BonesÂ "/>
        <s v="How HighÂ "/>
        <s v="The DebtÂ "/>
        <s v="Charlie St. CloudÂ "/>
        <s v="The CoreÂ "/>
        <s v="Random HeartsÂ "/>
        <s v="The Pirates! Band of MisfitsÂ "/>
        <s v="Morning GloryÂ "/>
        <s v="Get Rich or Die Tryin'Â "/>
        <s v="Joyful NoiseÂ "/>
        <s v="The Texas Chain Saw MassacreÂ "/>
        <s v="The Princess BrideÂ "/>
        <s v="The Legend of Bagger VanceÂ "/>
        <s v="MirrorsÂ "/>
        <s v="3 Days to KillÂ "/>
        <s v="Predator 2Â "/>
        <s v="Delivery ManÂ "/>
        <s v="DogmaÂ "/>
        <s v="SuperstarÂ "/>
        <s v="The SitterÂ "/>
        <s v="Deliver Us from EvilÂ "/>
        <s v="Get on UpÂ "/>
        <s v="Open WaterÂ "/>
        <s v="Sgt. BilkoÂ "/>
        <s v="YentlÂ "/>
        <s v="A Night at the RoxburyÂ "/>
        <s v="Queen of the DamnedÂ "/>
        <s v="The Banger SistersÂ "/>
        <s v="AssassinsÂ "/>
        <s v="Halloween: ResurrectionÂ "/>
        <s v="The Great DebatersÂ "/>
        <s v="HoneyÂ "/>
        <s v="The Art of WarÂ "/>
        <s v="Bad CompanyÂ "/>
        <s v="When the Game Stands TallÂ "/>
        <s v="Space ChimpsÂ "/>
        <s v="Double ImpactÂ "/>
        <s v="SnatchÂ "/>
        <s v="Ghost ShipÂ "/>
        <s v="DragonflyÂ "/>
        <s v="Jay and Silent Bob Strike BackÂ "/>
        <s v="Road HouseÂ "/>
        <s v="The Bank JobÂ "/>
        <s v="Hollywood HomicideÂ "/>
        <s v="ElizabethÂ "/>
        <s v="A Nightmare on Elm Street 2: Freddy's RevengeÂ "/>
        <s v="Hail, Caesar!Â "/>
        <s v="DaybreakersÂ "/>
        <s v="The Iron LadyÂ "/>
        <s v="Grudge MatchÂ "/>
        <s v="Riding in Cars with BoysÂ "/>
        <s v="Wild ThingsÂ "/>
        <s v="Mystery MenÂ "/>
        <s v="Did You Hear About the Morgans?Â "/>
        <s v="Twilight Zone: The MovieÂ "/>
        <s v="A Low Down Dirty ShameÂ "/>
        <s v="Bless the ChildÂ "/>
        <s v="Confessions of a Teenage Drama QueenÂ "/>
        <s v="Spice WorldÂ "/>
        <s v="The RoseÂ "/>
        <s v="PriestÂ "/>
        <s v="The MechanicÂ "/>
        <s v="The Object of My AffectionÂ "/>
        <s v="RentÂ "/>
        <s v="The StepfatherÂ "/>
        <s v="Nanny McPhee ReturnsÂ "/>
        <s v="The New GuyÂ "/>
        <s v="The InsiderÂ "/>
        <s v="The WatcherÂ "/>
        <s v="NerveÂ "/>
        <s v="One Direction: This Is UsÂ "/>
        <s v="Girl, InterruptedÂ "/>
        <s v="Zoolander 2Â "/>
        <s v="Draft DayÂ "/>
        <s v="Kick-Ass 2Â "/>
        <s v="CapoteÂ "/>
        <s v="Baby BoyÂ "/>
        <s v="UntraceableÂ "/>
        <s v="The Five-Year EngagementÂ "/>
        <s v="28 Weeks LaterÂ "/>
        <s v="SwimfanÂ "/>
        <s v="We Own the NightÂ "/>
        <s v="The Out-of-TownersÂ "/>
        <s v="BrothersÂ "/>
        <s v="Child's Play 2Â "/>
        <s v="Employee of the MonthÂ "/>
        <s v="Garfield 2Â "/>
        <s v="The Crocodile Hunter: Collision CourseÂ "/>
        <s v="The Shawshank RedemptionÂ "/>
        <s v="After the SunsetÂ "/>
        <s v="The Prince and MeÂ "/>
        <s v="The Ant BullyÂ "/>
        <s v="AbductionÂ "/>
        <s v="Zathura: A Space AdventureÂ "/>
        <s v="DoomÂ "/>
        <s v="Grosse Pointe BlankÂ "/>
        <s v="Loaded Weapon 1Â "/>
        <s v="Johnny EnglishÂ "/>
        <s v="FridayÂ "/>
        <s v="Menace II SocietyÂ "/>
        <s v="BeastlyÂ "/>
        <s v="CrankÂ "/>
        <s v="The MajesticÂ "/>
        <s v="The EdgeÂ "/>
        <s v="The SwitchÂ "/>
        <s v="Sinister 2Â "/>
        <s v="OculusÂ "/>
        <s v="Saw VIÂ "/>
        <s v="Hannibal RisingÂ "/>
        <s v="The Island of Dr. MoreauÂ "/>
        <s v="The Finest HoursÂ "/>
        <s v="Do the Right ThingÂ "/>
        <s v="Poetic JusticeÂ "/>
        <s v="The BrothersÂ "/>
        <s v="Love &amp; BasketballÂ "/>
        <s v="DuneÂ "/>
        <s v="Brown SugarÂ "/>
        <s v="The Last Witch HunterÂ "/>
        <s v="Someone Like You...Â "/>
        <s v="Dallas Buyers ClubÂ "/>
        <s v="No EscapeÂ "/>
        <s v="The Muppet Christmas CarolÂ "/>
        <s v="High FidelityÂ "/>
        <s v="The Bridge on the River KwaiÂ "/>
        <s v="Brooklyn's FinestÂ "/>
        <s v="Baby GeniusesÂ "/>
        <s v="Joe DirtÂ "/>
        <s v="The Story of UsÂ "/>
        <s v="The MusketeerÂ "/>
        <s v="The Big HitÂ "/>
        <s v="Blade RunnerÂ "/>
        <s v="Spy HardÂ "/>
        <s v="RushÂ "/>
        <s v="The WomenÂ "/>
        <s v="One Missed CallÂ "/>
        <s v="Stick ItÂ "/>
        <s v="ElizabethtownÂ "/>
        <s v="GloryÂ "/>
        <s v="The Other Boleyn GirlÂ "/>
        <s v="Garden StateÂ "/>
        <s v="The Best of MeÂ "/>
        <s v="Winnie the PoohÂ "/>
        <s v="The HostÂ "/>
        <s v="Event HorizonÂ "/>
        <s v="MacheteÂ "/>
        <s v="The ForestÂ "/>
        <s v="Harriet the SpyÂ "/>
        <s v="BasicÂ "/>
        <s v="BulworthÂ "/>
        <s v="A Nightmare on Elm StreetÂ "/>
        <s v="Blast from the PastÂ "/>
        <s v="Run All NightÂ "/>
        <s v="Book of Shadows: Blair Witch 2Â "/>
        <s v="Street KingsÂ "/>
        <s v="One for the MoneyÂ "/>
        <s v="Conan the DestroyerÂ "/>
        <s v="A Passage to IndiaÂ "/>
        <s v="Boogie NightsÂ "/>
        <s v="Sinbad: Legend of the Seven SeasÂ "/>
        <s v="Love the CoopersÂ "/>
        <s v="The WrestlerÂ "/>
        <s v="Blood WorkÂ "/>
        <s v="A Man ApartÂ "/>
        <s v="Ramona and BeezusÂ "/>
        <s v="Dumb and Dumberer: When Harry Met LloydÂ "/>
        <s v="xXx: State of the UnionÂ "/>
        <s v="That Awkward MomentÂ "/>
        <s v="The DescentÂ "/>
        <s v="The World's EndÂ "/>
        <s v="The Adventures of Rocky &amp; BullwinkleÂ "/>
        <s v="A Walk Among the TombstonesÂ "/>
        <s v="Howards EndÂ "/>
        <s v="ShutterÂ "/>
        <s v="The Cotton ClubÂ "/>
        <s v="Superhero MovieÂ "/>
        <s v="Alex CrossÂ "/>
        <s v="Ã†on FluxÂ "/>
        <s v="ShadowlandsÂ "/>
        <s v="That Thing You Do!Â "/>
        <s v="The Lazarus EffectÂ "/>
        <s v="FridaÂ "/>
        <s v="From Dusk Till DawnÂ "/>
        <s v="You AgainÂ "/>
        <s v="21 &amp; OverÂ "/>
        <s v="DesperadoÂ "/>
        <s v="Dance FlickÂ "/>
        <s v="The OutsidersÂ "/>
        <s v="The MistÂ "/>
        <s v="Crocodile Dundee in Los AngelesÂ "/>
        <s v="Nancy DrewÂ "/>
        <s v="Jonah: A VeggieTales MovieÂ "/>
        <s v="HerÂ "/>
        <s v="MementoÂ "/>
        <s v="Captain Corelli's MandolinÂ "/>
        <s v="W.Â "/>
        <s v="All About the BenjaminsÂ "/>
        <s v="Dark WaterÂ "/>
        <s v="The Fourth KindÂ "/>
        <s v="The InternationalÂ "/>
        <s v="Ex MachinaÂ "/>
        <s v="Escape from L.A.Â "/>
        <s v="BoyhoodÂ "/>
        <s v="Can't Hardly WaitÂ "/>
        <s v="SerenityÂ "/>
        <s v="The TransporterÂ "/>
        <s v="Top FiveÂ "/>
        <s v="Jersey GirlÂ "/>
        <s v="Escape from New YorkÂ "/>
        <s v="Katy Perry: Part of MeÂ "/>
        <s v="Aliens in the AtticÂ "/>
        <s v="Sweet NovemberÂ "/>
        <s v="Nurse BettyÂ "/>
        <s v="The WitchÂ "/>
        <s v="Escape PlanÂ "/>
        <s v="The ReapingÂ "/>
        <s v="Killer EliteÂ "/>
        <s v="Midnight in the Garden of Good and EvilÂ "/>
        <s v="Alpha and OmegaÂ "/>
        <s v="Wyatt EarpÂ "/>
        <s v="The WoodÂ "/>
        <s v="The Forbidden KingdomÂ "/>
        <s v="GrindhouseÂ "/>
        <s v="Piranha 3DÂ "/>
        <s v="Logan's RunÂ "/>
        <s v="Some Like It HotÂ "/>
        <s v="The November ManÂ "/>
        <s v="KingpinÂ "/>
        <s v="The CraftÂ "/>
        <s v="Never Back DownÂ "/>
        <s v="Our Idiot BrotherÂ "/>
        <s v="From Russia with LoveÂ "/>
        <s v="Thank You for SmokingÂ "/>
        <s v="Waking Ned DevineÂ "/>
        <s v="Sex, Lies, and VideotapeÂ "/>
        <s v="Lottery TicketÂ "/>
        <s v="Air BudÂ "/>
        <s v="SickoÂ "/>
        <s v="UnleashedÂ "/>
        <s v="Sling BladeÂ "/>
        <s v="Don JonÂ "/>
        <s v="The Sweetest ThingÂ "/>
        <s v="ElektraÂ "/>
        <s v="SparkleÂ "/>
        <s v="Ice PrincessÂ "/>
        <s v="15 MinutesÂ "/>
        <s v="Arlington RoadÂ "/>
        <s v="Across the UniverseÂ "/>
        <s v="Renaissance ManÂ "/>
        <s v="HoffaÂ "/>
        <s v="The Spy Next DoorÂ "/>
        <s v="Hearts in AtlantisÂ "/>
        <s v="Clerks IIÂ "/>
        <s v="Lord of WarÂ "/>
        <s v="Tinker Tailor Soldier SpyÂ "/>
        <s v="The Adventures of Huck FinnÂ "/>
        <s v="VirtuosityÂ "/>
        <s v="Angel EyesÂ "/>
        <s v="Don't Be Afraid of the DarkÂ "/>
        <s v="The Life Aquatic with Steve ZissouÂ "/>
        <s v="Observe and ReportÂ "/>
        <s v="Corky RomanoÂ "/>
        <s v="An Inconvenient TruthÂ "/>
        <s v="The Best Years of Our LivesÂ "/>
        <s v="Hot FuzzÂ "/>
        <s v="The LosersÂ "/>
        <s v="Hotel RwandaÂ "/>
        <s v="Endless LoveÂ "/>
        <s v="Reindeer GamesÂ "/>
        <s v="From Paris with LoveÂ "/>
        <s v="The CovenantÂ "/>
        <s v="The Usual SuspectsÂ "/>
        <s v="FasterÂ "/>
        <s v="Agent Cody Banks 2: Destination LondonÂ "/>
        <s v="PompeiiÂ "/>
        <s v="Vicky Cristina BarcelonaÂ "/>
        <s v="One True ThingÂ "/>
        <s v="Monte CarloÂ "/>
        <s v="The Iron GiantÂ "/>
        <s v="Match PointÂ "/>
        <s v="Stay AliveÂ "/>
        <s v="SanctumÂ "/>
        <s v="The Players ClubÂ "/>
        <s v="Bulletproof MonkÂ "/>
        <s v="The Remains of the DayÂ "/>
        <s v="Love HappensÂ "/>
        <s v="Ella EnchantedÂ "/>
        <s v="RoundersÂ "/>
        <s v="Revolutionary RoadÂ "/>
        <s v="Being John MalkovichÂ "/>
        <s v="BelovedÂ "/>
        <s v="On Her Majesty's Secret ServiceÂ "/>
        <s v="Joe SomebodyÂ "/>
        <s v="The GallowsÂ "/>
        <s v="Titan A.E.Â "/>
        <s v="Dickie Roberts: Former Child StarÂ "/>
        <s v="The Magic Sword: Quest for CamelotÂ "/>
        <s v="Much Ado About NothingÂ "/>
        <s v="Babylon A.D.Â "/>
        <s v="My Super Ex-GirlfriendÂ "/>
        <s v="The Incredible Burt WonderstoneÂ "/>
        <s v="The Black DahliaÂ "/>
        <s v="Lucky Number SlevinÂ "/>
        <s v="WarÂ "/>
        <s v="FameÂ "/>
        <s v="MagnoliaÂ "/>
        <s v="City by the SeaÂ "/>
        <s v="EdtvÂ "/>
        <s v="The BorrowersÂ "/>
        <s v="Project AlmanacÂ "/>
        <s v="At First SightÂ "/>
        <s v="My Fellow AmericansÂ "/>
        <s v="Deuce Bigalow: European GigoloÂ "/>
        <s v="Adaptation.Â "/>
        <s v="Two Can Play That GameÂ "/>
        <s v="The Wizard of OzÂ "/>
        <s v="Hustle &amp; FlowÂ "/>
        <s v="Don Juan DeMarcoÂ "/>
        <s v="Nowhere to RunÂ "/>
        <s v="A Nightmare on Elm Street 5: The Dream ChildÂ "/>
        <s v="DarknessÂ "/>
        <s v="The MedallionÂ "/>
        <s v="Billy ElliotÂ "/>
        <s v="Joy RideÂ "/>
        <s v="A Lot Like LoveÂ "/>
        <s v="Mr 3000Â "/>
        <s v="The Big WeddingÂ "/>
        <s v="MudÂ "/>
        <s v="Black or WhiteÂ "/>
        <s v="Baggage ClaimÂ "/>
        <s v="Your HighnessÂ "/>
        <s v="He Got GameÂ "/>
        <s v="Just WrightÂ "/>
        <s v="The Way Way BackÂ "/>
        <s v="The Right StuffÂ "/>
        <s v="The Book ThiefÂ "/>
        <s v="Battlefield EarthÂ "/>
        <s v="Urban Legends: Final CutÂ "/>
        <s v="The Darkest HourÂ "/>
        <s v="The Adventures of Ford FairlaneÂ "/>
        <s v="Quigley Down UnderÂ "/>
        <s v="The Place Beyond the PinesÂ "/>
        <s v="The FogÂ "/>
        <s v="SkylineÂ "/>
        <s v="Raising CainÂ "/>
        <s v="Friday the 13th: A New BeginningÂ "/>
        <s v="Dream HouseÂ "/>
        <s v="Bowling for ColumbineÂ "/>
        <s v="To Die ForÂ "/>
        <s v="As Above, So BelowÂ "/>
        <s v="TorqueÂ "/>
        <s v="ATLÂ "/>
        <s v="Stir of EchoesÂ "/>
        <s v="The Next Three DaysÂ "/>
        <s v="Tales from the Crypt: Demon KnightÂ "/>
        <s v="Antwone FisherÂ "/>
        <s v="Flight of the PhoenixÂ "/>
        <s v="Van Wilder: Party LiaisonÂ "/>
        <s v="The Man with the Golden GunÂ "/>
        <s v="Fantastic Mr. FoxÂ "/>
        <s v="FlickaÂ "/>
        <s v="AlohaÂ "/>
        <s v="The X Files: I Want to BelieveÂ "/>
        <s v="A Room with a ViewÂ "/>
        <s v="Looney Tunes: Back in ActionÂ "/>
        <s v="ShortsÂ "/>
        <s v="Super Mario Bros.Â "/>
        <s v="Paul Blart: Mall CopÂ "/>
        <s v="The Kids Are All RightÂ "/>
        <s v="The Hills Have Eyes IIÂ "/>
        <s v="God's Not Dead 2Â "/>
        <s v="Whale RiderÂ "/>
        <s v="Jaws: The RevengeÂ "/>
        <s v="The ApostleÂ "/>
        <s v="Mad MoneyÂ "/>
        <s v="Boys and GirlsÂ "/>
        <s v="KeanuÂ "/>
        <s v="Chain ReactionÂ "/>
        <s v="GamerÂ "/>
        <s v="Land of the DeadÂ "/>
        <s v="Little Black BookÂ "/>
        <s v="The Glimmer ManÂ "/>
        <s v="Duel in the SunÂ "/>
        <s v="Free State of JonesÂ "/>
        <s v="ValentineÂ "/>
        <s v="Reno 911!: MiamiÂ "/>
        <s v="A Prairie Home CompanionÂ "/>
        <s v="The Three MusketeersÂ "/>
        <s v="ShowgirlsÂ "/>
        <s v="City HallÂ "/>
        <s v="Brick MansionsÂ "/>
        <s v="Premium RushÂ "/>
        <s v="PulseÂ "/>
        <s v="Action JacksonÂ "/>
        <s v="Our Family WeddingÂ "/>
        <s v="VampiresÂ "/>
        <s v="Country StrongÂ "/>
        <s v="AppaloosaÂ "/>
        <s v="The Secret in Their EyesÂ "/>
        <s v="Big MiracleÂ "/>
        <s v="MultiplicityÂ "/>
        <s v="FlipperÂ "/>
        <s v="Down to YouÂ "/>
        <s v="Assault on Precinct 13Â "/>
        <s v="Vampire in BrooklynÂ "/>
        <s v="Hard RainÂ "/>
        <s v="HomefrontÂ "/>
        <s v="The SpiritÂ "/>
        <s v="The PledgeÂ "/>
        <s v="Summer CatchÂ "/>
        <s v="Broken CityÂ "/>
        <s v="NineÂ "/>
        <s v="Reign Over MeÂ "/>
        <s v="The Life of David GaleÂ "/>
        <s v="Astro BoyÂ "/>
        <s v="TimelineÂ "/>
        <s v="Jason Lives: Friday the 13th Part VIÂ "/>
        <s v="ValiantÂ "/>
        <s v="Beautiful CreaturesÂ "/>
        <s v="Doug's 1st MovieÂ "/>
        <s v="OceansÂ "/>
        <s v="Wonder BoysÂ "/>
        <s v="The ProducersÂ "/>
        <s v="Saving SilvermanÂ "/>
        <s v="Runner RunnerÂ "/>
        <s v="CursedÂ "/>
        <s v="Summer of SamÂ "/>
        <s v="House Party 2Â "/>
        <s v="Martin Lawrence Live: RunteldatÂ "/>
        <s v="BeerfestÂ "/>
        <s v="Friday the 13th Part VII: The New BloodÂ "/>
        <s v="Tuck EverlastingÂ "/>
        <s v="My Best Friend's GirlÂ "/>
        <s v="Man of the HouseÂ "/>
        <s v="Friday the 13th Part 2Â "/>
        <s v="RaceÂ "/>
        <s v="Hart's WarÂ "/>
        <s v="WaitressÂ "/>
        <s v="I, FrankensteinÂ "/>
        <s v="Remember MeÂ "/>
        <s v="The ImpossibleÂ "/>
        <s v="RollerballÂ "/>
        <s v="The Replacement KillersÂ "/>
        <s v="Two BrothersÂ "/>
        <s v="HaywireÂ "/>
        <s v="Georgia RuleÂ "/>
        <s v="Shark Night 3DÂ "/>
        <s v="The MarineÂ "/>
        <s v="The Legend of HerculesÂ "/>
        <s v="Akeelah and the BeeÂ "/>
        <s v="The Upside of AngerÂ "/>
        <s v="Becoming JaneÂ "/>
        <s v="Still AliceÂ "/>
        <s v="The Ninth GateÂ "/>
        <s v="Anywhere But HereÂ "/>
        <s v="Michael Jordan to the MaxÂ "/>
        <s v="The Quick and the DeadÂ "/>
        <s v="Best in ShowÂ "/>
        <s v="Man on a LedgeÂ "/>
        <s v="AquamarineÂ "/>
        <s v="Frost/NixonÂ "/>
        <s v="The FanÂ "/>
        <s v="An Ideal HusbandÂ "/>
        <s v="UltravioletÂ "/>
        <s v="Super TroopersÂ "/>
        <s v="Into the BlueÂ "/>
        <s v="The Invention of LyingÂ "/>
        <s v="A Thousand WordsÂ "/>
        <s v="QuartetÂ "/>
        <s v="Into the WildÂ "/>
        <s v="127 HoursÂ "/>
        <s v="North CountryÂ "/>
        <s v="Babe: Pig in the CityÂ "/>
        <s v="Walk Hard: The Dewey Cox StoryÂ "/>
        <s v="The Four FeathersÂ "/>
        <s v="Fright NightÂ "/>
        <s v="Sugar HillÂ "/>
        <s v="Simon BirchÂ "/>
        <s v="Harold &amp; Kumar Go to White CastleÂ "/>
        <s v="The Last CastleÂ "/>
        <s v="Chernobyl DiariesÂ "/>
        <s v="New NightmareÂ "/>
        <s v="Pooh's Heffalump MovieÂ "/>
        <s v="AdmissionÂ "/>
        <s v="The HowlingÂ "/>
        <s v="The Glass HouseÂ "/>
        <s v="Laws of AttractionÂ "/>
        <s v="Drive Me CrazyÂ "/>
        <s v="The ContenderÂ "/>
        <s v="School for ScoundrelsÂ "/>
        <s v="Going the DistanceÂ "/>
        <s v="Punch-Drunk LoveÂ "/>
        <s v="Halloween 4: The Return of Michael MyersÂ "/>
        <s v="The Rage: Carrie 2Â "/>
        <s v="Steve JobsÂ "/>
        <s v="The Perks of Being a WallflowerÂ "/>
        <s v="EuroTripÂ "/>
        <s v="Apollo 18Â "/>
        <s v="Kit Kittredge: An American GirlÂ "/>
        <s v="NebraskaÂ "/>
        <s v="ParkerÂ "/>
        <s v="The Last King of ScotlandÂ "/>
        <s v="Furry VengeanceÂ "/>
        <s v="The PostmanÂ "/>
        <s v="Hostel: Part IIÂ "/>
        <s v="Enough SaidÂ "/>
        <s v="Silent Hill: Revelation 3DÂ "/>
        <s v="Home for the HolidaysÂ "/>
        <s v="A Mighty WindÂ "/>
        <s v="Notes on a ScandalÂ "/>
        <s v="DopeÂ "/>
        <s v="Red PlanetÂ "/>
        <s v="The Big LebowskiÂ "/>
        <s v="The RuinsÂ "/>
        <s v="Disturbing BehaviorÂ "/>
        <s v="AddictedÂ "/>
        <s v="Roll BounceÂ "/>
        <s v="Just My LuckÂ "/>
        <s v="My Baby's DaddyÂ "/>
        <s v="A Haunted House 2Â "/>
        <s v="Extreme MeasuresÂ "/>
        <s v="The PhantomÂ "/>
        <s v="Max Keeble's Big MoveÂ "/>
        <s v="InkheartÂ "/>
        <s v="Half BakedÂ "/>
        <s v="Eight Legged FreaksÂ "/>
        <s v="A Most Wanted ManÂ "/>
        <s v="WanderlustÂ "/>
        <s v="Hudson HawkÂ "/>
        <s v="Center StageÂ "/>
        <s v="SafeÂ "/>
        <s v="Eastern PromisesÂ "/>
        <s v="Kung Fu HustleÂ "/>
        <s v="FledÂ "/>
        <s v="RushmoreÂ "/>
        <s v="Small Time CrooksÂ "/>
        <s v="Seed of ChuckyÂ "/>
        <s v="Son of the MaskÂ "/>
        <s v="Kingdom of the SpidersÂ "/>
        <s v="SpliceÂ "/>
        <s v="Rock StarÂ "/>
        <s v="The Country BearsÂ "/>
        <s v="The CounselorÂ "/>
        <s v="Win a Date with Tad Hamilton!Â "/>
        <s v="Boiler RoomÂ "/>
        <s v="88 MinutesÂ "/>
        <s v="Serving SaraÂ "/>
        <s v="Crazy/BeautifulÂ "/>
        <s v="The Devil's RejectsÂ "/>
        <s v="GoÂ "/>
        <s v="WimbledonÂ "/>
        <s v="Oliver!Â "/>
        <s v="Lost SoulsÂ "/>
        <s v="Catch That KidÂ "/>
        <s v="New in TownÂ "/>
        <s v="To Rome with LoveÂ "/>
        <s v="Baby's Day OutÂ "/>
        <s v="TremorsÂ "/>
        <s v="Unaccompanied MinorsÂ "/>
        <s v="Bringing Out the DeadÂ "/>
        <s v="54Â "/>
        <s v="TrainspottingÂ "/>
        <s v="Eye of the BeholderÂ "/>
        <s v="The MasterÂ "/>
        <s v="White OleanderÂ "/>
        <s v="The Whole Ten YardsÂ "/>
        <s v="A Simple PlanÂ "/>
        <s v="Young AdultÂ "/>
        <s v="An American HauntingÂ "/>
        <s v="Howard the DuckÂ "/>
        <s v="Muppets from SpaceÂ "/>
        <s v="Swing VoteÂ "/>
        <s v="Elizabeth: The Golden AgeÂ "/>
        <s v="Original SinÂ "/>
        <s v="21 GramsÂ "/>
        <s v="The Perfect ManÂ "/>
        <s v="Black ChristmasÂ "/>
        <s v="Jennifer's BodyÂ "/>
        <s v="Begin AgainÂ "/>
        <s v="Mo' Better BluesÂ "/>
        <s v="Vanity FairÂ "/>
        <s v="Bright Lights, Big CityÂ "/>
        <s v="The ProphecyÂ "/>
        <s v="Waiting...Â "/>
        <s v="Fruitvale StationÂ "/>
        <s v="Imagine ThatÂ "/>
        <s v="Dr. NoÂ "/>
        <s v="Kung Pow: Enter the FistÂ "/>
        <s v="The Transporter RefueledÂ "/>
        <s v="AdventurelandÂ "/>
        <s v="OÂ "/>
        <s v="The RavenÂ "/>
        <s v="ArmoredÂ "/>
        <s v="Marie AntoinetteÂ "/>
        <s v="Jason Goes to Hell: The Final FridayÂ "/>
        <s v="Thomas and the Magic RailroadÂ "/>
        <s v="Far from HeavenÂ "/>
        <s v="Devil's DueÂ "/>
        <s v="The Kite RunnerÂ "/>
        <s v="Eddie the EagleÂ "/>
        <s v="3000 Miles to GracelandÂ "/>
        <s v="PaparazziÂ "/>
        <s v="Pride and GloryÂ "/>
        <s v="The Hurt LockerÂ "/>
        <s v="Superman IV: The Quest for PeaceÂ "/>
        <s v="Larry the Cable Guy: Health InspectorÂ "/>
        <s v="The Man with the Iron FistsÂ "/>
        <s v="Life as a HouseÂ "/>
        <s v="My Boss's DaughterÂ "/>
        <s v="All the Pretty HorsesÂ "/>
        <s v="The Ghost WriterÂ "/>
        <s v="Happily N'Ever AfterÂ "/>
        <s v="The Thirteenth FloorÂ "/>
        <s v="A Perfect GetawayÂ "/>
        <s v="LoserÂ "/>
        <s v="Drowning MonaÂ "/>
        <s v="Wrong TurnÂ "/>
        <s v="A Guy ThingÂ "/>
        <s v="Spaced InvadersÂ "/>
        <s v="Half Past DeadÂ "/>
        <s v="The Greatest Game Ever PlayedÂ "/>
        <s v="About TimeÂ "/>
        <s v="Youth in RevoltÂ "/>
        <s v="Bangkok DangerousÂ "/>
        <s v="Sweet Sweetback's Baadasssss SongÂ "/>
        <s v="ThinnerÂ "/>
        <s v="The CorruptorÂ "/>
        <s v="And So It GoesÂ "/>
        <s v="The Last Exorcism Part IIÂ "/>
        <s v="Arthur and the InvisiblesÂ "/>
        <s v="Halloween: The Curse of Michael MyersÂ "/>
        <s v="The Goods: Live Hard, Sell HardÂ "/>
        <s v="FirestarterÂ "/>
        <s v="The Adventures of PinocchioÂ "/>
        <s v="PonyoÂ "/>
        <s v="The InvasionÂ "/>
        <s v="Dead Man on CampusÂ "/>
        <s v="American PsychoÂ "/>
        <s v="The BoxÂ "/>
        <s v="Lions for LambsÂ "/>
        <s v="Seven PsychopathsÂ "/>
        <s v="The Next Best ThingÂ "/>
        <s v="Get CarterÂ "/>
        <s v="The InfiltratorÂ "/>
        <s v="Kiss of DeathÂ "/>
        <s v="Killing Them SoftlyÂ "/>
        <s v="Flirting with DisasterÂ "/>
        <s v="The CaveÂ "/>
        <s v="ElectionÂ "/>
        <s v="Eve's BayouÂ "/>
        <s v="I Love You, Beth CooperÂ "/>
        <s v="Radio DaysÂ "/>
        <s v="RoomÂ "/>
        <s v="It FollowsÂ "/>
        <s v="My Soul to TakeÂ "/>
        <s v="Beyond the LightsÂ "/>
        <s v="My Week with MarilynÂ "/>
        <s v="The Girl Next DoorÂ "/>
        <s v="Flight of the IntruderÂ "/>
        <s v="SoldierÂ "/>
        <s v="HellraiserÂ "/>
        <s v="School DazeÂ "/>
        <s v="Tora! Tora! Tora!Â "/>
        <s v="Big EyesÂ "/>
        <s v="Welcome to MooseportÂ "/>
        <s v="Life or Something Like ItÂ "/>
        <s v="Halloween III: Season of the WitchÂ "/>
        <s v="Snow Falling on CedarsÂ "/>
        <s v="IshtarÂ "/>
        <s v="AwakeÂ "/>
        <s v="Capitalism: A Love StoryÂ "/>
        <s v="Memoirs of an Invisible ManÂ "/>
        <s v="Tea with MussoliniÂ "/>
        <s v="Friday the 13th Part VIII: Jason Takes ManhattanÂ "/>
        <s v="Dark CityÂ "/>
        <s v="GodsendÂ "/>
        <s v="Ballistic: Ecks vs. SeverÂ "/>
        <s v="LockoutÂ "/>
        <s v="CriminalÂ "/>
        <s v="Josie and the PussycatsÂ "/>
        <s v="Freddy Got FingeredÂ "/>
        <s v="SupernovaÂ "/>
        <s v="Alex &amp; EmmaÂ "/>
        <s v="Disaster MovieÂ "/>
        <s v="Spring BreakersÂ "/>
        <s v="Poltergeist IIIÂ "/>
        <s v="How to DealÂ "/>
        <s v="DinerÂ "/>
        <s v="Maximum RiskÂ "/>
        <s v="The Emperor's ClubÂ "/>
        <s v="New York MinuteÂ "/>
        <s v="The Good GirlÂ "/>
        <s v="In Too DeepÂ "/>
        <s v="Creepshow 2Â "/>
        <s v="Left BehindÂ "/>
        <s v="What's Your Number?Â "/>
        <s v="Stealing HarvardÂ "/>
        <s v="How to Be a PlayerÂ "/>
        <s v="Soul PlaneÂ "/>
        <s v="Hot RodÂ "/>
        <s v="Out ColdÂ "/>
        <s v="Monsoon WeddingÂ "/>
        <s v="My Stepmother Is an AlienÂ "/>
        <s v="Cirque du Freak: The Vampire's AssistantÂ "/>
        <s v="Highlander: The Final DimensionÂ "/>
        <s v="The DuchessÂ "/>
        <s v="The Man Who Knew Too LittleÂ "/>
        <s v="The ThingÂ "/>
        <s v="One DayÂ "/>
        <s v="Repo MenÂ "/>
        <s v="Letters from Iwo JimaÂ "/>
        <s v="Sin City: A Dame to Kill ForÂ "/>
        <s v="Hit and RunÂ "/>
        <s v="Hey Arnold! The MovieÂ "/>
        <s v="WarriorÂ "/>
        <s v="BurntÂ "/>
        <s v="CrooklynÂ "/>
        <s v="Crank: High VoltageÂ "/>
        <s v="Y Tu MamÃ¡ TambiÃ©nÂ "/>
        <s v="Osmosis JonesÂ "/>
        <s v="The Ladies ManÂ "/>
        <s v="Juwanna MannÂ "/>
        <s v="The NamesakeÂ "/>
        <s v="NixonÂ "/>
        <s v="TomcatsÂ "/>
        <s v="The Little VampireÂ "/>
        <s v="The Tailor of PanamaÂ "/>
        <s v="Shaun of the DeadÂ "/>
        <s v="DreddÂ "/>
        <s v="AlfieÂ "/>
        <s v="One Night with the KingÂ "/>
        <s v="Bullets Over BroadwayÂ "/>
        <s v="The Deep End of the OceanÂ "/>
        <s v="Friends with MoneyÂ "/>
        <s v="Labor DayÂ "/>
        <s v="The Haunting of Molly HartleyÂ "/>
        <s v="De-LovelyÂ "/>
        <s v="The Tree of LifeÂ "/>
        <s v="WoodstockÂ "/>
        <s v="Lone StarÂ "/>
        <s v="American OutlawsÂ "/>
        <s v="Case 39Â "/>
        <s v="Daddy Day CampÂ "/>
        <s v="Inside Llewyn DavisÂ "/>
        <s v="Ghost TownÂ "/>
        <s v="FeardotcomÂ "/>
        <s v="FrailtyÂ "/>
        <s v="Playing for KeepsÂ "/>
        <s v="WhiplashÂ "/>
        <s v="FlyboysÂ "/>
        <s v="25th HourÂ "/>
        <s v="Ghosts of MississippiÂ "/>
        <s v="Angela's AshesÂ "/>
        <s v="Whip ItÂ "/>
        <s v="The CrewÂ "/>
        <s v="They LiveÂ "/>
        <s v="House of Sand and FogÂ "/>
        <s v="The WizÂ "/>
        <s v="ReligulousÂ "/>
        <s v="The Quiet AmericanÂ "/>
        <s v="Do You Believe?Â "/>
        <s v="April Fool's DayÂ "/>
        <s v="Living Out LoudÂ "/>
        <s v="VolverÂ "/>
        <s v="Gods and GeneralsÂ "/>
        <s v="Wicker ParkÂ "/>
        <s v="Anna KareninaÂ "/>
        <s v="Highlander: EndgameÂ "/>
        <s v="Rachel Getting MarriedÂ "/>
        <s v="Mystic PizzaÂ "/>
        <s v="I Heart HuckabeesÂ "/>
        <s v="Beasts of the Southern WildÂ "/>
        <s v="Marvin's RoomÂ "/>
        <s v="The New WorldÂ "/>
        <s v="The Pirates Who Don't Do Anything: A VeggieTales MovieÂ "/>
        <s v="TheyÂ "/>
        <s v="Mr. Nice GuyÂ "/>
        <s v="Triple 9Â "/>
        <s v="Jason XÂ "/>
        <s v="The Omega CodeÂ "/>
        <s v="Under the Same MoonÂ "/>
        <s v="House of 1000 CorpsesÂ "/>
        <s v="An EducationÂ "/>
        <s v="The MatadorÂ "/>
        <s v="Silent HouseÂ "/>
        <s v="I Think I Love My WifeÂ "/>
        <s v="IdlewildÂ "/>
        <s v="Love JonesÂ "/>
        <s v="Cirque du Soleil: Worlds AwayÂ "/>
        <s v="The Weather ManÂ "/>
        <s v="UndisputedÂ "/>
        <s v="Ready to RumbleÂ "/>
        <s v="GattacaÂ "/>
        <s v="Hot Tub Time Machine 2Â "/>
        <s v="True RomanceÂ "/>
        <s v="Self/lessÂ "/>
        <s v="12 RoundsÂ "/>
        <s v="ConfidenceÂ "/>
        <s v="Lone Wolf McQuadeÂ "/>
        <s v="Chasing LibertyÂ "/>
        <s v="The 33Â "/>
        <s v="EnvyÂ "/>
        <s v="Let Me InÂ "/>
        <s v="Soul MenÂ "/>
        <s v="Holy ManÂ "/>
        <s v="Sunshine CleaningÂ "/>
        <s v="The Last StandÂ "/>
        <s v="Chasing AmyÂ "/>
        <s v="Sorority RowÂ "/>
        <s v="In DreamsÂ "/>
        <s v="Sliding DoorsÂ "/>
        <s v="Glee: The 3D Concert MovieÂ "/>
        <s v="Extraordinary MeasuresÂ "/>
        <s v="Breakin' All the RulesÂ "/>
        <s v="BloodsportÂ "/>
        <s v="Meet DaveÂ "/>
        <s v="Tales from the HoodÂ "/>
        <s v="3 Ninjas Kick BackÂ "/>
        <s v="End of the SpearÂ "/>
        <s v="Sydney WhiteÂ "/>
        <s v="Dave Chappelle's Block PartyÂ "/>
        <s v="Fifty Shades of BlackÂ "/>
        <s v="Halloween 5Â "/>
        <s v="The Adventures of Elmo in GrouchlandÂ "/>
        <s v="Girl with a Pearl EarringÂ "/>
        <s v="Knockaround GuysÂ "/>
        <s v="ZoomÂ "/>
        <s v="The MuseÂ "/>
        <s v="Wing CommanderÂ "/>
        <s v="Get Over ItÂ "/>
        <s v="The Legend of Drunken MasterÂ "/>
        <s v="The CookoutÂ "/>
        <s v="The ConspiratorÂ "/>
        <s v="Boys Don't CryÂ "/>
        <s v="Super Size MeÂ "/>
        <s v="The LongshotsÂ "/>
        <s v="Army of DarknessÂ "/>
        <s v="TurbulenceÂ "/>
        <s v="The WordsÂ "/>
        <s v="Das BootÂ "/>
        <s v="The Shipping NewsÂ "/>
        <s v="Out of the FurnaceÂ "/>
        <s v="The Lives of OthersÂ "/>
        <s v="Chill FactorÂ "/>
        <s v="BobbyÂ "/>
        <s v="Be Kind RewindÂ "/>
        <s v="Deep RisingÂ "/>
        <s v="Barney's Great AdventureÂ "/>
        <s v="Big Trouble in Little ChinaÂ "/>
        <s v="In the Land of WomenÂ "/>
        <s v="Mrs Henderson PresentsÂ "/>
        <s v="Michael CollinsÂ "/>
        <s v="Lords of DogtownÂ "/>
        <s v="The Astronaut FarmerÂ "/>
        <s v="The Young VictoriaÂ "/>
        <s v="AntitrustÂ "/>
        <s v="Dragon Wars: D-WarÂ "/>
        <s v="DoomsdayÂ "/>
        <s v="What the #$*! Do We (K)now!?Â "/>
        <s v="Stop-LossÂ "/>
        <s v="Pride and Prejudice and ZombiesÂ "/>
        <s v="Dead Man DownÂ "/>
        <s v="Office SpaceÂ "/>
        <s v="ExtractÂ "/>
        <s v="GettysburgÂ "/>
        <s v="New York StoriesÂ "/>
        <s v="Glengarry Glen RossÂ "/>
        <s v="AbandonÂ "/>
        <s v="Drive AngryÂ "/>
        <s v="RoboCop 3Â "/>
        <s v="The End of the AffairÂ "/>
        <s v="The Astronaut's WifeÂ "/>
        <s v="The GunmanÂ "/>
        <s v="Not Easily BrokenÂ "/>
        <s v="Deconstructing HarryÂ "/>
        <s v="Fear and Loathing in Las VegasÂ "/>
        <s v="Drop Dead GorgeousÂ "/>
        <s v="Mad CityÂ "/>
        <s v="We're No AngelsÂ "/>
        <s v="Three to TangoÂ "/>
        <s v="Jonah HexÂ "/>
        <s v="ScoopÂ "/>
        <s v="SabotageÂ "/>
        <s v="GetawayÂ "/>
        <s v="Here on EarthÂ "/>
        <s v="NarcÂ "/>
        <s v="Home FriesÂ "/>
        <s v="Universal Soldier: The ReturnÂ "/>
        <s v="Moms' Night OutÂ "/>
        <s v="Raise Your VoiceÂ "/>
        <s v="The Scarlet LetterÂ "/>
        <s v="Head Over HeelsÂ "/>
        <s v="U2 3DÂ "/>
        <s v="PandorumÂ "/>
        <s v="Straw DogsÂ "/>
        <s v="I Got the Hook UpÂ "/>
        <s v="White SquallÂ "/>
        <s v="The Newton BoysÂ "/>
        <s v="ShopgirlÂ "/>
        <s v="The Boondock Saints II: All Saints DayÂ "/>
        <s v="WhiteoutÂ "/>
        <s v="The Brothers McMullenÂ "/>
        <s v="KinseyÂ "/>
        <s v="Unfinished BusinessÂ "/>
        <s v="The Spanish PrisonerÂ "/>
        <s v="Sorority BoysÂ "/>
        <s v="Facing the GiantsÂ "/>
        <s v="The Great RaidÂ "/>
        <s v="Henry VÂ "/>
        <s v="BatsÂ "/>
        <s v="The FountainÂ "/>
        <s v="The WalkÂ "/>
        <s v="DominoÂ "/>
        <s v="Hoodwinked Too! Hood vs. EvilÂ "/>
        <s v="Brokedown PalaceÂ "/>
        <s v="PromÂ "/>
        <s v="Swimming PoolÂ "/>
        <s v="The WashÂ "/>
        <s v="Knock OffÂ "/>
        <s v="Mrs. WinterbourneÂ "/>
        <s v="Spirited AwayÂ "/>
        <s v="Cry_WolfÂ "/>
        <s v="Next Day AirÂ "/>
        <s v="Lucky NumbersÂ "/>
        <s v="Dirty WorkÂ "/>
        <s v="BrazilÂ "/>
        <s v="3 StrikesÂ "/>
        <s v="Very Bad ThingsÂ "/>
        <s v="JadeÂ "/>
        <s v="Everyone Says I Love YouÂ "/>
        <s v="Blue ValentineÂ "/>
        <s v="Dudley Do-RightÂ "/>
        <s v="RenditionÂ "/>
        <s v="The Perfect MatchÂ "/>
        <s v="DuplexÂ "/>
        <s v="I Don't Know How She Does ItÂ "/>
        <s v="Digimon: The MovieÂ "/>
        <s v="On the WaterfrontÂ "/>
        <s v="The ExpressÂ "/>
        <s v="Fair GameÂ "/>
        <s v="Death SentenceÂ "/>
        <s v="Bullet to the HeadÂ "/>
        <s v="The Red ViolinÂ "/>
        <s v="She's the OneÂ "/>
        <s v="OnceÂ "/>
        <s v="Away We GoÂ "/>
        <s v="Fun SizeÂ "/>
        <s v="Black Snake MoanÂ "/>
        <s v="Dragonball: EvolutionÂ "/>
        <s v="Stone ColdÂ "/>
        <s v="BernieÂ "/>
        <s v="A Serious ManÂ "/>
        <s v="You Can Count on MeÂ "/>
        <s v="Get LowÂ "/>
        <s v="A Mighty HeartÂ "/>
        <s v="What's Eating Gilbert GrapeÂ "/>
        <s v="A Single ManÂ "/>
        <s v="PeeplesÂ "/>
        <s v="Superbabies: Baby Geniuses 2Â "/>
        <s v="WarlockÂ "/>
        <s v="Dark BlueÂ "/>
        <s v="Ulee's GoldÂ "/>
        <s v="The Boy in the Striped PajamasÂ "/>
        <s v="Trippin'Â "/>
        <s v="TransamericaÂ "/>
        <s v="Mad Max 2: The Road WarriorÂ "/>
        <s v="Beyond the Valley of the DollsÂ "/>
        <s v="Battle of the YearÂ "/>
        <s v="Mystery, AlaskaÂ "/>
        <s v="The InkwellÂ "/>
        <s v="Everybody's FineÂ "/>
        <s v="Movie 43Â "/>
        <s v="Saved!Â "/>
        <s v="Street Fighter: The Legend of Chun-LiÂ "/>
        <s v="Whatever It TakesÂ "/>
        <s v="Suspect ZeroÂ "/>
        <s v="My Life in RuinsÂ "/>
        <s v="The BountyÂ "/>
        <s v="PollockÂ "/>
        <s v="Boat TripÂ "/>
        <s v="Death at a FuneralÂ "/>
        <s v="An Unfinished LifeÂ "/>
        <s v="Troop Beverly HillsÂ "/>
        <s v="Under the RainbowÂ "/>
        <s v="MacGruberÂ "/>
        <s v="Legends of Oz: Dorothy's ReturnÂ "/>
        <s v="Ghosts of MarsÂ "/>
        <s v="Play It to the BoneÂ "/>
        <s v="Pushing TinÂ "/>
        <s v="Sex DriveÂ "/>
        <s v="The Importance of Being EarnestÂ "/>
        <s v="The Last Temptation of ChristÂ "/>
        <s v="Death to SmoochyÂ "/>
        <s v="The ManÂ "/>
        <s v="Mandela: Long Walk to FreedomÂ "/>
        <s v="Shadow of the VampireÂ "/>
        <s v="The CoolerÂ "/>
        <s v="Cadillac RecordsÂ "/>
        <s v="Johnny English RebornÂ "/>
        <s v="A Simple WishÂ "/>
        <s v="Before MidnightÂ "/>
        <s v="Dirty Pretty ThingsÂ "/>
        <s v="BellaÂ "/>
        <s v="Code Name: The CleanerÂ "/>
        <s v="Inherent ViceÂ "/>
        <s v="HootÂ "/>
        <s v="SleepoverÂ "/>
        <s v="Connie and CarlaÂ "/>
        <s v="The Painted VeilÂ "/>
        <s v="Mad Hot BallroomÂ "/>
        <s v="WooÂ "/>
        <s v="The Texas Chainsaw Massacre 2Â "/>
        <s v="The Greatest Story Ever ToldÂ "/>
        <s v="The Legend of the Lone RangerÂ "/>
        <s v="Annie Get Your GunÂ "/>
        <s v="Pirate RadioÂ "/>
        <s v="Dazed and ConfusedÂ "/>
        <s v="Punisher: War ZoneÂ "/>
        <s v="ArbitrageÂ "/>
        <s v="Miracle at St. AnnaÂ "/>
        <s v="Teen Wolf TooÂ "/>
        <s v="Serial MomÂ "/>
        <s v="City of EmberÂ "/>
        <s v="The Ice StormÂ "/>
        <s v="Hoop DreamsÂ "/>
        <s v="The Night ListenerÂ "/>
        <s v="SlitherÂ "/>
        <s v="Bad WordsÂ "/>
        <s v="In BrugesÂ "/>
        <s v="Being JuliaÂ "/>
        <s v="Tupac: ResurrectionÂ "/>
        <s v="Kevin Hart: Laugh at My PainÂ "/>
        <s v="Sarah's KeyÂ "/>
        <s v="The Imaginarium of Doctor ParnassusÂ "/>
        <s v="The OrderÂ "/>
        <s v="MortdecaiÂ "/>
        <s v="While We're YoungÂ "/>
        <s v="HackersÂ "/>
        <s v="Over Her Dead BodyÂ "/>
        <s v="City of GodÂ "/>
        <s v="The Jerky BoysÂ "/>
        <s v="Promised LandÂ "/>
        <s v="Dolphins and Whales 3D: Tribes of the OceanÂ "/>
        <s v="Barney's VersionÂ "/>
        <s v="The Curse of the Jade ScorpionÂ "/>
        <s v="Martian ChildÂ "/>
        <s v="A Good YearÂ "/>
        <s v="CyrusÂ "/>
        <s v="Taking WoodstockÂ "/>
        <s v="Harley Davidson and the Marlboro ManÂ "/>
        <s v="KidsÂ "/>
        <s v="DoogalÂ "/>
        <s v="WitchboardÂ "/>
        <s v="The Squid and the WhaleÂ "/>
        <s v="Outside ProvidenceÂ "/>
        <s v="Phantasm IIÂ "/>
        <s v="Machete KillsÂ "/>
        <s v="Run Lola RunÂ "/>
        <s v="Big TroubleÂ "/>
        <s v="All the King's MenÂ "/>
        <s v="Mulholland DriveÂ "/>
        <s v="The Big YearÂ "/>
        <s v="The Green InfernoÂ "/>
        <s v="The OrphanageÂ "/>
        <s v="The HoaxÂ "/>
        <s v="American DreamzÂ "/>
        <s v="She's Gotta Have ItÂ "/>
        <s v="A SeparationÂ "/>
        <s v="BlackhatÂ "/>
        <s v="How She MoveÂ "/>
        <s v="QuillsÂ "/>
        <s v="Phat GirlzÂ "/>
        <s v="Kissing Jessica SteinÂ "/>
        <s v="Black NativityÂ "/>
        <s v="CrossoverÂ "/>
        <s v="The Triplets of BellevilleÂ "/>
        <s v="An American CarolÂ "/>
        <s v="Raise the TitanicÂ "/>
        <s v="Our Brand Is CrisisÂ "/>
        <s v="ScrewedÂ "/>
        <s v="Sexy BeastÂ "/>
        <s v="Take Me Home TonightÂ "/>
        <s v="Woman Thou Art LoosedÂ "/>
        <s v="Cedar RapidsÂ "/>
        <s v="IncendiesÂ "/>
        <s v="Running ScaredÂ "/>
        <s v="WillardÂ "/>
        <s v="The Spectacular NowÂ "/>
        <s v="200 CigarettesÂ "/>
        <s v="The CollectionÂ "/>
        <s v="Moonlight MileÂ "/>
        <s v="In the Valley of ElahÂ "/>
        <s v="ThunderbirdsÂ "/>
        <s v="The ForsakenÂ "/>
        <s v="Running with ScissorsÂ "/>
        <s v="FortressÂ "/>
        <s v="9Â½ WeeksÂ "/>
        <s v="Smoke SignalsÂ "/>
        <s v="Town &amp; CountryÂ "/>
        <s v="American History XÂ "/>
        <s v="Roger &amp; MeÂ "/>
        <s v="City IslandÂ "/>
        <s v="Seeking a Friend for the End of the WorldÂ "/>
        <s v="The Last StationÂ "/>
        <s v="The SavagesÂ "/>
        <s v="Bride &amp; PrejudiceÂ "/>
        <s v="The GrandmasterÂ "/>
        <s v="Femme FataleÂ "/>
        <s v="Curse of the Golden FlowerÂ "/>
        <s v="Strange WildernessÂ "/>
        <s v="I Dreamed of AfricaÂ "/>
        <s v="Winter's BoneÂ "/>
        <s v="The Rules of AttractionÂ "/>
        <s v="Maria Full of GraceÂ "/>
        <s v="Baahubali: The BeginningÂ "/>
        <s v="Teacher's PetÂ "/>
        <s v="SwitchbackÂ "/>
        <s v="The Big BounceÂ "/>
        <s v="The Young MessiahÂ "/>
        <s v="Warriors of VirtueÂ "/>
        <s v="Little BoyÂ "/>
        <s v="The RockerÂ "/>
        <s v="My Own Private IdahoÂ "/>
        <s v="Gods and MonstersÂ "/>
        <s v="Post GradÂ "/>
        <s v="It's Kind of a Funny StoryÂ "/>
        <s v="The JacketÂ "/>
        <s v="What Planet Are You From?Â "/>
        <s v="All Is LostÂ "/>
        <s v="DickÂ "/>
        <s v="Mambo ItalianoÂ "/>
        <s v="Topsy-TurvyÂ "/>
        <s v="Ghost WorldÂ "/>
        <s v="The Straight StoryÂ "/>
        <s v="Nowhere in AfricaÂ "/>
        <s v="A Very Long EngagementÂ "/>
        <s v="Rabbit-Proof FenceÂ "/>
        <s v="UHFÂ "/>
        <s v="Beyond the SeaÂ "/>
        <s v="Chasing PapiÂ "/>
        <s v="ImpostorÂ "/>
        <s v="Coco Before ChanelÂ "/>
        <s v="The InterviewÂ "/>
        <s v="The Good, the Bad and the UglyÂ "/>
        <s v="Grandma's BoyÂ "/>
        <s v="The Family StoneÂ "/>
        <s v="The Way of the GunÂ "/>
        <s v="Deuces WildÂ "/>
        <s v="FoolishÂ "/>
        <s v="American SplendorÂ "/>
        <s v="Chasing MavericksÂ "/>
        <s v="DragonslayerÂ "/>
        <s v="Lawrence of ArabiaÂ "/>
        <s v="Run, Fatboy, RunÂ "/>
        <s v="The SessionsÂ "/>
        <s v="The Diving Bell and the ButterflyÂ "/>
        <s v="Megiddo: The Omega Code 2Â "/>
        <s v="Lars and the Real GirlÂ "/>
        <s v="The Last LegionÂ "/>
        <s v="Evil Dead IIÂ "/>
        <s v="HighlanderÂ "/>
        <s v="Cry FreedomÂ "/>
        <s v="Casa de mi PadreÂ "/>
        <s v="Ed WoodÂ "/>
        <s v="Against the RopesÂ "/>
        <s v="Light It UpÂ "/>
        <s v="Basic Instinct 2Â "/>
        <s v="Real Women Have CurvesÂ "/>
        <s v="Before SunsetÂ "/>
        <s v="BeginnersÂ "/>
        <s v="Victor FrankensteinÂ "/>
        <s v="Lucky YouÂ "/>
        <s v="A Most Violent YearÂ "/>
        <s v="The Station AgentÂ "/>
        <s v="Get on the BusÂ "/>
        <s v="El crimen del padre AmaroÂ "/>
        <s v="A Dangerous MethodÂ "/>
        <s v="Mongol: The Rise of Genghis KhanÂ "/>
        <s v="RocknRollaÂ "/>
        <s v="Who's Your Caddy?Â "/>
        <s v="For Greater Glory: The True Story of CristiadaÂ "/>
        <s v="The Warrior's WayÂ "/>
        <s v="GigliÂ "/>
        <s v="UnderclassmanÂ "/>
        <s v="Mary ReillyÂ "/>
        <s v="Central StationÂ "/>
        <s v="For Your ConsiderationÂ "/>
        <s v="KundunÂ "/>
        <s v="Aqua Teen Hunger Force Colon Movie Film for TheatersÂ "/>
        <s v="Say It Isn't SoÂ "/>
        <s v="DownfallÂ "/>
        <s v="Rescue DawnÂ "/>
        <s v="A Scanner DarklyÂ "/>
        <s v="Slums of Beverly HillsÂ "/>
        <s v="Little ChildrenÂ "/>
        <s v="Split SecondÂ "/>
        <s v="MonkeyboneÂ "/>
        <s v="Before SunriseÂ "/>
        <s v="Amores PerrosÂ "/>
        <s v="The GuardÂ "/>
        <s v="October BabyÂ "/>
        <s v="Shine a LightÂ "/>
        <s v="Margin CallÂ "/>
        <s v="Danny CollinsÂ "/>
        <s v="MegaforceÂ "/>
        <s v="MadeÂ "/>
        <s v="Won't Back DownÂ "/>
        <s v="Whatever WorksÂ "/>
        <s v="Once Upon a Time in AmericaÂ "/>
        <s v="The Skeleton TwinsÂ "/>
        <s v="Hollywood ShuffleÂ "/>
        <s v="The In CrowdÂ "/>
        <s v="BandslamÂ "/>
        <s v="Formula 51Â "/>
        <s v="Alone in the DarkÂ "/>
        <s v="ExoticaÂ "/>
        <s v="The World's Fastest IndianÂ "/>
        <s v="GossipÂ "/>
        <s v="BiutifulÂ "/>
        <s v="The Hotel New HampshireÂ "/>
        <s v="CelebrityÂ "/>
        <s v="Three BurialsÂ "/>
        <s v="Woman on TopÂ "/>
        <s v="MoonÂ "/>
        <s v="BirthÂ "/>
        <s v="I Am LoveÂ "/>
        <s v="Bubble BoyÂ "/>
        <s v="Darling LiliÂ "/>
        <s v="The Beast from 20,000 FathomsÂ "/>
        <s v="Club DreadÂ "/>
        <s v="Jakob the LiarÂ "/>
        <s v="20 Feet from StardomÂ "/>
        <s v="The ApparitionÂ "/>
        <s v="From Justin to KellyÂ "/>
        <s v="Birthday GirlÂ "/>
        <s v="Girl 6Â "/>
        <s v="Invaders from MarsÂ "/>
        <s v="Hamlet 2Â "/>
        <s v="The Virgin SuicidesÂ "/>
        <s v="Paris, je t'aimeÂ "/>
        <s v="Hollywood EndingÂ "/>
        <s v="Extreme OpsÂ "/>
        <s v="The LibertineÂ "/>
        <s v="SlackersÂ "/>
        <s v="Mao's Last DancerÂ "/>
        <s v="Just VisitingÂ "/>
        <s v="Welcome to the DollhouseÂ "/>
        <s v="A Walk on the MoonÂ "/>
        <s v="DuetsÂ "/>
        <s v="The Other Side of HeavenÂ "/>
        <s v="In the CutÂ "/>
        <s v="Howl's Moving CastleÂ "/>
        <s v="90 Minutes in HeavenÂ "/>
        <s v="CollegeÂ "/>
        <s v="Held UpÂ "/>
        <s v="Igby Goes DownÂ "/>
        <s v="Radio FlyerÂ "/>
        <s v="Let's Go to PrisonÂ "/>
        <s v="River's EdgeÂ "/>
        <s v="ThirteenÂ "/>
        <s v="Little VoiceÂ "/>
        <s v="Love in the Time of CholeraÂ "/>
        <s v="Touching the VoidÂ "/>
        <s v="SnowpiercerÂ "/>
        <s v="MumfordÂ "/>
        <s v="Miss MarchÂ "/>
        <s v="In the Name of the King: A Dungeon Siege TaleÂ "/>
        <s v="SwingersÂ "/>
        <s v="Blood In, Blood OutÂ "/>
        <s v="FlawlessÂ "/>
        <s v="MindhuntersÂ "/>
        <s v="AnonymousÂ "/>
        <s v="PersepolisÂ "/>
        <s v="Bright StarÂ "/>
        <s v="The Railway ManÂ "/>
        <s v="Beyond BordersÂ "/>
        <s v="Food, Inc.Â "/>
        <s v="HamletÂ "/>
        <s v="Black BookÂ "/>
        <s v="Simply IrresistibleÂ "/>
        <s v="Solitary ManÂ "/>
        <s v="BogusÂ "/>
        <s v="On the LineÂ "/>
        <s v="PCUÂ "/>
        <s v="Keeping Up with the SteinsÂ "/>
        <s v="Inside JobÂ "/>
        <s v="Meet the DeedlesÂ "/>
        <s v="The Sweet HereafterÂ "/>
        <s v="Four RoomsÂ "/>
        <s v="Catch a FireÂ "/>
        <s v="Goal! The Dream BeginsÂ "/>
        <s v="GlitterÂ "/>
        <s v="Young Sherlock HolmesÂ "/>
        <s v="Jeff, Who Lives at HomeÂ "/>
        <s v="Men with BroomsÂ "/>
        <s v="Kiss Kiss Bang BangÂ "/>
        <s v="Flash of GeniusÂ "/>
        <s v="The LunchboxÂ "/>
        <s v="Detroit Rock CityÂ "/>
        <s v="The Water DivinerÂ "/>
        <s v="Lovely &amp; AmazingÂ "/>
        <s v="East Is EastÂ "/>
        <s v="Dancer in the DarkÂ "/>
        <s v="WhippedÂ "/>
        <s v="Witless ProtectionÂ "/>
        <s v="Kama Sutra: A Tale of LoveÂ "/>
        <s v="The Raid: RedemptionÂ "/>
        <s v="Sea Rex 3D: Journey to a Prehistoric WorldÂ "/>
        <s v="The Visual Bible: The Gospel of JohnÂ "/>
        <s v="Tank GirlÂ "/>
        <s v="Good Bye Lenin!Â "/>
        <s v="Frances HaÂ "/>
        <s v="SecretaryÂ "/>
        <s v="Bottle ShockÂ "/>
        <s v="Please GiveÂ "/>
        <s v="My Name Is KhanÂ "/>
        <s v="Safety Not GuaranteedÂ "/>
        <s v="King's RansomÂ "/>
        <s v="Idle HandsÂ "/>
        <s v="I'm Not There.Â "/>
        <s v="ShameÂ "/>
        <s v="American Ninja 2: The ConfrontationÂ "/>
        <s v="Mr. TurnerÂ "/>
        <s v="Charlie BartlettÂ "/>
        <s v="Of Gods and MenÂ "/>
        <s v="The Assassination of Jesse James by the Coward Robert FordÂ "/>
        <s v="Warlock: The ArmageddonÂ "/>
        <s v="L'auberge espagnoleÂ "/>
        <s v="Me and You and Everyone We KnowÂ "/>
        <s v="Yeh Jawaani Hai DeewaniÂ "/>
        <s v="IdaÂ "/>
        <s v="Better Luck TomorrowÂ "/>
        <s v="BoundÂ "/>
        <s v="To Save a LifeÂ "/>
        <s v="The ClassÂ "/>
        <s v="Vera DrakeÂ "/>
        <s v="The Merchant of VeniceÂ "/>
        <s v="The Cold Light of DayÂ "/>
        <s v="The Real CancunÂ "/>
        <s v="Midnight SpecialÂ "/>
        <s v="SunshineÂ "/>
        <s v="Lock, Stock and Two Smoking BarrelsÂ "/>
        <s v="High TensionÂ "/>
        <s v="The ChorusÂ "/>
        <s v="Requiem for a DreamÂ "/>
        <s v="We Are Your FriendsÂ "/>
        <s v="Wish I Was HereÂ "/>
        <s v="The RunawaysÂ "/>
        <s v="Cats Don't DanceÂ "/>
        <s v="8 Heads in a Duffel BagÂ "/>
        <s v="Blood and ChocolateÂ "/>
        <s v="The Brothers BloomÂ "/>
        <s v="The Good ThiefÂ "/>
        <s v="The WraithÂ "/>
        <s v="A Fistful of DollarsÂ "/>
        <s v="Talk RadioÂ "/>
        <s v="The To Do ListÂ "/>
        <s v="AnomalisaÂ "/>
        <s v="The Barbarian InvasionsÂ "/>
        <s v="The Ultimate GiftÂ "/>
        <s v="Metallica Through the NeverÂ "/>
        <s v="Like CrazyÂ "/>
        <s v="Next Stop WonderlandÂ "/>
        <s v="The Work and the GloryÂ "/>
        <s v="Harsh TimesÂ "/>
        <s v="Atlas Shrugged II: The StrikeÂ "/>
        <s v="Robot &amp; FrankÂ "/>
        <s v="Ghost Dog: The Way of the SamuraiÂ "/>
        <s v="Pootie TangÂ "/>
        <s v="Thirteen Conversations About One ThingÂ "/>
        <s v="RizeÂ "/>
        <s v="Romeo Is BleedingÂ "/>
        <s v="Only the StrongÂ "/>
        <s v="The Fifth EstateÂ "/>
        <s v="You Will Meet a Tall Dark StrangerÂ "/>
        <s v="WaterÂ "/>
        <s v="Green RoomÂ "/>
        <s v="PiÂ "/>
        <s v="Another YearÂ "/>
        <s v="Anything ElseÂ "/>
        <s v="The LimeyÂ "/>
        <s v="Resurrecting the ChampÂ "/>
        <s v="ClerksÂ "/>
        <s v="Two LoversÂ "/>
        <s v="MauriceÂ "/>
        <s v="Boynton Beach ClubÂ "/>
        <s v="Obvious ChildÂ "/>
        <s v="WordplayÂ "/>
        <s v="Our Kind of TraitorÂ "/>
        <s v="CompadresÂ "/>
        <s v="SupercrossÂ "/>
        <s v="Soul SurvivorsÂ "/>
        <s v="Celeste &amp; Jesse ForeverÂ "/>
        <s v="RosewaterÂ "/>
        <s v="Synecdoche, New YorkÂ "/>
        <s v="8 WomenÂ "/>
        <s v="ChloeÂ "/>
        <s v="BlindnessÂ "/>
        <s v="JawbreakerÂ "/>
        <s v="Sunshine StateÂ "/>
        <s v="MaloneÂ "/>
        <s v="SongcatcherÂ "/>
        <s v="Heavenly CreaturesÂ "/>
        <s v="Jab Tak Hai JaanÂ "/>
        <s v="The House of MirthÂ "/>
        <s v="The GuruÂ "/>
        <s v="MelancholiaÂ "/>
        <s v="Hedwig and the Angry InchÂ "/>
        <s v="Albert NobbsÂ "/>
        <s v="HappinessÂ "/>
        <s v="Top HatÂ "/>
        <s v="Over the Hill to the PoorhouseÂ "/>
        <s v="Martha Marcy May MarleneÂ "/>
        <s v="Miss PotterÂ "/>
        <s v="Before I Go to SleepÂ "/>
        <s v="BasquiatÂ "/>
        <s v="Man on WireÂ "/>
        <s v="The PirateÂ "/>
        <s v="GracieÂ "/>
        <s v="Isn't She GreatÂ "/>
        <s v="MetropolitanÂ "/>
        <s v="ChokeÂ "/>
        <s v="Veer-ZaaraÂ "/>
        <s v="TsotsiÂ "/>
        <s v="Cradle Will RockÂ "/>
        <s v="Waiting for GuffmanÂ "/>
        <s v="TadpoleÂ "/>
        <s v="The Hudsucker ProxyÂ "/>
        <s v="Home RunÂ "/>
        <s v="In the Company of MenÂ "/>
        <s v="AirborneÂ "/>
        <s v="Things We Lost in the FireÂ "/>
        <s v="Letters to GodÂ "/>
        <s v="eXistenZÂ "/>
        <s v="The Great BeautyÂ "/>
        <s v="Filly BrownÂ "/>
        <s v="The Perez FamilyÂ "/>
        <s v="Reservoir DogsÂ "/>
        <s v="The Broadway MelodyÂ "/>
        <s v="Return to the Blue LagoonÂ "/>
        <s v="Love StinksÂ "/>
        <s v="How to Lose Friends &amp; Alienate PeopleÂ "/>
        <s v="Straight Out of BrooklynÂ "/>
        <s v="Everything Must GoÂ "/>
        <s v="ChÃ©riÂ "/>
        <s v="The History BoysÂ "/>
        <s v="Half NelsonÂ "/>
        <s v="Bobby Jones: Stroke of GeniusÂ "/>
        <s v="Easy VirtueÂ "/>
        <s v="The MightyÂ "/>
        <s v="Under the SkinÂ "/>
        <s v="SamsaraÂ "/>
        <s v="Richard IIIÂ "/>
        <s v="N-SecureÂ "/>
        <s v="CaptiveÂ "/>
        <s v="Love and Death on Long IslandÂ "/>
        <s v="Frozen RiverÂ "/>
        <s v="Grace UnpluggedÂ "/>
        <s v="Full FrontalÂ "/>
        <s v="The Lost CityÂ "/>
        <s v="Jefferson in ParisÂ "/>
        <s v="Kill the MessengerÂ "/>
        <s v="The HomesmanÂ "/>
        <s v="The Grace CardÂ "/>
        <s v="You Kill MeÂ "/>
        <s v="Never Let Me GoÂ "/>
        <s v="The GatekeepersÂ "/>
        <s v="Buffalo '66Â "/>
        <s v="Pieces of AprilÂ "/>
        <s v="Bon voyageÂ "/>
        <s v="RedbeltÂ "/>
        <s v="Layer CakeÂ "/>
        <s v="Bucky Larson: Born to Be a StarÂ "/>
        <s v="Last OrdersÂ "/>
        <s v="TranceÂ "/>
        <s v="Shanghai SurpriseÂ "/>
        <s v="Hav PlentyÂ "/>
        <s v="42nd StreetÂ "/>
        <s v="Waltz with BashirÂ "/>
        <s v="AdamÂ "/>
        <s v="Riding GiantsÂ "/>
        <s v="Showdown in Little TokyoÂ "/>
        <s v="The EastÂ "/>
        <s v="CourageÂ "/>
        <s v="DysFunktional FamilyÂ "/>
        <s v="The White RibbonÂ "/>
        <s v="Smilla's Sense of SnowÂ "/>
        <s v="Rabbit HoleÂ "/>
        <s v="The Christmas CandleÂ "/>
        <s v="Perfume: The Story of a MurdererÂ "/>
        <s v="Shattered GlassÂ "/>
        <s v="TranssiberianÂ "/>
        <s v="But I'm a CheerleaderÂ "/>
        <s v="Rang De BasantiÂ "/>
        <s v="BamboozledÂ "/>
        <s v="OldboyÂ "/>
        <s v="Anchorman 2: The Legend ContinuesÂ "/>
        <s v="Shadow ConspiracyÂ "/>
        <s v="A Dog of FlandersÂ "/>
        <s v="Ip Man 3Â "/>
        <s v="MallratsÂ "/>
        <s v="The NutcrackerÂ "/>
        <s v="FaithfulÂ "/>
        <s v="The Sea InsideÂ "/>
        <s v="The WacknessÂ "/>
        <s v="Raising Victor VargasÂ "/>
        <s v="Auto FocusÂ "/>
        <s v="RavenousÂ "/>
        <s v="Beyond the MatÂ "/>
        <s v="El MariachiÂ "/>
        <s v="I Love You Phillip MorrisÂ "/>
        <s v="NovocaineÂ "/>
        <s v="The Work and the Glory II: American ZionÂ "/>
        <s v="Can't Stop the MusicÂ "/>
        <s v="RoarÂ "/>
        <s v="LimboÂ "/>
        <s v="Killer JoeÂ "/>
        <s v="Oliver TwistÂ "/>
        <s v="The ImmigrantÂ "/>
        <s v="ShortbusÂ "/>
        <s v="Zero EffectÂ "/>
        <s v="The Incredibly True Adventure of Two Girls in LoveÂ "/>
        <s v="Crazy in AlabamaÂ "/>
        <s v="The Clan of the Cave BearÂ "/>
        <s v="Two Girls and a GuyÂ "/>
        <s v="Happy, TexasÂ "/>
        <s v="The IcemanÂ "/>
        <s v="The PropositionÂ "/>
        <s v="A Sound of ThunderÂ "/>
        <s v="The Mighty MacsÂ "/>
        <s v="The Horseman on the RoofÂ "/>
        <s v="LegendÂ "/>
        <s v="The Wind That Shakes the BarleyÂ "/>
        <s v="TuskÂ "/>
        <s v="Harry BrownÂ "/>
        <s v="StoneÂ "/>
        <s v="Clay PigeonsÂ "/>
        <s v="The Dangerous Lives of Altar BoysÂ "/>
        <s v="SomewhereÂ "/>
        <s v="A Better LifeÂ "/>
        <s v="FlippedÂ "/>
        <s v="The Broken Hearts Club: A Romantic ComedyÂ "/>
        <s v="We Need to Talk About KevinÂ "/>
        <s v="Take ShelterÂ "/>
        <s v="The Vatican TapesÂ "/>
        <s v="Lady in WhiteÂ "/>
        <s v="StokerÂ "/>
        <s v="Bad Lieutenant: Port of Call New OrleansÂ "/>
        <s v="QuinceaÃ±eraÂ "/>
        <s v="SteelÂ "/>
        <s v="Who Killed the Electric Car?Â "/>
        <s v="The White CountessÂ "/>
        <s v="Factory GirlÂ "/>
        <s v="When the Cat's AwayÂ "/>
        <s v="The CelebrationÂ "/>
        <s v="Marci XÂ "/>
        <s v="SpiderÂ "/>
        <s v="Gun ShyÂ "/>
        <s v="Your Sister's SisterÂ "/>
        <s v="Veronica GuerinÂ "/>
        <s v="AraratÂ "/>
        <s v="BloodRayneÂ "/>
        <s v="Trust the ManÂ "/>
        <s v="MurderballÂ "/>
        <s v="Jane Got a GunÂ "/>
        <s v="Oscar and LucindaÂ "/>
        <s v="Married LifeÂ "/>
        <s v="Heaven's GateÂ "/>
        <s v="Night WatchÂ "/>
        <s v="The Diary of a Teenage GirlÂ "/>
        <s v="The JonesesÂ "/>
        <s v="Nowhere BoyÂ "/>
        <s v="No End in SightÂ "/>
        <s v="The Art of Getting ByÂ "/>
        <s v="I Hope They Serve Beer in HellÂ "/>
        <s v="NorthforkÂ "/>
        <s v="From a Whisper to a ScreamÂ "/>
        <s v="Saving Private PerezÂ "/>
        <s v="The Devil's DoubleÂ "/>
        <s v="Snow Flower and the Secret FanÂ "/>
        <s v="Dear FrankieÂ "/>
        <s v="The Little PrinceÂ "/>
        <s v="The Neon DemonÂ "/>
        <s v="ThumbsuckerÂ "/>
        <s v="Another EarthÂ "/>
        <s v="Saints and SoldiersÂ "/>
        <s v="Nicholas NicklebyÂ "/>
        <s v="The Good GermanÂ "/>
        <s v="Funny GamesÂ "/>
        <s v="Dogtown and Z-BoysÂ "/>
        <s v="Kansas CityÂ "/>
        <s v="IrisÂ "/>
        <s v="Jesus' SonÂ "/>
        <s v="TumbleweedsÂ "/>
        <s v="Walking and TalkingÂ "/>
        <s v="Cecil B. DeMentedÂ "/>
        <s v="MicmacsÂ "/>
        <s v="The Singles WardÂ "/>
        <s v="Tristram Shandy: A Cock and Bull StoryÂ "/>
        <s v="For a Good Time, Call...Â "/>
        <s v="Monty Python and the Holy GrailÂ "/>
        <s v="SlackerÂ "/>
        <s v="The FuneralÂ "/>
        <s v="Nine QueensÂ "/>
        <s v="Namastey LondonÂ "/>
        <s v="Child 44Â "/>
        <s v="Excessive ForceÂ "/>
        <s v="District B13Â "/>
        <s v="HeadhuntersÂ "/>
        <s v="EquilibriumÂ "/>
        <s v="Me and Orson WellesÂ "/>
        <s v="Saving FaceÂ "/>
        <s v="4 Months, 3 Weeks and 2 DaysÂ "/>
        <s v="Dylan Dog: Dead of NightÂ "/>
        <s v="Slow BurnÂ "/>
        <s v="Find Me GuiltyÂ "/>
        <s v="HousefullÂ "/>
        <s v="The Lords of SalemÂ "/>
        <s v="InfamousÂ "/>
        <s v="L.I.E.Â "/>
        <s v="In the Shadow of the MoonÂ "/>
        <s v="OsamaÂ "/>
        <s v="GrooveÂ "/>
        <s v="The R.M.Â "/>
        <s v="Mother and ChildÂ "/>
        <s v="Tae Guk Gi: The Brotherhood of WarÂ "/>
        <s v="Light SleeperÂ "/>
        <s v="The Book of Mormon Movie, Volume 1: The JourneyÂ "/>
        <s v="Brick LaneÂ "/>
        <s v="Made in DagenhamÂ "/>
        <s v="The Perfect GameÂ "/>
        <s v="What Just HappenedÂ "/>
        <s v="The MachinistÂ "/>
        <s v="Blood and WineÂ "/>
        <s v="When Did You Last See Your Father?Â "/>
        <s v="There Be DragonsÂ "/>
        <s v="September DawnÂ "/>
        <s v="The Oogieloves in the Big Balloon AdventureÂ "/>
        <s v="CaramelÂ "/>
        <s v="WonderlandÂ "/>
        <s v="Peaceful WarriorÂ "/>
        <s v="Chuck &amp; BuckÂ "/>
        <s v="Joyeux NoelÂ "/>
        <s v="UndiscoveredÂ "/>
        <s v="Velvet GoldmineÂ "/>
        <s v="Bottle RocketÂ "/>
        <s v="Casino JackÂ "/>
        <s v="A Home at the End of the WorldÂ "/>
        <s v="BuriedÂ "/>
        <s v="The Business of StrangersÂ "/>
        <s v="The Children of Huang ShiÂ "/>
        <s v="UrbaniaÂ "/>
        <s v="Attack the BlockÂ "/>
        <s v="Owning MahownyÂ "/>
        <s v="Hard CandyÂ "/>
        <s v="Damsels in DistressÂ "/>
        <s v="Ruby in ParadiseÂ "/>
        <s v="CaravansÂ "/>
        <s v="March or DieÂ "/>
        <s v="My Summer of LoveÂ "/>
        <s v="Twin Falls IdahoÂ "/>
        <s v="SlamÂ "/>
        <s v="Thr3eÂ "/>
        <s v="Meek's CutoffÂ "/>
        <s v="The BeaverÂ "/>
        <s v="Diary of the DeadÂ "/>
        <s v="Aimee &amp; JaguarÂ "/>
        <s v="Children of HeavenÂ "/>
        <s v="Sholem Aleichem: Laughing in the DarknessÂ "/>
        <s v="American DesiÂ "/>
        <s v="The Brothers SolomonÂ "/>
        <s v="La otra conquistaÂ "/>
        <s v="Princess KaiulaniÂ "/>
        <s v="The YardsÂ "/>
        <s v="The Blood of HeroesÂ "/>
        <s v="The Hunting PartyÂ "/>
        <s v="Ta Ra Rum PumÂ "/>
        <s v="ControlÂ "/>
        <s v="Where the Truth LiesÂ "/>
        <s v="Beastmaster 2: Through the Portal of TimeÂ "/>
        <s v="My Blueberry NightsÂ "/>
        <s v="MirrormaskÂ "/>
        <s v="DumaÂ "/>
        <s v="Wendy and LucyÂ "/>
        <s v="Higher GroundÂ "/>
        <s v="IlluminataÂ "/>
        <s v="Atlas Shrugged: Who Is John Galt?Â "/>
        <s v="DÃ©jÃ  VuÂ "/>
        <s v="Latter DaysÂ "/>
        <s v="Felicia's JourneyÂ "/>
        <s v="SphinxÂ "/>
        <s v="The BarbariansÂ "/>
        <s v="Brigham CityÂ "/>
        <s v="Saint RalphÂ "/>
        <s v="Darling CompanionÂ "/>
        <s v="The Toxic Avenger Part IIÂ "/>
        <s v="Only God ForgivesÂ "/>
        <s v="Without LimitsÂ "/>
        <s v="The WailingÂ "/>
        <s v="Bloody SundayÂ "/>
        <s v="The TenÂ "/>
        <s v="The StatementÂ "/>
        <s v="CoriolanusÂ "/>
        <s v="IrreversibleÂ "/>
        <s v="Palo AltoÂ "/>
        <s v="Donnie DarkoÂ "/>
        <s v="On the RoadÂ "/>
        <s v="CharacterÂ "/>
        <s v="The Ballad of Jack and RoseÂ "/>
        <s v="Mozart's SisterÂ "/>
        <s v="Hobo with a ShotgunÂ "/>
        <s v="Les visiteursÂ "/>
        <s v="Trees LoungeÂ "/>
        <s v="The Caveman's ValentineÂ "/>
        <s v="The Secret of KellsÂ "/>
        <s v="The Salton SeaÂ "/>
        <s v="The CircleÂ "/>
        <s v="Imagine Me &amp; YouÂ "/>
        <s v="The Princess and the CobblerÂ "/>
        <s v="The PromiseÂ "/>
        <s v="Inside Deep ThroatÂ "/>
        <s v="Alex Rider: Operation StormbreakerÂ "/>
        <s v="Journey from the FallÂ "/>
        <s v="The Greatest Movie Ever SoldÂ "/>
        <s v="MoliÃ¨reÂ "/>
        <s v="Ride with the DevilÂ "/>
        <s v="Texas RangersÂ "/>
        <s v="AjamiÂ "/>
        <s v="AgoraÂ "/>
        <s v="I Served the King of EnglandÂ "/>
        <s v="TrekkiesÂ "/>
        <s v="The AssassinÂ "/>
        <s v="Le HavreÂ "/>
        <s v="FizaÂ "/>
        <s v="The HuntÂ "/>
        <s v="The BasketÂ "/>
        <s v="Mean CreekÂ "/>
        <s v="Swept AwayÂ "/>
        <s v="Blue Like JazzÂ "/>
        <s v="TarnationÂ "/>
        <s v="OrgazmoÂ "/>
        <s v="War, Inc.Â "/>
        <s v="All Good ThingsÂ "/>
        <s v="Down in the ValleyÂ "/>
        <s v="Dancer, Texas Pop. 81Â "/>
        <s v="Dum Maaro DumÂ "/>
        <s v="Poolhall JunkiesÂ "/>
        <s v="IndignationÂ "/>
        <s v="The Lost Medallion: The Adventures of Billy StoneÂ "/>
        <s v="OndineÂ "/>
        <s v="All the Real GirlsÂ "/>
        <s v="Winter in WartimeÂ "/>
        <s v="Romance &amp; CigarettesÂ "/>
        <s v="Machine Gun PreacherÂ "/>
        <s v="20 DatesÂ "/>
        <s v="The Virginity HitÂ "/>
        <s v="Masked and AnonymousÂ "/>
        <s v="FreeheldÂ "/>
        <s v="PrefontaineÂ "/>
        <s v="Standing OvationÂ "/>
        <s v="By the SeaÂ "/>
        <s v="Things to Do in Denver When You're DeadÂ "/>
        <s v="EarthÂ "/>
        <s v="Dom HemingwayÂ "/>
        <s v="A Hard Day's NightÂ "/>
        <s v="The Names of LoveÂ "/>
        <s v="DelgoÂ "/>
        <s v="BullyÂ "/>
        <s v="MadisonÂ "/>
        <s v="Travelers and MagiciansÂ "/>
        <s v="The ReturnÂ "/>
        <s v="The Passion of the ChristÂ "/>
        <s v="CubeÂ "/>
        <s v="Shaolin SoccerÂ "/>
        <s v="The Act of KillingÂ "/>
        <s v="DOA: Dead or AliveÂ "/>
        <s v="The Baader Meinhof ComplexÂ "/>
        <s v="Beer LeagueÂ "/>
        <s v="WeekendÂ "/>
        <s v="SubmarineÂ "/>
        <s v="Dream with the FishesÂ "/>
        <s v="Blue CarÂ "/>
        <s v="The Last ShotÂ "/>
        <s v="The Extra ManÂ "/>
        <s v="The Damned UnitedÂ "/>
        <s v="BrotherÂ "/>
        <s v="DekalogÂ             "/>
        <s v="ClockwatchersÂ "/>
        <s v="Brotherly LoveÂ "/>
        <s v="The HammerÂ "/>
        <s v="CircumstanceÂ "/>
        <s v="IdiocracyÂ "/>
        <s v="Savage GraceÂ "/>
        <s v="LuminariasÂ "/>
        <s v="I Want Your MoneyÂ "/>
        <s v="PrimerÂ "/>
        <s v="Killing ZoeÂ "/>
        <s v="BacheloretteÂ "/>
        <s v="SpunÂ "/>
        <s v="The BelieverÂ "/>
        <s v="Sound of My VoiceÂ "/>
        <s v="The ClaimÂ "/>
        <s v="Wild GrassÂ "/>
        <s v="Snow AngelsÂ "/>
        <s v="JindabyneÂ "/>
        <s v="The Loss of Sexual InnocenceÂ "/>
        <s v="The 5th QuarterÂ "/>
        <s v="Brooklyn RulesÂ "/>
        <s v="YesÂ "/>
        <s v="My Life Without MeÂ "/>
        <s v="Tiny FurnitureÂ "/>
        <s v="HesherÂ "/>
        <s v="Short Cut to Nirvana: Kumbh MelaÂ "/>
        <s v="The QuietÂ "/>
        <s v="The Last Sin EaterÂ "/>
        <s v="Conversations with Other WomenÂ "/>
        <s v="Coming HomeÂ "/>
        <s v="The Second MotherÂ "/>
        <s v="The Game of Their LivesÂ "/>
        <s v="Session 9Â "/>
        <s v="Fish TankÂ "/>
        <s v="JoeÂ "/>
        <s v="House of DÂ "/>
        <s v="The Brown BunnyÂ "/>
        <s v="PrisonÂ "/>
        <s v="Buffalo SoldiersÂ "/>
        <s v="Copying BeethovenÂ "/>
        <s v="Khiladi 786Â "/>
        <s v="Two Evil EyesÂ "/>
        <s v="TeethÂ "/>
        <s v="Drinking BuddiesÂ "/>
        <s v="Enter the VoidÂ "/>
        <s v="The Singing DetectiveÂ "/>
        <s v="I OriginsÂ "/>
        <s v="Hurricane StreetsÂ "/>
        <s v="Welcome to CollinwoodÂ "/>
        <s v="Marilyn Hotchkiss' Ballroom Dancing and Charm SchoolÂ "/>
        <s v="This Is EnglandÂ "/>
        <s v="Albino AlligatorÂ "/>
        <s v="City of GhostsÂ "/>
        <s v="SuperÂ "/>
        <s v="The Last WaltzÂ "/>
        <s v="ComplianceÂ "/>
        <s v="AdoreÂ "/>
        <s v="The Yellow HandkerchiefÂ "/>
        <s v="Good KillÂ "/>
        <s v="EllingÂ "/>
        <s v="Chairman of the BoardÂ "/>
        <s v="Rapa NuiÂ "/>
        <s v="Four LionsÂ "/>
        <s v="The Holy GirlÂ "/>
        <s v="The Life Before Her EyesÂ "/>
        <s v="Shooting FishÂ "/>
        <s v="In the Land of Blood and HoneyÂ "/>
        <s v="FidoÂ "/>
        <s v="Party MonsterÂ "/>
        <s v="Never AgainÂ "/>
        <s v="Antarctica: A Year on IceÂ "/>
        <s v="The Battle of Shaker HeightsÂ "/>
        <s v="Life During WartimeÂ "/>
        <s v="Smiling Fish &amp; Goat on FireÂ "/>
        <s v="Taxi to the Dark SideÂ "/>
        <s v="Soul KitchenÂ "/>
        <s v="Southland TalesÂ "/>
        <s v="Seven SamuraiÂ "/>
        <s v="Morvern CallarÂ "/>
        <s v="Psycho Beach PartyÂ "/>
        <s v="The TempestÂ "/>
        <s v="2046Â "/>
        <s v="Blue RuinÂ "/>
        <s v="Old JoyÂ "/>
        <s v="Love's Abiding JoyÂ "/>
        <s v="TrollhunterÂ "/>
        <s v="Sex with StrangersÂ "/>
        <s v="My Dog TulipÂ "/>
        <s v="The Chambermaid on the TitanicÂ "/>
        <s v="The Legend of God's GunÂ "/>
        <s v="Civil BrandÂ "/>
        <s v="George WashingtonÂ "/>
        <s v="Gandhi, My FatherÂ "/>
        <s v="Driving LessonsÂ "/>
        <s v="MonstersÂ "/>
        <s v="GerryÂ "/>
        <s v="Wah-WahÂ "/>
        <s v="The SwindleÂ "/>
        <s v="The Blue RoomÂ "/>
        <s v="One Man's HeroÂ "/>
        <s v="Slow WestÂ "/>
        <s v="Standard Operating ProcedureÂ "/>
        <s v="Imaginary HeroesÂ "/>
        <s v="Guiana 1838Â "/>
        <s v="High Heels and Low LifesÂ "/>
        <s v="AmourÂ "/>
        <s v="Remember Me, My LoveÂ "/>
        <s v="Tucker and Dale vs EvilÂ "/>
        <s v="World's Greatest DadÂ "/>
        <s v="Fur: An Imaginary Portrait of Diane ArbusÂ "/>
        <s v="Ira &amp; AbbyÂ "/>
        <s v="Call + ResponseÂ "/>
        <s v="The Killer Inside MeÂ "/>
        <s v="TradeÂ "/>
        <s v="Love and Other CatastrophesÂ "/>
        <s v="CJ7Â "/>
        <s v="Alias BettyÂ "/>
        <s v="I Married a Strange Person!Â "/>
        <s v="Tim and Eric's Billion Dollar MovieÂ "/>
        <s v="BlackthornÂ "/>
        <s v="SherrybabyÂ "/>
        <s v="Code 46Â "/>
        <s v="The Heart of MeÂ "/>
        <s v="I Want Someone to Eat Cheese WithÂ "/>
        <s v="The Puffy ChairÂ "/>
        <s v="NovemberÂ "/>
        <s v="A Woman, a Gun and a Noodle ShopÂ "/>
        <s v="The Nutcracker in 3DÂ "/>
        <s v="Easy MoneyÂ "/>
        <s v="StonewallÂ "/>
        <s v="The Big TeaseÂ "/>
        <s v="Little White LiesÂ "/>
        <s v="AmigoÂ "/>
        <s v="StolenÂ "/>
        <s v="The Lucky OnesÂ "/>
        <s v="The Flower of EvilÂ "/>
        <s v="Lilya 4-EverÂ "/>
        <s v="Pink FlamingosÂ "/>
        <s v="Go for It!Â "/>
        <s v="Sugar TownÂ "/>
        <s v="Breakfast of ChampionsÂ "/>
        <s v="The Business of FancydancingÂ "/>
        <s v="FuelÂ "/>
        <s v="My Name Is BruceÂ "/>
        <s v="Mercy StreetsÂ "/>
        <s v="PolisseÂ "/>
        <s v="Escape from TomorrowÂ "/>
        <s v="Cinco de Mayo, La BatallaÂ "/>
        <s v="The Last GodfatherÂ "/>
        <s v="Modern TimesÂ "/>
        <s v="The Horse BoyÂ "/>
        <s v="The BubbleÂ "/>
        <s v="Lonesome JimÂ "/>
        <s v="Welcome to the RileysÂ "/>
        <s v="Deceptive Practice: The Mysteries and Mentors of Ricky JayÂ "/>
        <s v="Mondays in the SunÂ "/>
        <s v="The Land GirlsÂ "/>
        <s v="MayÂ "/>
        <s v="CarlosÂ             "/>
        <s v="Flame and CitronÂ "/>
        <s v="DeterrenceÂ "/>
        <s v="Once in a Lifetime: The Extraordinary Story of the New York CosmosÂ "/>
        <s v="Desert DancerÂ "/>
        <s v="Chain LetterÂ "/>
        <s v="Critical CareÂ "/>
        <s v="Free StyleÂ "/>
        <s v="Repo! The Genetic OperaÂ "/>
        <s v="BagheadÂ "/>
        <s v="The Last Five YearsÂ "/>
        <s v="SeveranceÂ "/>
        <s v="CleanÂ "/>
        <s v="Love RanchÂ "/>
        <s v="The Other Dream TeamÂ "/>
        <s v="EdmondÂ "/>
        <s v="MaggieÂ "/>
        <s v="Dil Jo Bhi Kahey...Â "/>
        <s v="Kung Fu KillerÂ "/>
        <s v="The WarlordsÂ "/>
        <s v="The EclipseÂ "/>
        <s v="The Good, the Bad, the WeirdÂ "/>
        <s v="1911Â "/>
        <s v="The Wendell Baker StoryÂ "/>
        <s v="The BeyondÂ "/>
        <s v="Police Academy: Mission to MoscowÂ "/>
        <s v="There Goes My BabyÂ "/>
        <s v="Lovely, StillÂ "/>
        <s v="Six-String SamuraiÂ "/>
        <s v="The Masked SaintÂ "/>
        <s v="CenturionÂ "/>
        <s v="People I KnowÂ "/>
        <s v="It's All Gone Pete TongÂ "/>
        <s v="City of Life and DeathÂ "/>
        <s v="Stolen SummerÂ "/>
        <s v="Valley of the Heart's DelightÂ "/>
        <s v="Come Early MorningÂ "/>
        <s v="Wild TargetÂ "/>
        <s v="The GreatestÂ "/>
        <s v="The Other End of the LineÂ "/>
        <s v="Gentlemen BroncosÂ "/>
        <s v="All or NothingÂ "/>
        <s v="Lisa Picard Is FamousÂ "/>
        <s v="BurnÂ "/>
        <s v="The Woman ChaserÂ "/>
        <s v="The Lost Skeleton of CadavraÂ "/>
        <s v="DogtoothÂ "/>
        <s v="Bran Nue DaeÂ "/>
        <s v="Dinner RushÂ "/>
        <s v="PathologyÂ "/>
        <s v="After.LifeÂ "/>
        <s v="Escobar: Paradise LostÂ "/>
        <s v="Road HardÂ "/>
        <s v="BronsonÂ "/>
        <s v="Human TrafficÂ "/>
        <s v="Wristcutters: A Love StoryÂ "/>
        <s v="Winter PassingÂ "/>
        <s v="Survival of the DeadÂ "/>
        <s v="FreakonomicsÂ "/>
        <s v="Saint John of Las VegasÂ "/>
        <s v="The House of the DevilÂ "/>
        <s v="The Good GuyÂ "/>
        <s v="Buen DÃ­a, RamÃ³nÂ "/>
        <s v="Neal 'N' NikkiÂ "/>
        <s v="A Lego BrickumentaryÂ "/>
        <s v="8: The Mormon PropositionÂ "/>
        <s v="The Young and Prodigious T.S. SpivetÂ "/>
        <s v="Desert BlueÂ "/>
        <s v="RubberÂ "/>
        <s v="D.E.B.S.Â "/>
        <s v="HardflipÂ "/>
        <s v="ABCD (Any Body Can Dance)Â "/>
        <s v="Summer StormÂ "/>
        <s v="The CureÂ "/>
        <s v="MotherhoodÂ "/>
        <s v="I Spit on Your GraveÂ "/>
        <s v="The SalonÂ "/>
        <s v="Mean MachineÂ "/>
        <s v="CarriersÂ "/>
        <s v="The Best OfferÂ "/>
        <s v="My Date with DrewÂ "/>
        <s v="HeroÂ "/>
        <s v="51 Birch StreetÂ "/>
        <s v="Blood Done Sign My NameÂ "/>
        <s v="WasabiÂ "/>
        <s v="Water &amp; PowerÂ "/>
        <s v="Middle of NowhereÂ "/>
        <s v="The InnkeepersÂ "/>
        <s v="Nomad: The WarriorÂ "/>
        <s v="Breaking UpwardsÂ "/>
        <s v="Sleep DealerÂ "/>
        <s v="An Everlasting PieceÂ "/>
        <s v="ManderlayÂ "/>
        <s v="Fort McCoyÂ "/>
        <s v="The Midnight Meat TrainÂ "/>
        <s v="Dragon BladeÂ "/>
        <s v="Eye of the DolphinÂ "/>
        <s v="Ernest &amp; CelestineÂ "/>
        <s v="EulogyÂ "/>
        <s v="CaviteÂ "/>
        <s v="Stiff Upper LipsÂ "/>
        <s v="The MessengerÂ "/>
        <s v="DeadfallÂ "/>
        <s v="RedactedÂ "/>
        <s v="Among GiantsÂ "/>
        <s v="The NotebookÂ "/>
        <s v="AberdeenÂ "/>
        <s v="RenaissanceÂ "/>
        <s v="Creative ControlÂ "/>
        <s v="3Â "/>
        <s v="Cheap ThrillsÂ "/>
        <s v="Down and Out with the DollsÂ "/>
        <s v="TrustÂ "/>
        <s v="The Young UnknownsÂ "/>
        <s v="The RoadÂ "/>
        <s v="Beyond the Black RainbowÂ "/>
        <s v="Harvard ManÂ "/>
        <s v="Roadside RomeoÂ "/>
        <s v="RegressionÂ "/>
        <s v="Lucky BreakÂ "/>
        <s v="10th &amp; WolfÂ "/>
        <s v="AloftÂ "/>
        <s v="Finishing the Game: The Search for a New Bruce LeeÂ "/>
        <s v="TruckerÂ "/>
        <s v="My Lucky StarÂ "/>
        <s v="The ChumscrubberÂ "/>
        <s v="The CanyonsÂ "/>
        <s v="ExiledÂ "/>
        <s v="Chocolate: Deep Dark SecretsÂ "/>
        <s v="MadadayoÂ "/>
        <s v="The Perfect HostÂ "/>
        <s v="Interview with the AssassinÂ "/>
        <s v="The MotelÂ "/>
        <s v="MargaretÂ "/>
        <s v="Ca$hÂ "/>
        <s v="Shotgun StoriesÂ "/>
        <s v="Raging BullÂ "/>
        <s v="The Bridge of San Luis ReyÂ "/>
        <s v="Dead SnowÂ "/>
        <s v="Blood TiesÂ "/>
        <s v="The FPÂ "/>
        <s v="First Love, Last RitesÂ "/>
        <s v="Just LookingÂ "/>
        <s v="Dracula: Pages from a Virgin's DiaryÂ "/>
        <s v="TimecrimesÂ "/>
        <s v="DefendorÂ "/>
        <s v="RudderlessÂ "/>
        <s v="Incident at Loch NessÂ "/>
        <s v="Surfer, DudeÂ "/>
        <s v="Not CoolÂ "/>
        <s v="Censored VoicesÂ "/>
        <s v="I Love You, Don't Touch Me!Â "/>
        <s v="Mean StreetsÂ "/>
        <s v="Sisters in LawÂ "/>
        <s v="Kiss the BrideÂ "/>
        <s v="Operation ChromiteÂ "/>
        <s v="Happy ChristmasÂ "/>
        <s v="Time to ChooseÂ "/>
        <s v="The Son of No OneÂ "/>
        <s v="Salvation BoulevardÂ "/>
        <s v="[Rec] 2Â "/>
        <s v="Redemption RoadÂ "/>
        <s v="Mississippi MermaidÂ "/>
        <s v="MetropolisÂ "/>
        <s v="The SweeneyÂ "/>
        <s v="Kill ListÂ "/>
        <s v="FabledÂ "/>
        <s v="Pink Ribbons, Inc.Â "/>
        <s v="The Exploding GirlÂ "/>
        <s v="The Butterfly EffectÂ "/>
        <s v="The Last Days on MarsÂ "/>
        <s v="Lake of FireÂ "/>
        <s v="Arnolds ParkÂ "/>
        <s v="Dear WendyÂ "/>
        <s v="GoodÂ "/>
        <s v="Poultrygeist: Night of the Chicken DeadÂ "/>
        <s v="R100Â "/>
        <s v="All the Queen's MenÂ "/>
        <s v="Winter's TaleÂ "/>
        <s v="The Last Big ThingÂ "/>
        <s v="The DivideÂ "/>
        <s v="Safe MenÂ "/>
        <s v="Born to Fly: Elizabeth Streb vs. GravityÂ "/>
        <s v="The Good NightÂ "/>
        <s v="Futuro BeachÂ "/>
        <s v="Double TakeÂ "/>
        <s v="Song OneÂ "/>
        <s v="L!fe HappensÂ "/>
        <s v="The Good HeartÂ "/>
        <s v="The Hebrew HammerÂ "/>
        <s v="The Open RoadÂ "/>
        <s v="Stake LandÂ "/>
        <s v="One to AnotherÂ "/>
        <s v="A Room for Romeo BrassÂ "/>
        <s v="Donkey PunchÂ "/>
        <s v="The Sticky Fingers of TimeÂ "/>
        <s v="The Missing PersonÂ "/>
        <s v="The Dead GirlÂ "/>
        <s v="5 Days of WarÂ "/>
        <s v="Ayurveda: Art of BeingÂ "/>
        <s v="FascinationÂ "/>
        <s v="MollyÂ "/>
        <s v="Good DickÂ "/>
        <s v="An Alan Smithee Film: Burn Hollywood BurnÂ "/>
        <s v="Time ChangerÂ "/>
        <s v="Trade of InnocentsÂ "/>
        <s v="Major DundeeÂ "/>
        <s v="10 Days in a MadhouseÂ "/>
        <s v="Opal DreamÂ "/>
        <s v="Broken VesselsÂ "/>
        <s v="SupercapitalistÂ "/>
        <s v="The Slaughter RuleÂ "/>
        <s v="The SpecialsÂ "/>
        <s v="ManiacÂ "/>
        <s v="The Last Time I Committed SuicideÂ "/>
        <s v="LondonÂ "/>
        <s v="Leap YearÂ "/>
        <s v="Nothing But a ManÂ "/>
        <s v="The Living WakeÂ "/>
        <s v="Of Horses and MenÂ "/>
        <s v="Gory Gory HallelujahÂ "/>
        <s v="The Amazing CatfishÂ "/>
        <s v="ShadeÂ "/>
        <s v="Naturally NativeÂ "/>
        <s v="Shanghai CallingÂ "/>
        <s v="TrashÂ "/>
        <s v="Alone with HerÂ "/>
        <s v="Pandora's BoxÂ "/>
        <s v="As It Is in HeavenÂ "/>
        <s v="Down TerraceÂ "/>
        <s v="Falcon RisingÂ "/>
        <s v="Pink NarcissusÂ "/>
        <s v="Elite SquadÂ "/>
        <s v="The Lady from ShanghaiÂ "/>
        <s v="Certifiably JonathanÂ "/>
        <s v="Dreaming of Joseph LeesÂ "/>
        <s v="The Brass TeapotÂ "/>
        <s v="SpecialÂ "/>
        <s v="Dead Man's ShoesÂ "/>
        <s v="Top SpinÂ "/>
        <s v="Eden LakeÂ "/>
        <s v="AnatomyÂ "/>
        <s v="Blonde AmbitionÂ "/>
        <s v="SparklerÂ "/>
        <s v="Fighting Tommy RileyÂ "/>
        <s v="Tanner HallÂ "/>
        <s v="Gangster's Paradise: JerusalemaÂ "/>
        <s v="Antarctic Edge: 70Â° SouthÂ "/>
        <s v="The Adventurer: The Curse of the Midas BoxÂ "/>
        <s v="NewlywedsÂ "/>
        <s v="All Is BrightÂ "/>
        <s v="Thunder and the House of MagicÂ "/>
        <s v="InescapableÂ "/>
        <s v="The Knife of Don JuanÂ "/>
        <s v="The Oxford MurdersÂ "/>
        <s v="PontypoolÂ "/>
        <s v="Mi AmericaÂ "/>
        <s v="VampsÂ "/>
        <s v="The Girl on the TrainÂ "/>
        <s v="PlushÂ "/>
        <s v="I Love Your WorkÂ "/>
        <s v="Locker 13Â "/>
        <s v="The Ghastly Love of Johnny XÂ "/>
        <s v="The Harvest/La CosechaÂ "/>
        <s v="The Looking GlassÂ "/>
        <s v="Eddie: The Sleepwalking CannibalÂ "/>
        <s v="Detention of the DeadÂ "/>
        <s v="The Trials of Darryl HuntÂ "/>
        <s v="Perrier's BountyÂ "/>
        <s v="In Her Line of FireÂ "/>
        <s v="The Jimmy ShowÂ "/>
        <s v="Skin TradeÂ "/>
      </sharedItems>
    </cacheField>
    <cacheField name="language" numFmtId="0">
      <sharedItems count="43">
        <s v="English"/>
        <s v="French"/>
        <s v="Aboriginal"/>
        <s v="Maya"/>
        <s v="Japanese"/>
        <s v="Icelandic"/>
        <s v="German"/>
        <s v="Mandarin"/>
        <s v="Chinese"/>
        <s v="Korean"/>
        <s v="Polish"/>
        <s v="Swedish"/>
        <s v="Italian"/>
        <s v="Kannada"/>
        <s v="Hindi"/>
        <s v="Danish"/>
        <s v="Spanish"/>
        <s v="Portuguese"/>
        <s v="Russian"/>
        <s v="Zulu"/>
        <s v="Arabic"/>
        <s v="Cantonese"/>
        <s v="Panjabi"/>
        <s v="Dutch"/>
        <s v="Urdu"/>
        <s v="Slovenian"/>
        <s v="Romanian"/>
        <s v="Swahili"/>
        <s v="Dari"/>
        <s v="Filipino"/>
        <s v="Persian"/>
        <s v="Telugu"/>
        <s v="Mongolian"/>
        <s v="Indonesian"/>
        <s v="Hebrew"/>
        <s v="Norwegian"/>
        <s v="Vietnamese"/>
        <s v="Czech"/>
        <s v="Dzongkha"/>
        <s v="Aramaic"/>
        <s v="Bosnian"/>
        <s v="Greek"/>
        <s v="Kazakh"/>
      </sharedItems>
    </cacheField>
    <cacheField name="country" numFmtId="0">
      <sharedItems/>
    </cacheField>
    <cacheField name="budget" numFmtId="0">
      <sharedItems containsSemiMixedTypes="0" containsString="0" containsNumber="1" minValue="218" maxValue="90000000"/>
    </cacheField>
    <cacheField name="imdb_score" numFmtId="0">
      <sharedItems containsSemiMixedTypes="0" containsString="0" containsNumber="1" minValue="1.6" maxValue="9.5" count="77">
        <n v="6.1"/>
        <n v="5.9"/>
        <n v="6.3"/>
        <n v="5.5"/>
        <n v="7.3"/>
        <n v="7.7"/>
        <n v="7.1"/>
        <n v="7.4"/>
        <n v="6.2"/>
        <n v="6.8"/>
        <n v="8.9"/>
        <n v="7.2"/>
        <n v="7.9"/>
        <n v="8"/>
        <n v="7"/>
        <n v="6.7"/>
        <n v="6.4"/>
        <n v="7.6"/>
        <n v="5.4"/>
        <n v="5.8"/>
        <n v="6.5"/>
        <n v="5.7"/>
        <n v="7.8"/>
        <n v="8.1"/>
        <n v="6.6"/>
        <n v="8.3000000000000007"/>
        <n v="6.9"/>
        <n v="6"/>
        <n v="4.5999999999999996"/>
        <n v="8.6"/>
        <n v="4.0999999999999996"/>
        <n v="7.5"/>
        <n v="3.7"/>
        <n v="5.0999999999999996"/>
        <n v="5.2"/>
        <n v="4.9000000000000004"/>
        <n v="4.5"/>
        <n v="5.6"/>
        <n v="5"/>
        <n v="8.4"/>
        <n v="8.1999999999999993"/>
        <n v="4.2"/>
        <n v="8.5"/>
        <n v="3.4"/>
        <n v="1.6"/>
        <n v="4.4000000000000004"/>
        <n v="4.8"/>
        <n v="4.7"/>
        <n v="5.3"/>
        <n v="4.3"/>
        <n v="9"/>
        <n v="2.7"/>
        <n v="1.7"/>
        <n v="8.8000000000000007"/>
        <n v="8.6999999999999993"/>
        <n v="3.5"/>
        <n v="4"/>
        <n v="9.5"/>
        <n v="3.6"/>
        <n v="3.2"/>
        <n v="2.8"/>
        <n v="3.8"/>
        <n v="2.2000000000000002"/>
        <n v="2.5"/>
        <n v="2.9"/>
        <n v="2"/>
        <n v="9.1"/>
        <n v="3.9"/>
        <n v="3.3"/>
        <n v="3.1"/>
        <n v="2.6"/>
        <n v="3"/>
        <n v="1.9"/>
        <n v="2.2999999999999998"/>
        <n v="9.3000000000000007"/>
        <n v="2.4"/>
        <n v="2.1"/>
      </sharedItems>
    </cacheField>
    <cacheField name="genres" numFmtId="0">
      <sharedItems count="21">
        <s v="Comedy"/>
        <s v="Horror"/>
        <s v="Adventure"/>
        <s v="Drama"/>
        <s v="Action"/>
        <s v="Crime"/>
        <s v="Biography"/>
        <s v="Animation"/>
        <s v="Fantasy"/>
        <s v="Sci-Fi"/>
        <s v="Documentary"/>
        <s v="Romance"/>
        <s v="Mystery"/>
        <s v="Musical"/>
        <s v="Thriller"/>
        <s v="History"/>
        <s v="Family"/>
        <s v="Western"/>
        <s v="Game-Show"/>
        <s v="Film-Noir"/>
        <s v="Music"/>
      </sharedItems>
    </cacheField>
    <cacheField name="genres2" numFmtId="0">
      <sharedItems containsBlank="1"/>
    </cacheField>
    <cacheField name="genres3" numFmtId="0">
      <sharedItems containsBlank="1"/>
    </cacheField>
    <cacheField name="genres4" numFmtId="0">
      <sharedItems containsBlank="1"/>
    </cacheField>
    <cacheField name="genres5" numFmtId="0">
      <sharedItems containsBlank="1"/>
    </cacheField>
    <cacheField name="genres6" numFmtId="0">
      <sharedItems containsBlank="1"/>
    </cacheField>
    <cacheField name="genres7" numFmtId="0">
      <sharedItems containsBlank="1"/>
    </cacheField>
    <cacheField name="genres8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3">
  <r>
    <x v="0"/>
    <x v="0"/>
    <n v="110222438"/>
    <x v="0"/>
    <x v="0"/>
    <s v="USA"/>
    <n v="26000000"/>
    <x v="0"/>
    <x v="0"/>
    <s v="Family"/>
    <s v="Fantasy"/>
    <s v="Music"/>
    <s v="Romance"/>
    <m/>
    <m/>
    <m/>
  </r>
  <r>
    <x v="1"/>
    <x v="1"/>
    <n v="110175871"/>
    <x v="1"/>
    <x v="0"/>
    <s v="USA"/>
    <n v="10000000"/>
    <x v="1"/>
    <x v="1"/>
    <s v="Mystery"/>
    <s v="Thriller"/>
    <m/>
    <m/>
    <m/>
    <m/>
    <m/>
  </r>
  <r>
    <x v="2"/>
    <x v="2"/>
    <n v="110008260"/>
    <x v="2"/>
    <x v="0"/>
    <s v="Japan"/>
    <n v="35000000"/>
    <x v="2"/>
    <x v="0"/>
    <s v="Romance"/>
    <m/>
    <m/>
    <m/>
    <m/>
    <m/>
    <m/>
  </r>
  <r>
    <x v="3"/>
    <x v="3"/>
    <n v="110000082"/>
    <x v="3"/>
    <x v="0"/>
    <s v="USA"/>
    <n v="48000000"/>
    <x v="3"/>
    <x v="0"/>
    <m/>
    <m/>
    <m/>
    <m/>
    <m/>
    <m/>
    <m/>
  </r>
  <r>
    <x v="4"/>
    <x v="4"/>
    <n v="109993847"/>
    <x v="4"/>
    <x v="0"/>
    <s v="USA"/>
    <n v="80000000"/>
    <x v="0"/>
    <x v="0"/>
    <s v="Family"/>
    <s v="Fantasy"/>
    <s v="Romance"/>
    <m/>
    <m/>
    <m/>
    <m/>
  </r>
  <r>
    <x v="5"/>
    <x v="5"/>
    <n v="109713132"/>
    <x v="5"/>
    <x v="0"/>
    <s v="USA"/>
    <n v="25000000"/>
    <x v="4"/>
    <x v="2"/>
    <s v="Comedy"/>
    <s v="Sci-Fi"/>
    <m/>
    <m/>
    <m/>
    <m/>
    <m/>
  </r>
  <r>
    <x v="6"/>
    <x v="6"/>
    <n v="109712885"/>
    <x v="6"/>
    <x v="0"/>
    <s v="USA"/>
    <n v="35000000"/>
    <x v="5"/>
    <x v="3"/>
    <s v="Sport"/>
    <m/>
    <m/>
    <m/>
    <m/>
    <m/>
    <m/>
  </r>
  <r>
    <x v="7"/>
    <x v="7"/>
    <n v="109306210"/>
    <x v="7"/>
    <x v="0"/>
    <s v="Australia"/>
    <n v="15800000"/>
    <x v="3"/>
    <x v="4"/>
    <s v="Adventure"/>
    <s v="Comedy"/>
    <m/>
    <m/>
    <m/>
    <m/>
    <m/>
  </r>
  <r>
    <x v="2"/>
    <x v="6"/>
    <n v="109243478"/>
    <x v="8"/>
    <x v="0"/>
    <s v="USA"/>
    <n v="26000000"/>
    <x v="6"/>
    <x v="0"/>
    <s v="Romance"/>
    <m/>
    <m/>
    <m/>
    <m/>
    <m/>
    <m/>
  </r>
  <r>
    <x v="8"/>
    <x v="8"/>
    <n v="109176215"/>
    <x v="9"/>
    <x v="0"/>
    <s v="USA"/>
    <n v="60000000"/>
    <x v="3"/>
    <x v="0"/>
    <m/>
    <m/>
    <m/>
    <m/>
    <m/>
    <m/>
    <m/>
  </r>
  <r>
    <x v="9"/>
    <x v="9"/>
    <n v="108706165"/>
    <x v="10"/>
    <x v="0"/>
    <s v="USA"/>
    <n v="40000000"/>
    <x v="7"/>
    <x v="5"/>
    <s v="Drama"/>
    <s v="Thriller"/>
    <m/>
    <m/>
    <m/>
    <m/>
    <m/>
  </r>
  <r>
    <x v="10"/>
    <x v="10"/>
    <n v="108360000"/>
    <x v="11"/>
    <x v="0"/>
    <s v="USA"/>
    <n v="30000000"/>
    <x v="2"/>
    <x v="2"/>
    <s v="Comedy"/>
    <m/>
    <m/>
    <m/>
    <m/>
    <m/>
    <m/>
  </r>
  <r>
    <x v="11"/>
    <x v="11"/>
    <n v="108244774"/>
    <x v="12"/>
    <x v="0"/>
    <s v="USA"/>
    <n v="37000000"/>
    <x v="8"/>
    <x v="0"/>
    <s v="Family"/>
    <s v="Romance"/>
    <m/>
    <m/>
    <m/>
    <m/>
    <m/>
  </r>
  <r>
    <x v="12"/>
    <x v="12"/>
    <n v="108200000"/>
    <x v="13"/>
    <x v="0"/>
    <s v="USA"/>
    <n v="54000000"/>
    <x v="9"/>
    <x v="4"/>
    <s v="Adventure"/>
    <s v="Romance"/>
    <s v="Sci-Fi"/>
    <m/>
    <m/>
    <m/>
    <m/>
  </r>
  <r>
    <x v="13"/>
    <x v="13"/>
    <n v="108012170"/>
    <x v="14"/>
    <x v="0"/>
    <s v="USA"/>
    <n v="63000000"/>
    <x v="3"/>
    <x v="2"/>
    <s v="Animation"/>
    <s v="Comedy"/>
    <s v="Family"/>
    <s v="Fantasy"/>
    <m/>
    <m/>
    <m/>
  </r>
  <r>
    <x v="14"/>
    <x v="14"/>
    <n v="107930000"/>
    <x v="15"/>
    <x v="0"/>
    <s v="USA"/>
    <n v="8000000"/>
    <x v="10"/>
    <x v="5"/>
    <s v="Drama"/>
    <m/>
    <m/>
    <m/>
    <m/>
    <m/>
    <m/>
  </r>
  <r>
    <x v="15"/>
    <x v="3"/>
    <n v="107917283"/>
    <x v="16"/>
    <x v="0"/>
    <s v="USA"/>
    <n v="15000"/>
    <x v="2"/>
    <x v="1"/>
    <m/>
    <m/>
    <m/>
    <m/>
    <m/>
    <m/>
    <m/>
  </r>
  <r>
    <x v="16"/>
    <x v="15"/>
    <n v="107458785"/>
    <x v="17"/>
    <x v="0"/>
    <s v="USA"/>
    <n v="40000000"/>
    <x v="11"/>
    <x v="0"/>
    <s v="Drama"/>
    <s v="Sport"/>
    <m/>
    <m/>
    <m/>
    <m/>
    <m/>
  </r>
  <r>
    <x v="17"/>
    <x v="0"/>
    <n v="107225164"/>
    <x v="18"/>
    <x v="0"/>
    <s v="USA"/>
    <n v="73000000"/>
    <x v="2"/>
    <x v="4"/>
    <s v="Animation"/>
    <s v="Comedy"/>
    <s v="Family"/>
    <m/>
    <m/>
    <m/>
    <m/>
  </r>
  <r>
    <x v="18"/>
    <x v="16"/>
    <n v="107100855"/>
    <x v="19"/>
    <x v="0"/>
    <s v="USA"/>
    <n v="55000000"/>
    <x v="12"/>
    <x v="6"/>
    <s v="Drama"/>
    <s v="Thriller"/>
    <m/>
    <m/>
    <m/>
    <m/>
    <m/>
  </r>
  <r>
    <x v="19"/>
    <x v="7"/>
    <n v="106952327"/>
    <x v="20"/>
    <x v="0"/>
    <s v="USA"/>
    <n v="13000000"/>
    <x v="13"/>
    <x v="3"/>
    <s v="Thriller"/>
    <m/>
    <m/>
    <m/>
    <m/>
    <m/>
    <m/>
  </r>
  <r>
    <x v="20"/>
    <x v="17"/>
    <n v="106807667"/>
    <x v="21"/>
    <x v="0"/>
    <s v="USA"/>
    <n v="45000000"/>
    <x v="8"/>
    <x v="4"/>
    <s v="Comedy"/>
    <s v="Crime"/>
    <s v="Romance"/>
    <m/>
    <m/>
    <m/>
    <m/>
  </r>
  <r>
    <x v="21"/>
    <x v="3"/>
    <n v="106793915"/>
    <x v="22"/>
    <x v="0"/>
    <s v="UK"/>
    <n v="45000000"/>
    <x v="14"/>
    <x v="2"/>
    <s v="Animation"/>
    <s v="Comedy"/>
    <s v="Drama"/>
    <s v="Family"/>
    <m/>
    <m/>
    <m/>
  </r>
  <r>
    <x v="22"/>
    <x v="18"/>
    <n v="106694016"/>
    <x v="23"/>
    <x v="0"/>
    <s v="USA"/>
    <n v="30000000"/>
    <x v="15"/>
    <x v="0"/>
    <s v="Crime"/>
    <m/>
    <m/>
    <m/>
    <m/>
    <m/>
    <m/>
  </r>
  <r>
    <x v="23"/>
    <x v="19"/>
    <n v="106635996"/>
    <x v="24"/>
    <x v="0"/>
    <s v="UK"/>
    <n v="58000000"/>
    <x v="11"/>
    <x v="4"/>
    <s v="Adventure"/>
    <s v="Thriller"/>
    <m/>
    <m/>
    <m/>
    <m/>
    <m/>
  </r>
  <r>
    <x v="24"/>
    <x v="4"/>
    <n v="106593296"/>
    <x v="25"/>
    <x v="0"/>
    <s v="USA"/>
    <n v="7500000"/>
    <x v="7"/>
    <x v="0"/>
    <s v="Drama"/>
    <s v="Family"/>
    <m/>
    <m/>
    <m/>
    <m/>
    <m/>
  </r>
  <r>
    <x v="25"/>
    <x v="11"/>
    <n v="106126012"/>
    <x v="26"/>
    <x v="0"/>
    <s v="USA"/>
    <n v="60000000"/>
    <x v="14"/>
    <x v="4"/>
    <s v="Crime"/>
    <s v="Thriller"/>
    <m/>
    <m/>
    <m/>
    <m/>
    <m/>
  </r>
  <r>
    <x v="20"/>
    <x v="12"/>
    <n v="105807520"/>
    <x v="27"/>
    <x v="0"/>
    <s v="USA"/>
    <n v="50000000"/>
    <x v="16"/>
    <x v="0"/>
    <s v="Romance"/>
    <m/>
    <m/>
    <m/>
    <m/>
    <m/>
    <m/>
  </r>
  <r>
    <x v="26"/>
    <x v="20"/>
    <n v="105500000"/>
    <x v="28"/>
    <x v="0"/>
    <s v="Canada"/>
    <n v="4000000"/>
    <x v="8"/>
    <x v="0"/>
    <m/>
    <m/>
    <m/>
    <m/>
    <m/>
    <m/>
    <m/>
  </r>
  <r>
    <x v="27"/>
    <x v="18"/>
    <n v="105444419"/>
    <x v="29"/>
    <x v="0"/>
    <s v="USA"/>
    <n v="26000000"/>
    <x v="8"/>
    <x v="0"/>
    <m/>
    <m/>
    <m/>
    <m/>
    <m/>
    <m/>
    <m/>
  </r>
  <r>
    <x v="28"/>
    <x v="21"/>
    <n v="105264608"/>
    <x v="30"/>
    <x v="0"/>
    <s v="USA"/>
    <n v="60000000"/>
    <x v="17"/>
    <x v="3"/>
    <s v="Fantasy"/>
    <s v="Horror"/>
    <m/>
    <m/>
    <m/>
    <m/>
    <m/>
  </r>
  <r>
    <x v="29"/>
    <x v="22"/>
    <n v="105263257"/>
    <x v="31"/>
    <x v="0"/>
    <s v="USA"/>
    <n v="55000000"/>
    <x v="18"/>
    <x v="4"/>
    <s v="Adventure"/>
    <s v="Comedy"/>
    <s v="Family"/>
    <s v="Romance"/>
    <m/>
    <m/>
    <m/>
  </r>
  <r>
    <x v="30"/>
    <x v="21"/>
    <n v="104632573"/>
    <x v="32"/>
    <x v="0"/>
    <s v="USA"/>
    <n v="32000000"/>
    <x v="16"/>
    <x v="3"/>
    <s v="Fantasy"/>
    <s v="Romance"/>
    <s v="Sci-Fi"/>
    <m/>
    <m/>
    <m/>
    <m/>
  </r>
  <r>
    <x v="31"/>
    <x v="23"/>
    <n v="104354205"/>
    <x v="33"/>
    <x v="0"/>
    <s v="USA"/>
    <n v="55000000"/>
    <x v="2"/>
    <x v="0"/>
    <s v="Romance"/>
    <m/>
    <m/>
    <m/>
    <m/>
    <m/>
    <m/>
  </r>
  <r>
    <x v="32"/>
    <x v="22"/>
    <n v="104148781"/>
    <x v="34"/>
    <x v="0"/>
    <s v="USA"/>
    <n v="60000000"/>
    <x v="3"/>
    <x v="0"/>
    <s v="Family"/>
    <m/>
    <m/>
    <m/>
    <m/>
    <m/>
    <m/>
  </r>
  <r>
    <x v="33"/>
    <x v="24"/>
    <n v="104054514"/>
    <x v="35"/>
    <x v="0"/>
    <s v="USA"/>
    <n v="80000000"/>
    <x v="5"/>
    <x v="5"/>
    <s v="Drama"/>
    <s v="Thriller"/>
    <m/>
    <m/>
    <m/>
    <m/>
    <m/>
  </r>
  <r>
    <x v="34"/>
    <x v="20"/>
    <n v="104007828"/>
    <x v="36"/>
    <x v="0"/>
    <s v="USA"/>
    <n v="5000000"/>
    <x v="19"/>
    <x v="1"/>
    <m/>
    <m/>
    <m/>
    <m/>
    <m/>
    <m/>
    <m/>
  </r>
  <r>
    <x v="35"/>
    <x v="20"/>
    <n v="103812241"/>
    <x v="37"/>
    <x v="0"/>
    <s v="USA"/>
    <n v="79000000"/>
    <x v="19"/>
    <x v="4"/>
    <s v="Adventure"/>
    <s v="Comedy"/>
    <s v="Family"/>
    <s v="Fantasy"/>
    <s v="Sci-Fi"/>
    <m/>
    <m/>
  </r>
  <r>
    <x v="36"/>
    <x v="19"/>
    <n v="103338338"/>
    <x v="38"/>
    <x v="0"/>
    <s v="USA"/>
    <n v="70000000"/>
    <x v="20"/>
    <x v="3"/>
    <s v="Music"/>
    <s v="Musical"/>
    <m/>
    <m/>
    <m/>
    <m/>
    <m/>
  </r>
  <r>
    <x v="37"/>
    <x v="24"/>
    <n v="103028109"/>
    <x v="39"/>
    <x v="0"/>
    <s v="USA"/>
    <n v="80000000"/>
    <x v="16"/>
    <x v="0"/>
    <s v="Romance"/>
    <m/>
    <m/>
    <m/>
    <m/>
    <m/>
    <m/>
  </r>
  <r>
    <x v="38"/>
    <x v="18"/>
    <n v="103001286"/>
    <x v="40"/>
    <x v="0"/>
    <s v="USA"/>
    <n v="15000000"/>
    <x v="11"/>
    <x v="1"/>
    <s v="Mystery"/>
    <m/>
    <m/>
    <m/>
    <m/>
    <m/>
    <m/>
  </r>
  <r>
    <x v="39"/>
    <x v="8"/>
    <n v="102981571"/>
    <x v="41"/>
    <x v="0"/>
    <s v="USA"/>
    <n v="80000000"/>
    <x v="20"/>
    <x v="4"/>
    <s v="Adventure"/>
    <s v="Thriller"/>
    <m/>
    <m/>
    <m/>
    <m/>
    <m/>
  </r>
  <r>
    <x v="40"/>
    <x v="25"/>
    <n v="102922376"/>
    <x v="42"/>
    <x v="0"/>
    <s v="USA"/>
    <n v="20000000"/>
    <x v="21"/>
    <x v="2"/>
    <s v="Horror"/>
    <s v="Thriller"/>
    <m/>
    <m/>
    <m/>
    <m/>
    <m/>
  </r>
  <r>
    <x v="41"/>
    <x v="26"/>
    <n v="102797150"/>
    <x v="43"/>
    <x v="0"/>
    <s v="USA"/>
    <n v="39751583.5"/>
    <x v="7"/>
    <x v="7"/>
    <s v="Drama"/>
    <s v="Family"/>
    <m/>
    <m/>
    <m/>
    <m/>
    <m/>
  </r>
  <r>
    <x v="42"/>
    <x v="27"/>
    <n v="102515793"/>
    <x v="44"/>
    <x v="0"/>
    <s v="USA"/>
    <n v="90000000"/>
    <x v="22"/>
    <x v="5"/>
    <s v="Drama"/>
    <s v="Mystery"/>
    <s v="Thriller"/>
    <m/>
    <m/>
    <m/>
    <m/>
  </r>
  <r>
    <x v="43"/>
    <x v="8"/>
    <n v="102413606"/>
    <x v="45"/>
    <x v="0"/>
    <s v="USA"/>
    <n v="34000000"/>
    <x v="9"/>
    <x v="4"/>
    <s v="Mystery"/>
    <s v="Sci-Fi"/>
    <s v="Thriller"/>
    <m/>
    <m/>
    <m/>
    <m/>
  </r>
  <r>
    <x v="44"/>
    <x v="16"/>
    <n v="102310175"/>
    <x v="46"/>
    <x v="0"/>
    <s v="USA"/>
    <n v="40000000"/>
    <x v="22"/>
    <x v="1"/>
    <s v="Mystery"/>
    <s v="Thriller"/>
    <m/>
    <m/>
    <m/>
    <m/>
    <m/>
  </r>
  <r>
    <x v="45"/>
    <x v="28"/>
    <n v="102308900"/>
    <x v="47"/>
    <x v="0"/>
    <s v="USA"/>
    <n v="6000000"/>
    <x v="23"/>
    <x v="6"/>
    <s v="Crime"/>
    <s v="Drama"/>
    <s v="Western"/>
    <m/>
    <m/>
    <m/>
    <m/>
  </r>
  <r>
    <x v="46"/>
    <x v="29"/>
    <n v="102300000"/>
    <x v="48"/>
    <x v="0"/>
    <s v="USA"/>
    <n v="6000000"/>
    <x v="22"/>
    <x v="0"/>
    <s v="Family"/>
    <s v="Fantasy"/>
    <s v="Musical"/>
    <m/>
    <m/>
    <m/>
    <m/>
  </r>
  <r>
    <x v="47"/>
    <x v="30"/>
    <n v="101978840"/>
    <x v="49"/>
    <x v="0"/>
    <s v="USA"/>
    <n v="15000000"/>
    <x v="24"/>
    <x v="0"/>
    <m/>
    <m/>
    <m/>
    <m/>
    <m/>
    <m/>
    <m/>
  </r>
  <r>
    <x v="48"/>
    <x v="13"/>
    <n v="101736215"/>
    <x v="50"/>
    <x v="0"/>
    <s v="USA"/>
    <n v="11000000"/>
    <x v="14"/>
    <x v="0"/>
    <m/>
    <m/>
    <m/>
    <m/>
    <m/>
    <m/>
    <m/>
  </r>
  <r>
    <x v="49"/>
    <x v="31"/>
    <n v="101702060"/>
    <x v="51"/>
    <x v="0"/>
    <s v="USA"/>
    <n v="45000000"/>
    <x v="19"/>
    <x v="4"/>
    <s v="Adventure"/>
    <s v="Family"/>
    <s v="Fantasy"/>
    <s v="Sci-Fi"/>
    <m/>
    <m/>
    <m/>
  </r>
  <r>
    <x v="50"/>
    <x v="32"/>
    <n v="101643008"/>
    <x v="52"/>
    <x v="0"/>
    <s v="USA"/>
    <n v="90000000"/>
    <x v="20"/>
    <x v="4"/>
    <s v="Crime"/>
    <s v="Thriller"/>
    <m/>
    <m/>
    <m/>
    <m/>
    <m/>
  </r>
  <r>
    <x v="51"/>
    <x v="33"/>
    <n v="101530738"/>
    <x v="53"/>
    <x v="0"/>
    <s v="USA"/>
    <n v="55000000"/>
    <x v="11"/>
    <x v="4"/>
    <s v="Crime"/>
    <s v="Thriller"/>
    <m/>
    <m/>
    <m/>
    <m/>
    <m/>
  </r>
  <r>
    <x v="52"/>
    <x v="34"/>
    <n v="101470202"/>
    <x v="54"/>
    <x v="0"/>
    <s v="USA"/>
    <n v="32000000"/>
    <x v="15"/>
    <x v="0"/>
    <s v="Fantasy"/>
    <m/>
    <m/>
    <m/>
    <m/>
    <m/>
    <m/>
  </r>
  <r>
    <x v="38"/>
    <x v="35"/>
    <n v="101334374"/>
    <x v="55"/>
    <x v="0"/>
    <s v="USA"/>
    <n v="24000000"/>
    <x v="0"/>
    <x v="1"/>
    <s v="Mystery"/>
    <m/>
    <m/>
    <m/>
    <m/>
    <m/>
    <m/>
  </r>
  <r>
    <x v="53"/>
    <x v="4"/>
    <n v="101217900"/>
    <x v="56"/>
    <x v="0"/>
    <s v="USA"/>
    <n v="70000000"/>
    <x v="14"/>
    <x v="2"/>
    <s v="Animation"/>
    <s v="Biography"/>
    <s v="Drama"/>
    <s v="Family"/>
    <s v="Fantasy"/>
    <s v="Musical"/>
    <m/>
  </r>
  <r>
    <x v="54"/>
    <x v="25"/>
    <n v="101157447"/>
    <x v="57"/>
    <x v="0"/>
    <s v="USA"/>
    <n v="14400000"/>
    <x v="25"/>
    <x v="3"/>
    <s v="Western"/>
    <m/>
    <m/>
    <m/>
    <m/>
    <m/>
    <m/>
  </r>
  <r>
    <x v="55"/>
    <x v="36"/>
    <n v="101111837"/>
    <x v="58"/>
    <x v="0"/>
    <s v="USA"/>
    <n v="80000000"/>
    <x v="24"/>
    <x v="4"/>
    <s v="Mystery"/>
    <s v="Thriller"/>
    <m/>
    <m/>
    <m/>
    <m/>
    <m/>
  </r>
  <r>
    <x v="56"/>
    <x v="21"/>
    <n v="101087161"/>
    <x v="59"/>
    <x v="0"/>
    <s v="USA"/>
    <n v="75000000"/>
    <x v="9"/>
    <x v="4"/>
    <s v="Crime"/>
    <s v="Thriller"/>
    <m/>
    <m/>
    <m/>
    <m/>
    <m/>
  </r>
  <r>
    <x v="57"/>
    <x v="37"/>
    <n v="100853835"/>
    <x v="60"/>
    <x v="0"/>
    <s v="USA"/>
    <n v="90000000"/>
    <x v="7"/>
    <x v="3"/>
    <s v="Mystery"/>
    <s v="Sci-Fi"/>
    <s v="Thriller"/>
    <m/>
    <m/>
    <m/>
    <m/>
  </r>
  <r>
    <x v="58"/>
    <x v="38"/>
    <n v="100768056"/>
    <x v="61"/>
    <x v="0"/>
    <s v="USA"/>
    <n v="45000000"/>
    <x v="20"/>
    <x v="5"/>
    <s v="Drama"/>
    <s v="Mystery"/>
    <s v="Thriller"/>
    <m/>
    <m/>
    <m/>
    <m/>
  </r>
  <r>
    <x v="59"/>
    <x v="38"/>
    <n v="100614858"/>
    <x v="62"/>
    <x v="0"/>
    <s v="USA"/>
    <n v="68000000"/>
    <x v="26"/>
    <x v="8"/>
    <s v="Mystery"/>
    <s v="Romance"/>
    <s v="Sci-Fi"/>
    <s v="Thriller"/>
    <m/>
    <m/>
    <m/>
  </r>
  <r>
    <x v="60"/>
    <x v="39"/>
    <n v="100491683"/>
    <x v="63"/>
    <x v="0"/>
    <s v="USA"/>
    <n v="24000000"/>
    <x v="1"/>
    <x v="2"/>
    <s v="Animation"/>
    <s v="Comedy"/>
    <s v="Drama"/>
    <s v="Family"/>
    <s v="Musical"/>
    <m/>
    <m/>
  </r>
  <r>
    <x v="61"/>
    <x v="40"/>
    <n v="100468793"/>
    <x v="64"/>
    <x v="0"/>
    <s v="USA"/>
    <n v="65000000"/>
    <x v="26"/>
    <x v="0"/>
    <m/>
    <m/>
    <m/>
    <m/>
    <m/>
    <m/>
    <m/>
  </r>
  <r>
    <x v="62"/>
    <x v="13"/>
    <n v="100448498"/>
    <x v="65"/>
    <x v="0"/>
    <s v="USA"/>
    <n v="65000000"/>
    <x v="24"/>
    <x v="0"/>
    <s v="Drama"/>
    <m/>
    <m/>
    <m/>
    <m/>
    <m/>
    <m/>
  </r>
  <r>
    <x v="54"/>
    <x v="33"/>
    <n v="100422786"/>
    <x v="66"/>
    <x v="0"/>
    <s v="USA"/>
    <n v="30000000"/>
    <x v="23"/>
    <x v="3"/>
    <s v="Sport"/>
    <m/>
    <m/>
    <m/>
    <m/>
    <m/>
    <m/>
  </r>
  <r>
    <x v="63"/>
    <x v="41"/>
    <n v="100328194"/>
    <x v="67"/>
    <x v="0"/>
    <s v="USA"/>
    <n v="50000000"/>
    <x v="27"/>
    <x v="0"/>
    <s v="Family"/>
    <s v="Fantasy"/>
    <m/>
    <m/>
    <m/>
    <m/>
    <m/>
  </r>
  <r>
    <x v="64"/>
    <x v="0"/>
    <n v="100292856"/>
    <x v="68"/>
    <x v="0"/>
    <s v="USA"/>
    <n v="20000000"/>
    <x v="21"/>
    <x v="0"/>
    <m/>
    <m/>
    <m/>
    <m/>
    <m/>
    <m/>
    <m/>
  </r>
  <r>
    <x v="65"/>
    <x v="21"/>
    <n v="100241322"/>
    <x v="69"/>
    <x v="0"/>
    <s v="USA"/>
    <n v="25000000"/>
    <x v="11"/>
    <x v="0"/>
    <s v="Drama"/>
    <s v="Romance"/>
    <m/>
    <m/>
    <m/>
    <m/>
    <m/>
  </r>
  <r>
    <x v="49"/>
    <x v="42"/>
    <n v="100169068"/>
    <x v="70"/>
    <x v="0"/>
    <s v="USA"/>
    <n v="80000000"/>
    <x v="28"/>
    <x v="2"/>
    <s v="Animation"/>
    <s v="Comedy"/>
    <s v="Family"/>
    <m/>
    <m/>
    <m/>
    <m/>
  </r>
  <r>
    <x v="42"/>
    <x v="32"/>
    <n v="100125340"/>
    <x v="71"/>
    <x v="0"/>
    <s v="USA"/>
    <n v="33000000"/>
    <x v="29"/>
    <x v="5"/>
    <s v="Drama"/>
    <s v="Mystery"/>
    <s v="Thriller"/>
    <m/>
    <m/>
    <m/>
    <m/>
  </r>
  <r>
    <x v="37"/>
    <x v="8"/>
    <n v="100018837"/>
    <x v="72"/>
    <x v="0"/>
    <s v="USA"/>
    <n v="90000000"/>
    <x v="3"/>
    <x v="4"/>
    <s v="Comedy"/>
    <m/>
    <m/>
    <m/>
    <m/>
    <m/>
    <m/>
  </r>
  <r>
    <x v="66"/>
    <x v="15"/>
    <n v="100012500"/>
    <x v="73"/>
    <x v="0"/>
    <s v="USA"/>
    <n v="90000000"/>
    <x v="17"/>
    <x v="4"/>
    <s v="Adventure"/>
    <s v="Thriller"/>
    <m/>
    <m/>
    <m/>
    <m/>
    <m/>
  </r>
  <r>
    <x v="67"/>
    <x v="35"/>
    <n v="100003492"/>
    <x v="74"/>
    <x v="0"/>
    <s v="USA"/>
    <n v="65000000"/>
    <x v="17"/>
    <x v="5"/>
    <s v="Drama"/>
    <s v="Thriller"/>
    <m/>
    <m/>
    <m/>
    <m/>
    <m/>
  </r>
  <r>
    <x v="51"/>
    <x v="5"/>
    <n v="98895417"/>
    <x v="75"/>
    <x v="0"/>
    <s v="USA"/>
    <n v="70000000"/>
    <x v="20"/>
    <x v="4"/>
    <s v="Thriller"/>
    <m/>
    <m/>
    <m/>
    <m/>
    <m/>
    <m/>
  </r>
  <r>
    <x v="68"/>
    <x v="43"/>
    <n v="98711404"/>
    <x v="76"/>
    <x v="0"/>
    <s v="USA"/>
    <n v="55000000"/>
    <x v="2"/>
    <x v="0"/>
    <s v="Crime"/>
    <s v="Romance"/>
    <s v="Thriller"/>
    <m/>
    <m/>
    <m/>
    <m/>
  </r>
  <r>
    <x v="69"/>
    <x v="44"/>
    <n v="97680195"/>
    <x v="77"/>
    <x v="0"/>
    <s v="USA"/>
    <n v="70000000"/>
    <x v="9"/>
    <x v="0"/>
    <s v="Romance"/>
    <m/>
    <m/>
    <m/>
    <m/>
    <m/>
    <m/>
  </r>
  <r>
    <x v="70"/>
    <x v="28"/>
    <n v="97360069"/>
    <x v="78"/>
    <x v="0"/>
    <s v="USA"/>
    <n v="75000000"/>
    <x v="30"/>
    <x v="4"/>
    <s v="Adventure"/>
    <s v="Comedy"/>
    <s v="Family"/>
    <s v="Sci-Fi"/>
    <m/>
    <m/>
    <m/>
  </r>
  <r>
    <x v="42"/>
    <x v="35"/>
    <n v="96917897"/>
    <x v="79"/>
    <x v="0"/>
    <s v="USA"/>
    <n v="40000000"/>
    <x v="5"/>
    <x v="6"/>
    <s v="Drama"/>
    <m/>
    <m/>
    <m/>
    <m/>
    <m/>
    <m/>
  </r>
  <r>
    <x v="71"/>
    <x v="43"/>
    <n v="96471845"/>
    <x v="80"/>
    <x v="0"/>
    <s v="USA"/>
    <n v="17000000"/>
    <x v="17"/>
    <x v="8"/>
    <s v="Horror"/>
    <s v="Thriller"/>
    <m/>
    <m/>
    <m/>
    <m/>
    <m/>
  </r>
  <r>
    <x v="72"/>
    <x v="45"/>
    <n v="96067179"/>
    <x v="81"/>
    <x v="0"/>
    <s v="USA"/>
    <n v="22000000"/>
    <x v="10"/>
    <x v="6"/>
    <s v="Drama"/>
    <s v="History"/>
    <m/>
    <m/>
    <m/>
    <m/>
    <m/>
  </r>
  <r>
    <x v="73"/>
    <x v="15"/>
    <n v="95860116"/>
    <x v="82"/>
    <x v="0"/>
    <s v="USA"/>
    <n v="16400000"/>
    <x v="13"/>
    <x v="0"/>
    <s v="Drama"/>
    <m/>
    <m/>
    <m/>
    <m/>
    <m/>
    <m/>
  </r>
  <r>
    <x v="74"/>
    <x v="46"/>
    <n v="95720716"/>
    <x v="83"/>
    <x v="0"/>
    <s v="USA"/>
    <n v="40000000"/>
    <x v="7"/>
    <x v="3"/>
    <s v="History"/>
    <s v="Thriller"/>
    <m/>
    <m/>
    <m/>
    <m/>
    <m/>
  </r>
  <r>
    <x v="75"/>
    <x v="47"/>
    <n v="95632614"/>
    <x v="84"/>
    <x v="0"/>
    <s v="USA"/>
    <n v="79000000"/>
    <x v="11"/>
    <x v="2"/>
    <s v="Drama"/>
    <s v="History"/>
    <s v="Romance"/>
    <s v="War"/>
    <m/>
    <m/>
    <m/>
  </r>
  <r>
    <x v="42"/>
    <x v="48"/>
    <n v="95308367"/>
    <x v="85"/>
    <x v="0"/>
    <s v="USA"/>
    <n v="48000000"/>
    <x v="9"/>
    <x v="5"/>
    <s v="Drama"/>
    <s v="Thriller"/>
    <m/>
    <m/>
    <m/>
    <m/>
    <m/>
  </r>
  <r>
    <x v="11"/>
    <x v="8"/>
    <n v="95149435"/>
    <x v="86"/>
    <x v="0"/>
    <s v="USA"/>
    <n v="40000000"/>
    <x v="21"/>
    <x v="0"/>
    <s v="Family"/>
    <s v="Romance"/>
    <m/>
    <m/>
    <m/>
    <m/>
    <m/>
  </r>
  <r>
    <x v="76"/>
    <x v="49"/>
    <n v="95001351"/>
    <x v="87"/>
    <x v="0"/>
    <s v="USA"/>
    <n v="18000000"/>
    <x v="8"/>
    <x v="0"/>
    <s v="Romance"/>
    <m/>
    <m/>
    <m/>
    <m/>
    <m/>
    <m/>
  </r>
  <r>
    <x v="77"/>
    <x v="15"/>
    <n v="95001343"/>
    <x v="88"/>
    <x v="0"/>
    <s v="USA"/>
    <n v="40000000"/>
    <x v="31"/>
    <x v="6"/>
    <s v="Drama"/>
    <s v="Sport"/>
    <m/>
    <m/>
    <m/>
    <m/>
    <m/>
  </r>
  <r>
    <x v="78"/>
    <x v="40"/>
    <n v="94999143"/>
    <x v="89"/>
    <x v="0"/>
    <s v="USA"/>
    <n v="75000000"/>
    <x v="11"/>
    <x v="3"/>
    <s v="Mystery"/>
    <s v="Sci-Fi"/>
    <s v="Thriller"/>
    <m/>
    <m/>
    <m/>
    <m/>
  </r>
  <r>
    <x v="79"/>
    <x v="13"/>
    <n v="94900000"/>
    <x v="90"/>
    <x v="0"/>
    <s v="USA"/>
    <n v="4000000"/>
    <x v="0"/>
    <x v="3"/>
    <s v="Music"/>
    <s v="Romance"/>
    <m/>
    <m/>
    <m/>
    <m/>
    <m/>
  </r>
  <r>
    <x v="80"/>
    <x v="36"/>
    <n v="94822707"/>
    <x v="91"/>
    <x v="0"/>
    <s v="USA"/>
    <n v="80000000"/>
    <x v="26"/>
    <x v="4"/>
    <s v="Adventure"/>
    <s v="Drama"/>
    <s v="Thriller"/>
    <m/>
    <m/>
    <m/>
    <m/>
  </r>
  <r>
    <x v="81"/>
    <x v="50"/>
    <n v="94497271"/>
    <x v="92"/>
    <x v="0"/>
    <s v="USA"/>
    <n v="20000000"/>
    <x v="32"/>
    <x v="2"/>
    <s v="Comedy"/>
    <s v="Drama"/>
    <s v="Family"/>
    <s v="Romance"/>
    <m/>
    <m/>
    <m/>
  </r>
  <r>
    <x v="72"/>
    <x v="47"/>
    <n v="94175854"/>
    <x v="93"/>
    <x v="0"/>
    <s v="USA"/>
    <n v="15000000"/>
    <x v="22"/>
    <x v="3"/>
    <m/>
    <m/>
    <m/>
    <m/>
    <m/>
    <m/>
    <m/>
  </r>
  <r>
    <x v="82"/>
    <x v="21"/>
    <n v="94125426"/>
    <x v="94"/>
    <x v="0"/>
    <s v="USA"/>
    <n v="40000000"/>
    <x v="14"/>
    <x v="6"/>
    <s v="Drama"/>
    <s v="Romance"/>
    <m/>
    <m/>
    <m/>
    <m/>
    <m/>
  </r>
  <r>
    <x v="83"/>
    <x v="2"/>
    <n v="93952276"/>
    <x v="95"/>
    <x v="0"/>
    <s v="USA"/>
    <n v="40000000"/>
    <x v="16"/>
    <x v="0"/>
    <s v="Drama"/>
    <s v="Romance"/>
    <m/>
    <m/>
    <m/>
    <m/>
    <m/>
  </r>
  <r>
    <x v="84"/>
    <x v="51"/>
    <n v="93815117"/>
    <x v="96"/>
    <x v="0"/>
    <s v="USA"/>
    <n v="55000000"/>
    <x v="33"/>
    <x v="0"/>
    <s v="Drama"/>
    <s v="Romance"/>
    <m/>
    <m/>
    <m/>
    <m/>
    <m/>
  </r>
  <r>
    <x v="23"/>
    <x v="52"/>
    <n v="93771072"/>
    <x v="97"/>
    <x v="0"/>
    <s v="USA"/>
    <n v="65000000"/>
    <x v="15"/>
    <x v="4"/>
    <s v="Adventure"/>
    <s v="Comedy"/>
    <s v="Romance"/>
    <s v="Thriller"/>
    <s v="Western"/>
    <m/>
    <m/>
  </r>
  <r>
    <x v="57"/>
    <x v="53"/>
    <n v="93749203"/>
    <x v="98"/>
    <x v="0"/>
    <s v="USA"/>
    <n v="31000000"/>
    <x v="4"/>
    <x v="3"/>
    <s v="Thriller"/>
    <m/>
    <m/>
    <m/>
    <m/>
    <m/>
    <m/>
  </r>
  <r>
    <x v="85"/>
    <x v="30"/>
    <n v="93607673"/>
    <x v="99"/>
    <x v="0"/>
    <s v="USA"/>
    <n v="48000000"/>
    <x v="21"/>
    <x v="0"/>
    <s v="Romance"/>
    <m/>
    <m/>
    <m/>
    <m/>
    <m/>
    <m/>
  </r>
  <r>
    <x v="86"/>
    <x v="12"/>
    <n v="93571803"/>
    <x v="100"/>
    <x v="0"/>
    <s v="USA"/>
    <n v="25000000"/>
    <x v="12"/>
    <x v="6"/>
    <s v="Drama"/>
    <s v="Sport"/>
    <m/>
    <m/>
    <m/>
    <m/>
    <m/>
  </r>
  <r>
    <x v="87"/>
    <x v="0"/>
    <n v="93452056"/>
    <x v="101"/>
    <x v="0"/>
    <s v="USA"/>
    <n v="45000000"/>
    <x v="7"/>
    <x v="2"/>
    <s v="Comedy"/>
    <s v="Drama"/>
    <m/>
    <m/>
    <m/>
    <m/>
    <m/>
  </r>
  <r>
    <x v="88"/>
    <x v="54"/>
    <n v="93375151"/>
    <x v="102"/>
    <x v="0"/>
    <s v="USA"/>
    <n v="60000000"/>
    <x v="34"/>
    <x v="4"/>
    <s v="Comedy"/>
    <s v="Family"/>
    <s v="Fantasy"/>
    <m/>
    <m/>
    <m/>
    <m/>
  </r>
  <r>
    <x v="89"/>
    <x v="43"/>
    <n v="93307796"/>
    <x v="103"/>
    <x v="0"/>
    <s v="USA"/>
    <n v="60000000"/>
    <x v="0"/>
    <x v="0"/>
    <s v="Romance"/>
    <m/>
    <m/>
    <m/>
    <m/>
    <m/>
    <m/>
  </r>
  <r>
    <x v="90"/>
    <x v="10"/>
    <n v="92969824"/>
    <x v="104"/>
    <x v="0"/>
    <s v="USA"/>
    <n v="80000000"/>
    <x v="34"/>
    <x v="0"/>
    <s v="Family"/>
    <s v="Sci-Fi"/>
    <m/>
    <m/>
    <m/>
    <m/>
    <m/>
  </r>
  <r>
    <x v="91"/>
    <x v="55"/>
    <n v="92930005"/>
    <x v="105"/>
    <x v="0"/>
    <s v="Germany"/>
    <n v="78000000"/>
    <x v="11"/>
    <x v="5"/>
    <s v="Drama"/>
    <s v="Thriller"/>
    <m/>
    <m/>
    <m/>
    <m/>
    <m/>
  </r>
  <r>
    <x v="87"/>
    <x v="56"/>
    <n v="92823600"/>
    <x v="106"/>
    <x v="0"/>
    <s v="USA"/>
    <n v="16000000"/>
    <x v="17"/>
    <x v="0"/>
    <s v="Drama"/>
    <s v="Romance"/>
    <m/>
    <m/>
    <m/>
    <m/>
    <m/>
  </r>
  <r>
    <x v="92"/>
    <x v="37"/>
    <n v="92173235"/>
    <x v="107"/>
    <x v="0"/>
    <s v="USA"/>
    <n v="37000000"/>
    <x v="17"/>
    <x v="5"/>
    <s v="Drama"/>
    <s v="Thriller"/>
    <m/>
    <m/>
    <m/>
    <m/>
    <m/>
  </r>
  <r>
    <x v="9"/>
    <x v="5"/>
    <n v="92115211"/>
    <x v="108"/>
    <x v="0"/>
    <s v="USA"/>
    <n v="45000000"/>
    <x v="15"/>
    <x v="5"/>
    <s v="Drama"/>
    <s v="Mystery"/>
    <s v="Thriller"/>
    <m/>
    <m/>
    <m/>
    <m/>
  </r>
  <r>
    <x v="93"/>
    <x v="11"/>
    <n v="92001027"/>
    <x v="109"/>
    <x v="0"/>
    <s v="USA"/>
    <n v="45000000"/>
    <x v="17"/>
    <x v="4"/>
    <s v="Adventure"/>
    <s v="Drama"/>
    <s v="Sci-Fi"/>
    <s v="Thriller"/>
    <m/>
    <m/>
    <m/>
  </r>
  <r>
    <x v="94"/>
    <x v="57"/>
    <n v="91547205"/>
    <x v="110"/>
    <x v="0"/>
    <s v="USA"/>
    <n v="12000000"/>
    <x v="24"/>
    <x v="0"/>
    <s v="Romance"/>
    <m/>
    <m/>
    <m/>
    <m/>
    <m/>
    <m/>
  </r>
  <r>
    <x v="95"/>
    <x v="11"/>
    <n v="91457688"/>
    <x v="111"/>
    <x v="0"/>
    <s v="USA"/>
    <n v="26000000"/>
    <x v="27"/>
    <x v="4"/>
    <s v="Comedy"/>
    <s v="Crime"/>
    <m/>
    <m/>
    <m/>
    <m/>
    <m/>
  </r>
  <r>
    <x v="96"/>
    <x v="4"/>
    <n v="91443253"/>
    <x v="112"/>
    <x v="0"/>
    <s v="USA"/>
    <n v="12000000"/>
    <x v="19"/>
    <x v="6"/>
    <s v="Drama"/>
    <m/>
    <m/>
    <m/>
    <m/>
    <m/>
    <m/>
  </r>
  <r>
    <x v="97"/>
    <x v="40"/>
    <n v="91439400"/>
    <x v="113"/>
    <x v="0"/>
    <s v="UK"/>
    <n v="50000000"/>
    <x v="14"/>
    <x v="4"/>
    <s v="Mystery"/>
    <s v="Thriller"/>
    <m/>
    <m/>
    <m/>
    <m/>
    <m/>
  </r>
  <r>
    <x v="98"/>
    <x v="21"/>
    <n v="91400000"/>
    <x v="114"/>
    <x v="0"/>
    <s v="USA"/>
    <n v="53000000"/>
    <x v="4"/>
    <x v="4"/>
    <s v="Drama"/>
    <s v="Thriller"/>
    <s v="War"/>
    <m/>
    <m/>
    <m/>
    <m/>
  </r>
  <r>
    <x v="99"/>
    <x v="8"/>
    <n v="91188905"/>
    <x v="115"/>
    <x v="0"/>
    <s v="USA"/>
    <n v="80000000"/>
    <x v="35"/>
    <x v="8"/>
    <s v="Horror"/>
    <s v="Mystery"/>
    <s v="Thriller"/>
    <m/>
    <m/>
    <m/>
    <m/>
  </r>
  <r>
    <x v="100"/>
    <x v="58"/>
    <n v="91121452"/>
    <x v="116"/>
    <x v="0"/>
    <s v="UK"/>
    <n v="14000000"/>
    <x v="23"/>
    <x v="6"/>
    <s v="Drama"/>
    <s v="Thriller"/>
    <s v="War"/>
    <m/>
    <m/>
    <m/>
    <m/>
  </r>
  <r>
    <x v="101"/>
    <x v="48"/>
    <n v="91038276"/>
    <x v="117"/>
    <x v="0"/>
    <s v="USA"/>
    <n v="13000000"/>
    <x v="0"/>
    <x v="3"/>
    <s v="Music"/>
    <s v="Romance"/>
    <m/>
    <m/>
    <m/>
    <m/>
    <m/>
  </r>
  <r>
    <x v="102"/>
    <x v="55"/>
    <n v="91030827"/>
    <x v="118"/>
    <x v="0"/>
    <s v="USA"/>
    <n v="50000000"/>
    <x v="15"/>
    <x v="0"/>
    <s v="Drama"/>
    <m/>
    <m/>
    <m/>
    <m/>
    <m/>
    <m/>
  </r>
  <r>
    <x v="94"/>
    <x v="30"/>
    <n v="90835030"/>
    <x v="119"/>
    <x v="0"/>
    <s v="USA"/>
    <n v="40000000"/>
    <x v="1"/>
    <x v="4"/>
    <s v="Comedy"/>
    <m/>
    <m/>
    <m/>
    <m/>
    <m/>
    <m/>
  </r>
  <r>
    <x v="103"/>
    <x v="59"/>
    <n v="90800000"/>
    <x v="120"/>
    <x v="0"/>
    <s v="USA"/>
    <n v="8000000"/>
    <x v="11"/>
    <x v="4"/>
    <s v="Drama"/>
    <s v="Family"/>
    <s v="Sport"/>
    <m/>
    <m/>
    <m/>
    <m/>
  </r>
  <r>
    <x v="103"/>
    <x v="59"/>
    <n v="90800000"/>
    <x v="120"/>
    <x v="0"/>
    <s v="USA"/>
    <n v="8000000"/>
    <x v="11"/>
    <x v="4"/>
    <s v="Drama"/>
    <s v="Family"/>
    <s v="Sport"/>
    <m/>
    <m/>
    <m/>
    <m/>
  </r>
  <r>
    <x v="3"/>
    <x v="56"/>
    <n v="90703745"/>
    <x v="121"/>
    <x v="0"/>
    <s v="USA"/>
    <n v="45000000"/>
    <x v="33"/>
    <x v="0"/>
    <m/>
    <m/>
    <m/>
    <m/>
    <m/>
    <m/>
    <m/>
  </r>
  <r>
    <x v="104"/>
    <x v="28"/>
    <n v="90636983"/>
    <x v="122"/>
    <x v="0"/>
    <s v="USA"/>
    <n v="22000000"/>
    <x v="8"/>
    <x v="0"/>
    <s v="Family"/>
    <s v="Sport"/>
    <m/>
    <m/>
    <m/>
    <m/>
    <m/>
  </r>
  <r>
    <x v="105"/>
    <x v="12"/>
    <n v="90567722"/>
    <x v="123"/>
    <x v="0"/>
    <s v="USA"/>
    <n v="51000000"/>
    <x v="20"/>
    <x v="0"/>
    <m/>
    <m/>
    <m/>
    <m/>
    <m/>
    <m/>
    <m/>
  </r>
  <r>
    <x v="106"/>
    <x v="48"/>
    <n v="90556401"/>
    <x v="124"/>
    <x v="0"/>
    <s v="USA"/>
    <n v="11000000"/>
    <x v="36"/>
    <x v="0"/>
    <s v="Drama"/>
    <s v="Family"/>
    <s v="Music"/>
    <s v="Musical"/>
    <s v="Romance"/>
    <m/>
    <m/>
  </r>
  <r>
    <x v="107"/>
    <x v="18"/>
    <n v="90485233"/>
    <x v="125"/>
    <x v="0"/>
    <s v="USA"/>
    <n v="39751583.5"/>
    <x v="30"/>
    <x v="0"/>
    <s v="Crime"/>
    <s v="Drama"/>
    <m/>
    <m/>
    <m/>
    <m/>
    <m/>
  </r>
  <r>
    <x v="54"/>
    <x v="19"/>
    <n v="90454043"/>
    <x v="126"/>
    <x v="0"/>
    <s v="USA"/>
    <n v="65000000"/>
    <x v="16"/>
    <x v="4"/>
    <s v="Adventure"/>
    <s v="Thriller"/>
    <m/>
    <m/>
    <m/>
    <m/>
    <m/>
  </r>
  <r>
    <x v="108"/>
    <x v="60"/>
    <n v="90443603"/>
    <x v="127"/>
    <x v="0"/>
    <s v="USA"/>
    <n v="80000000"/>
    <x v="2"/>
    <x v="2"/>
    <s v="Animation"/>
    <s v="Comedy"/>
    <s v="Family"/>
    <s v="Fantasy"/>
    <s v="Sci-Fi"/>
    <s v="Sport"/>
    <m/>
  </r>
  <r>
    <x v="109"/>
    <x v="12"/>
    <n v="90400000"/>
    <x v="128"/>
    <x v="0"/>
    <s v="USA"/>
    <n v="39751583.5"/>
    <x v="31"/>
    <x v="0"/>
    <m/>
    <m/>
    <m/>
    <m/>
    <m/>
    <m/>
    <m/>
  </r>
  <r>
    <x v="110"/>
    <x v="11"/>
    <n v="90356857"/>
    <x v="129"/>
    <x v="0"/>
    <s v="USA"/>
    <n v="58000000"/>
    <x v="6"/>
    <x v="4"/>
    <s v="Comedy"/>
    <s v="Crime"/>
    <s v="Thriller"/>
    <m/>
    <m/>
    <m/>
    <m/>
  </r>
  <r>
    <x v="111"/>
    <x v="34"/>
    <n v="90353764"/>
    <x v="130"/>
    <x v="0"/>
    <s v="USA"/>
    <n v="40000000"/>
    <x v="27"/>
    <x v="0"/>
    <s v="Crime"/>
    <m/>
    <m/>
    <m/>
    <m/>
    <m/>
    <m/>
  </r>
  <r>
    <x v="112"/>
    <x v="41"/>
    <n v="90341670"/>
    <x v="131"/>
    <x v="0"/>
    <s v="USA"/>
    <n v="60000000"/>
    <x v="3"/>
    <x v="4"/>
    <s v="Adventure"/>
    <s v="Fantasy"/>
    <s v="Thriller"/>
    <m/>
    <m/>
    <m/>
    <m/>
  </r>
  <r>
    <x v="54"/>
    <x v="53"/>
    <n v="90135191"/>
    <x v="132"/>
    <x v="0"/>
    <s v="USA"/>
    <n v="25000000"/>
    <x v="13"/>
    <x v="5"/>
    <s v="Drama"/>
    <s v="Mystery"/>
    <s v="Thriller"/>
    <m/>
    <m/>
    <m/>
    <m/>
  </r>
  <r>
    <x v="113"/>
    <x v="13"/>
    <n v="89808372"/>
    <x v="133"/>
    <x v="0"/>
    <s v="USA"/>
    <n v="45000000"/>
    <x v="28"/>
    <x v="0"/>
    <m/>
    <m/>
    <m/>
    <m/>
    <m/>
    <m/>
    <m/>
  </r>
  <r>
    <x v="110"/>
    <x v="1"/>
    <n v="89706988"/>
    <x v="134"/>
    <x v="0"/>
    <s v="USA"/>
    <n v="55000000"/>
    <x v="8"/>
    <x v="3"/>
    <s v="Mystery"/>
    <s v="Thriller"/>
    <m/>
    <m/>
    <m/>
    <m/>
    <m/>
  </r>
  <r>
    <x v="114"/>
    <x v="61"/>
    <n v="89253340"/>
    <x v="135"/>
    <x v="0"/>
    <s v="France"/>
    <n v="48000000"/>
    <x v="27"/>
    <x v="4"/>
    <s v="Thriller"/>
    <m/>
    <m/>
    <m/>
    <m/>
    <m/>
    <m/>
  </r>
  <r>
    <x v="38"/>
    <x v="12"/>
    <n v="89138076"/>
    <x v="136"/>
    <x v="0"/>
    <s v="USA"/>
    <n v="40000000"/>
    <x v="3"/>
    <x v="1"/>
    <s v="Mystery"/>
    <m/>
    <m/>
    <m/>
    <m/>
    <m/>
    <m/>
  </r>
  <r>
    <x v="76"/>
    <x v="49"/>
    <n v="88915214"/>
    <x v="137"/>
    <x v="0"/>
    <s v="USA"/>
    <n v="38000000"/>
    <x v="20"/>
    <x v="0"/>
    <s v="Romance"/>
    <m/>
    <m/>
    <m/>
    <m/>
    <m/>
    <m/>
  </r>
  <r>
    <x v="115"/>
    <x v="13"/>
    <n v="88658172"/>
    <x v="138"/>
    <x v="0"/>
    <s v="USA"/>
    <n v="50000000"/>
    <x v="37"/>
    <x v="0"/>
    <s v="Romance"/>
    <m/>
    <m/>
    <m/>
    <m/>
    <m/>
    <m/>
  </r>
  <r>
    <x v="116"/>
    <x v="18"/>
    <n v="88625922"/>
    <x v="139"/>
    <x v="0"/>
    <s v="USA"/>
    <n v="45000000"/>
    <x v="6"/>
    <x v="2"/>
    <s v="Comedy"/>
    <s v="Family"/>
    <s v="Musical"/>
    <m/>
    <m/>
    <m/>
    <m/>
  </r>
  <r>
    <x v="117"/>
    <x v="2"/>
    <n v="88504640"/>
    <x v="140"/>
    <x v="0"/>
    <s v="USA"/>
    <n v="45000000"/>
    <x v="17"/>
    <x v="5"/>
    <s v="Drama"/>
    <s v="Mystery"/>
    <s v="Thriller"/>
    <m/>
    <m/>
    <m/>
    <m/>
  </r>
  <r>
    <x v="62"/>
    <x v="43"/>
    <n v="88200225"/>
    <x v="141"/>
    <x v="0"/>
    <s v="USA"/>
    <n v="60000000"/>
    <x v="0"/>
    <x v="0"/>
    <s v="Crime"/>
    <m/>
    <m/>
    <m/>
    <m/>
    <m/>
    <m/>
  </r>
  <r>
    <x v="118"/>
    <x v="10"/>
    <n v="87856565"/>
    <x v="142"/>
    <x v="0"/>
    <s v="USA"/>
    <n v="42000000"/>
    <x v="1"/>
    <x v="0"/>
    <s v="Romance"/>
    <m/>
    <m/>
    <m/>
    <m/>
    <m/>
    <m/>
  </r>
  <r>
    <x v="119"/>
    <x v="8"/>
    <n v="87704396"/>
    <x v="143"/>
    <x v="0"/>
    <s v="USA"/>
    <n v="66000000"/>
    <x v="8"/>
    <x v="4"/>
    <s v="Crime"/>
    <s v="Romance"/>
    <s v="Thriller"/>
    <m/>
    <m/>
    <m/>
    <m/>
  </r>
  <r>
    <x v="57"/>
    <x v="36"/>
    <n v="87666629"/>
    <x v="144"/>
    <x v="0"/>
    <s v="USA"/>
    <n v="40000000"/>
    <x v="7"/>
    <x v="2"/>
    <s v="Comedy"/>
    <s v="Sci-Fi"/>
    <s v="Western"/>
    <m/>
    <m/>
    <m/>
    <m/>
  </r>
  <r>
    <x v="120"/>
    <x v="24"/>
    <n v="87341380"/>
    <x v="145"/>
    <x v="0"/>
    <s v="USA"/>
    <n v="27000000"/>
    <x v="14"/>
    <x v="4"/>
    <s v="Comedy"/>
    <s v="Crime"/>
    <m/>
    <m/>
    <m/>
    <m/>
    <m/>
  </r>
  <r>
    <x v="121"/>
    <x v="62"/>
    <n v="87100000"/>
    <x v="146"/>
    <x v="0"/>
    <s v="USA"/>
    <n v="31000000"/>
    <x v="11"/>
    <x v="6"/>
    <s v="Drama"/>
    <s v="Romance"/>
    <m/>
    <m/>
    <m/>
    <m/>
    <m/>
  </r>
  <r>
    <x v="122"/>
    <x v="13"/>
    <n v="87025093"/>
    <x v="147"/>
    <x v="0"/>
    <s v="USA"/>
    <n v="4000000"/>
    <x v="24"/>
    <x v="1"/>
    <s v="Mystery"/>
    <m/>
    <m/>
    <m/>
    <m/>
    <m/>
    <m/>
  </r>
  <r>
    <x v="3"/>
    <x v="63"/>
    <n v="86930411"/>
    <x v="148"/>
    <x v="0"/>
    <s v="USA"/>
    <n v="23000000"/>
    <x v="9"/>
    <x v="0"/>
    <s v="Crime"/>
    <m/>
    <m/>
    <m/>
    <m/>
    <m/>
    <m/>
  </r>
  <r>
    <x v="123"/>
    <x v="40"/>
    <n v="86300000"/>
    <x v="149"/>
    <x v="0"/>
    <s v="USA"/>
    <n v="2800000"/>
    <x v="13"/>
    <x v="0"/>
    <m/>
    <m/>
    <m/>
    <m/>
    <m/>
    <m/>
    <m/>
  </r>
  <r>
    <x v="105"/>
    <x v="17"/>
    <n v="86208010"/>
    <x v="150"/>
    <x v="0"/>
    <s v="USA"/>
    <n v="35000000"/>
    <x v="21"/>
    <x v="0"/>
    <m/>
    <m/>
    <m/>
    <m/>
    <m/>
    <m/>
    <m/>
  </r>
  <r>
    <x v="0"/>
    <x v="0"/>
    <n v="86049418"/>
    <x v="151"/>
    <x v="0"/>
    <s v="USA"/>
    <n v="17000000"/>
    <x v="14"/>
    <x v="0"/>
    <m/>
    <m/>
    <m/>
    <m/>
    <m/>
    <m/>
    <m/>
  </r>
  <r>
    <x v="124"/>
    <x v="36"/>
    <n v="85911262"/>
    <x v="152"/>
    <x v="0"/>
    <s v="USA"/>
    <n v="65000000"/>
    <x v="34"/>
    <x v="0"/>
    <s v="Drama"/>
    <s v="Family"/>
    <s v="Musical"/>
    <m/>
    <m/>
    <m/>
    <m/>
  </r>
  <r>
    <x v="125"/>
    <x v="22"/>
    <n v="85884815"/>
    <x v="153"/>
    <x v="0"/>
    <s v="USA"/>
    <n v="90000000"/>
    <x v="38"/>
    <x v="2"/>
    <s v="Animation"/>
    <s v="Comedy"/>
    <s v="Family"/>
    <s v="Fantasy"/>
    <s v="Music"/>
    <m/>
    <m/>
  </r>
  <r>
    <x v="126"/>
    <x v="16"/>
    <n v="85707116"/>
    <x v="154"/>
    <x v="0"/>
    <s v="USA"/>
    <n v="68000000"/>
    <x v="17"/>
    <x v="4"/>
    <s v="Drama"/>
    <s v="War"/>
    <m/>
    <m/>
    <m/>
    <m/>
    <m/>
  </r>
  <r>
    <x v="127"/>
    <x v="41"/>
    <n v="85570368"/>
    <x v="155"/>
    <x v="0"/>
    <s v="USA"/>
    <n v="38000000"/>
    <x v="33"/>
    <x v="4"/>
    <s v="Adventure"/>
    <s v="Comedy"/>
    <s v="Family"/>
    <s v="Sci-Fi"/>
    <m/>
    <m/>
    <m/>
  </r>
  <r>
    <x v="128"/>
    <x v="54"/>
    <n v="85416609"/>
    <x v="156"/>
    <x v="0"/>
    <s v="USA"/>
    <n v="30000000"/>
    <x v="14"/>
    <x v="2"/>
    <s v="Animation"/>
    <s v="Comedy"/>
    <s v="Family"/>
    <s v="Fantasy"/>
    <m/>
    <m/>
    <m/>
  </r>
  <r>
    <x v="95"/>
    <x v="24"/>
    <n v="85300000"/>
    <x v="157"/>
    <x v="0"/>
    <s v="USA"/>
    <n v="10000000"/>
    <x v="26"/>
    <x v="4"/>
    <s v="Comedy"/>
    <s v="War"/>
    <m/>
    <m/>
    <m/>
    <m/>
    <m/>
  </r>
  <r>
    <x v="129"/>
    <x v="47"/>
    <n v="85200000"/>
    <x v="158"/>
    <x v="0"/>
    <s v="USA"/>
    <n v="18500000"/>
    <x v="39"/>
    <x v="4"/>
    <s v="Adventure"/>
    <s v="Sci-Fi"/>
    <m/>
    <m/>
    <m/>
    <m/>
    <m/>
  </r>
  <r>
    <x v="130"/>
    <x v="1"/>
    <n v="84749884"/>
    <x v="159"/>
    <x v="0"/>
    <s v="USA"/>
    <n v="3000000"/>
    <x v="21"/>
    <x v="1"/>
    <m/>
    <m/>
    <m/>
    <m/>
    <m/>
    <m/>
    <m/>
  </r>
  <r>
    <x v="131"/>
    <x v="41"/>
    <n v="84518155"/>
    <x v="160"/>
    <x v="0"/>
    <s v="USA"/>
    <n v="20000000"/>
    <x v="35"/>
    <x v="0"/>
    <m/>
    <m/>
    <m/>
    <m/>
    <m/>
    <m/>
    <m/>
  </r>
  <r>
    <x v="132"/>
    <x v="39"/>
    <n v="84303558"/>
    <x v="161"/>
    <x v="0"/>
    <s v="USA"/>
    <n v="85000000"/>
    <x v="8"/>
    <x v="2"/>
    <s v="Animation"/>
    <s v="Comedy"/>
    <s v="Family"/>
    <m/>
    <m/>
    <m/>
    <m/>
  </r>
  <r>
    <x v="133"/>
    <x v="60"/>
    <n v="84300000"/>
    <x v="162"/>
    <x v="0"/>
    <s v="USA"/>
    <n v="2600000"/>
    <x v="31"/>
    <x v="7"/>
    <s v="Family"/>
    <s v="Fantasy"/>
    <s v="Musical"/>
    <m/>
    <m/>
    <m/>
    <m/>
  </r>
  <r>
    <x v="134"/>
    <x v="4"/>
    <n v="84263837"/>
    <x v="163"/>
    <x v="0"/>
    <s v="USA"/>
    <n v="6500000"/>
    <x v="18"/>
    <x v="1"/>
    <s v="Mystery"/>
    <m/>
    <m/>
    <m/>
    <m/>
    <m/>
    <m/>
  </r>
  <r>
    <x v="135"/>
    <x v="36"/>
    <n v="84244877"/>
    <x v="164"/>
    <x v="0"/>
    <s v="USA"/>
    <n v="50000000"/>
    <x v="7"/>
    <x v="0"/>
    <s v="Drama"/>
    <s v="Romance"/>
    <m/>
    <m/>
    <m/>
    <m/>
    <m/>
  </r>
  <r>
    <x v="81"/>
    <x v="31"/>
    <n v="84185387"/>
    <x v="165"/>
    <x v="0"/>
    <s v="USA"/>
    <n v="80000000"/>
    <x v="35"/>
    <x v="2"/>
    <s v="Comedy"/>
    <s v="Family"/>
    <s v="Fantasy"/>
    <s v="Horror"/>
    <s v="Mystery"/>
    <m/>
    <m/>
  </r>
  <r>
    <x v="61"/>
    <x v="1"/>
    <n v="84136909"/>
    <x v="166"/>
    <x v="0"/>
    <s v="USA"/>
    <n v="26000000"/>
    <x v="11"/>
    <x v="0"/>
    <m/>
    <m/>
    <m/>
    <m/>
    <m/>
    <m/>
    <m/>
  </r>
  <r>
    <x v="136"/>
    <x v="55"/>
    <n v="84049211"/>
    <x v="167"/>
    <x v="0"/>
    <s v="USA"/>
    <n v="70000000"/>
    <x v="16"/>
    <x v="4"/>
    <s v="Adventure"/>
    <s v="Thriller"/>
    <m/>
    <m/>
    <m/>
    <m/>
    <m/>
  </r>
  <r>
    <x v="137"/>
    <x v="17"/>
    <n v="83906114"/>
    <x v="168"/>
    <x v="0"/>
    <s v="USA"/>
    <n v="40000000"/>
    <x v="27"/>
    <x v="0"/>
    <s v="Romance"/>
    <m/>
    <m/>
    <m/>
    <m/>
    <m/>
    <m/>
  </r>
  <r>
    <x v="138"/>
    <x v="64"/>
    <n v="83892374"/>
    <x v="169"/>
    <x v="0"/>
    <s v="USA"/>
    <n v="66000000"/>
    <x v="14"/>
    <x v="3"/>
    <s v="Mystery"/>
    <s v="Sci-Fi"/>
    <s v="Thriller"/>
    <m/>
    <m/>
    <m/>
    <m/>
  </r>
  <r>
    <x v="139"/>
    <x v="7"/>
    <n v="83813460"/>
    <x v="170"/>
    <x v="0"/>
    <s v="USA"/>
    <n v="25000000"/>
    <x v="7"/>
    <x v="3"/>
    <s v="Romance"/>
    <m/>
    <m/>
    <m/>
    <m/>
    <m/>
    <m/>
  </r>
  <r>
    <x v="44"/>
    <x v="40"/>
    <n v="83574831"/>
    <x v="171"/>
    <x v="0"/>
    <s v="USA"/>
    <n v="5000000"/>
    <x v="24"/>
    <x v="8"/>
    <s v="Horror"/>
    <s v="Thriller"/>
    <m/>
    <m/>
    <m/>
    <m/>
    <m/>
  </r>
  <r>
    <x v="140"/>
    <x v="12"/>
    <n v="83552429"/>
    <x v="172"/>
    <x v="0"/>
    <s v="USA"/>
    <n v="70000000"/>
    <x v="19"/>
    <x v="4"/>
    <s v="Sci-Fi"/>
    <m/>
    <m/>
    <m/>
    <m/>
    <m/>
    <m/>
  </r>
  <r>
    <x v="141"/>
    <x v="28"/>
    <n v="83503161"/>
    <x v="173"/>
    <x v="0"/>
    <s v="USA"/>
    <n v="75000000"/>
    <x v="0"/>
    <x v="4"/>
    <s v="Drama"/>
    <s v="Fantasy"/>
    <s v="Romance"/>
    <m/>
    <m/>
    <m/>
    <m/>
  </r>
  <r>
    <x v="142"/>
    <x v="60"/>
    <n v="83400000"/>
    <x v="174"/>
    <x v="0"/>
    <s v="USA"/>
    <n v="3500000"/>
    <x v="22"/>
    <x v="0"/>
    <m/>
    <m/>
    <m/>
    <m/>
    <m/>
    <m/>
    <m/>
  </r>
  <r>
    <x v="143"/>
    <x v="65"/>
    <n v="83299761"/>
    <x v="175"/>
    <x v="0"/>
    <s v="USA"/>
    <n v="35000000"/>
    <x v="31"/>
    <x v="6"/>
    <s v="Comedy"/>
    <s v="Drama"/>
    <s v="History"/>
    <s v="Music"/>
    <m/>
    <m/>
    <m/>
  </r>
  <r>
    <x v="144"/>
    <x v="24"/>
    <n v="83287363"/>
    <x v="176"/>
    <x v="0"/>
    <s v="USA"/>
    <n v="45000000"/>
    <x v="26"/>
    <x v="4"/>
    <s v="Thriller"/>
    <m/>
    <m/>
    <m/>
    <m/>
    <m/>
    <m/>
  </r>
  <r>
    <x v="145"/>
    <x v="64"/>
    <n v="83077470"/>
    <x v="177"/>
    <x v="0"/>
    <s v="USA"/>
    <n v="75000000"/>
    <x v="6"/>
    <x v="3"/>
    <s v="History"/>
    <s v="Thriller"/>
    <s v="War"/>
    <m/>
    <m/>
    <m/>
    <m/>
  </r>
  <r>
    <x v="146"/>
    <x v="16"/>
    <n v="83025853"/>
    <x v="178"/>
    <x v="0"/>
    <s v="USA"/>
    <n v="14000000"/>
    <x v="5"/>
    <x v="3"/>
    <s v="Romance"/>
    <m/>
    <m/>
    <m/>
    <m/>
    <m/>
    <m/>
  </r>
  <r>
    <x v="147"/>
    <x v="15"/>
    <n v="83000000"/>
    <x v="179"/>
    <x v="0"/>
    <s v="USA"/>
    <n v="55000000"/>
    <x v="27"/>
    <x v="3"/>
    <s v="Thriller"/>
    <m/>
    <m/>
    <m/>
    <m/>
    <m/>
    <m/>
  </r>
  <r>
    <x v="76"/>
    <x v="43"/>
    <n v="82931301"/>
    <x v="180"/>
    <x v="0"/>
    <s v="Germany"/>
    <n v="60000000"/>
    <x v="3"/>
    <x v="0"/>
    <s v="Romance"/>
    <m/>
    <m/>
    <m/>
    <m/>
    <m/>
    <m/>
  </r>
  <r>
    <x v="98"/>
    <x v="34"/>
    <n v="82670733"/>
    <x v="181"/>
    <x v="0"/>
    <s v="USA"/>
    <n v="60000000"/>
    <x v="1"/>
    <x v="4"/>
    <s v="Drama"/>
    <s v="Sport"/>
    <m/>
    <m/>
    <m/>
    <m/>
    <m/>
  </r>
  <r>
    <x v="148"/>
    <x v="61"/>
    <n v="82624961"/>
    <x v="182"/>
    <x v="0"/>
    <s v="USA"/>
    <n v="20000000"/>
    <x v="4"/>
    <x v="0"/>
    <s v="Drama"/>
    <m/>
    <m/>
    <m/>
    <m/>
    <m/>
    <m/>
  </r>
  <r>
    <x v="4"/>
    <x v="20"/>
    <n v="82569532"/>
    <x v="183"/>
    <x v="0"/>
    <s v="USA"/>
    <n v="60000000"/>
    <x v="18"/>
    <x v="2"/>
    <s v="Comedy"/>
    <s v="Family"/>
    <m/>
    <m/>
    <m/>
    <m/>
    <m/>
  </r>
  <r>
    <x v="149"/>
    <x v="66"/>
    <n v="82528097"/>
    <x v="184"/>
    <x v="0"/>
    <s v="USA"/>
    <n v="6500000"/>
    <x v="4"/>
    <x v="3"/>
    <s v="Music"/>
    <m/>
    <m/>
    <m/>
    <m/>
    <m/>
    <m/>
  </r>
  <r>
    <x v="150"/>
    <x v="67"/>
    <n v="82522790"/>
    <x v="185"/>
    <x v="0"/>
    <s v="USA"/>
    <n v="40000000"/>
    <x v="31"/>
    <x v="8"/>
    <s v="Horror"/>
    <s v="Romance"/>
    <m/>
    <m/>
    <m/>
    <m/>
    <m/>
  </r>
  <r>
    <x v="151"/>
    <x v="0"/>
    <n v="82506325"/>
    <x v="186"/>
    <x v="0"/>
    <s v="USA"/>
    <n v="39751583.5"/>
    <x v="16"/>
    <x v="0"/>
    <s v="Family"/>
    <s v="Fantasy"/>
    <m/>
    <m/>
    <m/>
    <m/>
    <m/>
  </r>
  <r>
    <x v="152"/>
    <x v="44"/>
    <n v="82389560"/>
    <x v="187"/>
    <x v="0"/>
    <s v="USA"/>
    <n v="17000000"/>
    <x v="20"/>
    <x v="0"/>
    <m/>
    <m/>
    <m/>
    <m/>
    <m/>
    <m/>
    <m/>
  </r>
  <r>
    <x v="153"/>
    <x v="13"/>
    <n v="82301521"/>
    <x v="188"/>
    <x v="0"/>
    <s v="USA"/>
    <n v="32000000"/>
    <x v="28"/>
    <x v="2"/>
    <s v="Comedy"/>
    <s v="Family"/>
    <s v="Romance"/>
    <m/>
    <m/>
    <m/>
    <m/>
  </r>
  <r>
    <x v="154"/>
    <x v="66"/>
    <n v="82300000"/>
    <x v="189"/>
    <x v="0"/>
    <s v="USA"/>
    <n v="35000000"/>
    <x v="16"/>
    <x v="2"/>
    <s v="Mystery"/>
    <s v="Sci-Fi"/>
    <m/>
    <m/>
    <m/>
    <m/>
    <m/>
  </r>
  <r>
    <x v="155"/>
    <x v="49"/>
    <n v="82234139"/>
    <x v="190"/>
    <x v="0"/>
    <s v="USA"/>
    <n v="17000000"/>
    <x v="11"/>
    <x v="2"/>
    <s v="Drama"/>
    <s v="Family"/>
    <s v="Fantasy"/>
    <m/>
    <m/>
    <m/>
    <m/>
  </r>
  <r>
    <x v="68"/>
    <x v="31"/>
    <n v="82226474"/>
    <x v="191"/>
    <x v="0"/>
    <s v="USA"/>
    <n v="65000000"/>
    <x v="37"/>
    <x v="2"/>
    <s v="Comedy"/>
    <s v="Crime"/>
    <s v="Family"/>
    <s v="Mystery"/>
    <m/>
    <m/>
    <m/>
  </r>
  <r>
    <x v="156"/>
    <x v="0"/>
    <n v="82163317"/>
    <x v="192"/>
    <x v="0"/>
    <s v="USA"/>
    <n v="30000000"/>
    <x v="19"/>
    <x v="4"/>
    <s v="Horror"/>
    <s v="Thriller"/>
    <m/>
    <m/>
    <m/>
    <m/>
    <m/>
  </r>
  <r>
    <x v="43"/>
    <x v="33"/>
    <n v="81687587"/>
    <x v="193"/>
    <x v="0"/>
    <s v="USA"/>
    <n v="61000000"/>
    <x v="16"/>
    <x v="4"/>
    <s v="Sci-Fi"/>
    <s v="Thriller"/>
    <m/>
    <m/>
    <m/>
    <m/>
    <m/>
  </r>
  <r>
    <x v="157"/>
    <x v="24"/>
    <n v="81645152"/>
    <x v="194"/>
    <x v="0"/>
    <s v="USA"/>
    <n v="54000000"/>
    <x v="15"/>
    <x v="4"/>
    <s v="Horror"/>
    <s v="Sci-Fi"/>
    <s v="Thriller"/>
    <m/>
    <m/>
    <m/>
    <m/>
  </r>
  <r>
    <x v="158"/>
    <x v="35"/>
    <n v="81593527"/>
    <x v="195"/>
    <x v="0"/>
    <s v="USA"/>
    <n v="40000000"/>
    <x v="4"/>
    <x v="2"/>
    <s v="Drama"/>
    <s v="Family"/>
    <m/>
    <m/>
    <m/>
    <m/>
    <m/>
  </r>
  <r>
    <x v="77"/>
    <x v="10"/>
    <n v="81517441"/>
    <x v="196"/>
    <x v="0"/>
    <s v="USA"/>
    <n v="50000000"/>
    <x v="6"/>
    <x v="4"/>
    <s v="Crime"/>
    <s v="Drama"/>
    <s v="Thriller"/>
    <m/>
    <m/>
    <m/>
    <m/>
  </r>
  <r>
    <x v="66"/>
    <x v="25"/>
    <n v="81350242"/>
    <x v="197"/>
    <x v="0"/>
    <s v="USA"/>
    <n v="28000000"/>
    <x v="40"/>
    <x v="4"/>
    <s v="Thriller"/>
    <m/>
    <m/>
    <m/>
    <m/>
    <m/>
    <m/>
  </r>
  <r>
    <x v="75"/>
    <x v="29"/>
    <n v="81292135"/>
    <x v="198"/>
    <x v="0"/>
    <s v="USA"/>
    <n v="40000000"/>
    <x v="4"/>
    <x v="5"/>
    <s v="Drama"/>
    <s v="Thriller"/>
    <m/>
    <m/>
    <m/>
    <m/>
    <m/>
  </r>
  <r>
    <x v="159"/>
    <x v="7"/>
    <n v="81257845"/>
    <x v="199"/>
    <x v="0"/>
    <s v="USA"/>
    <n v="35000000"/>
    <x v="6"/>
    <x v="0"/>
    <s v="Music"/>
    <m/>
    <m/>
    <m/>
    <m/>
    <m/>
    <m/>
  </r>
  <r>
    <x v="160"/>
    <x v="65"/>
    <n v="81257500"/>
    <x v="200"/>
    <x v="0"/>
    <s v="USA"/>
    <n v="68000000"/>
    <x v="16"/>
    <x v="0"/>
    <m/>
    <m/>
    <m/>
    <m/>
    <m/>
    <m/>
    <m/>
  </r>
  <r>
    <x v="27"/>
    <x v="49"/>
    <n v="81200000"/>
    <x v="201"/>
    <x v="0"/>
    <s v="USA"/>
    <n v="4500000"/>
    <x v="15"/>
    <x v="0"/>
    <m/>
    <m/>
    <m/>
    <m/>
    <m/>
    <m/>
    <m/>
  </r>
  <r>
    <x v="76"/>
    <x v="21"/>
    <n v="81159365"/>
    <x v="202"/>
    <x v="0"/>
    <s v="USA"/>
    <n v="35000000"/>
    <x v="9"/>
    <x v="5"/>
    <s v="Drama"/>
    <s v="Thriller"/>
    <m/>
    <m/>
    <m/>
    <m/>
    <m/>
  </r>
  <r>
    <x v="153"/>
    <x v="4"/>
    <n v="81150692"/>
    <x v="203"/>
    <x v="0"/>
    <s v="Canada"/>
    <n v="35000000"/>
    <x v="33"/>
    <x v="2"/>
    <s v="Comedy"/>
    <s v="Family"/>
    <s v="Sport"/>
    <m/>
    <m/>
    <m/>
    <m/>
  </r>
  <r>
    <x v="158"/>
    <x v="17"/>
    <n v="81022333"/>
    <x v="204"/>
    <x v="0"/>
    <s v="USA"/>
    <n v="50000000"/>
    <x v="38"/>
    <x v="4"/>
    <s v="Adventure"/>
    <s v="Mystery"/>
    <s v="Sci-Fi"/>
    <m/>
    <m/>
    <m/>
    <m/>
  </r>
  <r>
    <x v="161"/>
    <x v="68"/>
    <n v="80920948"/>
    <x v="205"/>
    <x v="0"/>
    <s v="USA"/>
    <n v="30000000"/>
    <x v="27"/>
    <x v="4"/>
    <s v="Adventure"/>
    <s v="Animation"/>
    <s v="Comedy"/>
    <s v="Family"/>
    <s v="Sci-Fi"/>
    <m/>
    <m/>
  </r>
  <r>
    <x v="162"/>
    <x v="69"/>
    <n v="80574010"/>
    <x v="206"/>
    <x v="0"/>
    <s v="USA"/>
    <n v="60000000"/>
    <x v="21"/>
    <x v="3"/>
    <s v="Romance"/>
    <m/>
    <m/>
    <m/>
    <m/>
    <m/>
    <m/>
  </r>
  <r>
    <x v="163"/>
    <x v="30"/>
    <n v="80360866"/>
    <x v="207"/>
    <x v="0"/>
    <s v="USA"/>
    <n v="80000000"/>
    <x v="34"/>
    <x v="0"/>
    <s v="Family"/>
    <s v="Romance"/>
    <m/>
    <m/>
    <m/>
    <m/>
    <m/>
  </r>
  <r>
    <x v="164"/>
    <x v="17"/>
    <n v="80281096"/>
    <x v="208"/>
    <x v="0"/>
    <s v="USA"/>
    <n v="60000000"/>
    <x v="37"/>
    <x v="4"/>
    <s v="Horror"/>
    <s v="Sci-Fi"/>
    <s v="Thriller"/>
    <m/>
    <m/>
    <m/>
    <m/>
  </r>
  <r>
    <x v="165"/>
    <x v="43"/>
    <n v="80276912"/>
    <x v="209"/>
    <x v="0"/>
    <s v="USA"/>
    <n v="35000000"/>
    <x v="0"/>
    <x v="0"/>
    <s v="Romance"/>
    <m/>
    <m/>
    <m/>
    <m/>
    <m/>
    <m/>
  </r>
  <r>
    <x v="166"/>
    <x v="34"/>
    <n v="80270227"/>
    <x v="210"/>
    <x v="0"/>
    <s v="USA"/>
    <n v="50000000"/>
    <x v="33"/>
    <x v="4"/>
    <s v="Adventure"/>
    <s v="Comedy"/>
    <m/>
    <m/>
    <m/>
    <m/>
    <m/>
  </r>
  <r>
    <x v="167"/>
    <x v="22"/>
    <n v="80197993"/>
    <x v="211"/>
    <x v="0"/>
    <s v="Germany"/>
    <n v="32000000"/>
    <x v="21"/>
    <x v="0"/>
    <s v="Family"/>
    <s v="Sport"/>
    <m/>
    <m/>
    <m/>
    <m/>
    <m/>
  </r>
  <r>
    <x v="168"/>
    <x v="60"/>
    <n v="80170146"/>
    <x v="212"/>
    <x v="0"/>
    <s v="USA"/>
    <n v="85000000"/>
    <x v="0"/>
    <x v="4"/>
    <s v="Adventure"/>
    <s v="Sci-Fi"/>
    <s v="Thriller"/>
    <m/>
    <m/>
    <m/>
    <m/>
  </r>
  <r>
    <x v="122"/>
    <x v="64"/>
    <n v="80150343"/>
    <x v="213"/>
    <x v="0"/>
    <s v="USA"/>
    <n v="10000000"/>
    <x v="8"/>
    <x v="1"/>
    <s v="Mystery"/>
    <m/>
    <m/>
    <m/>
    <m/>
    <m/>
    <m/>
  </r>
  <r>
    <x v="55"/>
    <x v="51"/>
    <n v="80050171"/>
    <x v="214"/>
    <x v="0"/>
    <s v="USA"/>
    <n v="20000000"/>
    <x v="26"/>
    <x v="3"/>
    <s v="Mystery"/>
    <s v="Thriller"/>
    <m/>
    <m/>
    <m/>
    <m/>
    <m/>
  </r>
  <r>
    <x v="55"/>
    <x v="51"/>
    <n v="80050171"/>
    <x v="214"/>
    <x v="0"/>
    <s v="USA"/>
    <n v="20000000"/>
    <x v="26"/>
    <x v="3"/>
    <s v="Mystery"/>
    <s v="Thriller"/>
    <m/>
    <m/>
    <m/>
    <m/>
    <m/>
  </r>
  <r>
    <x v="169"/>
    <x v="63"/>
    <n v="80034302"/>
    <x v="215"/>
    <x v="0"/>
    <s v="USA"/>
    <n v="25000000"/>
    <x v="14"/>
    <x v="4"/>
    <s v="Adventure"/>
    <s v="Horror"/>
    <s v="Sci-Fi"/>
    <m/>
    <m/>
    <m/>
    <m/>
  </r>
  <r>
    <x v="170"/>
    <x v="19"/>
    <n v="80033643"/>
    <x v="216"/>
    <x v="0"/>
    <s v="USA"/>
    <n v="60000000"/>
    <x v="14"/>
    <x v="4"/>
    <s v="Crime"/>
    <s v="Mystery"/>
    <s v="Thriller"/>
    <m/>
    <m/>
    <m/>
    <m/>
  </r>
  <r>
    <x v="170"/>
    <x v="19"/>
    <n v="80033643"/>
    <x v="216"/>
    <x v="0"/>
    <s v="USA"/>
    <n v="60000000"/>
    <x v="14"/>
    <x v="4"/>
    <s v="Crime"/>
    <s v="Mystery"/>
    <s v="Thriller"/>
    <m/>
    <m/>
    <m/>
    <m/>
  </r>
  <r>
    <x v="171"/>
    <x v="18"/>
    <n v="80021740"/>
    <x v="217"/>
    <x v="0"/>
    <s v="USA"/>
    <n v="58000000"/>
    <x v="16"/>
    <x v="2"/>
    <s v="Comedy"/>
    <s v="Family"/>
    <s v="Fantasy"/>
    <s v="Horror"/>
    <m/>
    <m/>
    <m/>
  </r>
  <r>
    <x v="171"/>
    <x v="18"/>
    <n v="80021740"/>
    <x v="217"/>
    <x v="0"/>
    <s v="USA"/>
    <n v="58000000"/>
    <x v="16"/>
    <x v="2"/>
    <s v="Comedy"/>
    <s v="Family"/>
    <s v="Fantasy"/>
    <s v="Horror"/>
    <m/>
    <m/>
    <m/>
  </r>
  <r>
    <x v="172"/>
    <x v="7"/>
    <n v="80014842"/>
    <x v="218"/>
    <x v="0"/>
    <s v="USA"/>
    <n v="25000000"/>
    <x v="2"/>
    <x v="3"/>
    <s v="Romance"/>
    <s v="War"/>
    <m/>
    <m/>
    <m/>
    <m/>
    <m/>
  </r>
  <r>
    <x v="173"/>
    <x v="34"/>
    <n v="80000000"/>
    <x v="219"/>
    <x v="0"/>
    <s v="USA"/>
    <n v="8200000"/>
    <x v="20"/>
    <x v="3"/>
    <s v="Music"/>
    <s v="Romance"/>
    <m/>
    <m/>
    <m/>
    <m/>
    <m/>
  </r>
  <r>
    <x v="174"/>
    <x v="64"/>
    <n v="79948113"/>
    <x v="220"/>
    <x v="0"/>
    <s v="USA"/>
    <n v="50000000"/>
    <x v="8"/>
    <x v="3"/>
    <s v="Mystery"/>
    <s v="Sci-Fi"/>
    <s v="Thriller"/>
    <m/>
    <m/>
    <m/>
    <m/>
  </r>
  <r>
    <x v="175"/>
    <x v="55"/>
    <n v="79900000"/>
    <x v="221"/>
    <x v="0"/>
    <s v="USA"/>
    <n v="39751583.5"/>
    <x v="31"/>
    <x v="6"/>
    <s v="Drama"/>
    <s v="Music"/>
    <s v="Musical"/>
    <m/>
    <m/>
    <m/>
    <m/>
  </r>
  <r>
    <x v="72"/>
    <x v="70"/>
    <n v="79883359"/>
    <x v="222"/>
    <x v="0"/>
    <s v="USA"/>
    <n v="66000000"/>
    <x v="11"/>
    <x v="3"/>
    <s v="War"/>
    <m/>
    <m/>
    <m/>
    <m/>
    <m/>
    <m/>
  </r>
  <r>
    <x v="176"/>
    <x v="20"/>
    <n v="79817937"/>
    <x v="223"/>
    <x v="0"/>
    <s v="USA"/>
    <n v="25000000"/>
    <x v="1"/>
    <x v="4"/>
    <s v="Adventure"/>
    <s v="Comedy"/>
    <s v="Fantasy"/>
    <s v="Mystery"/>
    <m/>
    <m/>
    <m/>
  </r>
  <r>
    <x v="177"/>
    <x v="58"/>
    <n v="79568000"/>
    <x v="224"/>
    <x v="0"/>
    <s v="USA"/>
    <n v="12000000"/>
    <x v="6"/>
    <x v="9"/>
    <s v="Thriller"/>
    <m/>
    <m/>
    <m/>
    <m/>
    <m/>
    <m/>
  </r>
  <r>
    <x v="178"/>
    <x v="30"/>
    <n v="79566871"/>
    <x v="225"/>
    <x v="0"/>
    <s v="USA"/>
    <n v="30000000"/>
    <x v="41"/>
    <x v="0"/>
    <s v="Drama"/>
    <s v="Family"/>
    <s v="Music"/>
    <s v="Romance"/>
    <m/>
    <m/>
    <m/>
  </r>
  <r>
    <x v="179"/>
    <x v="44"/>
    <n v="79363785"/>
    <x v="226"/>
    <x v="0"/>
    <s v="USA"/>
    <n v="80000000"/>
    <x v="3"/>
    <x v="3"/>
    <s v="Sci-Fi"/>
    <s v="Thriller"/>
    <m/>
    <m/>
    <m/>
    <m/>
    <m/>
  </r>
  <r>
    <x v="179"/>
    <x v="44"/>
    <n v="79363785"/>
    <x v="226"/>
    <x v="0"/>
    <s v="USA"/>
    <n v="80000000"/>
    <x v="3"/>
    <x v="3"/>
    <s v="Sci-Fi"/>
    <s v="Thriller"/>
    <m/>
    <m/>
    <m/>
    <m/>
    <m/>
  </r>
  <r>
    <x v="180"/>
    <x v="15"/>
    <n v="79100000"/>
    <x v="227"/>
    <x v="0"/>
    <s v="USA"/>
    <n v="35000000"/>
    <x v="4"/>
    <x v="5"/>
    <s v="Thriller"/>
    <m/>
    <m/>
    <m/>
    <m/>
    <m/>
    <m/>
  </r>
  <r>
    <x v="181"/>
    <x v="12"/>
    <n v="78900000"/>
    <x v="228"/>
    <x v="0"/>
    <s v="USA"/>
    <n v="11000000"/>
    <x v="5"/>
    <x v="4"/>
    <s v="Adventure"/>
    <s v="Sci-Fi"/>
    <m/>
    <m/>
    <m/>
    <m/>
    <m/>
  </r>
  <r>
    <x v="182"/>
    <x v="12"/>
    <n v="78900000"/>
    <x v="229"/>
    <x v="0"/>
    <s v="UK"/>
    <n v="11000000"/>
    <x v="42"/>
    <x v="1"/>
    <s v="Sci-Fi"/>
    <m/>
    <m/>
    <m/>
    <m/>
    <m/>
    <m/>
  </r>
  <r>
    <x v="183"/>
    <x v="17"/>
    <n v="78845130"/>
    <x v="230"/>
    <x v="0"/>
    <s v="France"/>
    <n v="10000000"/>
    <x v="0"/>
    <x v="4"/>
    <s v="Horror"/>
    <s v="Sci-Fi"/>
    <s v="Thriller"/>
    <m/>
    <m/>
    <m/>
    <m/>
  </r>
  <r>
    <x v="150"/>
    <x v="71"/>
    <n v="78800000"/>
    <x v="231"/>
    <x v="0"/>
    <s v="USA"/>
    <n v="31500000"/>
    <x v="42"/>
    <x v="3"/>
    <s v="War"/>
    <m/>
    <m/>
    <m/>
    <m/>
    <m/>
    <m/>
  </r>
  <r>
    <x v="102"/>
    <x v="40"/>
    <n v="78747585"/>
    <x v="232"/>
    <x v="0"/>
    <s v="USA"/>
    <n v="88000000"/>
    <x v="37"/>
    <x v="4"/>
    <s v="Animation"/>
    <s v="Comedy"/>
    <s v="Sci-Fi"/>
    <m/>
    <m/>
    <m/>
    <m/>
  </r>
  <r>
    <x v="63"/>
    <x v="58"/>
    <n v="78745923"/>
    <x v="233"/>
    <x v="0"/>
    <s v="Germany"/>
    <n v="55000000"/>
    <x v="15"/>
    <x v="3"/>
    <s v="Fantasy"/>
    <s v="Romance"/>
    <m/>
    <m/>
    <m/>
    <m/>
    <m/>
  </r>
  <r>
    <x v="184"/>
    <x v="60"/>
    <n v="78656813"/>
    <x v="234"/>
    <x v="0"/>
    <s v="USA"/>
    <n v="25000000"/>
    <x v="27"/>
    <x v="4"/>
    <s v="Adventure"/>
    <s v="Comedy"/>
    <s v="Family"/>
    <s v="Sci-Fi"/>
    <m/>
    <m/>
    <m/>
  </r>
  <r>
    <x v="75"/>
    <x v="72"/>
    <n v="78651430"/>
    <x v="235"/>
    <x v="0"/>
    <s v="USA"/>
    <n v="27000000"/>
    <x v="7"/>
    <x v="3"/>
    <s v="Romance"/>
    <s v="War"/>
    <m/>
    <m/>
    <m/>
    <m/>
    <m/>
  </r>
  <r>
    <x v="96"/>
    <x v="55"/>
    <n v="78120196"/>
    <x v="236"/>
    <x v="0"/>
    <s v="USA"/>
    <n v="75000000"/>
    <x v="6"/>
    <x v="4"/>
    <s v="Drama"/>
    <s v="History"/>
    <s v="War"/>
    <m/>
    <m/>
    <m/>
    <m/>
  </r>
  <r>
    <x v="185"/>
    <x v="36"/>
    <n v="78031620"/>
    <x v="237"/>
    <x v="0"/>
    <s v="USA"/>
    <n v="70000000"/>
    <x v="0"/>
    <x v="3"/>
    <s v="War"/>
    <m/>
    <m/>
    <m/>
    <m/>
    <m/>
    <m/>
  </r>
  <r>
    <x v="91"/>
    <x v="44"/>
    <n v="78009155"/>
    <x v="238"/>
    <x v="0"/>
    <s v="USA"/>
    <n v="75000000"/>
    <x v="8"/>
    <x v="4"/>
    <s v="Comedy"/>
    <s v="Crime"/>
    <m/>
    <m/>
    <m/>
    <m/>
    <m/>
  </r>
  <r>
    <x v="98"/>
    <x v="70"/>
    <n v="77862546"/>
    <x v="239"/>
    <x v="0"/>
    <s v="USA"/>
    <n v="70000000"/>
    <x v="5"/>
    <x v="4"/>
    <s v="Crime"/>
    <s v="Drama"/>
    <s v="Thriller"/>
    <m/>
    <m/>
    <m/>
    <m/>
  </r>
  <r>
    <x v="186"/>
    <x v="42"/>
    <n v="77413017"/>
    <x v="240"/>
    <x v="1"/>
    <s v="France"/>
    <n v="8000000"/>
    <x v="17"/>
    <x v="10"/>
    <m/>
    <m/>
    <m/>
    <m/>
    <m/>
    <m/>
    <m/>
  </r>
  <r>
    <x v="187"/>
    <x v="65"/>
    <n v="77324422"/>
    <x v="241"/>
    <x v="0"/>
    <s v="USA"/>
    <n v="26000000"/>
    <x v="5"/>
    <x v="3"/>
    <m/>
    <m/>
    <m/>
    <m/>
    <m/>
    <m/>
    <m/>
  </r>
  <r>
    <x v="104"/>
    <x v="51"/>
    <n v="77264926"/>
    <x v="242"/>
    <x v="0"/>
    <s v="USA"/>
    <n v="25000000"/>
    <x v="0"/>
    <x v="0"/>
    <s v="Family"/>
    <m/>
    <m/>
    <m/>
    <m/>
    <m/>
    <m/>
  </r>
  <r>
    <x v="188"/>
    <x v="12"/>
    <n v="77086030"/>
    <x v="243"/>
    <x v="0"/>
    <s v="France"/>
    <n v="62000000"/>
    <x v="24"/>
    <x v="4"/>
    <s v="War"/>
    <m/>
    <m/>
    <m/>
    <m/>
    <m/>
    <m/>
  </r>
  <r>
    <x v="72"/>
    <x v="15"/>
    <n v="77032279"/>
    <x v="244"/>
    <x v="0"/>
    <s v="USA"/>
    <n v="60000000"/>
    <x v="4"/>
    <x v="0"/>
    <s v="Drama"/>
    <m/>
    <m/>
    <m/>
    <m/>
    <m/>
    <m/>
  </r>
  <r>
    <x v="189"/>
    <x v="11"/>
    <n v="76806312"/>
    <x v="245"/>
    <x v="0"/>
    <s v="USA"/>
    <n v="30000000"/>
    <x v="0"/>
    <x v="0"/>
    <s v="Romance"/>
    <m/>
    <m/>
    <m/>
    <m/>
    <m/>
    <m/>
  </r>
  <r>
    <x v="190"/>
    <x v="13"/>
    <n v="76657000"/>
    <x v="246"/>
    <x v="0"/>
    <s v="UK"/>
    <n v="39751583.5"/>
    <x v="5"/>
    <x v="2"/>
    <s v="Comedy"/>
    <s v="Family"/>
    <s v="Musical"/>
    <m/>
    <m/>
    <m/>
    <m/>
  </r>
  <r>
    <x v="191"/>
    <x v="35"/>
    <n v="76600000"/>
    <x v="247"/>
    <x v="0"/>
    <s v="USA"/>
    <n v="10700000"/>
    <x v="7"/>
    <x v="8"/>
    <s v="Horror"/>
    <m/>
    <m/>
    <m/>
    <m/>
    <m/>
    <m/>
  </r>
  <r>
    <x v="191"/>
    <x v="35"/>
    <n v="76600000"/>
    <x v="247"/>
    <x v="0"/>
    <s v="USA"/>
    <n v="10700000"/>
    <x v="7"/>
    <x v="8"/>
    <s v="Horror"/>
    <m/>
    <m/>
    <m/>
    <m/>
    <m/>
    <m/>
  </r>
  <r>
    <x v="192"/>
    <x v="73"/>
    <n v="76501438"/>
    <x v="248"/>
    <x v="0"/>
    <s v="Germany"/>
    <n v="30000000"/>
    <x v="0"/>
    <x v="2"/>
    <s v="Animation"/>
    <s v="Comedy"/>
    <s v="Family"/>
    <s v="Romance"/>
    <m/>
    <m/>
    <m/>
  </r>
  <r>
    <x v="5"/>
    <x v="51"/>
    <n v="76400000"/>
    <x v="249"/>
    <x v="0"/>
    <s v="USA"/>
    <n v="17000000"/>
    <x v="24"/>
    <x v="4"/>
    <s v="Adventure"/>
    <s v="Sci-Fi"/>
    <m/>
    <m/>
    <m/>
    <m/>
    <m/>
  </r>
  <r>
    <x v="41"/>
    <x v="35"/>
    <n v="76400000"/>
    <x v="250"/>
    <x v="0"/>
    <s v="USA"/>
    <n v="2280000"/>
    <x v="22"/>
    <x v="7"/>
    <s v="Family"/>
    <s v="Fantasy"/>
    <s v="Music"/>
    <m/>
    <m/>
    <m/>
    <m/>
  </r>
  <r>
    <x v="193"/>
    <x v="5"/>
    <n v="76270454"/>
    <x v="251"/>
    <x v="0"/>
    <s v="USA"/>
    <n v="25000000"/>
    <x v="12"/>
    <x v="5"/>
    <s v="Drama"/>
    <s v="Thriller"/>
    <m/>
    <m/>
    <m/>
    <m/>
    <m/>
  </r>
  <r>
    <x v="51"/>
    <x v="57"/>
    <n v="76261036"/>
    <x v="252"/>
    <x v="0"/>
    <s v="USA"/>
    <n v="45000000"/>
    <x v="5"/>
    <x v="5"/>
    <s v="Drama"/>
    <s v="Thriller"/>
    <m/>
    <m/>
    <m/>
    <m/>
    <m/>
  </r>
  <r>
    <x v="194"/>
    <x v="13"/>
    <n v="76137505"/>
    <x v="253"/>
    <x v="0"/>
    <s v="UK"/>
    <n v="55000000"/>
    <x v="11"/>
    <x v="7"/>
    <s v="Comedy"/>
    <s v="Family"/>
    <s v="Fantasy"/>
    <m/>
    <m/>
    <m/>
    <m/>
  </r>
  <r>
    <x v="195"/>
    <x v="74"/>
    <n v="76081498"/>
    <x v="254"/>
    <x v="0"/>
    <s v="USA"/>
    <n v="75000000"/>
    <x v="15"/>
    <x v="4"/>
    <s v="Crime"/>
    <s v="Mystery"/>
    <s v="Romance"/>
    <s v="Thriller"/>
    <m/>
    <m/>
    <m/>
  </r>
  <r>
    <x v="196"/>
    <x v="15"/>
    <n v="75888270"/>
    <x v="255"/>
    <x v="0"/>
    <s v="USA"/>
    <n v="39751583.5"/>
    <x v="18"/>
    <x v="1"/>
    <s v="Mystery"/>
    <m/>
    <m/>
    <m/>
    <m/>
    <m/>
    <m/>
  </r>
  <r>
    <x v="197"/>
    <x v="60"/>
    <n v="75817994"/>
    <x v="256"/>
    <x v="0"/>
    <s v="USA"/>
    <n v="90000000"/>
    <x v="35"/>
    <x v="0"/>
    <s v="Family"/>
    <s v="Fantasy"/>
    <s v="Horror"/>
    <s v="Mystery"/>
    <m/>
    <m/>
    <m/>
  </r>
  <r>
    <x v="91"/>
    <x v="65"/>
    <n v="75764085"/>
    <x v="257"/>
    <x v="0"/>
    <s v="USA"/>
    <n v="60000000"/>
    <x v="15"/>
    <x v="0"/>
    <s v="Drama"/>
    <s v="Fantasy"/>
    <s v="Romance"/>
    <m/>
    <m/>
    <m/>
    <m/>
  </r>
  <r>
    <x v="157"/>
    <x v="35"/>
    <n v="75754670"/>
    <x v="258"/>
    <x v="0"/>
    <s v="USA"/>
    <n v="85000000"/>
    <x v="14"/>
    <x v="4"/>
    <s v="Adventure"/>
    <s v="Fantasy"/>
    <s v="Horror"/>
    <s v="Sci-Fi"/>
    <m/>
    <m/>
    <m/>
  </r>
  <r>
    <x v="198"/>
    <x v="36"/>
    <n v="75668868"/>
    <x v="259"/>
    <x v="0"/>
    <s v="USA"/>
    <n v="35000000"/>
    <x v="24"/>
    <x v="4"/>
    <s v="Adventure"/>
    <s v="Mystery"/>
    <s v="Sci-Fi"/>
    <s v="Thriller"/>
    <m/>
    <m/>
    <m/>
  </r>
  <r>
    <x v="199"/>
    <x v="40"/>
    <n v="75638743"/>
    <x v="260"/>
    <x v="0"/>
    <s v="USA"/>
    <n v="60000000"/>
    <x v="24"/>
    <x v="3"/>
    <s v="Thriller"/>
    <m/>
    <m/>
    <m/>
    <m/>
    <m/>
    <m/>
  </r>
  <r>
    <x v="59"/>
    <x v="55"/>
    <n v="75621915"/>
    <x v="261"/>
    <x v="0"/>
    <s v="USA"/>
    <n v="39751583.5"/>
    <x v="6"/>
    <x v="0"/>
    <s v="Drama"/>
    <s v="Family"/>
    <m/>
    <m/>
    <m/>
    <m/>
    <m/>
  </r>
  <r>
    <x v="200"/>
    <x v="6"/>
    <n v="75605492"/>
    <x v="262"/>
    <x v="0"/>
    <s v="USA"/>
    <n v="50000000"/>
    <x v="17"/>
    <x v="6"/>
    <s v="Drama"/>
    <s v="Sport"/>
    <m/>
    <m/>
    <m/>
    <m/>
    <m/>
  </r>
  <r>
    <x v="201"/>
    <x v="28"/>
    <n v="75604320"/>
    <x v="263"/>
    <x v="0"/>
    <s v="USA"/>
    <n v="54000000"/>
    <x v="37"/>
    <x v="0"/>
    <s v="Romance"/>
    <m/>
    <m/>
    <m/>
    <m/>
    <m/>
    <m/>
  </r>
  <r>
    <x v="202"/>
    <x v="14"/>
    <n v="75600000"/>
    <x v="264"/>
    <x v="0"/>
    <s v="USA"/>
    <n v="72000000"/>
    <x v="39"/>
    <x v="6"/>
    <s v="Drama"/>
    <s v="History"/>
    <s v="War"/>
    <m/>
    <m/>
    <m/>
    <m/>
  </r>
  <r>
    <x v="143"/>
    <x v="32"/>
    <n v="75597042"/>
    <x v="265"/>
    <x v="0"/>
    <s v="USA"/>
    <n v="20000000"/>
    <x v="14"/>
    <x v="3"/>
    <s v="Family"/>
    <s v="Sport"/>
    <m/>
    <m/>
    <m/>
    <m/>
    <m/>
  </r>
  <r>
    <x v="203"/>
    <x v="60"/>
    <n v="75590286"/>
    <x v="266"/>
    <x v="0"/>
    <s v="USA"/>
    <n v="23600000"/>
    <x v="5"/>
    <x v="2"/>
    <s v="Comedy"/>
    <s v="Horror"/>
    <s v="Sci-Fi"/>
    <m/>
    <m/>
    <m/>
    <m/>
  </r>
  <r>
    <x v="204"/>
    <x v="17"/>
    <n v="75573300"/>
    <x v="267"/>
    <x v="0"/>
    <s v="USA"/>
    <n v="61000000"/>
    <x v="15"/>
    <x v="4"/>
    <s v="Comedy"/>
    <s v="Crime"/>
    <s v="Drama"/>
    <s v="Thriller"/>
    <m/>
    <m/>
    <m/>
  </r>
  <r>
    <x v="205"/>
    <x v="75"/>
    <n v="75530832"/>
    <x v="268"/>
    <x v="0"/>
    <s v="USA"/>
    <n v="55000000"/>
    <x v="9"/>
    <x v="3"/>
    <s v="Sport"/>
    <m/>
    <m/>
    <m/>
    <m/>
    <m/>
    <m/>
  </r>
  <r>
    <x v="206"/>
    <x v="76"/>
    <n v="75370763"/>
    <x v="269"/>
    <x v="0"/>
    <s v="USA"/>
    <n v="60000000"/>
    <x v="20"/>
    <x v="3"/>
    <s v="Romance"/>
    <s v="Western"/>
    <m/>
    <m/>
    <m/>
    <m/>
    <m/>
  </r>
  <r>
    <x v="207"/>
    <x v="42"/>
    <n v="75367693"/>
    <x v="270"/>
    <x v="0"/>
    <s v="USA"/>
    <n v="35000000"/>
    <x v="38"/>
    <x v="7"/>
    <s v="Comedy"/>
    <s v="Family"/>
    <s v="Fantasy"/>
    <m/>
    <m/>
    <m/>
    <m/>
  </r>
  <r>
    <x v="208"/>
    <x v="14"/>
    <n v="75305995"/>
    <x v="271"/>
    <x v="0"/>
    <s v="USA"/>
    <n v="40000000"/>
    <x v="5"/>
    <x v="6"/>
    <s v="Drama"/>
    <s v="Music"/>
    <m/>
    <m/>
    <m/>
    <m/>
    <m/>
  </r>
  <r>
    <x v="209"/>
    <x v="41"/>
    <n v="75280058"/>
    <x v="272"/>
    <x v="0"/>
    <s v="USA"/>
    <n v="60000000"/>
    <x v="5"/>
    <x v="7"/>
    <s v="Family"/>
    <s v="Fantasy"/>
    <m/>
    <m/>
    <m/>
    <m/>
    <m/>
  </r>
  <r>
    <x v="210"/>
    <x v="64"/>
    <n v="75274748"/>
    <x v="273"/>
    <x v="0"/>
    <s v="USA"/>
    <n v="35000000"/>
    <x v="11"/>
    <x v="0"/>
    <s v="Drama"/>
    <m/>
    <m/>
    <m/>
    <m/>
    <m/>
    <m/>
  </r>
  <r>
    <x v="94"/>
    <x v="30"/>
    <n v="75074950"/>
    <x v="274"/>
    <x v="0"/>
    <s v="USA"/>
    <n v="12000000"/>
    <x v="2"/>
    <x v="0"/>
    <s v="Drama"/>
    <m/>
    <m/>
    <m/>
    <m/>
    <m/>
    <m/>
  </r>
  <r>
    <x v="179"/>
    <x v="57"/>
    <n v="75072454"/>
    <x v="275"/>
    <x v="0"/>
    <s v="USA"/>
    <n v="20000000"/>
    <x v="15"/>
    <x v="3"/>
    <s v="Horror"/>
    <s v="Thriller"/>
    <m/>
    <m/>
    <m/>
    <m/>
    <m/>
  </r>
  <r>
    <x v="181"/>
    <x v="28"/>
    <n v="74888996"/>
    <x v="276"/>
    <x v="0"/>
    <s v="USA"/>
    <n v="30000000"/>
    <x v="11"/>
    <x v="4"/>
    <s v="Adventure"/>
    <s v="Sci-Fi"/>
    <s v="Thriller"/>
    <m/>
    <m/>
    <m/>
    <m/>
  </r>
  <r>
    <x v="211"/>
    <x v="33"/>
    <n v="74787599"/>
    <x v="277"/>
    <x v="0"/>
    <s v="USA"/>
    <n v="30000000"/>
    <x v="24"/>
    <x v="3"/>
    <s v="Romance"/>
    <m/>
    <m/>
    <m/>
    <m/>
    <m/>
    <m/>
  </r>
  <r>
    <x v="62"/>
    <x v="60"/>
    <n v="74608545"/>
    <x v="278"/>
    <x v="0"/>
    <s v="USA"/>
    <n v="24000000"/>
    <x v="11"/>
    <x v="0"/>
    <m/>
    <m/>
    <m/>
    <m/>
    <m/>
    <m/>
    <m/>
  </r>
  <r>
    <x v="212"/>
    <x v="61"/>
    <n v="74540762"/>
    <x v="279"/>
    <x v="0"/>
    <s v="USA"/>
    <n v="55000000"/>
    <x v="20"/>
    <x v="4"/>
    <s v="Drama"/>
    <s v="Thriller"/>
    <m/>
    <m/>
    <m/>
    <m/>
    <m/>
  </r>
  <r>
    <x v="213"/>
    <x v="17"/>
    <n v="74484168"/>
    <x v="280"/>
    <x v="0"/>
    <s v="USA"/>
    <n v="45000000"/>
    <x v="26"/>
    <x v="4"/>
    <s v="Crime"/>
    <s v="Drama"/>
    <s v="Mystery"/>
    <s v="Thriller"/>
    <m/>
    <m/>
    <m/>
  </r>
  <r>
    <x v="95"/>
    <x v="1"/>
    <n v="74329966"/>
    <x v="281"/>
    <x v="0"/>
    <s v="USA"/>
    <n v="70000000"/>
    <x v="21"/>
    <x v="4"/>
    <s v="Adventure"/>
    <s v="Comedy"/>
    <s v="Romance"/>
    <m/>
    <m/>
    <m/>
    <m/>
  </r>
  <r>
    <x v="214"/>
    <x v="57"/>
    <n v="74273505"/>
    <x v="282"/>
    <x v="0"/>
    <s v="USA"/>
    <n v="25000000"/>
    <x v="23"/>
    <x v="5"/>
    <s v="Drama"/>
    <s v="Thriller"/>
    <m/>
    <m/>
    <m/>
    <m/>
    <m/>
  </r>
  <r>
    <x v="37"/>
    <x v="50"/>
    <n v="74158157"/>
    <x v="283"/>
    <x v="0"/>
    <s v="USA"/>
    <n v="79000000"/>
    <x v="43"/>
    <x v="0"/>
    <m/>
    <m/>
    <m/>
    <m/>
    <m/>
    <m/>
    <m/>
  </r>
  <r>
    <x v="215"/>
    <x v="77"/>
    <n v="74098862"/>
    <x v="284"/>
    <x v="0"/>
    <s v="USA"/>
    <n v="40000000"/>
    <x v="23"/>
    <x v="5"/>
    <s v="Thriller"/>
    <m/>
    <m/>
    <m/>
    <m/>
    <m/>
    <m/>
  </r>
  <r>
    <x v="216"/>
    <x v="44"/>
    <n v="74058698"/>
    <x v="285"/>
    <x v="0"/>
    <s v="USA"/>
    <n v="60000000"/>
    <x v="2"/>
    <x v="5"/>
    <s v="Drama"/>
    <s v="Thriller"/>
    <m/>
    <m/>
    <m/>
    <m/>
    <m/>
  </r>
  <r>
    <x v="85"/>
    <x v="4"/>
    <n v="73701902"/>
    <x v="286"/>
    <x v="0"/>
    <s v="USA"/>
    <n v="60000000"/>
    <x v="34"/>
    <x v="0"/>
    <s v="Family"/>
    <m/>
    <m/>
    <m/>
    <m/>
    <m/>
    <m/>
  </r>
  <r>
    <x v="217"/>
    <x v="50"/>
    <n v="73661010"/>
    <x v="287"/>
    <x v="0"/>
    <s v="USA"/>
    <n v="75000000"/>
    <x v="24"/>
    <x v="7"/>
    <s v="Comedy"/>
    <s v="Family"/>
    <s v="Fantasy"/>
    <s v="Mystery"/>
    <m/>
    <m/>
    <m/>
  </r>
  <r>
    <x v="136"/>
    <x v="51"/>
    <n v="73648142"/>
    <x v="288"/>
    <x v="0"/>
    <s v="USA"/>
    <n v="60000000"/>
    <x v="19"/>
    <x v="4"/>
    <s v="Sci-Fi"/>
    <s v="Thriller"/>
    <m/>
    <m/>
    <m/>
    <m/>
    <m/>
  </r>
  <r>
    <x v="25"/>
    <x v="36"/>
    <n v="73343413"/>
    <x v="289"/>
    <x v="0"/>
    <s v="USA"/>
    <n v="50000000"/>
    <x v="7"/>
    <x v="5"/>
    <s v="Drama"/>
    <s v="Thriller"/>
    <m/>
    <m/>
    <m/>
    <m/>
    <m/>
  </r>
  <r>
    <x v="218"/>
    <x v="22"/>
    <n v="73326666"/>
    <x v="290"/>
    <x v="0"/>
    <s v="USA"/>
    <n v="15000000"/>
    <x v="31"/>
    <x v="0"/>
    <s v="Fantasy"/>
    <m/>
    <m/>
    <m/>
    <m/>
    <m/>
    <m/>
  </r>
  <r>
    <x v="219"/>
    <x v="39"/>
    <n v="73215310"/>
    <x v="291"/>
    <x v="0"/>
    <s v="USA"/>
    <n v="80000000"/>
    <x v="14"/>
    <x v="2"/>
    <s v="Animation"/>
    <s v="Family"/>
    <s v="Western"/>
    <m/>
    <m/>
    <m/>
    <m/>
  </r>
  <r>
    <x v="220"/>
    <x v="41"/>
    <n v="73023275"/>
    <x v="292"/>
    <x v="0"/>
    <s v="USA"/>
    <n v="35000000"/>
    <x v="18"/>
    <x v="0"/>
    <s v="Family"/>
    <m/>
    <m/>
    <m/>
    <m/>
    <m/>
    <m/>
  </r>
  <r>
    <x v="221"/>
    <x v="61"/>
    <n v="73000942"/>
    <x v="293"/>
    <x v="0"/>
    <s v="USA"/>
    <n v="13000000"/>
    <x v="44"/>
    <x v="10"/>
    <s v="Music"/>
    <m/>
    <m/>
    <m/>
    <m/>
    <m/>
    <m/>
  </r>
  <r>
    <x v="222"/>
    <x v="58"/>
    <n v="72980108"/>
    <x v="294"/>
    <x v="0"/>
    <s v="USA"/>
    <n v="39751583.5"/>
    <x v="1"/>
    <x v="0"/>
    <m/>
    <m/>
    <m/>
    <m/>
    <m/>
    <m/>
    <m/>
  </r>
  <r>
    <x v="47"/>
    <x v="22"/>
    <n v="72755517"/>
    <x v="295"/>
    <x v="0"/>
    <s v="USA"/>
    <n v="39751583.5"/>
    <x v="6"/>
    <x v="4"/>
    <s v="Comedy"/>
    <s v="Documentary"/>
    <m/>
    <m/>
    <m/>
    <m/>
    <m/>
  </r>
  <r>
    <x v="10"/>
    <x v="10"/>
    <n v="72601713"/>
    <x v="296"/>
    <x v="0"/>
    <s v="Germany"/>
    <n v="51000000"/>
    <x v="37"/>
    <x v="7"/>
    <s v="Comedy"/>
    <s v="Family"/>
    <m/>
    <m/>
    <m/>
    <m/>
    <m/>
  </r>
  <r>
    <x v="121"/>
    <x v="15"/>
    <n v="72515360"/>
    <x v="297"/>
    <x v="2"/>
    <s v="UK"/>
    <n v="80000000"/>
    <x v="16"/>
    <x v="5"/>
    <s v="Mystery"/>
    <s v="Thriller"/>
    <m/>
    <m/>
    <m/>
    <m/>
    <m/>
  </r>
  <r>
    <x v="67"/>
    <x v="24"/>
    <n v="72455275"/>
    <x v="298"/>
    <x v="0"/>
    <s v="USA"/>
    <n v="40000000"/>
    <x v="22"/>
    <x v="4"/>
    <s v="Adventure"/>
    <s v="Drama"/>
    <s v="Romance"/>
    <s v="War"/>
    <m/>
    <m/>
    <m/>
  </r>
  <r>
    <x v="72"/>
    <x v="78"/>
    <n v="72306065"/>
    <x v="299"/>
    <x v="0"/>
    <s v="USA"/>
    <n v="40000000"/>
    <x v="17"/>
    <x v="3"/>
    <s v="History"/>
    <s v="Thriller"/>
    <m/>
    <m/>
    <m/>
    <m/>
    <m/>
  </r>
  <r>
    <x v="223"/>
    <x v="8"/>
    <n v="72279690"/>
    <x v="300"/>
    <x v="0"/>
    <s v="USA"/>
    <n v="37000000"/>
    <x v="26"/>
    <x v="3"/>
    <s v="Family"/>
    <m/>
    <m/>
    <m/>
    <m/>
    <m/>
    <m/>
  </r>
  <r>
    <x v="224"/>
    <x v="10"/>
    <n v="72266306"/>
    <x v="301"/>
    <x v="0"/>
    <s v="USA"/>
    <n v="40000000"/>
    <x v="24"/>
    <x v="5"/>
    <s v="Drama"/>
    <s v="Mystery"/>
    <s v="Thriller"/>
    <m/>
    <m/>
    <m/>
    <m/>
  </r>
  <r>
    <x v="225"/>
    <x v="4"/>
    <n v="72219395"/>
    <x v="302"/>
    <x v="0"/>
    <s v="USA"/>
    <n v="17000000"/>
    <x v="37"/>
    <x v="1"/>
    <s v="Mystery"/>
    <s v="Thriller"/>
    <m/>
    <m/>
    <m/>
    <m/>
    <m/>
  </r>
  <r>
    <x v="226"/>
    <x v="73"/>
    <n v="72217000"/>
    <x v="303"/>
    <x v="0"/>
    <s v="USA"/>
    <n v="12000000"/>
    <x v="26"/>
    <x v="0"/>
    <m/>
    <m/>
    <m/>
    <m/>
    <m/>
    <m/>
    <m/>
  </r>
  <r>
    <x v="227"/>
    <x v="51"/>
    <n v="72077000"/>
    <x v="304"/>
    <x v="0"/>
    <s v="USA"/>
    <n v="30250000"/>
    <x v="26"/>
    <x v="0"/>
    <s v="Crime"/>
    <s v="Thriller"/>
    <m/>
    <m/>
    <m/>
    <m/>
    <m/>
  </r>
  <r>
    <x v="228"/>
    <x v="76"/>
    <n v="72000000"/>
    <x v="305"/>
    <x v="0"/>
    <s v="USA"/>
    <n v="17000000"/>
    <x v="12"/>
    <x v="3"/>
    <s v="Family"/>
    <s v="Musical"/>
    <s v="Romance"/>
    <m/>
    <m/>
    <m/>
    <m/>
  </r>
  <r>
    <x v="229"/>
    <x v="58"/>
    <n v="71975611"/>
    <x v="306"/>
    <x v="0"/>
    <s v="USA"/>
    <n v="25000000"/>
    <x v="9"/>
    <x v="8"/>
    <s v="Horror"/>
    <m/>
    <m/>
    <m/>
    <m/>
    <m/>
    <m/>
  </r>
  <r>
    <x v="230"/>
    <x v="44"/>
    <n v="71897215"/>
    <x v="307"/>
    <x v="0"/>
    <s v="USA"/>
    <n v="15000000"/>
    <x v="4"/>
    <x v="3"/>
    <s v="Horror"/>
    <s v="Mystery"/>
    <s v="Sci-Fi"/>
    <s v="Thriller"/>
    <m/>
    <m/>
    <m/>
  </r>
  <r>
    <x v="106"/>
    <x v="11"/>
    <n v="71844424"/>
    <x v="308"/>
    <x v="0"/>
    <s v="USA"/>
    <n v="60000000"/>
    <x v="4"/>
    <x v="10"/>
    <s v="Music"/>
    <m/>
    <m/>
    <m/>
    <m/>
    <m/>
    <m/>
  </r>
  <r>
    <x v="231"/>
    <x v="41"/>
    <n v="71588220"/>
    <x v="309"/>
    <x v="0"/>
    <s v="Canada"/>
    <n v="20000000"/>
    <x v="8"/>
    <x v="8"/>
    <s v="Horror"/>
    <m/>
    <m/>
    <m/>
    <m/>
    <m/>
    <m/>
  </r>
  <r>
    <x v="183"/>
    <x v="18"/>
    <n v="71519230"/>
    <x v="310"/>
    <x v="0"/>
    <s v="USA"/>
    <n v="9000000"/>
    <x v="20"/>
    <x v="4"/>
    <s v="Horror"/>
    <s v="Sci-Fi"/>
    <s v="Thriller"/>
    <m/>
    <m/>
    <m/>
    <m/>
  </r>
  <r>
    <x v="148"/>
    <x v="59"/>
    <n v="71502303"/>
    <x v="311"/>
    <x v="0"/>
    <s v="USA"/>
    <n v="12000000"/>
    <x v="31"/>
    <x v="2"/>
    <s v="Comedy"/>
    <s v="Drama"/>
    <s v="Romance"/>
    <m/>
    <m/>
    <m/>
    <m/>
  </r>
  <r>
    <x v="232"/>
    <x v="0"/>
    <n v="71500556"/>
    <x v="312"/>
    <x v="0"/>
    <s v="UK"/>
    <n v="26000000"/>
    <x v="15"/>
    <x v="0"/>
    <s v="Drama"/>
    <s v="Romance"/>
    <m/>
    <m/>
    <m/>
    <m/>
    <m/>
  </r>
  <r>
    <x v="233"/>
    <x v="30"/>
    <n v="71423726"/>
    <x v="313"/>
    <x v="0"/>
    <s v="USA"/>
    <n v="45000000"/>
    <x v="4"/>
    <x v="2"/>
    <s v="Comedy"/>
    <s v="Sci-Fi"/>
    <m/>
    <m/>
    <m/>
    <m/>
    <m/>
  </r>
  <r>
    <x v="118"/>
    <x v="51"/>
    <n v="71347010"/>
    <x v="314"/>
    <x v="0"/>
    <s v="USA"/>
    <n v="40000000"/>
    <x v="6"/>
    <x v="0"/>
    <s v="Romance"/>
    <m/>
    <m/>
    <m/>
    <m/>
    <m/>
    <m/>
  </r>
  <r>
    <x v="172"/>
    <x v="61"/>
    <n v="71346930"/>
    <x v="315"/>
    <x v="0"/>
    <s v="USA"/>
    <n v="28000000"/>
    <x v="15"/>
    <x v="3"/>
    <s v="Romance"/>
    <s v="Thriller"/>
    <m/>
    <m/>
    <m/>
    <m/>
    <m/>
  </r>
  <r>
    <x v="172"/>
    <x v="64"/>
    <n v="71309760"/>
    <x v="316"/>
    <x v="0"/>
    <s v="UK"/>
    <n v="25000000"/>
    <x v="4"/>
    <x v="3"/>
    <s v="Romance"/>
    <m/>
    <m/>
    <m/>
    <m/>
    <m/>
    <m/>
  </r>
  <r>
    <x v="234"/>
    <x v="39"/>
    <n v="71277420"/>
    <x v="317"/>
    <x v="0"/>
    <s v="USA"/>
    <n v="45000000"/>
    <x v="34"/>
    <x v="0"/>
    <m/>
    <m/>
    <m/>
    <m/>
    <m/>
    <m/>
    <m/>
  </r>
  <r>
    <x v="0"/>
    <x v="34"/>
    <n v="71148699"/>
    <x v="318"/>
    <x v="0"/>
    <s v="USA"/>
    <n v="90000000"/>
    <x v="24"/>
    <x v="2"/>
    <s v="Family"/>
    <s v="Fantasy"/>
    <m/>
    <m/>
    <m/>
    <m/>
    <m/>
  </r>
  <r>
    <x v="235"/>
    <x v="55"/>
    <n v="71069884"/>
    <x v="319"/>
    <x v="0"/>
    <s v="USA"/>
    <n v="68000000"/>
    <x v="9"/>
    <x v="5"/>
    <s v="Drama"/>
    <s v="Thriller"/>
    <m/>
    <m/>
    <m/>
    <m/>
    <m/>
  </r>
  <r>
    <x v="104"/>
    <x v="20"/>
    <n v="71038190"/>
    <x v="320"/>
    <x v="0"/>
    <s v="USA"/>
    <n v="30000000"/>
    <x v="45"/>
    <x v="4"/>
    <s v="Comedy"/>
    <s v="Crime"/>
    <m/>
    <m/>
    <m/>
    <m/>
    <m/>
  </r>
  <r>
    <x v="137"/>
    <x v="12"/>
    <n v="71026631"/>
    <x v="321"/>
    <x v="0"/>
    <s v="USA"/>
    <n v="36000000"/>
    <x v="14"/>
    <x v="5"/>
    <s v="Drama"/>
    <s v="Thriller"/>
    <m/>
    <m/>
    <m/>
    <m/>
    <m/>
  </r>
  <r>
    <x v="54"/>
    <x v="74"/>
    <n v="70960517"/>
    <x v="322"/>
    <x v="0"/>
    <s v="USA"/>
    <n v="35000000"/>
    <x v="31"/>
    <x v="3"/>
    <s v="Romance"/>
    <m/>
    <m/>
    <m/>
    <m/>
    <m/>
    <m/>
  </r>
  <r>
    <x v="22"/>
    <x v="43"/>
    <n v="70906973"/>
    <x v="323"/>
    <x v="0"/>
    <s v="USA"/>
    <n v="14600000"/>
    <x v="23"/>
    <x v="0"/>
    <s v="Fantasy"/>
    <s v="Romance"/>
    <m/>
    <m/>
    <m/>
    <m/>
    <m/>
  </r>
  <r>
    <x v="105"/>
    <x v="58"/>
    <n v="70836296"/>
    <x v="324"/>
    <x v="0"/>
    <s v="USA"/>
    <n v="40000000"/>
    <x v="1"/>
    <x v="0"/>
    <s v="Drama"/>
    <s v="Fantasy"/>
    <s v="Romance"/>
    <m/>
    <m/>
    <m/>
    <m/>
  </r>
  <r>
    <x v="95"/>
    <x v="7"/>
    <n v="70625986"/>
    <x v="325"/>
    <x v="0"/>
    <s v="USA"/>
    <n v="25000000"/>
    <x v="8"/>
    <x v="0"/>
    <s v="Romance"/>
    <m/>
    <m/>
    <m/>
    <m/>
    <m/>
    <m/>
  </r>
  <r>
    <x v="236"/>
    <x v="33"/>
    <n v="70496802"/>
    <x v="326"/>
    <x v="0"/>
    <s v="USA"/>
    <n v="54000000"/>
    <x v="40"/>
    <x v="4"/>
    <s v="Drama"/>
    <s v="Thriller"/>
    <m/>
    <m/>
    <m/>
    <m/>
    <m/>
  </r>
  <r>
    <x v="237"/>
    <x v="21"/>
    <n v="70492685"/>
    <x v="327"/>
    <x v="0"/>
    <s v="USA"/>
    <n v="17000000"/>
    <x v="15"/>
    <x v="0"/>
    <s v="Drama"/>
    <m/>
    <m/>
    <m/>
    <m/>
    <m/>
    <m/>
  </r>
  <r>
    <x v="238"/>
    <x v="7"/>
    <n v="70450000"/>
    <x v="328"/>
    <x v="0"/>
    <s v="USA"/>
    <n v="50000000"/>
    <x v="27"/>
    <x v="4"/>
    <s v="Crime"/>
    <s v="Thriller"/>
    <m/>
    <m/>
    <m/>
    <m/>
    <m/>
  </r>
  <r>
    <x v="205"/>
    <x v="79"/>
    <n v="70405498"/>
    <x v="329"/>
    <x v="0"/>
    <s v="France"/>
    <n v="40000000"/>
    <x v="13"/>
    <x v="3"/>
    <s v="History"/>
    <s v="Thriller"/>
    <m/>
    <m/>
    <m/>
    <m/>
    <m/>
  </r>
  <r>
    <x v="164"/>
    <x v="43"/>
    <n v="70360285"/>
    <x v="330"/>
    <x v="0"/>
    <s v="USA"/>
    <n v="18000000"/>
    <x v="19"/>
    <x v="4"/>
    <s v="Adventure"/>
    <s v="Fantasy"/>
    <s v="Sci-Fi"/>
    <s v="Thriller"/>
    <m/>
    <m/>
    <m/>
  </r>
  <r>
    <x v="213"/>
    <x v="4"/>
    <n v="70327868"/>
    <x v="331"/>
    <x v="0"/>
    <s v="Germany"/>
    <n v="46000000"/>
    <x v="1"/>
    <x v="4"/>
    <s v="Crime"/>
    <s v="Thriller"/>
    <m/>
    <m/>
    <m/>
    <m/>
    <m/>
  </r>
  <r>
    <x v="39"/>
    <x v="29"/>
    <n v="70269171"/>
    <x v="332"/>
    <x v="0"/>
    <s v="USA"/>
    <n v="24000000"/>
    <x v="11"/>
    <x v="3"/>
    <s v="Sport"/>
    <m/>
    <m/>
    <m/>
    <m/>
    <m/>
    <m/>
  </r>
  <r>
    <x v="205"/>
    <x v="2"/>
    <n v="70236496"/>
    <x v="333"/>
    <x v="0"/>
    <s v="USA"/>
    <n v="63000000"/>
    <x v="27"/>
    <x v="3"/>
    <s v="History"/>
    <s v="Thriller"/>
    <m/>
    <m/>
    <m/>
    <m/>
    <m/>
  </r>
  <r>
    <x v="61"/>
    <x v="19"/>
    <n v="70235322"/>
    <x v="334"/>
    <x v="0"/>
    <s v="USA"/>
    <n v="28000000"/>
    <x v="22"/>
    <x v="6"/>
    <s v="Comedy"/>
    <s v="Drama"/>
    <s v="History"/>
    <m/>
    <m/>
    <m/>
    <m/>
  </r>
  <r>
    <x v="239"/>
    <x v="48"/>
    <n v="70224196"/>
    <x v="335"/>
    <x v="0"/>
    <s v="USA"/>
    <n v="70000000"/>
    <x v="37"/>
    <x v="4"/>
    <s v="Adventure"/>
    <s v="Comedy"/>
    <s v="Romance"/>
    <s v="Thriller"/>
    <m/>
    <m/>
    <m/>
  </r>
  <r>
    <x v="240"/>
    <x v="4"/>
    <n v="70163652"/>
    <x v="336"/>
    <x v="0"/>
    <s v="USA"/>
    <n v="40000000"/>
    <x v="28"/>
    <x v="0"/>
    <s v="Crime"/>
    <m/>
    <m/>
    <m/>
    <m/>
    <m/>
    <m/>
  </r>
  <r>
    <x v="93"/>
    <x v="18"/>
    <n v="70117571"/>
    <x v="337"/>
    <x v="0"/>
    <s v="USA"/>
    <n v="58000000"/>
    <x v="16"/>
    <x v="4"/>
    <s v="Adventure"/>
    <s v="Sci-Fi"/>
    <s v="Thriller"/>
    <m/>
    <m/>
    <m/>
    <m/>
  </r>
  <r>
    <x v="241"/>
    <x v="24"/>
    <n v="70100000"/>
    <x v="338"/>
    <x v="0"/>
    <s v="USA"/>
    <n v="40000000"/>
    <x v="18"/>
    <x v="0"/>
    <s v="Drama"/>
    <s v="Romance"/>
    <m/>
    <m/>
    <m/>
    <m/>
    <m/>
  </r>
  <r>
    <x v="14"/>
    <x v="11"/>
    <n v="70098138"/>
    <x v="339"/>
    <x v="0"/>
    <s v="USA"/>
    <n v="30000000"/>
    <x v="23"/>
    <x v="4"/>
    <m/>
    <m/>
    <m/>
    <m/>
    <m/>
    <m/>
    <m/>
  </r>
  <r>
    <x v="242"/>
    <x v="28"/>
    <n v="70011073"/>
    <x v="340"/>
    <x v="0"/>
    <s v="USA"/>
    <n v="12000000"/>
    <x v="20"/>
    <x v="4"/>
    <s v="Adventure"/>
    <s v="Drama"/>
    <s v="Thriller"/>
    <s v="War"/>
    <m/>
    <m/>
    <m/>
  </r>
  <r>
    <x v="205"/>
    <x v="80"/>
    <n v="70001698"/>
    <x v="341"/>
    <x v="0"/>
    <s v="USA"/>
    <n v="14000000"/>
    <x v="11"/>
    <x v="6"/>
    <s v="Drama"/>
    <s v="War"/>
    <m/>
    <m/>
    <m/>
    <m/>
    <m/>
  </r>
  <r>
    <x v="243"/>
    <x v="28"/>
    <n v="70001065"/>
    <x v="342"/>
    <x v="0"/>
    <s v="USA"/>
    <n v="45000000"/>
    <x v="6"/>
    <x v="4"/>
    <s v="Horror"/>
    <m/>
    <m/>
    <m/>
    <m/>
    <m/>
    <m/>
  </r>
  <r>
    <x v="244"/>
    <x v="21"/>
    <n v="69951824"/>
    <x v="343"/>
    <x v="0"/>
    <s v="USA"/>
    <n v="55000000"/>
    <x v="5"/>
    <x v="3"/>
    <s v="Romance"/>
    <m/>
    <m/>
    <m/>
    <m/>
    <m/>
    <m/>
  </r>
  <r>
    <x v="245"/>
    <x v="17"/>
    <n v="69800000"/>
    <x v="344"/>
    <x v="0"/>
    <s v="USA"/>
    <n v="10000000"/>
    <x v="0"/>
    <x v="0"/>
    <s v="War"/>
    <m/>
    <m/>
    <m/>
    <m/>
    <m/>
    <m/>
  </r>
  <r>
    <x v="246"/>
    <x v="11"/>
    <n v="69800000"/>
    <x v="345"/>
    <x v="0"/>
    <s v="USA"/>
    <n v="8000000"/>
    <x v="8"/>
    <x v="0"/>
    <s v="Fantasy"/>
    <s v="Romance"/>
    <m/>
    <m/>
    <m/>
    <m/>
    <m/>
  </r>
  <r>
    <x v="50"/>
    <x v="4"/>
    <n v="69772969"/>
    <x v="346"/>
    <x v="0"/>
    <s v="USA"/>
    <n v="80000000"/>
    <x v="20"/>
    <x v="4"/>
    <s v="Crime"/>
    <s v="Thriller"/>
    <m/>
    <m/>
    <m/>
    <m/>
    <m/>
  </r>
  <r>
    <x v="247"/>
    <x v="58"/>
    <n v="69700000"/>
    <x v="347"/>
    <x v="0"/>
    <s v="USA"/>
    <n v="35000000"/>
    <x v="19"/>
    <x v="0"/>
    <s v="Musical"/>
    <m/>
    <m/>
    <m/>
    <m/>
    <m/>
    <m/>
  </r>
  <r>
    <x v="30"/>
    <x v="44"/>
    <n v="69688384"/>
    <x v="348"/>
    <x v="0"/>
    <s v="USA"/>
    <n v="60000000"/>
    <x v="0"/>
    <x v="0"/>
    <s v="Family"/>
    <s v="Fantasy"/>
    <m/>
    <m/>
    <m/>
    <m/>
    <m/>
  </r>
  <r>
    <x v="248"/>
    <x v="12"/>
    <n v="69586544"/>
    <x v="349"/>
    <x v="0"/>
    <s v="USA"/>
    <n v="27000000"/>
    <x v="27"/>
    <x v="3"/>
    <m/>
    <m/>
    <m/>
    <m/>
    <m/>
    <m/>
    <m/>
  </r>
  <r>
    <x v="66"/>
    <x v="8"/>
    <n v="69304264"/>
    <x v="350"/>
    <x v="0"/>
    <s v="USA"/>
    <n v="48000000"/>
    <x v="9"/>
    <x v="5"/>
    <s v="Romance"/>
    <s v="Thriller"/>
    <m/>
    <m/>
    <m/>
    <m/>
    <m/>
  </r>
  <r>
    <x v="234"/>
    <x v="17"/>
    <n v="69148997"/>
    <x v="351"/>
    <x v="0"/>
    <s v="USA"/>
    <n v="37000000"/>
    <x v="18"/>
    <x v="0"/>
    <s v="Crime"/>
    <m/>
    <m/>
    <m/>
    <m/>
    <m/>
    <m/>
  </r>
  <r>
    <x v="249"/>
    <x v="19"/>
    <n v="69102910"/>
    <x v="352"/>
    <x v="0"/>
    <s v="USA"/>
    <n v="80000000"/>
    <x v="33"/>
    <x v="4"/>
    <s v="Adventure"/>
    <s v="Family"/>
    <s v="Sci-Fi"/>
    <s v="Thriller"/>
    <m/>
    <m/>
    <m/>
  </r>
  <r>
    <x v="30"/>
    <x v="1"/>
    <n v="68856263"/>
    <x v="353"/>
    <x v="0"/>
    <s v="USA"/>
    <n v="15000000"/>
    <x v="26"/>
    <x v="2"/>
    <s v="Comedy"/>
    <s v="Family"/>
    <s v="Sport"/>
    <m/>
    <m/>
    <m/>
    <m/>
  </r>
  <r>
    <x v="250"/>
    <x v="6"/>
    <n v="68750000"/>
    <x v="354"/>
    <x v="0"/>
    <s v="USA"/>
    <n v="55000000"/>
    <x v="16"/>
    <x v="4"/>
    <s v="Adventure"/>
    <s v="Thriller"/>
    <m/>
    <m/>
    <m/>
    <m/>
    <m/>
  </r>
  <r>
    <x v="220"/>
    <x v="40"/>
    <n v="68558662"/>
    <x v="355"/>
    <x v="0"/>
    <s v="USA"/>
    <n v="90000000"/>
    <x v="1"/>
    <x v="2"/>
    <s v="Family"/>
    <s v="Fantasy"/>
    <m/>
    <m/>
    <m/>
    <m/>
    <m/>
  </r>
  <r>
    <x v="62"/>
    <x v="20"/>
    <n v="68525609"/>
    <x v="356"/>
    <x v="0"/>
    <s v="USA"/>
    <n v="15600000"/>
    <x v="20"/>
    <x v="0"/>
    <m/>
    <m/>
    <m/>
    <m/>
    <m/>
    <m/>
    <m/>
  </r>
  <r>
    <x v="23"/>
    <x v="55"/>
    <n v="68473360"/>
    <x v="357"/>
    <x v="0"/>
    <s v="USA"/>
    <n v="75000000"/>
    <x v="1"/>
    <x v="4"/>
    <s v="Adventure"/>
    <s v="Drama"/>
    <s v="Thriller"/>
    <m/>
    <m/>
    <m/>
    <m/>
  </r>
  <r>
    <x v="69"/>
    <x v="1"/>
    <n v="68353550"/>
    <x v="358"/>
    <x v="0"/>
    <s v="USA"/>
    <n v="10000000"/>
    <x v="1"/>
    <x v="0"/>
    <s v="Sport"/>
    <m/>
    <m/>
    <m/>
    <m/>
    <m/>
    <m/>
  </r>
  <r>
    <x v="0"/>
    <x v="20"/>
    <n v="68218041"/>
    <x v="359"/>
    <x v="0"/>
    <s v="USA"/>
    <n v="55000000"/>
    <x v="27"/>
    <x v="0"/>
    <s v="Family"/>
    <s v="Fantasy"/>
    <m/>
    <m/>
    <m/>
    <m/>
    <m/>
  </r>
  <r>
    <x v="90"/>
    <x v="31"/>
    <n v="68208190"/>
    <x v="360"/>
    <x v="0"/>
    <s v="USA"/>
    <n v="65000000"/>
    <x v="2"/>
    <x v="4"/>
    <s v="Comedy"/>
    <s v="Crime"/>
    <s v="Thriller"/>
    <m/>
    <m/>
    <m/>
    <m/>
  </r>
  <r>
    <x v="251"/>
    <x v="51"/>
    <n v="67962333"/>
    <x v="361"/>
    <x v="0"/>
    <s v="USA"/>
    <n v="35000000"/>
    <x v="1"/>
    <x v="0"/>
    <s v="Romance"/>
    <m/>
    <m/>
    <m/>
    <m/>
    <m/>
    <m/>
  </r>
  <r>
    <x v="252"/>
    <x v="25"/>
    <n v="67900000"/>
    <x v="362"/>
    <x v="0"/>
    <s v="UK"/>
    <n v="27500000"/>
    <x v="24"/>
    <x v="4"/>
    <s v="Adventure"/>
    <s v="Thriller"/>
    <m/>
    <m/>
    <m/>
    <m/>
    <m/>
  </r>
  <r>
    <x v="253"/>
    <x v="32"/>
    <n v="67823573"/>
    <x v="363"/>
    <x v="0"/>
    <s v="USA"/>
    <n v="50000000"/>
    <x v="24"/>
    <x v="4"/>
    <s v="Drama"/>
    <s v="Thriller"/>
    <m/>
    <m/>
    <m/>
    <m/>
    <m/>
  </r>
  <r>
    <x v="2"/>
    <x v="16"/>
    <n v="67523385"/>
    <x v="364"/>
    <x v="0"/>
    <s v="USA"/>
    <n v="35000000"/>
    <x v="8"/>
    <x v="0"/>
    <m/>
    <m/>
    <m/>
    <m/>
    <m/>
    <m/>
    <m/>
  </r>
  <r>
    <x v="254"/>
    <x v="24"/>
    <n v="67325559"/>
    <x v="365"/>
    <x v="0"/>
    <s v="USA"/>
    <n v="20000000"/>
    <x v="6"/>
    <x v="2"/>
    <s v="Comedy"/>
    <s v="Drama"/>
    <s v="Family"/>
    <s v="Mystery"/>
    <m/>
    <m/>
    <m/>
  </r>
  <r>
    <x v="255"/>
    <x v="43"/>
    <n v="67266300"/>
    <x v="366"/>
    <x v="0"/>
    <s v="Germany"/>
    <n v="28000000"/>
    <x v="26"/>
    <x v="0"/>
    <m/>
    <m/>
    <m/>
    <m/>
    <m/>
    <m/>
    <m/>
  </r>
  <r>
    <x v="256"/>
    <x v="36"/>
    <n v="67263182"/>
    <x v="367"/>
    <x v="0"/>
    <s v="USA"/>
    <n v="46000000"/>
    <x v="11"/>
    <x v="3"/>
    <s v="Mystery"/>
    <s v="Thriller"/>
    <m/>
    <m/>
    <m/>
    <m/>
    <m/>
  </r>
  <r>
    <x v="101"/>
    <x v="52"/>
    <n v="67253092"/>
    <x v="368"/>
    <x v="0"/>
    <s v="USA"/>
    <n v="30000000"/>
    <x v="11"/>
    <x v="3"/>
    <s v="Sport"/>
    <m/>
    <m/>
    <m/>
    <m/>
    <m/>
    <m/>
  </r>
  <r>
    <x v="104"/>
    <x v="1"/>
    <n v="67128202"/>
    <x v="369"/>
    <x v="0"/>
    <s v="USA"/>
    <n v="65000000"/>
    <x v="21"/>
    <x v="4"/>
    <s v="Adventure"/>
    <s v="Family"/>
    <s v="Fantasy"/>
    <s v="Sci-Fi"/>
    <s v="Thriller"/>
    <m/>
    <m/>
  </r>
  <r>
    <x v="239"/>
    <x v="28"/>
    <n v="67061228"/>
    <x v="370"/>
    <x v="0"/>
    <s v="USA"/>
    <n v="40000000"/>
    <x v="3"/>
    <x v="4"/>
    <s v="Comedy"/>
    <s v="Romance"/>
    <m/>
    <m/>
    <m/>
    <m/>
    <m/>
  </r>
  <r>
    <x v="257"/>
    <x v="81"/>
    <n v="66950483"/>
    <x v="371"/>
    <x v="0"/>
    <s v="USA"/>
    <n v="28000000"/>
    <x v="8"/>
    <x v="0"/>
    <s v="Family"/>
    <m/>
    <m/>
    <m/>
    <m/>
    <m/>
    <m/>
  </r>
  <r>
    <x v="258"/>
    <x v="41"/>
    <n v="66941559"/>
    <x v="372"/>
    <x v="0"/>
    <s v="USA"/>
    <n v="85000000"/>
    <x v="46"/>
    <x v="2"/>
    <s v="Comedy"/>
    <s v="Family"/>
    <m/>
    <m/>
    <m/>
    <m/>
    <m/>
  </r>
  <r>
    <x v="259"/>
    <x v="64"/>
    <n v="66862068"/>
    <x v="373"/>
    <x v="0"/>
    <s v="USA"/>
    <n v="83000000"/>
    <x v="21"/>
    <x v="4"/>
    <s v="Fantasy"/>
    <s v="Horror"/>
    <s v="Mystery"/>
    <m/>
    <m/>
    <m/>
    <m/>
  </r>
  <r>
    <x v="260"/>
    <x v="21"/>
    <n v="66808615"/>
    <x v="374"/>
    <x v="0"/>
    <s v="USA"/>
    <n v="34000000"/>
    <x v="0"/>
    <x v="2"/>
    <s v="Comedy"/>
    <s v="Crime"/>
    <s v="Romance"/>
    <m/>
    <m/>
    <m/>
    <m/>
  </r>
  <r>
    <x v="261"/>
    <x v="50"/>
    <n v="66790248"/>
    <x v="375"/>
    <x v="0"/>
    <s v="USA"/>
    <n v="45000000"/>
    <x v="20"/>
    <x v="3"/>
    <s v="Thriller"/>
    <m/>
    <m/>
    <m/>
    <m/>
    <m/>
    <m/>
  </r>
  <r>
    <x v="262"/>
    <x v="56"/>
    <n v="66734992"/>
    <x v="376"/>
    <x v="0"/>
    <s v="USA"/>
    <n v="60000000"/>
    <x v="45"/>
    <x v="4"/>
    <s v="Adventure"/>
    <s v="Comedy"/>
    <s v="Crime"/>
    <m/>
    <m/>
    <m/>
    <m/>
  </r>
  <r>
    <x v="150"/>
    <x v="76"/>
    <n v="66676062"/>
    <x v="377"/>
    <x v="0"/>
    <s v="USA"/>
    <n v="54000000"/>
    <x v="17"/>
    <x v="5"/>
    <s v="Drama"/>
    <m/>
    <m/>
    <m/>
    <m/>
    <m/>
    <m/>
  </r>
  <r>
    <x v="263"/>
    <x v="30"/>
    <n v="66636385"/>
    <x v="378"/>
    <x v="0"/>
    <s v="USA"/>
    <n v="75000000"/>
    <x v="6"/>
    <x v="6"/>
    <s v="Comedy"/>
    <s v="Drama"/>
    <s v="History"/>
    <m/>
    <m/>
    <m/>
    <m/>
  </r>
  <r>
    <x v="264"/>
    <x v="50"/>
    <n v="66600000"/>
    <x v="379"/>
    <x v="0"/>
    <s v="Australia"/>
    <n v="30000000"/>
    <x v="9"/>
    <x v="0"/>
    <s v="Drama"/>
    <s v="Family"/>
    <m/>
    <m/>
    <m/>
    <m/>
    <m/>
  </r>
  <r>
    <x v="265"/>
    <x v="6"/>
    <n v="66528842"/>
    <x v="380"/>
    <x v="0"/>
    <s v="USA"/>
    <n v="30000000"/>
    <x v="31"/>
    <x v="3"/>
    <s v="Romance"/>
    <s v="War"/>
    <s v="Western"/>
    <m/>
    <m/>
    <m/>
    <m/>
  </r>
  <r>
    <x v="204"/>
    <x v="17"/>
    <n v="66489425"/>
    <x v="381"/>
    <x v="0"/>
    <s v="USA"/>
    <n v="25000000"/>
    <x v="20"/>
    <x v="4"/>
    <s v="Crime"/>
    <s v="Drama"/>
    <s v="Thriller"/>
    <m/>
    <m/>
    <m/>
    <m/>
  </r>
  <r>
    <x v="144"/>
    <x v="36"/>
    <n v="66488090"/>
    <x v="382"/>
    <x v="0"/>
    <s v="USA"/>
    <n v="48000000"/>
    <x v="15"/>
    <x v="5"/>
    <s v="Drama"/>
    <s v="Mystery"/>
    <s v="Thriller"/>
    <m/>
    <m/>
    <m/>
    <m/>
  </r>
  <r>
    <x v="266"/>
    <x v="5"/>
    <n v="66468315"/>
    <x v="383"/>
    <x v="0"/>
    <s v="USA"/>
    <n v="30000000"/>
    <x v="7"/>
    <x v="4"/>
    <s v="Crime"/>
    <s v="Drama"/>
    <s v="Sci-Fi"/>
    <s v="Thriller"/>
    <m/>
    <m/>
    <m/>
  </r>
  <r>
    <x v="267"/>
    <x v="68"/>
    <n v="66466372"/>
    <x v="384"/>
    <x v="0"/>
    <s v="USA"/>
    <n v="40000000"/>
    <x v="34"/>
    <x v="1"/>
    <m/>
    <m/>
    <m/>
    <m/>
    <m/>
    <m/>
    <m/>
  </r>
  <r>
    <x v="243"/>
    <x v="28"/>
    <n v="66462600"/>
    <x v="385"/>
    <x v="0"/>
    <s v="USA"/>
    <n v="78000000"/>
    <x v="19"/>
    <x v="4"/>
    <s v="Adventure"/>
    <s v="Fantasy"/>
    <s v="Sci-Fi"/>
    <m/>
    <m/>
    <m/>
    <m/>
  </r>
  <r>
    <x v="235"/>
    <x v="63"/>
    <n v="66365290"/>
    <x v="386"/>
    <x v="0"/>
    <s v="USA"/>
    <n v="55000000"/>
    <x v="16"/>
    <x v="0"/>
    <m/>
    <m/>
    <m/>
    <m/>
    <m/>
    <m/>
    <m/>
  </r>
  <r>
    <x v="268"/>
    <x v="1"/>
    <n v="66359959"/>
    <x v="387"/>
    <x v="0"/>
    <s v="USA"/>
    <n v="35000000"/>
    <x v="26"/>
    <x v="0"/>
    <s v="Horror"/>
    <s v="Romance"/>
    <m/>
    <m/>
    <m/>
    <m/>
    <m/>
  </r>
  <r>
    <x v="218"/>
    <x v="65"/>
    <n v="66257002"/>
    <x v="388"/>
    <x v="0"/>
    <s v="USA"/>
    <n v="70000000"/>
    <x v="13"/>
    <x v="2"/>
    <s v="Drama"/>
    <s v="Fantasy"/>
    <m/>
    <m/>
    <m/>
    <m/>
    <m/>
  </r>
  <r>
    <x v="14"/>
    <x v="82"/>
    <n v="66207920"/>
    <x v="389"/>
    <x v="0"/>
    <s v="USA"/>
    <n v="30000000"/>
    <x v="13"/>
    <x v="4"/>
    <s v="Crime"/>
    <s v="Drama"/>
    <s v="Thriller"/>
    <m/>
    <m/>
    <m/>
    <m/>
  </r>
  <r>
    <x v="269"/>
    <x v="61"/>
    <n v="66009973"/>
    <x v="390"/>
    <x v="0"/>
    <s v="USA"/>
    <n v="14800000"/>
    <x v="21"/>
    <x v="0"/>
    <s v="Drama"/>
    <s v="Music"/>
    <m/>
    <m/>
    <m/>
    <m/>
    <m/>
  </r>
  <r>
    <x v="270"/>
    <x v="43"/>
    <n v="66002004"/>
    <x v="391"/>
    <x v="0"/>
    <s v="USA"/>
    <n v="50000000"/>
    <x v="47"/>
    <x v="2"/>
    <s v="Comedy"/>
    <s v="Family"/>
    <s v="Fantasy"/>
    <s v="Romance"/>
    <s v="Sport"/>
    <m/>
    <m/>
  </r>
  <r>
    <x v="187"/>
    <x v="2"/>
    <n v="65948711"/>
    <x v="392"/>
    <x v="0"/>
    <s v="USA"/>
    <n v="80000000"/>
    <x v="24"/>
    <x v="3"/>
    <s v="Mystery"/>
    <s v="Sci-Fi"/>
    <s v="Thriller"/>
    <m/>
    <m/>
    <m/>
    <m/>
  </r>
  <r>
    <x v="271"/>
    <x v="5"/>
    <n v="65807024"/>
    <x v="393"/>
    <x v="0"/>
    <s v="USA"/>
    <n v="19000000"/>
    <x v="9"/>
    <x v="4"/>
    <s v="Comedy"/>
    <s v="Crime"/>
    <s v="Drama"/>
    <s v="Thriller"/>
    <m/>
    <m/>
    <m/>
  </r>
  <r>
    <x v="239"/>
    <x v="64"/>
    <n v="65703412"/>
    <x v="394"/>
    <x v="0"/>
    <s v="USA"/>
    <n v="26000000"/>
    <x v="14"/>
    <x v="0"/>
    <s v="Drama"/>
    <s v="Romance"/>
    <m/>
    <m/>
    <m/>
    <m/>
    <m/>
  </r>
  <r>
    <x v="107"/>
    <x v="58"/>
    <n v="65623128"/>
    <x v="395"/>
    <x v="0"/>
    <s v="USA"/>
    <n v="20000000"/>
    <x v="46"/>
    <x v="0"/>
    <s v="Crime"/>
    <s v="Drama"/>
    <m/>
    <m/>
    <m/>
    <m/>
    <m/>
  </r>
  <r>
    <x v="272"/>
    <x v="56"/>
    <n v="65557989"/>
    <x v="396"/>
    <x v="0"/>
    <s v="USA"/>
    <n v="45000000"/>
    <x v="28"/>
    <x v="4"/>
    <s v="Adventure"/>
    <s v="Horror"/>
    <s v="Thriller"/>
    <m/>
    <m/>
    <m/>
    <m/>
  </r>
  <r>
    <x v="273"/>
    <x v="60"/>
    <n v="65535067"/>
    <x v="397"/>
    <x v="0"/>
    <s v="USA"/>
    <n v="17000000"/>
    <x v="21"/>
    <x v="0"/>
    <s v="Romance"/>
    <m/>
    <m/>
    <m/>
    <m/>
    <m/>
    <m/>
  </r>
  <r>
    <x v="73"/>
    <x v="48"/>
    <n v="65500000"/>
    <x v="398"/>
    <x v="0"/>
    <s v="USA"/>
    <n v="12000000"/>
    <x v="7"/>
    <x v="5"/>
    <s v="Drama"/>
    <s v="Romance"/>
    <s v="Thriller"/>
    <m/>
    <m/>
    <m/>
    <m/>
  </r>
  <r>
    <x v="189"/>
    <x v="44"/>
    <n v="65269010"/>
    <x v="399"/>
    <x v="0"/>
    <s v="USA"/>
    <n v="12000000"/>
    <x v="20"/>
    <x v="5"/>
    <s v="Drama"/>
    <s v="Music"/>
    <s v="Romance"/>
    <m/>
    <m/>
    <m/>
    <m/>
  </r>
  <r>
    <x v="94"/>
    <x v="40"/>
    <n v="65182182"/>
    <x v="400"/>
    <x v="0"/>
    <s v="USA"/>
    <n v="24000000"/>
    <x v="21"/>
    <x v="0"/>
    <s v="Romance"/>
    <m/>
    <m/>
    <m/>
    <m/>
    <m/>
    <m/>
  </r>
  <r>
    <x v="78"/>
    <x v="20"/>
    <n v="65069140"/>
    <x v="401"/>
    <x v="0"/>
    <s v="USA"/>
    <n v="5000000"/>
    <x v="8"/>
    <x v="1"/>
    <s v="Thriller"/>
    <m/>
    <m/>
    <m/>
    <m/>
    <m/>
    <m/>
  </r>
  <r>
    <x v="263"/>
    <x v="65"/>
    <n v="65012000"/>
    <x v="402"/>
    <x v="0"/>
    <s v="USA"/>
    <n v="70000000"/>
    <x v="8"/>
    <x v="3"/>
    <s v="Horror"/>
    <s v="Romance"/>
    <s v="Thriller"/>
    <m/>
    <m/>
    <m/>
    <m/>
  </r>
  <r>
    <x v="148"/>
    <x v="65"/>
    <n v="65010106"/>
    <x v="403"/>
    <x v="0"/>
    <s v="USA"/>
    <n v="30000000"/>
    <x v="11"/>
    <x v="0"/>
    <s v="Drama"/>
    <m/>
    <m/>
    <m/>
    <m/>
    <m/>
    <m/>
  </r>
  <r>
    <x v="87"/>
    <x v="58"/>
    <n v="65000000"/>
    <x v="404"/>
    <x v="0"/>
    <s v="USA"/>
    <n v="62000000"/>
    <x v="9"/>
    <x v="0"/>
    <s v="Drama"/>
    <s v="Romance"/>
    <m/>
    <m/>
    <m/>
    <m/>
    <m/>
  </r>
  <r>
    <x v="274"/>
    <x v="48"/>
    <n v="64998368"/>
    <x v="405"/>
    <x v="0"/>
    <s v="USA"/>
    <n v="17000000"/>
    <x v="11"/>
    <x v="0"/>
    <s v="Music"/>
    <s v="Romance"/>
    <m/>
    <m/>
    <m/>
    <m/>
    <m/>
  </r>
  <r>
    <x v="251"/>
    <x v="40"/>
    <n v="64955956"/>
    <x v="406"/>
    <x v="0"/>
    <s v="USA"/>
    <n v="18000000"/>
    <x v="21"/>
    <x v="0"/>
    <s v="Drama"/>
    <m/>
    <m/>
    <m/>
    <m/>
    <m/>
    <m/>
  </r>
  <r>
    <x v="141"/>
    <x v="40"/>
    <n v="64933670"/>
    <x v="407"/>
    <x v="0"/>
    <s v="USA"/>
    <n v="85000000"/>
    <x v="37"/>
    <x v="2"/>
    <s v="Comedy"/>
    <s v="Drama"/>
    <s v="Family"/>
    <s v="Fantasy"/>
    <m/>
    <m/>
    <m/>
  </r>
  <r>
    <x v="221"/>
    <x v="2"/>
    <n v="64685359"/>
    <x v="408"/>
    <x v="0"/>
    <s v="USA"/>
    <n v="90000000"/>
    <x v="26"/>
    <x v="4"/>
    <s v="Adventure"/>
    <s v="Comedy"/>
    <s v="Crime"/>
    <s v="Mystery"/>
    <s v="Thriller"/>
    <m/>
    <m/>
  </r>
  <r>
    <x v="275"/>
    <x v="53"/>
    <n v="64604977"/>
    <x v="409"/>
    <x v="0"/>
    <s v="USA"/>
    <n v="35000000"/>
    <x v="25"/>
    <x v="5"/>
    <s v="Drama"/>
    <s v="Mystery"/>
    <s v="Thriller"/>
    <m/>
    <m/>
    <m/>
    <m/>
  </r>
  <r>
    <x v="276"/>
    <x v="56"/>
    <n v="64572496"/>
    <x v="410"/>
    <x v="0"/>
    <s v="USA"/>
    <n v="12000000"/>
    <x v="6"/>
    <x v="3"/>
    <s v="Sci-Fi"/>
    <s v="Thriller"/>
    <m/>
    <m/>
    <m/>
    <m/>
    <m/>
  </r>
  <r>
    <x v="78"/>
    <x v="50"/>
    <n v="64505912"/>
    <x v="411"/>
    <x v="0"/>
    <s v="USA"/>
    <n v="48000000"/>
    <x v="38"/>
    <x v="9"/>
    <s v="Thriller"/>
    <m/>
    <m/>
    <m/>
    <m/>
    <m/>
    <m/>
  </r>
  <r>
    <x v="183"/>
    <x v="63"/>
    <n v="64423650"/>
    <x v="412"/>
    <x v="0"/>
    <s v="USA"/>
    <n v="3000000"/>
    <x v="21"/>
    <x v="1"/>
    <s v="Sci-Fi"/>
    <s v="Thriller"/>
    <m/>
    <m/>
    <m/>
    <m/>
    <m/>
  </r>
  <r>
    <x v="277"/>
    <x v="74"/>
    <n v="64371181"/>
    <x v="413"/>
    <x v="0"/>
    <s v="USA"/>
    <n v="28000000"/>
    <x v="31"/>
    <x v="6"/>
    <s v="Drama"/>
    <s v="History"/>
    <s v="Sport"/>
    <m/>
    <m/>
    <m/>
    <m/>
  </r>
  <r>
    <x v="47"/>
    <x v="54"/>
    <n v="64267897"/>
    <x v="414"/>
    <x v="0"/>
    <s v="USA"/>
    <n v="5000000"/>
    <x v="24"/>
    <x v="0"/>
    <s v="Documentary"/>
    <m/>
    <m/>
    <m/>
    <m/>
    <m/>
    <m/>
  </r>
  <r>
    <x v="278"/>
    <x v="10"/>
    <n v="64255243"/>
    <x v="415"/>
    <x v="0"/>
    <s v="USA"/>
    <n v="19000000"/>
    <x v="27"/>
    <x v="3"/>
    <s v="Horror"/>
    <s v="Mystery"/>
    <s v="Thriller"/>
    <m/>
    <m/>
    <m/>
    <m/>
  </r>
  <r>
    <x v="279"/>
    <x v="63"/>
    <n v="64238770"/>
    <x v="416"/>
    <x v="0"/>
    <s v="Canada"/>
    <n v="42000000"/>
    <x v="19"/>
    <x v="2"/>
    <s v="Animation"/>
    <s v="Comedy"/>
    <s v="Family"/>
    <m/>
    <m/>
    <m/>
    <m/>
  </r>
  <r>
    <x v="280"/>
    <x v="54"/>
    <n v="64172251"/>
    <x v="417"/>
    <x v="0"/>
    <s v="USA"/>
    <n v="30000000"/>
    <x v="18"/>
    <x v="0"/>
    <s v="Fantasy"/>
    <m/>
    <m/>
    <m/>
    <m/>
    <m/>
    <m/>
  </r>
  <r>
    <x v="281"/>
    <x v="30"/>
    <n v="64149837"/>
    <x v="418"/>
    <x v="0"/>
    <s v="USA"/>
    <n v="20000000"/>
    <x v="16"/>
    <x v="0"/>
    <s v="Drama"/>
    <s v="Family"/>
    <s v="Fantasy"/>
    <s v="Romance"/>
    <m/>
    <m/>
    <m/>
  </r>
  <r>
    <x v="220"/>
    <x v="20"/>
    <n v="64001297"/>
    <x v="419"/>
    <x v="0"/>
    <s v="USA"/>
    <n v="15000000"/>
    <x v="8"/>
    <x v="0"/>
    <s v="Family"/>
    <m/>
    <m/>
    <m/>
    <m/>
    <m/>
    <m/>
  </r>
  <r>
    <x v="273"/>
    <x v="41"/>
    <n v="63939454"/>
    <x v="420"/>
    <x v="0"/>
    <s v="USA"/>
    <n v="35000000"/>
    <x v="8"/>
    <x v="2"/>
    <s v="Comedy"/>
    <s v="Family"/>
    <s v="Sci-Fi"/>
    <m/>
    <m/>
    <m/>
    <m/>
  </r>
  <r>
    <x v="30"/>
    <x v="51"/>
    <n v="63910583"/>
    <x v="421"/>
    <x v="0"/>
    <s v="USA"/>
    <n v="28000000"/>
    <x v="24"/>
    <x v="0"/>
    <s v="Romance"/>
    <m/>
    <m/>
    <m/>
    <m/>
    <m/>
    <m/>
  </r>
  <r>
    <x v="235"/>
    <x v="10"/>
    <n v="63826569"/>
    <x v="422"/>
    <x v="0"/>
    <s v="USA"/>
    <n v="35000000"/>
    <x v="2"/>
    <x v="0"/>
    <m/>
    <m/>
    <m/>
    <m/>
    <m/>
    <m/>
    <m/>
  </r>
  <r>
    <x v="282"/>
    <x v="24"/>
    <n v="63695760"/>
    <x v="423"/>
    <x v="0"/>
    <s v="USA"/>
    <n v="65000000"/>
    <x v="16"/>
    <x v="3"/>
    <m/>
    <m/>
    <m/>
    <m/>
    <m/>
    <m/>
    <m/>
  </r>
  <r>
    <x v="283"/>
    <x v="19"/>
    <n v="63600000"/>
    <x v="424"/>
    <x v="0"/>
    <s v="UK"/>
    <n v="9000000"/>
    <x v="14"/>
    <x v="4"/>
    <s v="Adventure"/>
    <s v="Thriller"/>
    <m/>
    <m/>
    <m/>
    <m/>
    <m/>
  </r>
  <r>
    <x v="284"/>
    <x v="41"/>
    <n v="63536011"/>
    <x v="425"/>
    <x v="0"/>
    <s v="USA"/>
    <n v="30000000"/>
    <x v="2"/>
    <x v="0"/>
    <s v="Drama"/>
    <s v="Romance"/>
    <m/>
    <m/>
    <m/>
    <m/>
    <m/>
  </r>
  <r>
    <x v="110"/>
    <x v="34"/>
    <n v="63411478"/>
    <x v="426"/>
    <x v="0"/>
    <s v="USA"/>
    <n v="39000000"/>
    <x v="6"/>
    <x v="3"/>
    <s v="Fantasy"/>
    <s v="Romance"/>
    <s v="Sci-Fi"/>
    <m/>
    <m/>
    <m/>
    <m/>
  </r>
  <r>
    <x v="285"/>
    <x v="0"/>
    <n v="63408614"/>
    <x v="427"/>
    <x v="0"/>
    <s v="USA"/>
    <n v="55000000"/>
    <x v="2"/>
    <x v="4"/>
    <s v="Comedy"/>
    <s v="Crime"/>
    <s v="Thriller"/>
    <m/>
    <m/>
    <m/>
    <m/>
  </r>
  <r>
    <x v="286"/>
    <x v="13"/>
    <n v="63319509"/>
    <x v="428"/>
    <x v="0"/>
    <s v="USA"/>
    <n v="10000000"/>
    <x v="19"/>
    <x v="0"/>
    <s v="Romance"/>
    <m/>
    <m/>
    <m/>
    <m/>
    <m/>
    <m/>
  </r>
  <r>
    <x v="122"/>
    <x v="49"/>
    <n v="63270259"/>
    <x v="429"/>
    <x v="0"/>
    <s v="USA"/>
    <n v="10000000"/>
    <x v="1"/>
    <x v="1"/>
    <s v="Mystery"/>
    <m/>
    <m/>
    <m/>
    <m/>
    <m/>
    <m/>
  </r>
  <r>
    <x v="107"/>
    <x v="34"/>
    <n v="63231524"/>
    <x v="430"/>
    <x v="0"/>
    <s v="USA"/>
    <n v="6000000"/>
    <x v="38"/>
    <x v="0"/>
    <s v="Drama"/>
    <s v="Romance"/>
    <m/>
    <m/>
    <m/>
    <m/>
    <m/>
  </r>
  <r>
    <x v="210"/>
    <x v="53"/>
    <n v="63224849"/>
    <x v="431"/>
    <x v="0"/>
    <s v="USA"/>
    <n v="85000000"/>
    <x v="26"/>
    <x v="0"/>
    <s v="Romance"/>
    <m/>
    <m/>
    <m/>
    <m/>
    <m/>
    <m/>
  </r>
  <r>
    <x v="287"/>
    <x v="81"/>
    <n v="63071133"/>
    <x v="432"/>
    <x v="0"/>
    <s v="USA"/>
    <n v="12000000"/>
    <x v="9"/>
    <x v="2"/>
    <s v="Animation"/>
    <s v="Comedy"/>
    <s v="Crime"/>
    <m/>
    <m/>
    <m/>
    <m/>
  </r>
  <r>
    <x v="131"/>
    <x v="4"/>
    <n v="63034755"/>
    <x v="433"/>
    <x v="0"/>
    <s v="USA"/>
    <n v="29000000"/>
    <x v="48"/>
    <x v="0"/>
    <m/>
    <m/>
    <m/>
    <m/>
    <m/>
    <m/>
    <m/>
  </r>
  <r>
    <x v="288"/>
    <x v="34"/>
    <n v="62933793"/>
    <x v="434"/>
    <x v="0"/>
    <s v="USA"/>
    <n v="20000000"/>
    <x v="19"/>
    <x v="3"/>
    <s v="Family"/>
    <s v="Music"/>
    <s v="Romance"/>
    <m/>
    <m/>
    <m/>
    <m/>
  </r>
  <r>
    <x v="289"/>
    <x v="36"/>
    <n v="62877175"/>
    <x v="435"/>
    <x v="0"/>
    <s v="USA"/>
    <n v="30000000"/>
    <x v="11"/>
    <x v="0"/>
    <s v="Drama"/>
    <s v="Romance"/>
    <m/>
    <m/>
    <m/>
    <m/>
    <m/>
  </r>
  <r>
    <x v="290"/>
    <x v="59"/>
    <n v="62700000"/>
    <x v="436"/>
    <x v="0"/>
    <s v="UK"/>
    <n v="34000000"/>
    <x v="2"/>
    <x v="4"/>
    <s v="Adventure"/>
    <s v="Sci-Fi"/>
    <s v="Thriller"/>
    <m/>
    <m/>
    <m/>
    <m/>
  </r>
  <r>
    <x v="33"/>
    <x v="65"/>
    <n v="62647540"/>
    <x v="437"/>
    <x v="0"/>
    <s v="Germany"/>
    <n v="70000000"/>
    <x v="6"/>
    <x v="4"/>
    <s v="Drama"/>
    <s v="War"/>
    <m/>
    <m/>
    <m/>
    <m/>
    <m/>
  </r>
  <r>
    <x v="291"/>
    <x v="21"/>
    <n v="62563543"/>
    <x v="438"/>
    <x v="0"/>
    <s v="USA"/>
    <n v="53000000"/>
    <x v="14"/>
    <x v="6"/>
    <s v="Crime"/>
    <s v="Drama"/>
    <m/>
    <m/>
    <m/>
    <m/>
    <m/>
  </r>
  <r>
    <x v="28"/>
    <x v="48"/>
    <n v="62549000"/>
    <x v="439"/>
    <x v="0"/>
    <s v="UK"/>
    <n v="2300000"/>
    <x v="4"/>
    <x v="5"/>
    <s v="Drama"/>
    <s v="Romance"/>
    <s v="Thriller"/>
    <m/>
    <m/>
    <m/>
    <m/>
  </r>
  <r>
    <x v="292"/>
    <x v="44"/>
    <n v="62494975"/>
    <x v="440"/>
    <x v="0"/>
    <s v="USA"/>
    <n v="85000000"/>
    <x v="27"/>
    <x v="4"/>
    <s v="Crime"/>
    <s v="Thriller"/>
    <m/>
    <m/>
    <m/>
    <m/>
    <m/>
  </r>
  <r>
    <x v="293"/>
    <x v="40"/>
    <n v="62453315"/>
    <x v="441"/>
    <x v="0"/>
    <s v="USA"/>
    <n v="50200000"/>
    <x v="6"/>
    <x v="11"/>
    <s v="Sci-Fi"/>
    <s v="Thriller"/>
    <m/>
    <m/>
    <m/>
    <m/>
    <m/>
  </r>
  <r>
    <x v="294"/>
    <x v="4"/>
    <n v="62401264"/>
    <x v="442"/>
    <x v="0"/>
    <s v="UK"/>
    <n v="60000000"/>
    <x v="1"/>
    <x v="4"/>
    <s v="Crime"/>
    <s v="Drama"/>
    <s v="Thriller"/>
    <m/>
    <m/>
    <m/>
    <m/>
  </r>
  <r>
    <x v="295"/>
    <x v="60"/>
    <n v="62321039"/>
    <x v="443"/>
    <x v="0"/>
    <s v="USA"/>
    <n v="70000000"/>
    <x v="16"/>
    <x v="4"/>
    <s v="Fantasy"/>
    <s v="Horror"/>
    <m/>
    <m/>
    <m/>
    <m/>
    <m/>
  </r>
  <r>
    <x v="296"/>
    <x v="30"/>
    <n v="62318875"/>
    <x v="444"/>
    <x v="0"/>
    <s v="USA"/>
    <n v="50000000"/>
    <x v="9"/>
    <x v="4"/>
    <s v="Adventure"/>
    <s v="Fantasy"/>
    <s v="Sci-Fi"/>
    <s v="Thriller"/>
    <m/>
    <m/>
    <m/>
  </r>
  <r>
    <x v="252"/>
    <x v="32"/>
    <n v="62300000"/>
    <x v="445"/>
    <x v="0"/>
    <s v="UK"/>
    <n v="28000000"/>
    <x v="9"/>
    <x v="4"/>
    <s v="Adventure"/>
    <s v="Thriller"/>
    <m/>
    <m/>
    <m/>
    <m/>
    <m/>
  </r>
  <r>
    <x v="297"/>
    <x v="17"/>
    <n v="61693523"/>
    <x v="446"/>
    <x v="0"/>
    <s v="USA"/>
    <n v="13000000"/>
    <x v="9"/>
    <x v="3"/>
    <m/>
    <m/>
    <m/>
    <m/>
    <m/>
    <m/>
    <m/>
  </r>
  <r>
    <x v="246"/>
    <x v="83"/>
    <n v="61644321"/>
    <x v="447"/>
    <x v="0"/>
    <s v="USA"/>
    <n v="88000000"/>
    <x v="13"/>
    <x v="6"/>
    <s v="Drama"/>
    <s v="Sport"/>
    <m/>
    <m/>
    <m/>
    <m/>
    <m/>
  </r>
  <r>
    <x v="9"/>
    <x v="61"/>
    <n v="61490000"/>
    <x v="448"/>
    <x v="0"/>
    <s v="USA"/>
    <n v="26000000"/>
    <x v="24"/>
    <x v="3"/>
    <s v="Horror"/>
    <s v="Sci-Fi"/>
    <s v="Thriller"/>
    <m/>
    <m/>
    <m/>
    <m/>
  </r>
  <r>
    <x v="22"/>
    <x v="1"/>
    <n v="61400000"/>
    <x v="449"/>
    <x v="0"/>
    <s v="USA"/>
    <n v="15000000"/>
    <x v="7"/>
    <x v="2"/>
    <s v="Comedy"/>
    <m/>
    <m/>
    <m/>
    <m/>
    <m/>
    <m/>
  </r>
  <r>
    <x v="298"/>
    <x v="17"/>
    <n v="61356221"/>
    <x v="450"/>
    <x v="0"/>
    <s v="USA"/>
    <n v="14000000"/>
    <x v="34"/>
    <x v="3"/>
    <s v="Music"/>
    <s v="Romance"/>
    <m/>
    <m/>
    <m/>
    <m/>
    <m/>
  </r>
  <r>
    <x v="144"/>
    <x v="12"/>
    <n v="61355436"/>
    <x v="451"/>
    <x v="0"/>
    <s v="USA"/>
    <n v="68000000"/>
    <x v="8"/>
    <x v="4"/>
    <s v="Adventure"/>
    <s v="Romance"/>
    <s v="Sci-Fi"/>
    <s v="Thriller"/>
    <m/>
    <m/>
    <m/>
  </r>
  <r>
    <x v="141"/>
    <x v="17"/>
    <n v="61280963"/>
    <x v="452"/>
    <x v="0"/>
    <s v="USA"/>
    <n v="33000000"/>
    <x v="2"/>
    <x v="1"/>
    <s v="Sci-Fi"/>
    <s v="Thriller"/>
    <m/>
    <m/>
    <m/>
    <m/>
    <m/>
  </r>
  <r>
    <x v="299"/>
    <x v="1"/>
    <n v="61112916"/>
    <x v="453"/>
    <x v="0"/>
    <s v="USA"/>
    <n v="50000000"/>
    <x v="45"/>
    <x v="0"/>
    <s v="Family"/>
    <s v="Fantasy"/>
    <m/>
    <m/>
    <m/>
    <m/>
    <m/>
  </r>
  <r>
    <x v="97"/>
    <x v="8"/>
    <n v="61094903"/>
    <x v="454"/>
    <x v="0"/>
    <s v="UK"/>
    <n v="30000000"/>
    <x v="26"/>
    <x v="4"/>
    <s v="Mystery"/>
    <s v="Thriller"/>
    <m/>
    <m/>
    <m/>
    <m/>
    <m/>
  </r>
  <r>
    <x v="97"/>
    <x v="8"/>
    <n v="61094903"/>
    <x v="454"/>
    <x v="0"/>
    <s v="UK"/>
    <n v="30000000"/>
    <x v="26"/>
    <x v="4"/>
    <s v="Mystery"/>
    <s v="Thriller"/>
    <m/>
    <m/>
    <m/>
    <m/>
    <m/>
  </r>
  <r>
    <x v="208"/>
    <x v="52"/>
    <n v="60984028"/>
    <x v="455"/>
    <x v="0"/>
    <s v="USA"/>
    <n v="57000000"/>
    <x v="31"/>
    <x v="3"/>
    <s v="Mystery"/>
    <s v="Thriller"/>
    <m/>
    <m/>
    <m/>
    <m/>
    <m/>
  </r>
  <r>
    <x v="300"/>
    <x v="84"/>
    <n v="60962878"/>
    <x v="456"/>
    <x v="0"/>
    <s v="USA"/>
    <n v="46000000"/>
    <x v="23"/>
    <x v="5"/>
    <s v="Drama"/>
    <s v="Mystery"/>
    <s v="Thriller"/>
    <m/>
    <m/>
    <m/>
    <m/>
  </r>
  <r>
    <x v="289"/>
    <x v="58"/>
    <n v="60923325"/>
    <x v="457"/>
    <x v="0"/>
    <s v="USA"/>
    <n v="39751583.5"/>
    <x v="16"/>
    <x v="0"/>
    <s v="Music"/>
    <m/>
    <m/>
    <m/>
    <m/>
    <m/>
    <m/>
  </r>
  <r>
    <x v="193"/>
    <x v="58"/>
    <n v="60874615"/>
    <x v="458"/>
    <x v="0"/>
    <s v="USA"/>
    <n v="90000000"/>
    <x v="37"/>
    <x v="2"/>
    <s v="Sci-Fi"/>
    <s v="Thriller"/>
    <m/>
    <m/>
    <m/>
    <m/>
    <m/>
  </r>
  <r>
    <x v="262"/>
    <x v="34"/>
    <n v="60786269"/>
    <x v="459"/>
    <x v="0"/>
    <s v="USA"/>
    <n v="45000000"/>
    <x v="37"/>
    <x v="0"/>
    <s v="Drama"/>
    <s v="Music"/>
    <s v="Romance"/>
    <m/>
    <m/>
    <m/>
    <m/>
  </r>
  <r>
    <x v="86"/>
    <x v="58"/>
    <n v="60652036"/>
    <x v="460"/>
    <x v="0"/>
    <s v="USA"/>
    <n v="48000000"/>
    <x v="6"/>
    <x v="4"/>
    <s v="Adventure"/>
    <s v="Comedy"/>
    <s v="Drama"/>
    <s v="War"/>
    <m/>
    <m/>
    <m/>
  </r>
  <r>
    <x v="153"/>
    <x v="20"/>
    <n v="60573641"/>
    <x v="461"/>
    <x v="0"/>
    <s v="USA"/>
    <n v="60000000"/>
    <x v="18"/>
    <x v="0"/>
    <s v="Family"/>
    <m/>
    <m/>
    <m/>
    <m/>
    <m/>
    <m/>
  </r>
  <r>
    <x v="41"/>
    <x v="23"/>
    <n v="60507228"/>
    <x v="462"/>
    <x v="0"/>
    <s v="USA"/>
    <n v="80000000"/>
    <x v="4"/>
    <x v="7"/>
    <s v="Family"/>
    <s v="Fantasy"/>
    <s v="Music"/>
    <m/>
    <m/>
    <m/>
    <m/>
  </r>
  <r>
    <x v="301"/>
    <x v="61"/>
    <n v="60491560"/>
    <x v="463"/>
    <x v="0"/>
    <s v="USA"/>
    <n v="27000000"/>
    <x v="24"/>
    <x v="5"/>
    <s v="Drama"/>
    <s v="Mystery"/>
    <s v="Thriller"/>
    <m/>
    <m/>
    <m/>
    <m/>
  </r>
  <r>
    <x v="302"/>
    <x v="58"/>
    <n v="60470220"/>
    <x v="464"/>
    <x v="0"/>
    <s v="USA"/>
    <n v="50000000"/>
    <x v="8"/>
    <x v="4"/>
    <s v="Adventure"/>
    <s v="Comedy"/>
    <m/>
    <m/>
    <m/>
    <m/>
    <m/>
  </r>
  <r>
    <x v="303"/>
    <x v="43"/>
    <n v="60443237"/>
    <x v="465"/>
    <x v="0"/>
    <s v="USA"/>
    <n v="25000000"/>
    <x v="20"/>
    <x v="3"/>
    <s v="Romance"/>
    <m/>
    <m/>
    <m/>
    <m/>
    <m/>
    <m/>
  </r>
  <r>
    <x v="4"/>
    <x v="18"/>
    <n v="60400856"/>
    <x v="466"/>
    <x v="0"/>
    <s v="Germany"/>
    <n v="35000000"/>
    <x v="34"/>
    <x v="0"/>
    <s v="Romance"/>
    <m/>
    <m/>
    <m/>
    <m/>
    <m/>
    <m/>
  </r>
  <r>
    <x v="214"/>
    <x v="49"/>
    <n v="60338891"/>
    <x v="467"/>
    <x v="0"/>
    <s v="USA"/>
    <n v="37000000"/>
    <x v="14"/>
    <x v="0"/>
    <s v="Drama"/>
    <m/>
    <m/>
    <m/>
    <m/>
    <m/>
    <m/>
  </r>
  <r>
    <x v="195"/>
    <x v="43"/>
    <n v="60328558"/>
    <x v="468"/>
    <x v="0"/>
    <s v="USA"/>
    <n v="32000000"/>
    <x v="14"/>
    <x v="0"/>
    <s v="Drama"/>
    <s v="Fantasy"/>
    <m/>
    <m/>
    <m/>
    <m/>
    <m/>
  </r>
  <r>
    <x v="304"/>
    <x v="4"/>
    <n v="60269340"/>
    <x v="469"/>
    <x v="0"/>
    <s v="USA"/>
    <n v="30000000"/>
    <x v="27"/>
    <x v="0"/>
    <s v="Romance"/>
    <m/>
    <m/>
    <m/>
    <m/>
    <m/>
    <m/>
  </r>
  <r>
    <x v="305"/>
    <x v="49"/>
    <n v="60154431"/>
    <x v="470"/>
    <x v="0"/>
    <s v="USA"/>
    <n v="47000000"/>
    <x v="27"/>
    <x v="0"/>
    <s v="Drama"/>
    <s v="Thriller"/>
    <m/>
    <m/>
    <m/>
    <m/>
    <m/>
  </r>
  <r>
    <x v="164"/>
    <x v="0"/>
    <n v="60128566"/>
    <x v="471"/>
    <x v="0"/>
    <s v="Germany"/>
    <n v="60000000"/>
    <x v="1"/>
    <x v="4"/>
    <s v="Adventure"/>
    <s v="Horror"/>
    <s v="Sci-Fi"/>
    <m/>
    <m/>
    <m/>
    <m/>
  </r>
  <r>
    <x v="107"/>
    <x v="64"/>
    <n v="60072596"/>
    <x v="472"/>
    <x v="0"/>
    <s v="USA"/>
    <n v="20000000"/>
    <x v="45"/>
    <x v="0"/>
    <s v="Drama"/>
    <s v="Romance"/>
    <m/>
    <m/>
    <m/>
    <m/>
    <m/>
  </r>
  <r>
    <x v="306"/>
    <x v="1"/>
    <n v="60057639"/>
    <x v="473"/>
    <x v="0"/>
    <s v="USA"/>
    <n v="18000000"/>
    <x v="6"/>
    <x v="0"/>
    <s v="Crime"/>
    <s v="Drama"/>
    <m/>
    <m/>
    <m/>
    <m/>
    <m/>
  </r>
  <r>
    <x v="307"/>
    <x v="7"/>
    <n v="60054449"/>
    <x v="474"/>
    <x v="0"/>
    <s v="USA"/>
    <n v="35000000"/>
    <x v="19"/>
    <x v="4"/>
    <s v="Horror"/>
    <s v="Sci-Fi"/>
    <s v="Thriller"/>
    <m/>
    <m/>
    <m/>
    <m/>
  </r>
  <r>
    <x v="308"/>
    <x v="58"/>
    <n v="60033780"/>
    <x v="475"/>
    <x v="0"/>
    <s v="USA"/>
    <n v="30000000"/>
    <x v="1"/>
    <x v="3"/>
    <s v="Romance"/>
    <m/>
    <m/>
    <m/>
    <m/>
    <m/>
    <m/>
  </r>
  <r>
    <x v="309"/>
    <x v="56"/>
    <n v="60008303"/>
    <x v="476"/>
    <x v="0"/>
    <s v="USA"/>
    <n v="13000000"/>
    <x v="35"/>
    <x v="2"/>
    <s v="Comedy"/>
    <s v="Family"/>
    <m/>
    <m/>
    <m/>
    <m/>
    <m/>
  </r>
  <r>
    <x v="12"/>
    <x v="65"/>
    <n v="60000000"/>
    <x v="477"/>
    <x v="0"/>
    <s v="UK"/>
    <n v="39000000"/>
    <x v="35"/>
    <x v="4"/>
    <s v="Comedy"/>
    <s v="Sci-Fi"/>
    <m/>
    <m/>
    <m/>
    <m/>
    <m/>
  </r>
  <r>
    <x v="310"/>
    <x v="81"/>
    <n v="59992760"/>
    <x v="478"/>
    <x v="0"/>
    <s v="USA"/>
    <n v="42000000"/>
    <x v="19"/>
    <x v="0"/>
    <m/>
    <m/>
    <m/>
    <m/>
    <m/>
    <m/>
    <m/>
  </r>
  <r>
    <x v="311"/>
    <x v="43"/>
    <n v="59889948"/>
    <x v="479"/>
    <x v="0"/>
    <s v="USA"/>
    <n v="8000000"/>
    <x v="12"/>
    <x v="0"/>
    <s v="Drama"/>
    <m/>
    <m/>
    <m/>
    <m/>
    <m/>
    <m/>
  </r>
  <r>
    <x v="245"/>
    <x v="30"/>
    <n v="59847242"/>
    <x v="480"/>
    <x v="0"/>
    <s v="USA"/>
    <n v="16500000"/>
    <x v="9"/>
    <x v="0"/>
    <s v="Drama"/>
    <s v="Family"/>
    <s v="Romance"/>
    <m/>
    <m/>
    <m/>
    <m/>
  </r>
  <r>
    <x v="66"/>
    <x v="34"/>
    <n v="59735548"/>
    <x v="481"/>
    <x v="0"/>
    <s v="USA"/>
    <n v="15000000"/>
    <x v="22"/>
    <x v="4"/>
    <s v="Horror"/>
    <s v="Sci-Fi"/>
    <m/>
    <m/>
    <m/>
    <m/>
    <m/>
  </r>
  <r>
    <x v="96"/>
    <x v="21"/>
    <n v="59699513"/>
    <x v="482"/>
    <x v="0"/>
    <s v="USA"/>
    <n v="35000000"/>
    <x v="11"/>
    <x v="6"/>
    <s v="Drama"/>
    <s v="Family"/>
    <s v="History"/>
    <s v="Sport"/>
    <m/>
    <m/>
    <m/>
  </r>
  <r>
    <x v="312"/>
    <x v="76"/>
    <n v="59696176"/>
    <x v="483"/>
    <x v="0"/>
    <s v="USA"/>
    <n v="22000000"/>
    <x v="37"/>
    <x v="6"/>
    <s v="Drama"/>
    <s v="History"/>
    <m/>
    <m/>
    <m/>
    <m/>
    <m/>
  </r>
  <r>
    <x v="310"/>
    <x v="4"/>
    <n v="59617068"/>
    <x v="484"/>
    <x v="0"/>
    <s v="USA"/>
    <n v="65000000"/>
    <x v="16"/>
    <x v="0"/>
    <s v="Romance"/>
    <m/>
    <m/>
    <m/>
    <m/>
    <m/>
    <m/>
  </r>
  <r>
    <x v="313"/>
    <x v="1"/>
    <n v="59588068"/>
    <x v="485"/>
    <x v="0"/>
    <s v="USA"/>
    <n v="40000000"/>
    <x v="19"/>
    <x v="1"/>
    <s v="Mystery"/>
    <s v="Thriller"/>
    <m/>
    <m/>
    <m/>
    <m/>
    <m/>
  </r>
  <r>
    <x v="314"/>
    <x v="20"/>
    <n v="59573085"/>
    <x v="486"/>
    <x v="0"/>
    <s v="USA"/>
    <n v="18000000"/>
    <x v="0"/>
    <x v="0"/>
    <s v="Family"/>
    <s v="Romance"/>
    <m/>
    <m/>
    <m/>
    <m/>
    <m/>
  </r>
  <r>
    <x v="235"/>
    <x v="31"/>
    <n v="59475623"/>
    <x v="487"/>
    <x v="0"/>
    <s v="USA"/>
    <n v="90000000"/>
    <x v="34"/>
    <x v="0"/>
    <s v="Sci-Fi"/>
    <s v="Thriller"/>
    <m/>
    <m/>
    <m/>
    <m/>
    <m/>
  </r>
  <r>
    <x v="315"/>
    <x v="2"/>
    <n v="59365105"/>
    <x v="488"/>
    <x v="0"/>
    <s v="UK"/>
    <n v="45000000"/>
    <x v="5"/>
    <x v="0"/>
    <s v="Drama"/>
    <s v="Romance"/>
    <m/>
    <m/>
    <m/>
    <m/>
    <m/>
  </r>
  <r>
    <x v="316"/>
    <x v="4"/>
    <n v="59073773"/>
    <x v="489"/>
    <x v="0"/>
    <s v="USA"/>
    <n v="25000000"/>
    <x v="23"/>
    <x v="2"/>
    <s v="Comedy"/>
    <s v="Crime"/>
    <s v="Drama"/>
    <m/>
    <m/>
    <m/>
    <m/>
  </r>
  <r>
    <x v="317"/>
    <x v="40"/>
    <n v="59068786"/>
    <x v="490"/>
    <x v="0"/>
    <s v="USA"/>
    <n v="40000000"/>
    <x v="16"/>
    <x v="4"/>
    <s v="Drama"/>
    <s v="Thriller"/>
    <s v="War"/>
    <m/>
    <m/>
    <m/>
    <m/>
  </r>
  <r>
    <x v="157"/>
    <x v="33"/>
    <n v="59035104"/>
    <x v="491"/>
    <x v="0"/>
    <s v="USA"/>
    <n v="66000000"/>
    <x v="9"/>
    <x v="4"/>
    <s v="Fantasy"/>
    <s v="Horror"/>
    <s v="Sci-Fi"/>
    <m/>
    <m/>
    <m/>
    <m/>
  </r>
  <r>
    <x v="265"/>
    <x v="12"/>
    <n v="58918501"/>
    <x v="492"/>
    <x v="0"/>
    <s v="USA"/>
    <n v="46000000"/>
    <x v="24"/>
    <x v="4"/>
    <s v="Drama"/>
    <s v="Mystery"/>
    <s v="Thriller"/>
    <s v="War"/>
    <m/>
    <m/>
    <m/>
  </r>
  <r>
    <x v="318"/>
    <x v="28"/>
    <n v="58885635"/>
    <x v="493"/>
    <x v="0"/>
    <s v="USA"/>
    <n v="26000000"/>
    <x v="7"/>
    <x v="4"/>
    <s v="Horror"/>
    <s v="Thriller"/>
    <m/>
    <m/>
    <m/>
    <m/>
    <m/>
  </r>
  <r>
    <x v="318"/>
    <x v="28"/>
    <n v="58885635"/>
    <x v="493"/>
    <x v="0"/>
    <s v="USA"/>
    <n v="26000000"/>
    <x v="7"/>
    <x v="4"/>
    <s v="Horror"/>
    <s v="Thriller"/>
    <m/>
    <m/>
    <m/>
    <m/>
    <m/>
  </r>
  <r>
    <x v="319"/>
    <x v="4"/>
    <n v="58879132"/>
    <x v="494"/>
    <x v="0"/>
    <s v="USA"/>
    <n v="31000000"/>
    <x v="0"/>
    <x v="2"/>
    <s v="Comedy"/>
    <m/>
    <m/>
    <m/>
    <m/>
    <m/>
    <m/>
  </r>
  <r>
    <x v="320"/>
    <x v="65"/>
    <n v="58800000"/>
    <x v="495"/>
    <x v="0"/>
    <s v="UK"/>
    <n v="5500000"/>
    <x v="11"/>
    <x v="6"/>
    <s v="Drama"/>
    <s v="Sport"/>
    <m/>
    <m/>
    <m/>
    <m/>
    <m/>
  </r>
  <r>
    <x v="151"/>
    <x v="56"/>
    <n v="58715510"/>
    <x v="496"/>
    <x v="0"/>
    <s v="USA"/>
    <n v="30000000"/>
    <x v="18"/>
    <x v="0"/>
    <s v="Romance"/>
    <m/>
    <m/>
    <m/>
    <m/>
    <m/>
    <m/>
  </r>
  <r>
    <x v="321"/>
    <x v="35"/>
    <n v="58700247"/>
    <x v="497"/>
    <x v="0"/>
    <s v="USA"/>
    <n v="38000000"/>
    <x v="26"/>
    <x v="3"/>
    <s v="Romance"/>
    <m/>
    <m/>
    <m/>
    <m/>
    <m/>
    <m/>
  </r>
  <r>
    <x v="322"/>
    <x v="8"/>
    <n v="58571513"/>
    <x v="498"/>
    <x v="0"/>
    <s v="USA"/>
    <n v="19000000"/>
    <x v="9"/>
    <x v="5"/>
    <s v="Drama"/>
    <s v="Mystery"/>
    <s v="Thriller"/>
    <m/>
    <m/>
    <m/>
    <m/>
  </r>
  <r>
    <x v="57"/>
    <x v="44"/>
    <n v="58422650"/>
    <x v="499"/>
    <x v="0"/>
    <s v="USA"/>
    <n v="55000000"/>
    <x v="16"/>
    <x v="0"/>
    <s v="Fantasy"/>
    <s v="Horror"/>
    <m/>
    <m/>
    <m/>
    <m/>
    <m/>
  </r>
  <r>
    <x v="124"/>
    <x v="22"/>
    <n v="58401464"/>
    <x v="500"/>
    <x v="0"/>
    <s v="USA"/>
    <n v="8000000"/>
    <x v="6"/>
    <x v="0"/>
    <s v="Romance"/>
    <m/>
    <m/>
    <m/>
    <m/>
    <m/>
    <m/>
  </r>
  <r>
    <x v="323"/>
    <x v="73"/>
    <n v="58336565"/>
    <x v="501"/>
    <x v="0"/>
    <s v="USA"/>
    <n v="50000000"/>
    <x v="24"/>
    <x v="2"/>
    <s v="Animation"/>
    <s v="Comedy"/>
    <s v="Family"/>
    <m/>
    <m/>
    <m/>
    <m/>
  </r>
  <r>
    <x v="324"/>
    <x v="29"/>
    <n v="58328680"/>
    <x v="502"/>
    <x v="0"/>
    <s v="USA"/>
    <n v="22000000"/>
    <x v="31"/>
    <x v="3"/>
    <s v="Romance"/>
    <s v="Western"/>
    <m/>
    <m/>
    <m/>
    <m/>
    <m/>
  </r>
  <r>
    <x v="325"/>
    <x v="20"/>
    <n v="58297830"/>
    <x v="503"/>
    <x v="0"/>
    <s v="USA"/>
    <n v="50000000"/>
    <x v="6"/>
    <x v="2"/>
    <s v="Animation"/>
    <s v="Drama"/>
    <s v="Family"/>
    <s v="Fantasy"/>
    <s v="Musical"/>
    <s v="Mystery"/>
    <m/>
  </r>
  <r>
    <x v="234"/>
    <x v="1"/>
    <n v="58255287"/>
    <x v="504"/>
    <x v="0"/>
    <s v="USA"/>
    <n v="64000000"/>
    <x v="49"/>
    <x v="0"/>
    <s v="Crime"/>
    <m/>
    <m/>
    <m/>
    <m/>
    <m/>
    <m/>
  </r>
  <r>
    <x v="305"/>
    <x v="58"/>
    <n v="58229120"/>
    <x v="505"/>
    <x v="0"/>
    <s v="USA"/>
    <n v="90000000"/>
    <x v="4"/>
    <x v="2"/>
    <s v="Comedy"/>
    <s v="Drama"/>
    <s v="Fantasy"/>
    <s v="Romance"/>
    <m/>
    <m/>
    <m/>
  </r>
  <r>
    <x v="326"/>
    <x v="13"/>
    <n v="58156435"/>
    <x v="506"/>
    <x v="0"/>
    <s v="USA"/>
    <n v="19000000"/>
    <x v="1"/>
    <x v="2"/>
    <s v="Comedy"/>
    <s v="Mystery"/>
    <m/>
    <m/>
    <m/>
    <m/>
    <m/>
  </r>
  <r>
    <x v="221"/>
    <x v="1"/>
    <n v="58006147"/>
    <x v="507"/>
    <x v="0"/>
    <s v="USA"/>
    <n v="23000000"/>
    <x v="8"/>
    <x v="3"/>
    <s v="Music"/>
    <s v="Musical"/>
    <s v="Romance"/>
    <m/>
    <m/>
    <m/>
    <m/>
  </r>
  <r>
    <x v="327"/>
    <x v="36"/>
    <n v="57981889"/>
    <x v="508"/>
    <x v="0"/>
    <s v="USA"/>
    <n v="40000000"/>
    <x v="4"/>
    <x v="5"/>
    <s v="Drama"/>
    <s v="Thriller"/>
    <m/>
    <m/>
    <m/>
    <m/>
    <m/>
  </r>
  <r>
    <x v="178"/>
    <x v="40"/>
    <n v="57887882"/>
    <x v="509"/>
    <x v="0"/>
    <s v="USA"/>
    <n v="50000000"/>
    <x v="0"/>
    <x v="0"/>
    <s v="Drama"/>
    <s v="Romance"/>
    <m/>
    <m/>
    <m/>
    <m/>
    <m/>
  </r>
  <r>
    <x v="38"/>
    <x v="63"/>
    <n v="57859105"/>
    <x v="510"/>
    <x v="0"/>
    <s v="USA"/>
    <n v="26000000"/>
    <x v="20"/>
    <x v="12"/>
    <s v="Thriller"/>
    <m/>
    <m/>
    <m/>
    <m/>
    <m/>
    <m/>
  </r>
  <r>
    <x v="328"/>
    <x v="85"/>
    <n v="57750000"/>
    <x v="511"/>
    <x v="0"/>
    <s v="UK"/>
    <n v="31115000"/>
    <x v="14"/>
    <x v="6"/>
    <s v="Drama"/>
    <s v="History"/>
    <s v="Romance"/>
    <m/>
    <m/>
    <m/>
    <m/>
  </r>
  <r>
    <x v="329"/>
    <x v="34"/>
    <n v="57744720"/>
    <x v="512"/>
    <x v="0"/>
    <s v="USA"/>
    <n v="20000000"/>
    <x v="8"/>
    <x v="4"/>
    <s v="Crime"/>
    <s v="Thriller"/>
    <m/>
    <m/>
    <m/>
    <m/>
    <m/>
  </r>
  <r>
    <x v="37"/>
    <x v="86"/>
    <n v="57651794"/>
    <x v="513"/>
    <x v="0"/>
    <s v="USA"/>
    <n v="33000000"/>
    <x v="37"/>
    <x v="0"/>
    <s v="Romance"/>
    <s v="Sport"/>
    <m/>
    <m/>
    <m/>
    <m/>
    <m/>
  </r>
  <r>
    <x v="213"/>
    <x v="48"/>
    <n v="57504069"/>
    <x v="514"/>
    <x v="0"/>
    <s v="USA"/>
    <n v="6000000"/>
    <x v="22"/>
    <x v="5"/>
    <s v="Drama"/>
    <m/>
    <m/>
    <m/>
    <m/>
    <m/>
    <m/>
  </r>
  <r>
    <x v="330"/>
    <x v="18"/>
    <n v="57469179"/>
    <x v="515"/>
    <x v="0"/>
    <s v="USA"/>
    <n v="11500000"/>
    <x v="24"/>
    <x v="8"/>
    <s v="Horror"/>
    <m/>
    <m/>
    <m/>
    <m/>
    <m/>
    <m/>
  </r>
  <r>
    <x v="331"/>
    <x v="32"/>
    <n v="57386369"/>
    <x v="516"/>
    <x v="0"/>
    <s v="USA"/>
    <n v="52500000"/>
    <x v="17"/>
    <x v="3"/>
    <s v="Musical"/>
    <s v="Romance"/>
    <m/>
    <m/>
    <m/>
    <m/>
    <m/>
  </r>
  <r>
    <x v="272"/>
    <x v="28"/>
    <n v="57362581"/>
    <x v="517"/>
    <x v="0"/>
    <s v="Peru"/>
    <n v="45000000"/>
    <x v="18"/>
    <x v="4"/>
    <s v="Crime"/>
    <s v="Drama"/>
    <s v="Romance"/>
    <s v="Thriller"/>
    <m/>
    <m/>
    <m/>
  </r>
  <r>
    <x v="150"/>
    <x v="87"/>
    <n v="57300000"/>
    <x v="518"/>
    <x v="0"/>
    <s v="USA"/>
    <n v="13000000"/>
    <x v="50"/>
    <x v="5"/>
    <s v="Drama"/>
    <m/>
    <m/>
    <m/>
    <m/>
    <m/>
    <m/>
  </r>
  <r>
    <x v="332"/>
    <x v="1"/>
    <n v="57262492"/>
    <x v="519"/>
    <x v="0"/>
    <s v="USA"/>
    <n v="24000000"/>
    <x v="15"/>
    <x v="0"/>
    <s v="Crime"/>
    <m/>
    <m/>
    <m/>
    <m/>
    <m/>
    <m/>
  </r>
  <r>
    <x v="32"/>
    <x v="1"/>
    <n v="57176582"/>
    <x v="520"/>
    <x v="0"/>
    <s v="USA"/>
    <n v="9500000"/>
    <x v="0"/>
    <x v="0"/>
    <m/>
    <m/>
    <m/>
    <m/>
    <m/>
    <m/>
    <m/>
  </r>
  <r>
    <x v="333"/>
    <x v="56"/>
    <n v="57011847"/>
    <x v="521"/>
    <x v="0"/>
    <s v="USA"/>
    <n v="40000000"/>
    <x v="1"/>
    <x v="2"/>
    <s v="Animation"/>
    <s v="Comedy"/>
    <s v="Family"/>
    <s v="Sci-Fi"/>
    <m/>
    <m/>
    <m/>
  </r>
  <r>
    <x v="334"/>
    <x v="80"/>
    <n v="57010853"/>
    <x v="522"/>
    <x v="0"/>
    <s v="USA"/>
    <n v="85000000"/>
    <x v="4"/>
    <x v="3"/>
    <s v="Romance"/>
    <m/>
    <m/>
    <m/>
    <m/>
    <m/>
    <m/>
  </r>
  <r>
    <x v="115"/>
    <x v="28"/>
    <n v="56932305"/>
    <x v="523"/>
    <x v="0"/>
    <s v="USA"/>
    <n v="55000000"/>
    <x v="24"/>
    <x v="4"/>
    <s v="Adventure"/>
    <s v="Comedy"/>
    <s v="Western"/>
    <m/>
    <m/>
    <m/>
    <m/>
  </r>
  <r>
    <x v="96"/>
    <x v="33"/>
    <n v="56876365"/>
    <x v="524"/>
    <x v="0"/>
    <s v="USA"/>
    <n v="35000000"/>
    <x v="16"/>
    <x v="4"/>
    <s v="Adventure"/>
    <m/>
    <m/>
    <m/>
    <m/>
    <m/>
    <m/>
  </r>
  <r>
    <x v="335"/>
    <x v="20"/>
    <n v="56816662"/>
    <x v="525"/>
    <x v="0"/>
    <s v="Spain"/>
    <n v="17000000"/>
    <x v="5"/>
    <x v="0"/>
    <s v="Fantasy"/>
    <s v="Romance"/>
    <m/>
    <m/>
    <m/>
    <m/>
    <m/>
  </r>
  <r>
    <x v="336"/>
    <x v="13"/>
    <n v="56729973"/>
    <x v="526"/>
    <x v="0"/>
    <s v="USA"/>
    <n v="10800000"/>
    <x v="19"/>
    <x v="1"/>
    <s v="Mystery"/>
    <m/>
    <m/>
    <m/>
    <m/>
    <m/>
    <m/>
  </r>
  <r>
    <x v="337"/>
    <x v="8"/>
    <n v="56724080"/>
    <x v="527"/>
    <x v="0"/>
    <s v="USA"/>
    <n v="50000000"/>
    <x v="15"/>
    <x v="0"/>
    <m/>
    <m/>
    <m/>
    <m/>
    <m/>
    <m/>
    <m/>
  </r>
  <r>
    <x v="338"/>
    <x v="62"/>
    <n v="56715371"/>
    <x v="528"/>
    <x v="0"/>
    <s v="UK"/>
    <n v="12000000"/>
    <x v="25"/>
    <x v="2"/>
    <s v="Mystery"/>
    <s v="Sci-Fi"/>
    <m/>
    <m/>
    <m/>
    <m/>
    <m/>
  </r>
  <r>
    <x v="339"/>
    <x v="61"/>
    <n v="56702901"/>
    <x v="529"/>
    <x v="0"/>
    <s v="USA"/>
    <n v="60000000"/>
    <x v="20"/>
    <x v="3"/>
    <m/>
    <m/>
    <m/>
    <m/>
    <m/>
    <m/>
    <m/>
  </r>
  <r>
    <x v="340"/>
    <x v="49"/>
    <n v="56684819"/>
    <x v="530"/>
    <x v="0"/>
    <s v="USA"/>
    <n v="80000000"/>
    <x v="1"/>
    <x v="4"/>
    <s v="Adventure"/>
    <s v="Sci-Fi"/>
    <m/>
    <m/>
    <m/>
    <m/>
    <m/>
  </r>
  <r>
    <x v="341"/>
    <x v="16"/>
    <n v="56667870"/>
    <x v="531"/>
    <x v="0"/>
    <s v="USA"/>
    <n v="20000000"/>
    <x v="23"/>
    <x v="6"/>
    <s v="Drama"/>
    <s v="History"/>
    <m/>
    <m/>
    <m/>
    <m/>
    <m/>
  </r>
  <r>
    <x v="342"/>
    <x v="0"/>
    <n v="56631572"/>
    <x v="532"/>
    <x v="0"/>
    <s v="USA"/>
    <n v="12000000"/>
    <x v="9"/>
    <x v="0"/>
    <s v="Romance"/>
    <m/>
    <m/>
    <m/>
    <m/>
    <m/>
    <m/>
  </r>
  <r>
    <x v="343"/>
    <x v="48"/>
    <n v="56607223"/>
    <x v="533"/>
    <x v="0"/>
    <s v="Canada"/>
    <n v="48000000"/>
    <x v="16"/>
    <x v="2"/>
    <s v="Comedy"/>
    <m/>
    <m/>
    <m/>
    <m/>
    <m/>
    <m/>
  </r>
  <r>
    <x v="344"/>
    <x v="81"/>
    <n v="56536016"/>
    <x v="534"/>
    <x v="0"/>
    <s v="USA"/>
    <n v="4900000"/>
    <x v="26"/>
    <x v="1"/>
    <m/>
    <m/>
    <m/>
    <m/>
    <m/>
    <m/>
    <m/>
  </r>
  <r>
    <x v="345"/>
    <x v="16"/>
    <n v="56505065"/>
    <x v="535"/>
    <x v="0"/>
    <s v="USA"/>
    <n v="25000000"/>
    <x v="22"/>
    <x v="4"/>
    <s v="Biography"/>
    <s v="Drama"/>
    <s v="History"/>
    <s v="Romance"/>
    <s v="Western"/>
    <m/>
    <m/>
  </r>
  <r>
    <x v="86"/>
    <x v="55"/>
    <n v="56443482"/>
    <x v="536"/>
    <x v="0"/>
    <s v="USA"/>
    <n v="60000000"/>
    <x v="24"/>
    <x v="6"/>
    <s v="Comedy"/>
    <s v="Drama"/>
    <m/>
    <m/>
    <m/>
    <m/>
    <m/>
  </r>
  <r>
    <x v="346"/>
    <x v="20"/>
    <n v="56437947"/>
    <x v="537"/>
    <x v="0"/>
    <s v="UK"/>
    <n v="9800000"/>
    <x v="4"/>
    <x v="6"/>
    <s v="Drama"/>
    <m/>
    <m/>
    <m/>
    <m/>
    <m/>
    <m/>
  </r>
  <r>
    <x v="347"/>
    <x v="36"/>
    <n v="56398162"/>
    <x v="538"/>
    <x v="0"/>
    <s v="USA"/>
    <n v="20000000"/>
    <x v="21"/>
    <x v="0"/>
    <s v="Drama"/>
    <s v="Music"/>
    <s v="Romance"/>
    <m/>
    <m/>
    <m/>
    <m/>
  </r>
  <r>
    <x v="218"/>
    <x v="51"/>
    <n v="56362352"/>
    <x v="539"/>
    <x v="0"/>
    <s v="USA"/>
    <n v="20000000"/>
    <x v="12"/>
    <x v="8"/>
    <s v="Romance"/>
    <m/>
    <m/>
    <m/>
    <m/>
    <m/>
    <m/>
  </r>
  <r>
    <x v="348"/>
    <x v="28"/>
    <n v="56154094"/>
    <x v="540"/>
    <x v="0"/>
    <s v="UK"/>
    <n v="20000000"/>
    <x v="17"/>
    <x v="3"/>
    <s v="Romance"/>
    <m/>
    <m/>
    <m/>
    <m/>
    <m/>
    <m/>
  </r>
  <r>
    <x v="68"/>
    <x v="13"/>
    <n v="56127162"/>
    <x v="541"/>
    <x v="0"/>
    <s v="USA"/>
    <n v="18000000"/>
    <x v="18"/>
    <x v="0"/>
    <s v="Romance"/>
    <m/>
    <m/>
    <m/>
    <m/>
    <m/>
    <m/>
  </r>
  <r>
    <x v="77"/>
    <x v="83"/>
    <n v="56083966"/>
    <x v="542"/>
    <x v="0"/>
    <s v="USA"/>
    <n v="65000000"/>
    <x v="26"/>
    <x v="4"/>
    <s v="Adventure"/>
    <s v="Romance"/>
    <m/>
    <m/>
    <m/>
    <m/>
    <m/>
  </r>
  <r>
    <x v="349"/>
    <x v="63"/>
    <n v="56068547"/>
    <x v="543"/>
    <x v="0"/>
    <s v="UK"/>
    <n v="30000000"/>
    <x v="31"/>
    <x v="7"/>
    <s v="Comedy"/>
    <s v="Family"/>
    <s v="Mystery"/>
    <s v="Sci-Fi"/>
    <m/>
    <m/>
    <m/>
  </r>
  <r>
    <x v="151"/>
    <x v="1"/>
    <n v="56044241"/>
    <x v="544"/>
    <x v="0"/>
    <s v="USA"/>
    <n v="37000000"/>
    <x v="0"/>
    <x v="0"/>
    <s v="Fantasy"/>
    <s v="Romance"/>
    <m/>
    <m/>
    <m/>
    <m/>
    <m/>
  </r>
  <r>
    <x v="350"/>
    <x v="22"/>
    <n v="55994557"/>
    <x v="545"/>
    <x v="0"/>
    <s v="USA"/>
    <n v="60000000"/>
    <x v="14"/>
    <x v="2"/>
    <s v="Animation"/>
    <s v="Comedy"/>
    <s v="Family"/>
    <s v="Fantasy"/>
    <m/>
    <m/>
    <m/>
  </r>
  <r>
    <x v="351"/>
    <x v="61"/>
    <n v="55973336"/>
    <x v="546"/>
    <x v="0"/>
    <s v="USA"/>
    <n v="25000000"/>
    <x v="0"/>
    <x v="4"/>
    <s v="Crime"/>
    <s v="Thriller"/>
    <m/>
    <m/>
    <m/>
    <m/>
    <m/>
  </r>
  <r>
    <x v="352"/>
    <x v="22"/>
    <n v="55942830"/>
    <x v="547"/>
    <x v="0"/>
    <s v="USA"/>
    <n v="70000000"/>
    <x v="2"/>
    <x v="4"/>
    <s v="Drama"/>
    <s v="Fantasy"/>
    <s v="Horror"/>
    <s v="War"/>
    <m/>
    <m/>
    <m/>
  </r>
  <r>
    <x v="353"/>
    <x v="43"/>
    <n v="55865715"/>
    <x v="548"/>
    <x v="0"/>
    <s v="UK"/>
    <n v="10000000"/>
    <x v="3"/>
    <x v="3"/>
    <s v="Horror"/>
    <s v="Mystery"/>
    <s v="Thriller"/>
    <m/>
    <m/>
    <m/>
    <m/>
  </r>
  <r>
    <x v="127"/>
    <x v="30"/>
    <n v="55845943"/>
    <x v="549"/>
    <x v="0"/>
    <s v="USA"/>
    <n v="29000000"/>
    <x v="16"/>
    <x v="4"/>
    <s v="Crime"/>
    <s v="Thriller"/>
    <m/>
    <m/>
    <m/>
    <m/>
    <m/>
  </r>
  <r>
    <x v="25"/>
    <x v="36"/>
    <n v="55808744"/>
    <x v="550"/>
    <x v="0"/>
    <s v="USA"/>
    <n v="53000000"/>
    <x v="21"/>
    <x v="0"/>
    <s v="Crime"/>
    <s v="Music"/>
    <m/>
    <m/>
    <m/>
    <m/>
    <m/>
  </r>
  <r>
    <x v="124"/>
    <x v="17"/>
    <n v="55802754"/>
    <x v="551"/>
    <x v="0"/>
    <s v="USA"/>
    <n v="35000000"/>
    <x v="24"/>
    <x v="0"/>
    <s v="Romance"/>
    <m/>
    <m/>
    <m/>
    <m/>
    <m/>
    <m/>
  </r>
  <r>
    <x v="152"/>
    <x v="3"/>
    <n v="55762229"/>
    <x v="552"/>
    <x v="0"/>
    <s v="USA"/>
    <n v="22000000"/>
    <x v="46"/>
    <x v="0"/>
    <s v="Sci-Fi"/>
    <m/>
    <m/>
    <m/>
    <m/>
    <m/>
    <m/>
  </r>
  <r>
    <x v="354"/>
    <x v="50"/>
    <n v="55747724"/>
    <x v="553"/>
    <x v="0"/>
    <s v="USA"/>
    <n v="55000000"/>
    <x v="1"/>
    <x v="2"/>
    <s v="Animation"/>
    <s v="Comedy"/>
    <s v="Family"/>
    <m/>
    <m/>
    <m/>
    <m/>
  </r>
  <r>
    <x v="355"/>
    <x v="1"/>
    <n v="55682070"/>
    <x v="554"/>
    <x v="0"/>
    <s v="Germany"/>
    <n v="50000000"/>
    <x v="0"/>
    <x v="4"/>
    <s v="Fantasy"/>
    <s v="Horror"/>
    <m/>
    <m/>
    <m/>
    <m/>
    <m/>
  </r>
  <r>
    <x v="318"/>
    <x v="43"/>
    <n v="55673333"/>
    <x v="555"/>
    <x v="0"/>
    <s v="USA"/>
    <n v="80000000"/>
    <x v="14"/>
    <x v="4"/>
    <s v="Adventure"/>
    <s v="Animation"/>
    <s v="Family"/>
    <s v="Fantasy"/>
    <m/>
    <m/>
    <m/>
  </r>
  <r>
    <x v="338"/>
    <x v="88"/>
    <n v="55637680"/>
    <x v="556"/>
    <x v="0"/>
    <s v="UK"/>
    <n v="65000000"/>
    <x v="4"/>
    <x v="3"/>
    <s v="Mystery"/>
    <s v="Thriller"/>
    <m/>
    <m/>
    <m/>
    <m/>
    <m/>
  </r>
  <r>
    <x v="193"/>
    <x v="1"/>
    <n v="55585389"/>
    <x v="557"/>
    <x v="0"/>
    <s v="USA"/>
    <n v="69000000"/>
    <x v="1"/>
    <x v="5"/>
    <s v="Mystery"/>
    <s v="Thriller"/>
    <m/>
    <m/>
    <m/>
    <m/>
    <m/>
  </r>
  <r>
    <x v="356"/>
    <x v="64"/>
    <n v="55500000"/>
    <x v="558"/>
    <x v="0"/>
    <s v="UK"/>
    <n v="36000000"/>
    <x v="8"/>
    <x v="4"/>
    <s v="Adventure"/>
    <s v="Thriller"/>
    <m/>
    <m/>
    <m/>
    <m/>
    <m/>
  </r>
  <r>
    <x v="42"/>
    <x v="80"/>
    <n v="55473600"/>
    <x v="559"/>
    <x v="0"/>
    <s v="USA"/>
    <n v="50000000"/>
    <x v="16"/>
    <x v="4"/>
    <s v="Horror"/>
    <s v="Sci-Fi"/>
    <m/>
    <m/>
    <m/>
    <m/>
    <m/>
  </r>
  <r>
    <x v="357"/>
    <x v="41"/>
    <n v="55461307"/>
    <x v="560"/>
    <x v="0"/>
    <s v="USA"/>
    <n v="20000000"/>
    <x v="15"/>
    <x v="0"/>
    <m/>
    <m/>
    <m/>
    <m/>
    <m/>
    <m/>
    <m/>
  </r>
  <r>
    <x v="358"/>
    <x v="8"/>
    <n v="55350897"/>
    <x v="561"/>
    <x v="0"/>
    <s v="USA"/>
    <n v="85000000"/>
    <x v="14"/>
    <x v="3"/>
    <s v="Fantasy"/>
    <s v="Romance"/>
    <m/>
    <m/>
    <m/>
    <m/>
    <m/>
  </r>
  <r>
    <x v="289"/>
    <x v="22"/>
    <n v="55291815"/>
    <x v="562"/>
    <x v="0"/>
    <s v="USA"/>
    <n v="35000000"/>
    <x v="27"/>
    <x v="0"/>
    <m/>
    <m/>
    <m/>
    <m/>
    <m/>
    <m/>
    <m/>
  </r>
  <r>
    <x v="359"/>
    <x v="34"/>
    <n v="55210049"/>
    <x v="563"/>
    <x v="0"/>
    <s v="USA"/>
    <n v="27800000"/>
    <x v="18"/>
    <x v="4"/>
    <s v="Adventure"/>
    <s v="Sci-Fi"/>
    <s v="Thriller"/>
    <m/>
    <m/>
    <m/>
    <m/>
  </r>
  <r>
    <x v="107"/>
    <x v="8"/>
    <n v="55184721"/>
    <x v="564"/>
    <x v="0"/>
    <s v="USA"/>
    <n v="15000000"/>
    <x v="37"/>
    <x v="0"/>
    <s v="Drama"/>
    <m/>
    <m/>
    <m/>
    <m/>
    <m/>
    <m/>
  </r>
  <r>
    <x v="44"/>
    <x v="18"/>
    <n v="55153403"/>
    <x v="565"/>
    <x v="0"/>
    <s v="USA"/>
    <n v="1200000"/>
    <x v="5"/>
    <x v="1"/>
    <s v="Mystery"/>
    <s v="Thriller"/>
    <m/>
    <m/>
    <m/>
    <m/>
    <m/>
  </r>
  <r>
    <x v="55"/>
    <x v="17"/>
    <n v="55092830"/>
    <x v="566"/>
    <x v="0"/>
    <s v="USA"/>
    <n v="60000000"/>
    <x v="0"/>
    <x v="4"/>
    <s v="Adventure"/>
    <s v="Sci-Fi"/>
    <s v="Thriller"/>
    <m/>
    <m/>
    <m/>
    <m/>
  </r>
  <r>
    <x v="301"/>
    <x v="8"/>
    <n v="54997476"/>
    <x v="567"/>
    <x v="0"/>
    <s v="USA"/>
    <n v="50000000"/>
    <x v="2"/>
    <x v="5"/>
    <s v="Drama"/>
    <s v="Mystery"/>
    <s v="Thriller"/>
    <m/>
    <m/>
    <m/>
    <m/>
  </r>
  <r>
    <x v="360"/>
    <x v="1"/>
    <n v="54967359"/>
    <x v="568"/>
    <x v="0"/>
    <s v="USA"/>
    <n v="40000000"/>
    <x v="34"/>
    <x v="4"/>
    <s v="Horror"/>
    <m/>
    <m/>
    <m/>
    <m/>
    <m/>
    <m/>
  </r>
  <r>
    <x v="361"/>
    <x v="55"/>
    <n v="54910560"/>
    <x v="569"/>
    <x v="0"/>
    <s v="USA"/>
    <n v="60000000"/>
    <x v="2"/>
    <x v="4"/>
    <s v="Adventure"/>
    <s v="Crime"/>
    <s v="Thriller"/>
    <m/>
    <m/>
    <m/>
    <m/>
  </r>
  <r>
    <x v="206"/>
    <x v="55"/>
    <n v="54800000"/>
    <x v="570"/>
    <x v="0"/>
    <s v="USA"/>
    <n v="6000000"/>
    <x v="22"/>
    <x v="3"/>
    <m/>
    <m/>
    <m/>
    <m/>
    <m/>
    <m/>
    <m/>
  </r>
  <r>
    <x v="362"/>
    <x v="18"/>
    <n v="54758461"/>
    <x v="571"/>
    <x v="0"/>
    <s v="USA"/>
    <n v="65000000"/>
    <x v="2"/>
    <x v="4"/>
    <s v="Comedy"/>
    <s v="Romance"/>
    <m/>
    <m/>
    <m/>
    <m/>
    <m/>
  </r>
  <r>
    <x v="363"/>
    <x v="31"/>
    <n v="54724272"/>
    <x v="572"/>
    <x v="0"/>
    <s v="USA"/>
    <n v="12000000"/>
    <x v="15"/>
    <x v="0"/>
    <s v="Crime"/>
    <m/>
    <m/>
    <m/>
    <m/>
    <m/>
    <m/>
  </r>
  <r>
    <x v="364"/>
    <x v="31"/>
    <n v="54696902"/>
    <x v="573"/>
    <x v="0"/>
    <s v="USA"/>
    <n v="32000000"/>
    <x v="31"/>
    <x v="12"/>
    <s v="Sci-Fi"/>
    <s v="Thriller"/>
    <m/>
    <m/>
    <m/>
    <m/>
    <m/>
  </r>
  <r>
    <x v="365"/>
    <x v="61"/>
    <n v="54557348"/>
    <x v="574"/>
    <x v="0"/>
    <s v="Germany"/>
    <n v="6500000"/>
    <x v="12"/>
    <x v="5"/>
    <s v="Drama"/>
    <s v="Thriller"/>
    <m/>
    <m/>
    <m/>
    <m/>
    <m/>
  </r>
  <r>
    <x v="11"/>
    <x v="8"/>
    <n v="54540525"/>
    <x v="575"/>
    <x v="0"/>
    <s v="USA"/>
    <n v="56000000"/>
    <x v="21"/>
    <x v="0"/>
    <s v="Romance"/>
    <m/>
    <m/>
    <m/>
    <m/>
    <m/>
    <m/>
  </r>
  <r>
    <x v="366"/>
    <x v="12"/>
    <n v="54414716"/>
    <x v="576"/>
    <x v="0"/>
    <s v="USA"/>
    <n v="42000000"/>
    <x v="2"/>
    <x v="0"/>
    <s v="Crime"/>
    <m/>
    <m/>
    <m/>
    <m/>
    <m/>
    <m/>
  </r>
  <r>
    <x v="367"/>
    <x v="13"/>
    <n v="54322273"/>
    <x v="577"/>
    <x v="0"/>
    <s v="UK"/>
    <n v="17000000"/>
    <x v="16"/>
    <x v="3"/>
    <s v="Fantasy"/>
    <s v="Horror"/>
    <s v="Thriller"/>
    <m/>
    <m/>
    <m/>
    <m/>
  </r>
  <r>
    <x v="97"/>
    <x v="89"/>
    <n v="54257433"/>
    <x v="578"/>
    <x v="0"/>
    <s v="USA"/>
    <n v="17000000"/>
    <x v="9"/>
    <x v="3"/>
    <s v="Horror"/>
    <s v="Thriller"/>
    <m/>
    <m/>
    <m/>
    <m/>
    <m/>
  </r>
  <r>
    <x v="368"/>
    <x v="49"/>
    <n v="54239856"/>
    <x v="579"/>
    <x v="0"/>
    <s v="USA"/>
    <n v="17000000"/>
    <x v="20"/>
    <x v="1"/>
    <m/>
    <m/>
    <m/>
    <m/>
    <m/>
    <m/>
    <m/>
  </r>
  <r>
    <x v="172"/>
    <x v="57"/>
    <n v="54235441"/>
    <x v="580"/>
    <x v="0"/>
    <s v="USA"/>
    <n v="22000000"/>
    <x v="4"/>
    <x v="0"/>
    <s v="Drama"/>
    <m/>
    <m/>
    <m/>
    <m/>
    <m/>
    <m/>
  </r>
  <r>
    <x v="369"/>
    <x v="25"/>
    <n v="54228104"/>
    <x v="581"/>
    <x v="0"/>
    <s v="UK"/>
    <n v="35000000"/>
    <x v="5"/>
    <x v="4"/>
    <s v="Adventure"/>
    <s v="Drama"/>
    <s v="Romance"/>
    <s v="Thriller"/>
    <m/>
    <m/>
    <m/>
  </r>
  <r>
    <x v="129"/>
    <x v="90"/>
    <n v="54222000"/>
    <x v="582"/>
    <x v="0"/>
    <s v="USA"/>
    <n v="69500000"/>
    <x v="17"/>
    <x v="2"/>
    <s v="Drama"/>
    <s v="Sci-Fi"/>
    <s v="Thriller"/>
    <m/>
    <m/>
    <m/>
    <m/>
  </r>
  <r>
    <x v="370"/>
    <x v="7"/>
    <n v="54215416"/>
    <x v="583"/>
    <x v="0"/>
    <s v="USA"/>
    <n v="6500000"/>
    <x v="9"/>
    <x v="6"/>
    <s v="Drama"/>
    <s v="Music"/>
    <m/>
    <m/>
    <m/>
    <m/>
    <m/>
  </r>
  <r>
    <x v="109"/>
    <x v="91"/>
    <n v="54200000"/>
    <x v="584"/>
    <x v="0"/>
    <s v="USA"/>
    <n v="27000000"/>
    <x v="12"/>
    <x v="4"/>
    <s v="Comedy"/>
    <s v="Crime"/>
    <s v="Music"/>
    <m/>
    <m/>
    <m/>
    <m/>
  </r>
  <r>
    <x v="371"/>
    <x v="54"/>
    <n v="54132596"/>
    <x v="585"/>
    <x v="0"/>
    <s v="Hong Kong"/>
    <n v="34000000"/>
    <x v="2"/>
    <x v="4"/>
    <s v="Adventure"/>
    <s v="Animation"/>
    <s v="Comedy"/>
    <s v="Family"/>
    <s v="Fantasy"/>
    <s v="Sci-Fi"/>
    <m/>
  </r>
  <r>
    <x v="14"/>
    <x v="92"/>
    <n v="54116191"/>
    <x v="586"/>
    <x v="0"/>
    <s v="USA"/>
    <n v="44000000"/>
    <x v="12"/>
    <x v="5"/>
    <s v="Drama"/>
    <s v="Mystery"/>
    <s v="Thriller"/>
    <s v="Western"/>
    <m/>
    <m/>
    <m/>
  </r>
  <r>
    <x v="372"/>
    <x v="89"/>
    <n v="54098051"/>
    <x v="587"/>
    <x v="0"/>
    <s v="Germany"/>
    <n v="25000000"/>
    <x v="19"/>
    <x v="1"/>
    <m/>
    <m/>
    <m/>
    <m/>
    <m/>
    <m/>
    <m/>
  </r>
  <r>
    <x v="373"/>
    <x v="2"/>
    <n v="54000000"/>
    <x v="588"/>
    <x v="0"/>
    <s v="USA"/>
    <n v="16000000"/>
    <x v="22"/>
    <x v="3"/>
    <m/>
    <m/>
    <m/>
    <m/>
    <m/>
    <m/>
    <m/>
  </r>
  <r>
    <x v="44"/>
    <x v="18"/>
    <n v="53991137"/>
    <x v="589"/>
    <x v="0"/>
    <s v="USA"/>
    <n v="1500000"/>
    <x v="9"/>
    <x v="8"/>
    <s v="Horror"/>
    <s v="Mystery"/>
    <s v="Thriller"/>
    <m/>
    <m/>
    <m/>
    <m/>
  </r>
  <r>
    <x v="374"/>
    <x v="7"/>
    <n v="53955614"/>
    <x v="590"/>
    <x v="0"/>
    <s v="USA"/>
    <n v="40000000"/>
    <x v="0"/>
    <x v="4"/>
    <s v="Adventure"/>
    <s v="Comedy"/>
    <s v="Family"/>
    <s v="Sci-Fi"/>
    <m/>
    <m/>
    <m/>
  </r>
  <r>
    <x v="34"/>
    <x v="49"/>
    <n v="53884821"/>
    <x v="591"/>
    <x v="0"/>
    <s v="USA"/>
    <n v="5000000"/>
    <x v="28"/>
    <x v="1"/>
    <m/>
    <m/>
    <m/>
    <m/>
    <m/>
    <m/>
    <m/>
  </r>
  <r>
    <x v="222"/>
    <x v="93"/>
    <n v="53868030"/>
    <x v="592"/>
    <x v="0"/>
    <s v="USA"/>
    <n v="17000000"/>
    <x v="14"/>
    <x v="0"/>
    <s v="Crime"/>
    <m/>
    <m/>
    <m/>
    <m/>
    <m/>
    <m/>
  </r>
  <r>
    <x v="375"/>
    <x v="74"/>
    <n v="53854588"/>
    <x v="593"/>
    <x v="0"/>
    <s v="USA"/>
    <n v="45000000"/>
    <x v="2"/>
    <x v="0"/>
    <s v="Drama"/>
    <s v="Romance"/>
    <s v="Sport"/>
    <m/>
    <m/>
    <m/>
    <m/>
  </r>
  <r>
    <x v="135"/>
    <x v="51"/>
    <n v="53846915"/>
    <x v="594"/>
    <x v="0"/>
    <s v="USA"/>
    <n v="50100000"/>
    <x v="24"/>
    <x v="0"/>
    <s v="Crime"/>
    <s v="Drama"/>
    <s v="Romance"/>
    <m/>
    <m/>
    <m/>
    <m/>
  </r>
  <r>
    <x v="238"/>
    <x v="5"/>
    <n v="53789313"/>
    <x v="595"/>
    <x v="0"/>
    <s v="USA"/>
    <n v="60000000"/>
    <x v="2"/>
    <x v="4"/>
    <s v="Mystery"/>
    <s v="Sci-Fi"/>
    <s v="Thriller"/>
    <m/>
    <m/>
    <m/>
    <m/>
  </r>
  <r>
    <x v="376"/>
    <x v="54"/>
    <n v="53715611"/>
    <x v="596"/>
    <x v="0"/>
    <s v="USA"/>
    <n v="63000000"/>
    <x v="21"/>
    <x v="4"/>
    <s v="Adventure"/>
    <s v="Thriller"/>
    <s v="War"/>
    <m/>
    <m/>
    <m/>
    <m/>
  </r>
  <r>
    <x v="377"/>
    <x v="59"/>
    <n v="53680848"/>
    <x v="597"/>
    <x v="0"/>
    <s v="USA"/>
    <n v="30000000"/>
    <x v="6"/>
    <x v="3"/>
    <s v="Romance"/>
    <m/>
    <m/>
    <m/>
    <m/>
    <m/>
    <m/>
  </r>
  <r>
    <x v="378"/>
    <x v="57"/>
    <n v="53574088"/>
    <x v="598"/>
    <x v="0"/>
    <s v="USA"/>
    <n v="55000000"/>
    <x v="22"/>
    <x v="2"/>
    <s v="Crime"/>
    <s v="Drama"/>
    <s v="Western"/>
    <m/>
    <m/>
    <m/>
    <m/>
  </r>
  <r>
    <x v="218"/>
    <x v="94"/>
    <n v="53337608"/>
    <x v="599"/>
    <x v="0"/>
    <s v="USA"/>
    <n v="40000000"/>
    <x v="7"/>
    <x v="7"/>
    <s v="Drama"/>
    <s v="Family"/>
    <s v="Fantasy"/>
    <s v="Musical"/>
    <s v="Romance"/>
    <m/>
    <m/>
  </r>
  <r>
    <x v="372"/>
    <x v="1"/>
    <n v="53302314"/>
    <x v="600"/>
    <x v="0"/>
    <s v="USA"/>
    <n v="23000000"/>
    <x v="15"/>
    <x v="1"/>
    <s v="Thriller"/>
    <m/>
    <m/>
    <m/>
    <m/>
    <m/>
    <m/>
  </r>
  <r>
    <x v="147"/>
    <x v="77"/>
    <n v="53300852"/>
    <x v="601"/>
    <x v="0"/>
    <s v="USA"/>
    <n v="44000000"/>
    <x v="31"/>
    <x v="5"/>
    <s v="Drama"/>
    <s v="Thriller"/>
    <m/>
    <m/>
    <m/>
    <m/>
    <m/>
  </r>
  <r>
    <x v="379"/>
    <x v="39"/>
    <n v="53245055"/>
    <x v="602"/>
    <x v="0"/>
    <s v="USA"/>
    <n v="1000000"/>
    <x v="41"/>
    <x v="1"/>
    <m/>
    <m/>
    <m/>
    <m/>
    <m/>
    <m/>
    <m/>
  </r>
  <r>
    <x v="233"/>
    <x v="12"/>
    <n v="53215979"/>
    <x v="603"/>
    <x v="0"/>
    <s v="USA"/>
    <n v="84000000"/>
    <x v="15"/>
    <x v="4"/>
    <s v="Comedy"/>
    <s v="Crime"/>
    <s v="Thriller"/>
    <m/>
    <m/>
    <m/>
    <m/>
  </r>
  <r>
    <x v="380"/>
    <x v="43"/>
    <n v="53146000"/>
    <x v="604"/>
    <x v="0"/>
    <s v="USA"/>
    <n v="20000000"/>
    <x v="0"/>
    <x v="5"/>
    <s v="Drama"/>
    <s v="Thriller"/>
    <m/>
    <m/>
    <m/>
    <m/>
    <m/>
  </r>
  <r>
    <x v="158"/>
    <x v="18"/>
    <n v="53133888"/>
    <x v="605"/>
    <x v="0"/>
    <s v="USA"/>
    <n v="31000000"/>
    <x v="2"/>
    <x v="0"/>
    <s v="Fantasy"/>
    <s v="Horror"/>
    <s v="Thriller"/>
    <m/>
    <m/>
    <m/>
    <m/>
  </r>
  <r>
    <x v="256"/>
    <x v="19"/>
    <n v="53082743"/>
    <x v="606"/>
    <x v="0"/>
    <s v="USA"/>
    <n v="40000000"/>
    <x v="42"/>
    <x v="3"/>
    <s v="Mystery"/>
    <s v="Sci-Fi"/>
    <s v="Thriller"/>
    <m/>
    <m/>
    <m/>
    <m/>
  </r>
  <r>
    <x v="151"/>
    <x v="51"/>
    <n v="53021560"/>
    <x v="607"/>
    <x v="0"/>
    <s v="USA"/>
    <n v="30000000"/>
    <x v="20"/>
    <x v="0"/>
    <s v="Drama"/>
    <s v="Romance"/>
    <m/>
    <m/>
    <m/>
    <m/>
    <m/>
  </r>
  <r>
    <x v="381"/>
    <x v="55"/>
    <n v="52937130"/>
    <x v="608"/>
    <x v="0"/>
    <s v="USA"/>
    <n v="30000000"/>
    <x v="17"/>
    <x v="6"/>
    <s v="Crime"/>
    <s v="Drama"/>
    <m/>
    <m/>
    <m/>
    <m/>
    <m/>
  </r>
  <r>
    <x v="332"/>
    <x v="35"/>
    <n v="52929168"/>
    <x v="609"/>
    <x v="0"/>
    <s v="USA"/>
    <n v="11000000"/>
    <x v="31"/>
    <x v="0"/>
    <s v="Crime"/>
    <m/>
    <m/>
    <m/>
    <m/>
    <m/>
    <m/>
  </r>
  <r>
    <x v="299"/>
    <x v="40"/>
    <n v="52885587"/>
    <x v="610"/>
    <x v="0"/>
    <s v="USA"/>
    <n v="16000000"/>
    <x v="16"/>
    <x v="0"/>
    <s v="Drama"/>
    <s v="Romance"/>
    <s v="Sport"/>
    <m/>
    <m/>
    <m/>
    <m/>
  </r>
  <r>
    <x v="271"/>
    <x v="83"/>
    <n v="52822418"/>
    <x v="611"/>
    <x v="0"/>
    <s v="USA"/>
    <n v="50000000"/>
    <x v="7"/>
    <x v="4"/>
    <s v="Drama"/>
    <s v="Thriller"/>
    <s v="War"/>
    <m/>
    <m/>
    <m/>
    <m/>
  </r>
  <r>
    <x v="382"/>
    <x v="25"/>
    <n v="52799004"/>
    <x v="612"/>
    <x v="0"/>
    <s v="USA"/>
    <n v="55000000"/>
    <x v="0"/>
    <x v="3"/>
    <s v="Romance"/>
    <m/>
    <m/>
    <m/>
    <m/>
    <m/>
    <m/>
  </r>
  <r>
    <x v="79"/>
    <x v="55"/>
    <n v="52752475"/>
    <x v="613"/>
    <x v="0"/>
    <s v="USA"/>
    <n v="50000000"/>
    <x v="15"/>
    <x v="3"/>
    <s v="Thriller"/>
    <m/>
    <m/>
    <m/>
    <m/>
    <m/>
    <m/>
  </r>
  <r>
    <x v="282"/>
    <x v="24"/>
    <n v="52700832"/>
    <x v="614"/>
    <x v="0"/>
    <s v="UK"/>
    <n v="4500000"/>
    <x v="6"/>
    <x v="0"/>
    <s v="Drama"/>
    <s v="Romance"/>
    <m/>
    <m/>
    <m/>
    <m/>
    <m/>
  </r>
  <r>
    <x v="383"/>
    <x v="4"/>
    <n v="52691009"/>
    <x v="615"/>
    <x v="0"/>
    <s v="USA"/>
    <n v="21000000"/>
    <x v="24"/>
    <x v="0"/>
    <s v="Family"/>
    <m/>
    <m/>
    <m/>
    <m/>
    <m/>
    <m/>
  </r>
  <r>
    <x v="31"/>
    <x v="13"/>
    <n v="52580895"/>
    <x v="616"/>
    <x v="0"/>
    <s v="USA"/>
    <n v="45000000"/>
    <x v="37"/>
    <x v="0"/>
    <s v="Family"/>
    <s v="Romance"/>
    <s v="Sport"/>
    <m/>
    <m/>
    <m/>
    <m/>
  </r>
  <r>
    <x v="384"/>
    <x v="3"/>
    <n v="52543632"/>
    <x v="617"/>
    <x v="0"/>
    <s v="USA"/>
    <n v="13200000"/>
    <x v="37"/>
    <x v="5"/>
    <s v="Thriller"/>
    <m/>
    <m/>
    <m/>
    <m/>
    <m/>
    <m/>
  </r>
  <r>
    <x v="107"/>
    <x v="41"/>
    <n v="52528330"/>
    <x v="618"/>
    <x v="0"/>
    <s v="USA"/>
    <n v="25000000"/>
    <x v="47"/>
    <x v="0"/>
    <s v="Drama"/>
    <m/>
    <m/>
    <m/>
    <m/>
    <m/>
    <m/>
  </r>
  <r>
    <x v="205"/>
    <x v="52"/>
    <n v="52474616"/>
    <x v="619"/>
    <x v="0"/>
    <s v="USA"/>
    <n v="70000000"/>
    <x v="2"/>
    <x v="3"/>
    <m/>
    <m/>
    <m/>
    <m/>
    <m/>
    <m/>
    <m/>
  </r>
  <r>
    <x v="51"/>
    <x v="55"/>
    <n v="52418902"/>
    <x v="620"/>
    <x v="0"/>
    <s v="USA"/>
    <n v="30000000"/>
    <x v="31"/>
    <x v="3"/>
    <s v="Sport"/>
    <m/>
    <m/>
    <m/>
    <m/>
    <m/>
    <m/>
  </r>
  <r>
    <x v="385"/>
    <x v="57"/>
    <n v="52397389"/>
    <x v="621"/>
    <x v="0"/>
    <s v="USA"/>
    <n v="65000000"/>
    <x v="1"/>
    <x v="4"/>
    <s v="Adventure"/>
    <s v="Fantasy"/>
    <s v="Horror"/>
    <s v="Sci-Fi"/>
    <s v="Thriller"/>
    <m/>
    <m/>
  </r>
  <r>
    <x v="316"/>
    <x v="28"/>
    <n v="52353636"/>
    <x v="622"/>
    <x v="0"/>
    <s v="USA"/>
    <n v="21000000"/>
    <x v="17"/>
    <x v="0"/>
    <s v="Drama"/>
    <m/>
    <m/>
    <m/>
    <m/>
    <m/>
    <m/>
  </r>
  <r>
    <x v="386"/>
    <x v="4"/>
    <n v="52320979"/>
    <x v="623"/>
    <x v="0"/>
    <s v="USA"/>
    <n v="40000000"/>
    <x v="9"/>
    <x v="3"/>
    <s v="Fantasy"/>
    <s v="Romance"/>
    <m/>
    <m/>
    <m/>
    <m/>
    <m/>
  </r>
  <r>
    <x v="180"/>
    <x v="5"/>
    <n v="52293982"/>
    <x v="624"/>
    <x v="0"/>
    <s v="USA"/>
    <n v="13800000"/>
    <x v="14"/>
    <x v="3"/>
    <s v="Sport"/>
    <m/>
    <m/>
    <m/>
    <m/>
    <m/>
    <m/>
  </r>
  <r>
    <x v="87"/>
    <x v="56"/>
    <n v="52287414"/>
    <x v="625"/>
    <x v="0"/>
    <s v="USA"/>
    <n v="8000000"/>
    <x v="23"/>
    <x v="2"/>
    <s v="Drama"/>
    <m/>
    <m/>
    <m/>
    <m/>
    <m/>
    <m/>
  </r>
  <r>
    <x v="387"/>
    <x v="17"/>
    <n v="52277485"/>
    <x v="626"/>
    <x v="0"/>
    <s v="USA"/>
    <n v="35000000"/>
    <x v="26"/>
    <x v="6"/>
    <s v="Drama"/>
    <s v="Sport"/>
    <m/>
    <m/>
    <m/>
    <m/>
    <m/>
  </r>
  <r>
    <x v="388"/>
    <x v="0"/>
    <n v="52200504"/>
    <x v="627"/>
    <x v="0"/>
    <s v="Canada"/>
    <n v="10000000"/>
    <x v="0"/>
    <x v="8"/>
    <s v="Horror"/>
    <s v="Thriller"/>
    <m/>
    <m/>
    <m/>
    <m/>
    <m/>
  </r>
  <r>
    <x v="389"/>
    <x v="15"/>
    <n v="52066000"/>
    <x v="628"/>
    <x v="0"/>
    <s v="UK"/>
    <n v="20000000"/>
    <x v="31"/>
    <x v="6"/>
    <s v="Drama"/>
    <s v="History"/>
    <m/>
    <m/>
    <m/>
    <m/>
    <m/>
  </r>
  <r>
    <x v="390"/>
    <x v="81"/>
    <n v="52008288"/>
    <x v="629"/>
    <x v="0"/>
    <s v="USA"/>
    <n v="21000000"/>
    <x v="22"/>
    <x v="7"/>
    <s v="Comedy"/>
    <s v="Fantasy"/>
    <s v="Musical"/>
    <m/>
    <m/>
    <m/>
    <m/>
  </r>
  <r>
    <x v="391"/>
    <x v="34"/>
    <n v="52000688"/>
    <x v="630"/>
    <x v="0"/>
    <s v="USA"/>
    <n v="40000000"/>
    <x v="16"/>
    <x v="4"/>
    <s v="Adventure"/>
    <s v="Sci-Fi"/>
    <s v="Thriller"/>
    <m/>
    <m/>
    <m/>
    <m/>
  </r>
  <r>
    <x v="392"/>
    <x v="20"/>
    <n v="51872378"/>
    <x v="631"/>
    <x v="0"/>
    <s v="USA"/>
    <n v="13000000"/>
    <x v="15"/>
    <x v="5"/>
    <s v="Thriller"/>
    <m/>
    <m/>
    <m/>
    <m/>
    <m/>
    <m/>
  </r>
  <r>
    <x v="393"/>
    <x v="51"/>
    <n v="51853450"/>
    <x v="632"/>
    <x v="0"/>
    <s v="USA"/>
    <n v="25000000"/>
    <x v="24"/>
    <x v="0"/>
    <s v="Drama"/>
    <s v="Family"/>
    <s v="Fantasy"/>
    <m/>
    <m/>
    <m/>
    <m/>
  </r>
  <r>
    <x v="2"/>
    <x v="84"/>
    <n v="51814190"/>
    <x v="633"/>
    <x v="0"/>
    <s v="USA"/>
    <n v="75000000"/>
    <x v="16"/>
    <x v="0"/>
    <s v="Drama"/>
    <m/>
    <m/>
    <m/>
    <m/>
    <m/>
    <m/>
  </r>
  <r>
    <x v="394"/>
    <x v="49"/>
    <n v="51774002"/>
    <x v="634"/>
    <x v="0"/>
    <s v="USA"/>
    <n v="57000000"/>
    <x v="49"/>
    <x v="4"/>
    <s v="Fantasy"/>
    <s v="Thriller"/>
    <m/>
    <m/>
    <m/>
    <m/>
    <m/>
  </r>
  <r>
    <x v="395"/>
    <x v="52"/>
    <n v="51768623"/>
    <x v="635"/>
    <x v="0"/>
    <s v="USA"/>
    <n v="43000000"/>
    <x v="4"/>
    <x v="3"/>
    <m/>
    <m/>
    <m/>
    <m/>
    <m/>
    <m/>
    <m/>
  </r>
  <r>
    <x v="351"/>
    <x v="43"/>
    <n v="51758599"/>
    <x v="636"/>
    <x v="0"/>
    <s v="USA"/>
    <n v="33000000"/>
    <x v="3"/>
    <x v="4"/>
    <s v="Comedy"/>
    <s v="Crime"/>
    <s v="Drama"/>
    <s v="Thriller"/>
    <m/>
    <m/>
    <m/>
  </r>
  <r>
    <x v="107"/>
    <x v="8"/>
    <n v="51697449"/>
    <x v="637"/>
    <x v="0"/>
    <s v="USA"/>
    <n v="13000000"/>
    <x v="30"/>
    <x v="0"/>
    <s v="Drama"/>
    <m/>
    <m/>
    <m/>
    <m/>
    <m/>
    <m/>
  </r>
  <r>
    <x v="396"/>
    <x v="43"/>
    <n v="51676606"/>
    <x v="638"/>
    <x v="0"/>
    <s v="USA"/>
    <n v="25000000"/>
    <x v="22"/>
    <x v="6"/>
    <s v="Drama"/>
    <s v="Family"/>
    <m/>
    <m/>
    <m/>
    <m/>
    <m/>
  </r>
  <r>
    <x v="397"/>
    <x v="95"/>
    <n v="51600000"/>
    <x v="639"/>
    <x v="0"/>
    <s v="USA"/>
    <n v="18000000"/>
    <x v="25"/>
    <x v="6"/>
    <s v="Drama"/>
    <s v="History"/>
    <s v="Music"/>
    <m/>
    <m/>
    <m/>
    <m/>
  </r>
  <r>
    <x v="398"/>
    <x v="24"/>
    <n v="51533608"/>
    <x v="640"/>
    <x v="0"/>
    <s v="USA"/>
    <n v="25000000"/>
    <x v="9"/>
    <x v="4"/>
    <s v="Adventure"/>
    <s v="Drama"/>
    <s v="Thriller"/>
    <m/>
    <m/>
    <m/>
    <m/>
  </r>
  <r>
    <x v="399"/>
    <x v="43"/>
    <n v="51527787"/>
    <x v="641"/>
    <x v="0"/>
    <s v="USA"/>
    <n v="15000000"/>
    <x v="3"/>
    <x v="1"/>
    <s v="Thriller"/>
    <m/>
    <m/>
    <m/>
    <m/>
    <m/>
    <m/>
  </r>
  <r>
    <x v="296"/>
    <x v="6"/>
    <n v="51483949"/>
    <x v="642"/>
    <x v="0"/>
    <s v="UK"/>
    <n v="22000000"/>
    <x v="14"/>
    <x v="4"/>
    <s v="Fantasy"/>
    <s v="Thriller"/>
    <m/>
    <m/>
    <m/>
    <m/>
    <m/>
  </r>
  <r>
    <x v="378"/>
    <x v="50"/>
    <n v="51475962"/>
    <x v="643"/>
    <x v="0"/>
    <s v="USA"/>
    <n v="30000000"/>
    <x v="4"/>
    <x v="12"/>
    <s v="Thriller"/>
    <m/>
    <m/>
    <m/>
    <m/>
    <m/>
    <m/>
  </r>
  <r>
    <x v="400"/>
    <x v="4"/>
    <n v="51432423"/>
    <x v="644"/>
    <x v="0"/>
    <s v="USA"/>
    <n v="30000000"/>
    <x v="33"/>
    <x v="0"/>
    <s v="Family"/>
    <s v="Fantasy"/>
    <s v="Sport"/>
    <m/>
    <m/>
    <m/>
    <m/>
  </r>
  <r>
    <x v="401"/>
    <x v="13"/>
    <n v="51431160"/>
    <x v="645"/>
    <x v="0"/>
    <s v="USA"/>
    <n v="20000000"/>
    <x v="1"/>
    <x v="0"/>
    <s v="Family"/>
    <s v="Romance"/>
    <m/>
    <m/>
    <m/>
    <m/>
    <m/>
  </r>
  <r>
    <x v="402"/>
    <x v="25"/>
    <n v="51396781"/>
    <x v="646"/>
    <x v="0"/>
    <s v="USA"/>
    <n v="68000000"/>
    <x v="17"/>
    <x v="3"/>
    <s v="History"/>
    <s v="War"/>
    <m/>
    <m/>
    <m/>
    <m/>
    <m/>
  </r>
  <r>
    <x v="403"/>
    <x v="18"/>
    <n v="51317350"/>
    <x v="647"/>
    <x v="0"/>
    <s v="USA"/>
    <n v="57000000"/>
    <x v="16"/>
    <x v="4"/>
    <s v="Adventure"/>
    <s v="Fantasy"/>
    <m/>
    <m/>
    <m/>
    <m/>
    <m/>
  </r>
  <r>
    <x v="9"/>
    <x v="66"/>
    <n v="51225796"/>
    <x v="648"/>
    <x v="0"/>
    <s v="UK"/>
    <n v="70000000"/>
    <x v="7"/>
    <x v="3"/>
    <s v="Musical"/>
    <s v="Romance"/>
    <s v="Thriller"/>
    <m/>
    <m/>
    <m/>
    <m/>
  </r>
  <r>
    <x v="252"/>
    <x v="19"/>
    <n v="51185897"/>
    <x v="649"/>
    <x v="0"/>
    <s v="UK"/>
    <n v="30000000"/>
    <x v="15"/>
    <x v="4"/>
    <s v="Adventure"/>
    <s v="Thriller"/>
    <m/>
    <m/>
    <m/>
    <m/>
    <m/>
  </r>
  <r>
    <x v="116"/>
    <x v="5"/>
    <n v="51178893"/>
    <x v="650"/>
    <x v="0"/>
    <s v="USA"/>
    <n v="50000000"/>
    <x v="16"/>
    <x v="2"/>
    <s v="Comedy"/>
    <s v="Crime"/>
    <s v="Family"/>
    <s v="Musical"/>
    <m/>
    <m/>
    <m/>
  </r>
  <r>
    <x v="404"/>
    <x v="39"/>
    <n v="51109400"/>
    <x v="651"/>
    <x v="0"/>
    <s v="USA"/>
    <n v="30000000"/>
    <x v="16"/>
    <x v="0"/>
    <s v="Crime"/>
    <m/>
    <m/>
    <m/>
    <m/>
    <m/>
    <m/>
  </r>
  <r>
    <x v="405"/>
    <x v="28"/>
    <n v="51100000"/>
    <x v="652"/>
    <x v="0"/>
    <s v="UK"/>
    <n v="3000000"/>
    <x v="22"/>
    <x v="4"/>
    <s v="Adventure"/>
    <s v="Thriller"/>
    <m/>
    <m/>
    <m/>
    <m/>
    <m/>
  </r>
  <r>
    <x v="406"/>
    <x v="43"/>
    <n v="51097664"/>
    <x v="653"/>
    <x v="0"/>
    <s v="USA"/>
    <n v="30000000"/>
    <x v="1"/>
    <x v="3"/>
    <s v="Horror"/>
    <s v="Mystery"/>
    <s v="Thriller"/>
    <m/>
    <m/>
    <m/>
    <m/>
  </r>
  <r>
    <x v="407"/>
    <x v="42"/>
    <n v="51053787"/>
    <x v="654"/>
    <x v="0"/>
    <s v="USA"/>
    <n v="17500000"/>
    <x v="20"/>
    <x v="4"/>
    <s v="Animation"/>
    <s v="Comedy"/>
    <s v="Crime"/>
    <s v="Family"/>
    <m/>
    <m/>
    <m/>
  </r>
  <r>
    <x v="408"/>
    <x v="55"/>
    <n v="51045801"/>
    <x v="655"/>
    <x v="0"/>
    <s v="USA"/>
    <n v="60000000"/>
    <x v="0"/>
    <x v="3"/>
    <s v="Romance"/>
    <m/>
    <m/>
    <m/>
    <m/>
    <m/>
    <m/>
  </r>
  <r>
    <x v="409"/>
    <x v="17"/>
    <n v="51019112"/>
    <x v="656"/>
    <x v="0"/>
    <s v="USA"/>
    <n v="50000000"/>
    <x v="9"/>
    <x v="2"/>
    <s v="Comedy"/>
    <s v="Sci-Fi"/>
    <m/>
    <m/>
    <m/>
    <m/>
    <m/>
  </r>
  <r>
    <x v="410"/>
    <x v="21"/>
    <n v="50921738"/>
    <x v="657"/>
    <x v="0"/>
    <s v="UK"/>
    <n v="30000000"/>
    <x v="22"/>
    <x v="3"/>
    <s v="Mystery"/>
    <s v="Romance"/>
    <s v="War"/>
    <m/>
    <m/>
    <m/>
    <m/>
  </r>
  <r>
    <x v="202"/>
    <x v="29"/>
    <n v="50859889"/>
    <x v="658"/>
    <x v="3"/>
    <s v="USA"/>
    <n v="40000000"/>
    <x v="22"/>
    <x v="4"/>
    <s v="Adventure"/>
    <s v="Drama"/>
    <s v="Thriller"/>
    <m/>
    <m/>
    <m/>
    <m/>
  </r>
  <r>
    <x v="411"/>
    <x v="56"/>
    <n v="50820940"/>
    <x v="659"/>
    <x v="0"/>
    <s v="USA"/>
    <n v="5000000"/>
    <x v="45"/>
    <x v="8"/>
    <s v="Horror"/>
    <m/>
    <m/>
    <m/>
    <m/>
    <m/>
    <m/>
  </r>
  <r>
    <x v="412"/>
    <x v="31"/>
    <n v="50818750"/>
    <x v="660"/>
    <x v="0"/>
    <s v="UK"/>
    <n v="60000000"/>
    <x v="0"/>
    <x v="2"/>
    <s v="Animation"/>
    <s v="Comedy"/>
    <s v="Family"/>
    <s v="Fantasy"/>
    <m/>
    <m/>
    <m/>
  </r>
  <r>
    <x v="413"/>
    <x v="15"/>
    <n v="50815288"/>
    <x v="661"/>
    <x v="0"/>
    <s v="USA"/>
    <n v="50000000"/>
    <x v="14"/>
    <x v="3"/>
    <s v="Thriller"/>
    <m/>
    <m/>
    <m/>
    <m/>
    <m/>
    <m/>
  </r>
  <r>
    <x v="413"/>
    <x v="15"/>
    <n v="50815288"/>
    <x v="661"/>
    <x v="0"/>
    <s v="USA"/>
    <n v="50000000"/>
    <x v="14"/>
    <x v="3"/>
    <s v="Thriller"/>
    <m/>
    <m/>
    <m/>
    <m/>
    <m/>
    <m/>
  </r>
  <r>
    <x v="414"/>
    <x v="49"/>
    <n v="50807639"/>
    <x v="662"/>
    <x v="0"/>
    <s v="USA"/>
    <n v="60000000"/>
    <x v="9"/>
    <x v="2"/>
    <s v="Animation"/>
    <s v="Comedy"/>
    <s v="Family"/>
    <s v="Fantasy"/>
    <m/>
    <m/>
    <m/>
  </r>
  <r>
    <x v="415"/>
    <x v="96"/>
    <n v="50800000"/>
    <x v="663"/>
    <x v="0"/>
    <s v="USA"/>
    <n v="26000000"/>
    <x v="7"/>
    <x v="3"/>
    <s v="History"/>
    <s v="War"/>
    <m/>
    <m/>
    <m/>
    <m/>
    <m/>
  </r>
  <r>
    <x v="149"/>
    <x v="41"/>
    <n v="50752337"/>
    <x v="664"/>
    <x v="0"/>
    <s v="USA"/>
    <n v="10000000"/>
    <x v="16"/>
    <x v="0"/>
    <s v="Drama"/>
    <s v="Family"/>
    <s v="Sport"/>
    <m/>
    <m/>
    <m/>
    <m/>
  </r>
  <r>
    <x v="416"/>
    <x v="1"/>
    <n v="50740078"/>
    <x v="665"/>
    <x v="0"/>
    <s v="Germany"/>
    <n v="45000000"/>
    <x v="8"/>
    <x v="4"/>
    <s v="Horror"/>
    <s v="Sci-Fi"/>
    <s v="Thriller"/>
    <m/>
    <m/>
    <m/>
    <m/>
  </r>
  <r>
    <x v="417"/>
    <x v="58"/>
    <n v="50728000"/>
    <x v="666"/>
    <x v="0"/>
    <s v="USA"/>
    <n v="22000000"/>
    <x v="19"/>
    <x v="4"/>
    <s v="Crime"/>
    <s v="Drama"/>
    <s v="Mystery"/>
    <s v="Thriller"/>
    <m/>
    <m/>
    <m/>
  </r>
  <r>
    <x v="174"/>
    <x v="1"/>
    <n v="50693162"/>
    <x v="667"/>
    <x v="0"/>
    <s v="USA"/>
    <n v="23000000"/>
    <x v="17"/>
    <x v="4"/>
    <s v="Drama"/>
    <s v="Fantasy"/>
    <m/>
    <m/>
    <m/>
    <m/>
    <m/>
  </r>
  <r>
    <x v="418"/>
    <x v="70"/>
    <n v="50668906"/>
    <x v="668"/>
    <x v="0"/>
    <s v="USA"/>
    <n v="38000000"/>
    <x v="17"/>
    <x v="6"/>
    <s v="Drama"/>
    <s v="Sport"/>
    <m/>
    <m/>
    <m/>
    <m/>
    <m/>
  </r>
  <r>
    <x v="419"/>
    <x v="20"/>
    <n v="50648679"/>
    <x v="669"/>
    <x v="0"/>
    <s v="France"/>
    <n v="45000000"/>
    <x v="2"/>
    <x v="4"/>
    <s v="Horror"/>
    <s v="Sci-Fi"/>
    <s v="Thriller"/>
    <m/>
    <m/>
    <m/>
    <m/>
  </r>
  <r>
    <x v="420"/>
    <x v="58"/>
    <n v="50628009"/>
    <x v="670"/>
    <x v="0"/>
    <s v="USA"/>
    <n v="90000000"/>
    <x v="37"/>
    <x v="4"/>
    <s v="Adventure"/>
    <s v="Family"/>
    <s v="Fantasy"/>
    <s v="Thriller"/>
    <m/>
    <m/>
    <m/>
  </r>
  <r>
    <x v="89"/>
    <x v="13"/>
    <n v="50562555"/>
    <x v="671"/>
    <x v="0"/>
    <s v="USA"/>
    <n v="39751583.5"/>
    <x v="20"/>
    <x v="0"/>
    <s v="Music"/>
    <s v="Romance"/>
    <m/>
    <m/>
    <m/>
    <m/>
    <m/>
  </r>
  <r>
    <x v="421"/>
    <x v="51"/>
    <n v="50549107"/>
    <x v="672"/>
    <x v="0"/>
    <s v="USA"/>
    <n v="60000000"/>
    <x v="8"/>
    <x v="4"/>
    <s v="Drama"/>
    <s v="Thriller"/>
    <m/>
    <m/>
    <m/>
    <m/>
    <m/>
  </r>
  <r>
    <x v="422"/>
    <x v="34"/>
    <n v="50461335"/>
    <x v="673"/>
    <x v="0"/>
    <s v="USA"/>
    <n v="11000000"/>
    <x v="9"/>
    <x v="3"/>
    <s v="Fantasy"/>
    <s v="Music"/>
    <s v="Romance"/>
    <m/>
    <m/>
    <m/>
    <m/>
  </r>
  <r>
    <x v="423"/>
    <x v="12"/>
    <n v="50382128"/>
    <x v="674"/>
    <x v="0"/>
    <s v="USA"/>
    <n v="5500000"/>
    <x v="37"/>
    <x v="0"/>
    <s v="Drama"/>
    <s v="Romance"/>
    <m/>
    <m/>
    <m/>
    <m/>
    <m/>
  </r>
  <r>
    <x v="252"/>
    <x v="25"/>
    <n v="50300000"/>
    <x v="675"/>
    <x v="0"/>
    <s v="UK"/>
    <n v="30000000"/>
    <x v="2"/>
    <x v="4"/>
    <s v="Adventure"/>
    <s v="Thriller"/>
    <m/>
    <m/>
    <m/>
    <m/>
    <m/>
  </r>
  <r>
    <x v="424"/>
    <x v="43"/>
    <n v="50213619"/>
    <x v="676"/>
    <x v="0"/>
    <s v="USA"/>
    <n v="36000000"/>
    <x v="16"/>
    <x v="0"/>
    <s v="Sci-Fi"/>
    <m/>
    <m/>
    <m/>
    <m/>
    <m/>
    <m/>
  </r>
  <r>
    <x v="425"/>
    <x v="1"/>
    <n v="50189179"/>
    <x v="677"/>
    <x v="0"/>
    <s v="USA"/>
    <n v="60000000"/>
    <x v="48"/>
    <x v="4"/>
    <s v="Comedy"/>
    <s v="Sci-Fi"/>
    <m/>
    <m/>
    <m/>
    <m/>
    <m/>
  </r>
  <r>
    <x v="426"/>
    <x v="35"/>
    <n v="50173190"/>
    <x v="678"/>
    <x v="0"/>
    <s v="USA"/>
    <n v="48000000"/>
    <x v="7"/>
    <x v="3"/>
    <s v="Mystery"/>
    <s v="Sci-Fi"/>
    <m/>
    <m/>
    <m/>
    <m/>
    <m/>
  </r>
  <r>
    <x v="427"/>
    <x v="13"/>
    <n v="50150619"/>
    <x v="679"/>
    <x v="0"/>
    <s v="USA"/>
    <n v="50000000"/>
    <x v="4"/>
    <x v="2"/>
    <s v="Animation"/>
    <s v="Comedy"/>
    <s v="Family"/>
    <s v="Fantasy"/>
    <s v="Romance"/>
    <m/>
    <m/>
  </r>
  <r>
    <x v="188"/>
    <x v="31"/>
    <n v="50129186"/>
    <x v="680"/>
    <x v="0"/>
    <s v="USA"/>
    <n v="36000000"/>
    <x v="26"/>
    <x v="4"/>
    <s v="Crime"/>
    <s v="Drama"/>
    <s v="Mystery"/>
    <s v="Thriller"/>
    <m/>
    <m/>
    <m/>
  </r>
  <r>
    <x v="428"/>
    <x v="18"/>
    <n v="50041732"/>
    <x v="681"/>
    <x v="0"/>
    <s v="USA"/>
    <n v="29000000"/>
    <x v="8"/>
    <x v="1"/>
    <m/>
    <m/>
    <m/>
    <m/>
    <m/>
    <m/>
    <m/>
  </r>
  <r>
    <x v="429"/>
    <x v="22"/>
    <n v="50024083"/>
    <x v="682"/>
    <x v="0"/>
    <s v="USA"/>
    <n v="60000000"/>
    <x v="18"/>
    <x v="4"/>
    <s v="Thriller"/>
    <m/>
    <m/>
    <m/>
    <m/>
    <m/>
    <m/>
  </r>
  <r>
    <x v="66"/>
    <x v="19"/>
    <n v="50016394"/>
    <x v="683"/>
    <x v="0"/>
    <s v="USA"/>
    <n v="70000000"/>
    <x v="8"/>
    <x v="4"/>
    <s v="Adventure"/>
    <s v="Comedy"/>
    <s v="Fantasy"/>
    <m/>
    <m/>
    <m/>
    <m/>
  </r>
  <r>
    <x v="54"/>
    <x v="64"/>
    <n v="50007168"/>
    <x v="684"/>
    <x v="0"/>
    <s v="USA"/>
    <n v="50000000"/>
    <x v="15"/>
    <x v="4"/>
    <s v="Crime"/>
    <s v="Drama"/>
    <s v="Thriller"/>
    <m/>
    <m/>
    <m/>
    <s v="Romance"/>
  </r>
  <r>
    <x v="430"/>
    <x v="61"/>
    <n v="50003300"/>
    <x v="685"/>
    <x v="0"/>
    <s v="USA"/>
    <n v="15000000"/>
    <x v="4"/>
    <x v="3"/>
    <s v="Family"/>
    <s v="Romance"/>
    <m/>
    <m/>
    <m/>
    <m/>
    <m/>
  </r>
  <r>
    <x v="418"/>
    <x v="97"/>
    <n v="50000000"/>
    <x v="686"/>
    <x v="0"/>
    <s v="USA"/>
    <n v="9000000"/>
    <x v="13"/>
    <x v="3"/>
    <s v="Family"/>
    <s v="Musical"/>
    <s v="Romance"/>
    <m/>
    <m/>
    <m/>
    <m/>
  </r>
  <r>
    <x v="431"/>
    <x v="74"/>
    <n v="49994804"/>
    <x v="687"/>
    <x v="0"/>
    <s v="USA"/>
    <n v="55000000"/>
    <x v="2"/>
    <x v="6"/>
    <s v="Drama"/>
    <s v="History"/>
    <s v="Musical"/>
    <m/>
    <m/>
    <m/>
    <m/>
  </r>
  <r>
    <x v="178"/>
    <x v="68"/>
    <n v="49968653"/>
    <x v="688"/>
    <x v="0"/>
    <s v="USA"/>
    <n v="28000000"/>
    <x v="26"/>
    <x v="0"/>
    <s v="Romance"/>
    <m/>
    <m/>
    <m/>
    <m/>
    <m/>
    <m/>
  </r>
  <r>
    <x v="432"/>
    <x v="65"/>
    <n v="49875589"/>
    <x v="689"/>
    <x v="0"/>
    <s v="USA"/>
    <n v="58000000"/>
    <x v="1"/>
    <x v="4"/>
    <s v="Adventure"/>
    <s v="Drama"/>
    <s v="History"/>
    <s v="War"/>
    <m/>
    <m/>
    <m/>
  </r>
  <r>
    <x v="271"/>
    <x v="2"/>
    <n v="49874933"/>
    <x v="690"/>
    <x v="0"/>
    <s v="USA"/>
    <n v="26000000"/>
    <x v="20"/>
    <x v="0"/>
    <s v="Crime"/>
    <s v="Drama"/>
    <m/>
    <m/>
    <m/>
    <m/>
    <m/>
  </r>
  <r>
    <x v="95"/>
    <x v="12"/>
    <n v="49851591"/>
    <x v="691"/>
    <x v="0"/>
    <s v="USA"/>
    <n v="40000000"/>
    <x v="1"/>
    <x v="0"/>
    <s v="Crime"/>
    <s v="Romance"/>
    <m/>
    <m/>
    <m/>
    <m/>
    <m/>
  </r>
  <r>
    <x v="433"/>
    <x v="34"/>
    <n v="49797148"/>
    <x v="692"/>
    <x v="0"/>
    <s v="USA"/>
    <n v="11000000"/>
    <x v="11"/>
    <x v="0"/>
    <s v="Sport"/>
    <m/>
    <m/>
    <m/>
    <m/>
    <m/>
    <m/>
  </r>
  <r>
    <x v="125"/>
    <x v="60"/>
    <n v="49474048"/>
    <x v="693"/>
    <x v="0"/>
    <s v="USA"/>
    <n v="35000000"/>
    <x v="18"/>
    <x v="0"/>
    <s v="Family"/>
    <m/>
    <m/>
    <m/>
    <m/>
    <m/>
    <m/>
  </r>
  <r>
    <x v="136"/>
    <x v="4"/>
    <n v="49369900"/>
    <x v="694"/>
    <x v="0"/>
    <s v="USA"/>
    <n v="7000000"/>
    <x v="21"/>
    <x v="8"/>
    <s v="Horror"/>
    <s v="Thriller"/>
    <m/>
    <m/>
    <m/>
    <m/>
    <m/>
  </r>
  <r>
    <x v="434"/>
    <x v="30"/>
    <n v="49186871"/>
    <x v="695"/>
    <x v="0"/>
    <s v="USA"/>
    <n v="39751583.5"/>
    <x v="34"/>
    <x v="2"/>
    <s v="Comedy"/>
    <s v="Drama"/>
    <s v="Family"/>
    <s v="Sport"/>
    <m/>
    <m/>
    <m/>
  </r>
  <r>
    <x v="137"/>
    <x v="17"/>
    <n v="49185998"/>
    <x v="696"/>
    <x v="0"/>
    <s v="USA"/>
    <n v="30000000"/>
    <x v="7"/>
    <x v="3"/>
    <m/>
    <m/>
    <m/>
    <m/>
    <m/>
    <m/>
    <m/>
  </r>
  <r>
    <x v="435"/>
    <x v="22"/>
    <n v="49122319"/>
    <x v="697"/>
    <x v="0"/>
    <s v="USA"/>
    <n v="14000000"/>
    <x v="1"/>
    <x v="1"/>
    <s v="Thriller"/>
    <m/>
    <m/>
    <m/>
    <m/>
    <m/>
    <m/>
  </r>
  <r>
    <x v="436"/>
    <x v="24"/>
    <n v="49121934"/>
    <x v="698"/>
    <x v="0"/>
    <s v="USA"/>
    <n v="13000000"/>
    <x v="0"/>
    <x v="0"/>
    <s v="Drama"/>
    <s v="Romance"/>
    <m/>
    <m/>
    <m/>
    <m/>
    <m/>
  </r>
  <r>
    <x v="437"/>
    <x v="5"/>
    <n v="49024969"/>
    <x v="699"/>
    <x v="0"/>
    <s v="USA"/>
    <n v="25000000"/>
    <x v="4"/>
    <x v="5"/>
    <s v="Drama"/>
    <s v="Mystery"/>
    <s v="Thriller"/>
    <m/>
    <m/>
    <m/>
    <m/>
  </r>
  <r>
    <x v="383"/>
    <x v="20"/>
    <n v="49002815"/>
    <x v="700"/>
    <x v="0"/>
    <s v="USA"/>
    <n v="22000000"/>
    <x v="16"/>
    <x v="0"/>
    <s v="Family"/>
    <m/>
    <m/>
    <m/>
    <m/>
    <m/>
    <m/>
  </r>
  <r>
    <x v="438"/>
    <x v="2"/>
    <n v="48814909"/>
    <x v="701"/>
    <x v="0"/>
    <s v="USA"/>
    <n v="32000000"/>
    <x v="11"/>
    <x v="6"/>
    <s v="Drama"/>
    <m/>
    <m/>
    <m/>
    <m/>
    <m/>
    <m/>
  </r>
  <r>
    <x v="439"/>
    <x v="51"/>
    <n v="48745150"/>
    <x v="702"/>
    <x v="0"/>
    <s v="USA"/>
    <n v="50000000"/>
    <x v="19"/>
    <x v="5"/>
    <s v="Thriller"/>
    <m/>
    <m/>
    <m/>
    <m/>
    <m/>
    <m/>
  </r>
  <r>
    <x v="424"/>
    <x v="41"/>
    <n v="48637684"/>
    <x v="703"/>
    <x v="0"/>
    <s v="USA"/>
    <n v="12500000"/>
    <x v="0"/>
    <x v="0"/>
    <s v="Romance"/>
    <m/>
    <m/>
    <m/>
    <m/>
    <m/>
    <m/>
  </r>
  <r>
    <x v="440"/>
    <x v="63"/>
    <n v="48546578"/>
    <x v="704"/>
    <x v="0"/>
    <s v="USA"/>
    <n v="20000000"/>
    <x v="51"/>
    <x v="0"/>
    <s v="Romance"/>
    <m/>
    <m/>
    <m/>
    <m/>
    <m/>
    <m/>
  </r>
  <r>
    <x v="441"/>
    <x v="61"/>
    <n v="48472213"/>
    <x v="705"/>
    <x v="0"/>
    <s v="USA"/>
    <n v="45000000"/>
    <x v="38"/>
    <x v="4"/>
    <s v="Comedy"/>
    <s v="Crime"/>
    <m/>
    <m/>
    <m/>
    <m/>
    <m/>
  </r>
  <r>
    <x v="246"/>
    <x v="11"/>
    <n v="48430355"/>
    <x v="706"/>
    <x v="0"/>
    <s v="USA"/>
    <n v="70000000"/>
    <x v="48"/>
    <x v="0"/>
    <s v="Drama"/>
    <m/>
    <m/>
    <m/>
    <m/>
    <m/>
    <m/>
  </r>
  <r>
    <x v="442"/>
    <x v="98"/>
    <n v="48423368"/>
    <x v="707"/>
    <x v="0"/>
    <s v="USA"/>
    <n v="20000000"/>
    <x v="19"/>
    <x v="2"/>
    <s v="Animation"/>
    <s v="Family"/>
    <s v="Fantasy"/>
    <m/>
    <m/>
    <m/>
    <m/>
  </r>
  <r>
    <x v="443"/>
    <x v="12"/>
    <n v="48334413"/>
    <x v="708"/>
    <x v="1"/>
    <s v="France"/>
    <n v="78000000"/>
    <x v="33"/>
    <x v="2"/>
    <s v="Comedy"/>
    <s v="Family"/>
    <s v="Fantasy"/>
    <m/>
    <m/>
    <m/>
    <m/>
  </r>
  <r>
    <x v="444"/>
    <x v="5"/>
    <n v="48334413"/>
    <x v="709"/>
    <x v="0"/>
    <s v="China"/>
    <n v="68005000"/>
    <x v="27"/>
    <x v="4"/>
    <s v="Adventure"/>
    <s v="Fantasy"/>
    <m/>
    <m/>
    <m/>
    <m/>
    <m/>
  </r>
  <r>
    <x v="445"/>
    <x v="50"/>
    <n v="48334413"/>
    <x v="710"/>
    <x v="0"/>
    <s v="USA"/>
    <n v="65000000"/>
    <x v="52"/>
    <x v="4"/>
    <s v="Animation"/>
    <s v="Comedy"/>
    <s v="Family"/>
    <s v="Fantasy"/>
    <m/>
    <m/>
    <m/>
  </r>
  <r>
    <x v="446"/>
    <x v="30"/>
    <n v="48334413"/>
    <x v="711"/>
    <x v="0"/>
    <s v="USA"/>
    <n v="65000000"/>
    <x v="4"/>
    <x v="2"/>
    <s v="Family"/>
    <s v="Fantasy"/>
    <m/>
    <m/>
    <m/>
    <m/>
    <m/>
  </r>
  <r>
    <x v="447"/>
    <x v="22"/>
    <n v="48334413"/>
    <x v="712"/>
    <x v="0"/>
    <s v="Norway"/>
    <n v="60000000"/>
    <x v="15"/>
    <x v="2"/>
    <s v="Family"/>
    <m/>
    <m/>
    <m/>
    <m/>
    <m/>
    <m/>
  </r>
  <r>
    <x v="225"/>
    <x v="49"/>
    <n v="48334413"/>
    <x v="713"/>
    <x v="0"/>
    <s v="USA"/>
    <n v="55000000"/>
    <x v="48"/>
    <x v="5"/>
    <s v="Horror"/>
    <s v="Mystery"/>
    <s v="Thriller"/>
    <m/>
    <m/>
    <m/>
    <m/>
  </r>
  <r>
    <x v="283"/>
    <x v="69"/>
    <n v="48334413"/>
    <x v="714"/>
    <x v="0"/>
    <s v="South Korea"/>
    <n v="48000000"/>
    <x v="51"/>
    <x v="3"/>
    <s v="History"/>
    <s v="War"/>
    <m/>
    <m/>
    <m/>
    <m/>
    <m/>
  </r>
  <r>
    <x v="448"/>
    <x v="60"/>
    <n v="48334413"/>
    <x v="715"/>
    <x v="0"/>
    <s v="China"/>
    <n v="40000000"/>
    <x v="16"/>
    <x v="2"/>
    <s v="Animation"/>
    <s v="Family"/>
    <s v="Fantasy"/>
    <m/>
    <m/>
    <m/>
    <m/>
  </r>
  <r>
    <x v="449"/>
    <x v="34"/>
    <n v="48334413"/>
    <x v="716"/>
    <x v="0"/>
    <s v="USA"/>
    <n v="39751583.5"/>
    <x v="6"/>
    <x v="10"/>
    <m/>
    <m/>
    <m/>
    <m/>
    <m/>
    <m/>
    <m/>
  </r>
  <r>
    <x v="450"/>
    <x v="17"/>
    <n v="48334413"/>
    <x v="717"/>
    <x v="0"/>
    <s v="Belgium"/>
    <n v="39751583.5"/>
    <x v="36"/>
    <x v="4"/>
    <s v="Adventure"/>
    <s v="Romance"/>
    <s v="Sci-Fi"/>
    <m/>
    <m/>
    <m/>
    <m/>
  </r>
  <r>
    <x v="451"/>
    <x v="35"/>
    <n v="48334413"/>
    <x v="718"/>
    <x v="4"/>
    <s v="Japan"/>
    <n v="39751583.5"/>
    <x v="40"/>
    <x v="4"/>
    <s v="Adventure"/>
    <s v="Drama"/>
    <s v="Horror"/>
    <s v="Sci-Fi"/>
    <m/>
    <m/>
    <m/>
  </r>
  <r>
    <x v="452"/>
    <x v="34"/>
    <n v="48334413"/>
    <x v="719"/>
    <x v="0"/>
    <s v="UK"/>
    <n v="39751583.5"/>
    <x v="31"/>
    <x v="4"/>
    <s v="Fantasy"/>
    <m/>
    <m/>
    <m/>
    <m/>
    <m/>
    <m/>
  </r>
  <r>
    <x v="452"/>
    <x v="34"/>
    <n v="48334413"/>
    <x v="720"/>
    <x v="0"/>
    <s v="UK"/>
    <n v="39751583.5"/>
    <x v="16"/>
    <x v="8"/>
    <m/>
    <m/>
    <m/>
    <m/>
    <m/>
    <m/>
    <m/>
  </r>
  <r>
    <x v="453"/>
    <x v="99"/>
    <n v="48334413"/>
    <x v="721"/>
    <x v="0"/>
    <s v="USA"/>
    <n v="39751583.5"/>
    <x v="17"/>
    <x v="4"/>
    <s v="Adventure"/>
    <s v="Crime"/>
    <m/>
    <m/>
    <m/>
    <m/>
    <m/>
  </r>
  <r>
    <x v="454"/>
    <x v="100"/>
    <n v="48334413"/>
    <x v="722"/>
    <x v="0"/>
    <s v="USA"/>
    <n v="39751583.5"/>
    <x v="11"/>
    <x v="0"/>
    <m/>
    <m/>
    <m/>
    <m/>
    <m/>
    <m/>
    <m/>
  </r>
  <r>
    <x v="455"/>
    <x v="38"/>
    <n v="48334413"/>
    <x v="723"/>
    <x v="0"/>
    <s v="USA"/>
    <n v="39751583.5"/>
    <x v="0"/>
    <x v="2"/>
    <s v="Drama"/>
    <s v="History"/>
    <m/>
    <m/>
    <m/>
    <m/>
    <m/>
  </r>
  <r>
    <x v="453"/>
    <x v="101"/>
    <n v="48334413"/>
    <x v="724"/>
    <x v="0"/>
    <s v="USA"/>
    <n v="39751583.5"/>
    <x v="29"/>
    <x v="5"/>
    <s v="Drama"/>
    <s v="Horror"/>
    <s v="Mystery"/>
    <s v="Thriller"/>
    <m/>
    <m/>
    <m/>
  </r>
  <r>
    <x v="456"/>
    <x v="21"/>
    <n v="48334413"/>
    <x v="725"/>
    <x v="0"/>
    <s v="USA"/>
    <n v="39751583.5"/>
    <x v="22"/>
    <x v="0"/>
    <s v="Drama"/>
    <s v="Music"/>
    <s v="Musical"/>
    <m/>
    <m/>
    <m/>
    <m/>
  </r>
  <r>
    <x v="453"/>
    <x v="102"/>
    <n v="48334413"/>
    <x v="726"/>
    <x v="0"/>
    <s v="USA"/>
    <n v="39751583.5"/>
    <x v="53"/>
    <x v="4"/>
    <s v="Adventure"/>
    <s v="Crime"/>
    <s v="Drama"/>
    <s v="Sci-Fi"/>
    <s v="Thriller"/>
    <m/>
    <m/>
  </r>
  <r>
    <x v="453"/>
    <x v="103"/>
    <n v="48334413"/>
    <x v="727"/>
    <x v="0"/>
    <s v="USA"/>
    <n v="39751583.5"/>
    <x v="17"/>
    <x v="0"/>
    <s v="Family"/>
    <s v="Fantasy"/>
    <m/>
    <m/>
    <m/>
    <m/>
    <m/>
  </r>
  <r>
    <x v="457"/>
    <x v="81"/>
    <n v="48334413"/>
    <x v="728"/>
    <x v="1"/>
    <s v="France"/>
    <n v="39751583.5"/>
    <x v="16"/>
    <x v="3"/>
    <s v="Horror"/>
    <s v="Mystery"/>
    <s v="Sci-Fi"/>
    <m/>
    <m/>
    <m/>
    <m/>
  </r>
  <r>
    <x v="453"/>
    <x v="104"/>
    <n v="48334413"/>
    <x v="729"/>
    <x v="0"/>
    <s v="USA"/>
    <n v="39751583.5"/>
    <x v="31"/>
    <x v="3"/>
    <s v="Fantasy"/>
    <s v="Horror"/>
    <s v="Thriller"/>
    <m/>
    <m/>
    <m/>
    <m/>
  </r>
  <r>
    <x v="453"/>
    <x v="105"/>
    <n v="48334413"/>
    <x v="730"/>
    <x v="0"/>
    <s v="USA"/>
    <n v="39751583.5"/>
    <x v="25"/>
    <x v="5"/>
    <s v="Drama"/>
    <s v="Mystery"/>
    <m/>
    <m/>
    <m/>
    <m/>
    <m/>
  </r>
  <r>
    <x v="453"/>
    <x v="105"/>
    <n v="48334413"/>
    <x v="731"/>
    <x v="0"/>
    <s v="USA"/>
    <n v="39751583.5"/>
    <x v="31"/>
    <x v="2"/>
    <s v="Drama"/>
    <s v="Fantasy"/>
    <s v="Mystery"/>
    <s v="Thriller"/>
    <m/>
    <m/>
    <m/>
  </r>
  <r>
    <x v="453"/>
    <x v="106"/>
    <n v="48334413"/>
    <x v="732"/>
    <x v="0"/>
    <s v="USA"/>
    <n v="39751583.5"/>
    <x v="7"/>
    <x v="0"/>
    <m/>
    <m/>
    <m/>
    <m/>
    <m/>
    <m/>
    <m/>
  </r>
  <r>
    <x v="453"/>
    <x v="99"/>
    <n v="48334413"/>
    <x v="733"/>
    <x v="0"/>
    <s v="UK"/>
    <n v="39751583.5"/>
    <x v="23"/>
    <x v="5"/>
    <s v="Drama"/>
    <s v="Mystery"/>
    <m/>
    <m/>
    <m/>
    <m/>
    <m/>
  </r>
  <r>
    <x v="453"/>
    <x v="100"/>
    <n v="48334413"/>
    <x v="734"/>
    <x v="0"/>
    <s v="USA"/>
    <n v="39751583.5"/>
    <x v="4"/>
    <x v="0"/>
    <s v="Romance"/>
    <m/>
    <m/>
    <m/>
    <m/>
    <m/>
    <m/>
  </r>
  <r>
    <x v="163"/>
    <x v="5"/>
    <n v="48334413"/>
    <x v="735"/>
    <x v="0"/>
    <s v="USA"/>
    <n v="39751583.5"/>
    <x v="35"/>
    <x v="0"/>
    <s v="Western"/>
    <m/>
    <m/>
    <m/>
    <m/>
    <m/>
    <m/>
  </r>
  <r>
    <x v="453"/>
    <x v="106"/>
    <n v="48334413"/>
    <x v="736"/>
    <x v="0"/>
    <s v="USA"/>
    <n v="39751583.5"/>
    <x v="14"/>
    <x v="0"/>
    <s v="Romance"/>
    <m/>
    <m/>
    <m/>
    <m/>
    <m/>
    <m/>
  </r>
  <r>
    <x v="453"/>
    <x v="100"/>
    <n v="48334413"/>
    <x v="737"/>
    <x v="0"/>
    <s v="USA"/>
    <n v="39751583.5"/>
    <x v="15"/>
    <x v="0"/>
    <s v="Romance"/>
    <m/>
    <m/>
    <m/>
    <m/>
    <m/>
    <m/>
  </r>
  <r>
    <x v="453"/>
    <x v="105"/>
    <n v="48334413"/>
    <x v="738"/>
    <x v="0"/>
    <s v="UK"/>
    <n v="39751583.5"/>
    <x v="12"/>
    <x v="5"/>
    <s v="Drama"/>
    <m/>
    <m/>
    <m/>
    <m/>
    <m/>
    <m/>
  </r>
  <r>
    <x v="453"/>
    <x v="51"/>
    <n v="48334413"/>
    <x v="739"/>
    <x v="0"/>
    <s v="UK"/>
    <n v="39751583.5"/>
    <x v="22"/>
    <x v="5"/>
    <s v="Drama"/>
    <s v="Mystery"/>
    <m/>
    <m/>
    <m/>
    <m/>
    <m/>
  </r>
  <r>
    <x v="453"/>
    <x v="99"/>
    <n v="48334413"/>
    <x v="740"/>
    <x v="0"/>
    <s v="USA"/>
    <n v="39751583.5"/>
    <x v="31"/>
    <x v="3"/>
    <s v="Mystery"/>
    <s v="Thriller"/>
    <m/>
    <m/>
    <m/>
    <m/>
    <m/>
  </r>
  <r>
    <x v="453"/>
    <x v="104"/>
    <n v="48334413"/>
    <x v="741"/>
    <x v="0"/>
    <s v="USA"/>
    <n v="39751583.5"/>
    <x v="14"/>
    <x v="4"/>
    <s v="Drama"/>
    <s v="Sci-Fi"/>
    <m/>
    <m/>
    <m/>
    <m/>
    <m/>
  </r>
  <r>
    <x v="453"/>
    <x v="107"/>
    <n v="48334413"/>
    <x v="742"/>
    <x v="0"/>
    <s v="USA"/>
    <n v="39751583.5"/>
    <x v="42"/>
    <x v="3"/>
    <s v="Romance"/>
    <s v="Sci-Fi"/>
    <m/>
    <m/>
    <m/>
    <m/>
    <m/>
  </r>
  <r>
    <x v="453"/>
    <x v="108"/>
    <n v="48334413"/>
    <x v="743"/>
    <x v="1"/>
    <s v="France"/>
    <n v="39751583.5"/>
    <x v="25"/>
    <x v="3"/>
    <s v="Fantasy"/>
    <s v="Horror"/>
    <s v="Mystery"/>
    <m/>
    <m/>
    <m/>
    <m/>
  </r>
  <r>
    <x v="453"/>
    <x v="106"/>
    <n v="48334413"/>
    <x v="744"/>
    <x v="0"/>
    <s v="USA"/>
    <n v="39751583.5"/>
    <x v="31"/>
    <x v="0"/>
    <s v="War"/>
    <m/>
    <m/>
    <m/>
    <m/>
    <m/>
    <m/>
  </r>
  <r>
    <x v="458"/>
    <x v="43"/>
    <n v="48334413"/>
    <x v="745"/>
    <x v="1"/>
    <s v="France"/>
    <n v="39751583.5"/>
    <x v="35"/>
    <x v="2"/>
    <s v="Animation"/>
    <s v="Comedy"/>
    <s v="Family"/>
    <m/>
    <m/>
    <m/>
    <m/>
  </r>
  <r>
    <x v="453"/>
    <x v="106"/>
    <n v="48334413"/>
    <x v="746"/>
    <x v="0"/>
    <s v="Canada"/>
    <n v="39751583.5"/>
    <x v="7"/>
    <x v="7"/>
    <s v="Comedy"/>
    <s v="Family"/>
    <m/>
    <m/>
    <m/>
    <m/>
    <m/>
  </r>
  <r>
    <x v="453"/>
    <x v="99"/>
    <n v="48334413"/>
    <x v="747"/>
    <x v="0"/>
    <s v="USA"/>
    <n v="39751583.5"/>
    <x v="22"/>
    <x v="0"/>
    <s v="Family"/>
    <s v="Sci-Fi"/>
    <m/>
    <m/>
    <m/>
    <m/>
    <m/>
  </r>
  <r>
    <x v="453"/>
    <x v="104"/>
    <n v="48334413"/>
    <x v="748"/>
    <x v="0"/>
    <s v="USA"/>
    <n v="39751583.5"/>
    <x v="19"/>
    <x v="4"/>
    <s v="Comedy"/>
    <s v="Crime"/>
    <m/>
    <m/>
    <m/>
    <m/>
    <m/>
  </r>
  <r>
    <x v="453"/>
    <x v="99"/>
    <n v="48334413"/>
    <x v="749"/>
    <x v="0"/>
    <s v="USA"/>
    <n v="39751583.5"/>
    <x v="14"/>
    <x v="3"/>
    <s v="Romance"/>
    <m/>
    <m/>
    <m/>
    <m/>
    <m/>
    <m/>
  </r>
  <r>
    <x v="176"/>
    <x v="30"/>
    <n v="48334413"/>
    <x v="750"/>
    <x v="0"/>
    <s v="USA"/>
    <n v="39751583.5"/>
    <x v="4"/>
    <x v="0"/>
    <s v="Drama"/>
    <s v="Family"/>
    <s v="Sport"/>
    <m/>
    <m/>
    <m/>
    <m/>
  </r>
  <r>
    <x v="453"/>
    <x v="99"/>
    <n v="48334413"/>
    <x v="751"/>
    <x v="0"/>
    <s v="UK"/>
    <n v="39751583.5"/>
    <x v="29"/>
    <x v="5"/>
    <s v="Drama"/>
    <s v="Mystery"/>
    <s v="Thriller"/>
    <m/>
    <m/>
    <m/>
    <m/>
  </r>
  <r>
    <x v="453"/>
    <x v="101"/>
    <n v="48334413"/>
    <x v="752"/>
    <x v="0"/>
    <s v="USA"/>
    <n v="39751583.5"/>
    <x v="54"/>
    <x v="3"/>
    <s v="Sport"/>
    <m/>
    <m/>
    <m/>
    <m/>
    <m/>
    <m/>
  </r>
  <r>
    <x v="453"/>
    <x v="99"/>
    <n v="48334413"/>
    <x v="753"/>
    <x v="0"/>
    <s v="USA"/>
    <n v="39751583.5"/>
    <x v="31"/>
    <x v="3"/>
    <s v="Mystery"/>
    <m/>
    <m/>
    <m/>
    <m/>
    <m/>
    <m/>
  </r>
  <r>
    <x v="453"/>
    <x v="109"/>
    <n v="48334413"/>
    <x v="754"/>
    <x v="0"/>
    <s v="USA"/>
    <n v="39751583.5"/>
    <x v="42"/>
    <x v="0"/>
    <s v="Drama"/>
    <m/>
    <m/>
    <m/>
    <m/>
    <m/>
    <m/>
  </r>
  <r>
    <x v="453"/>
    <x v="110"/>
    <n v="48334413"/>
    <x v="755"/>
    <x v="5"/>
    <s v="Iceland"/>
    <n v="39751583.5"/>
    <x v="40"/>
    <x v="5"/>
    <s v="Drama"/>
    <s v="Thriller"/>
    <m/>
    <m/>
    <m/>
    <m/>
    <m/>
  </r>
  <r>
    <x v="459"/>
    <x v="50"/>
    <n v="48334413"/>
    <x v="756"/>
    <x v="1"/>
    <s v="France"/>
    <n v="39751583.5"/>
    <x v="11"/>
    <x v="0"/>
    <s v="Family"/>
    <m/>
    <m/>
    <m/>
    <m/>
    <m/>
    <m/>
  </r>
  <r>
    <x v="460"/>
    <x v="31"/>
    <n v="48334413"/>
    <x v="757"/>
    <x v="6"/>
    <s v="Germany"/>
    <n v="39751583.5"/>
    <x v="35"/>
    <x v="7"/>
    <s v="Comedy"/>
    <s v="Family"/>
    <m/>
    <m/>
    <m/>
    <m/>
    <m/>
  </r>
  <r>
    <x v="453"/>
    <x v="111"/>
    <n v="48334413"/>
    <x v="758"/>
    <x v="0"/>
    <s v="USA"/>
    <n v="39751583.5"/>
    <x v="17"/>
    <x v="2"/>
    <s v="Drama"/>
    <s v="Mystery"/>
    <s v="Sci-Fi"/>
    <s v="Thriller"/>
    <m/>
    <m/>
    <m/>
  </r>
  <r>
    <x v="453"/>
    <x v="111"/>
    <n v="48334413"/>
    <x v="759"/>
    <x v="0"/>
    <s v="USA"/>
    <n v="39751583.5"/>
    <x v="12"/>
    <x v="5"/>
    <s v="Drama"/>
    <s v="Sci-Fi"/>
    <s v="Thriller"/>
    <m/>
    <m/>
    <m/>
    <m/>
  </r>
  <r>
    <x v="453"/>
    <x v="106"/>
    <n v="48334413"/>
    <x v="760"/>
    <x v="0"/>
    <s v="USA"/>
    <n v="39751583.5"/>
    <x v="54"/>
    <x v="0"/>
    <s v="Family"/>
    <m/>
    <m/>
    <m/>
    <m/>
    <m/>
    <m/>
  </r>
  <r>
    <x v="453"/>
    <x v="100"/>
    <n v="48334413"/>
    <x v="761"/>
    <x v="0"/>
    <s v="USA"/>
    <n v="39751583.5"/>
    <x v="53"/>
    <x v="0"/>
    <m/>
    <m/>
    <m/>
    <m/>
    <m/>
    <m/>
    <m/>
  </r>
  <r>
    <x v="461"/>
    <x v="43"/>
    <n v="48334413"/>
    <x v="762"/>
    <x v="0"/>
    <s v="UK"/>
    <n v="39751583.5"/>
    <x v="47"/>
    <x v="3"/>
    <m/>
    <m/>
    <m/>
    <m/>
    <m/>
    <m/>
    <m/>
  </r>
  <r>
    <x v="453"/>
    <x v="112"/>
    <n v="48334413"/>
    <x v="763"/>
    <x v="0"/>
    <s v="UK"/>
    <n v="39751583.5"/>
    <x v="25"/>
    <x v="7"/>
    <s v="Comedy"/>
    <s v="Family"/>
    <m/>
    <m/>
    <m/>
    <m/>
    <m/>
  </r>
  <r>
    <x v="453"/>
    <x v="106"/>
    <n v="48334413"/>
    <x v="764"/>
    <x v="0"/>
    <s v="USA"/>
    <n v="39751583.5"/>
    <x v="11"/>
    <x v="4"/>
    <s v="Animation"/>
    <s v="Comedy"/>
    <s v="Family"/>
    <s v="Fantasy"/>
    <s v="Sci-Fi"/>
    <m/>
    <m/>
  </r>
  <r>
    <x v="462"/>
    <x v="60"/>
    <n v="48334413"/>
    <x v="765"/>
    <x v="0"/>
    <s v="France"/>
    <n v="39751583.5"/>
    <x v="0"/>
    <x v="2"/>
    <s v="Animation"/>
    <s v="Family"/>
    <m/>
    <m/>
    <m/>
    <m/>
    <m/>
  </r>
  <r>
    <x v="453"/>
    <x v="113"/>
    <n v="48334413"/>
    <x v="766"/>
    <x v="0"/>
    <s v="USA"/>
    <n v="39751583.5"/>
    <x v="9"/>
    <x v="4"/>
    <s v="Crime"/>
    <s v="Drama"/>
    <s v="Thriller"/>
    <m/>
    <m/>
    <m/>
    <m/>
  </r>
  <r>
    <x v="453"/>
    <x v="106"/>
    <n v="48334413"/>
    <x v="767"/>
    <x v="0"/>
    <s v="USA"/>
    <n v="39751583.5"/>
    <x v="55"/>
    <x v="0"/>
    <m/>
    <m/>
    <m/>
    <m/>
    <m/>
    <m/>
    <m/>
  </r>
  <r>
    <x v="453"/>
    <x v="114"/>
    <n v="48334413"/>
    <x v="768"/>
    <x v="4"/>
    <s v="Japan"/>
    <n v="39751583.5"/>
    <x v="14"/>
    <x v="4"/>
    <s v="Adventure"/>
    <s v="Animation"/>
    <s v="Family"/>
    <s v="Fantasy"/>
    <m/>
    <m/>
    <m/>
  </r>
  <r>
    <x v="453"/>
    <x v="106"/>
    <n v="48334413"/>
    <x v="769"/>
    <x v="0"/>
    <s v="USA"/>
    <n v="39751583.5"/>
    <x v="15"/>
    <x v="0"/>
    <m/>
    <m/>
    <m/>
    <m/>
    <m/>
    <m/>
    <m/>
  </r>
  <r>
    <x v="453"/>
    <x v="111"/>
    <n v="48334413"/>
    <x v="770"/>
    <x v="0"/>
    <s v="USA"/>
    <n v="39751583.5"/>
    <x v="31"/>
    <x v="5"/>
    <s v="Drama"/>
    <s v="Mystery"/>
    <s v="Thriller"/>
    <m/>
    <m/>
    <m/>
    <m/>
  </r>
  <r>
    <x v="453"/>
    <x v="106"/>
    <n v="48334413"/>
    <x v="771"/>
    <x v="0"/>
    <s v="UK"/>
    <n v="39751583.5"/>
    <x v="11"/>
    <x v="3"/>
    <s v="Family"/>
    <m/>
    <m/>
    <m/>
    <m/>
    <m/>
    <m/>
  </r>
  <r>
    <x v="463"/>
    <x v="84"/>
    <n v="48334413"/>
    <x v="772"/>
    <x v="0"/>
    <s v="India"/>
    <n v="39751583.5"/>
    <x v="14"/>
    <x v="6"/>
    <s v="Drama"/>
    <s v="History"/>
    <m/>
    <m/>
    <m/>
    <m/>
    <m/>
  </r>
  <r>
    <x v="453"/>
    <x v="104"/>
    <n v="48334413"/>
    <x v="773"/>
    <x v="0"/>
    <s v="USA"/>
    <n v="39751583.5"/>
    <x v="24"/>
    <x v="0"/>
    <s v="Drama"/>
    <s v="Reality-TV"/>
    <s v="Romance"/>
    <m/>
    <m/>
    <m/>
    <m/>
  </r>
  <r>
    <x v="464"/>
    <x v="36"/>
    <n v="48334413"/>
    <x v="774"/>
    <x v="7"/>
    <s v="China"/>
    <n v="39751583.5"/>
    <x v="8"/>
    <x v="4"/>
    <s v="Crime"/>
    <s v="Thriller"/>
    <m/>
    <m/>
    <m/>
    <m/>
    <m/>
  </r>
  <r>
    <x v="465"/>
    <x v="34"/>
    <n v="48334413"/>
    <x v="775"/>
    <x v="8"/>
    <s v="China"/>
    <n v="39751583.5"/>
    <x v="21"/>
    <x v="4"/>
    <m/>
    <m/>
    <m/>
    <m/>
    <m/>
    <m/>
    <m/>
  </r>
  <r>
    <x v="453"/>
    <x v="101"/>
    <n v="48334413"/>
    <x v="776"/>
    <x v="0"/>
    <s v="USA"/>
    <n v="39751583.5"/>
    <x v="31"/>
    <x v="0"/>
    <s v="Drama"/>
    <s v="Romance"/>
    <m/>
    <m/>
    <m/>
    <m/>
    <m/>
  </r>
  <r>
    <x v="453"/>
    <x v="99"/>
    <n v="48334413"/>
    <x v="777"/>
    <x v="0"/>
    <s v="USA"/>
    <n v="39751583.5"/>
    <x v="15"/>
    <x v="3"/>
    <s v="Mystery"/>
    <m/>
    <m/>
    <m/>
    <m/>
    <m/>
    <m/>
  </r>
  <r>
    <x v="466"/>
    <x v="22"/>
    <n v="48334413"/>
    <x v="778"/>
    <x v="0"/>
    <s v="USA"/>
    <n v="39751583.5"/>
    <x v="56"/>
    <x v="1"/>
    <m/>
    <m/>
    <m/>
    <m/>
    <m/>
    <m/>
    <m/>
  </r>
  <r>
    <x v="453"/>
    <x v="99"/>
    <n v="48334413"/>
    <x v="779"/>
    <x v="0"/>
    <s v="USA"/>
    <n v="39751583.5"/>
    <x v="24"/>
    <x v="3"/>
    <s v="Fantasy"/>
    <s v="Mystery"/>
    <s v="Thriller"/>
    <m/>
    <m/>
    <m/>
    <m/>
  </r>
  <r>
    <x v="453"/>
    <x v="105"/>
    <n v="48334413"/>
    <x v="780"/>
    <x v="0"/>
    <s v="USA"/>
    <n v="39751583.5"/>
    <x v="4"/>
    <x v="5"/>
    <s v="Drama"/>
    <s v="Horror"/>
    <s v="Mystery"/>
    <s v="Thriller"/>
    <m/>
    <m/>
    <m/>
  </r>
  <r>
    <x v="467"/>
    <x v="18"/>
    <n v="48334413"/>
    <x v="781"/>
    <x v="9"/>
    <s v="South Korea"/>
    <n v="39751583.5"/>
    <x v="21"/>
    <x v="4"/>
    <s v="Comedy"/>
    <s v="Drama"/>
    <s v="Thriller"/>
    <m/>
    <m/>
    <m/>
    <m/>
  </r>
  <r>
    <x v="453"/>
    <x v="99"/>
    <n v="48334413"/>
    <x v="782"/>
    <x v="0"/>
    <s v="Canada"/>
    <n v="39751583.5"/>
    <x v="31"/>
    <x v="3"/>
    <s v="Fantasy"/>
    <s v="Mystery"/>
    <s v="Sci-Fi"/>
    <m/>
    <m/>
    <m/>
    <m/>
  </r>
  <r>
    <x v="468"/>
    <x v="4"/>
    <n v="48334413"/>
    <x v="783"/>
    <x v="0"/>
    <s v="USA"/>
    <n v="39751583.5"/>
    <x v="7"/>
    <x v="8"/>
    <s v="Romance"/>
    <m/>
    <m/>
    <m/>
    <m/>
    <m/>
    <m/>
  </r>
  <r>
    <x v="453"/>
    <x v="115"/>
    <n v="48334413"/>
    <x v="784"/>
    <x v="0"/>
    <s v="USA"/>
    <n v="39751583.5"/>
    <x v="12"/>
    <x v="3"/>
    <s v="History"/>
    <s v="Thriller"/>
    <m/>
    <m/>
    <m/>
    <m/>
    <m/>
  </r>
  <r>
    <x v="469"/>
    <x v="41"/>
    <n v="48334413"/>
    <x v="785"/>
    <x v="0"/>
    <s v="Cambodia"/>
    <n v="39751583.5"/>
    <x v="37"/>
    <x v="3"/>
    <s v="Sci-Fi"/>
    <s v="Thriller"/>
    <m/>
    <m/>
    <m/>
    <m/>
    <m/>
  </r>
  <r>
    <x v="470"/>
    <x v="38"/>
    <n v="48334413"/>
    <x v="786"/>
    <x v="0"/>
    <s v="Slovakia"/>
    <n v="39751583.5"/>
    <x v="27"/>
    <x v="6"/>
    <s v="Drama"/>
    <s v="Fantasy"/>
    <s v="History"/>
    <m/>
    <m/>
    <m/>
    <m/>
  </r>
  <r>
    <x v="471"/>
    <x v="116"/>
    <n v="48334413"/>
    <x v="787"/>
    <x v="0"/>
    <s v="Canada"/>
    <n v="39751583.5"/>
    <x v="57"/>
    <x v="0"/>
    <m/>
    <m/>
    <m/>
    <m/>
    <m/>
    <m/>
    <m/>
  </r>
  <r>
    <x v="453"/>
    <x v="99"/>
    <n v="48334413"/>
    <x v="788"/>
    <x v="0"/>
    <s v="USA"/>
    <n v="39751583.5"/>
    <x v="24"/>
    <x v="10"/>
    <m/>
    <m/>
    <m/>
    <m/>
    <m/>
    <m/>
    <m/>
  </r>
  <r>
    <x v="472"/>
    <x v="10"/>
    <n v="48334413"/>
    <x v="789"/>
    <x v="0"/>
    <s v="Canada"/>
    <n v="39751583.5"/>
    <x v="58"/>
    <x v="0"/>
    <s v="Horror"/>
    <m/>
    <m/>
    <m/>
    <m/>
    <m/>
    <m/>
  </r>
  <r>
    <x v="453"/>
    <x v="117"/>
    <n v="48334413"/>
    <x v="790"/>
    <x v="10"/>
    <s v="Poland"/>
    <n v="39751583.5"/>
    <x v="7"/>
    <x v="4"/>
    <s v="Crime"/>
    <s v="Drama"/>
    <s v="Thriller"/>
    <m/>
    <m/>
    <m/>
    <m/>
  </r>
  <r>
    <x v="473"/>
    <x v="60"/>
    <n v="48334413"/>
    <x v="791"/>
    <x v="11"/>
    <s v="Sweden"/>
    <n v="39751583.5"/>
    <x v="23"/>
    <x v="4"/>
    <s v="Crime"/>
    <s v="Mystery"/>
    <s v="Thriller"/>
    <m/>
    <m/>
    <m/>
    <m/>
  </r>
  <r>
    <x v="474"/>
    <x v="43"/>
    <n v="48334413"/>
    <x v="792"/>
    <x v="0"/>
    <s v="USA"/>
    <n v="39751583.5"/>
    <x v="22"/>
    <x v="2"/>
    <s v="Drama"/>
    <s v="Romance"/>
    <m/>
    <m/>
    <m/>
    <m/>
    <m/>
  </r>
  <r>
    <x v="453"/>
    <x v="118"/>
    <n v="48334413"/>
    <x v="793"/>
    <x v="0"/>
    <s v="USA"/>
    <n v="39751583.5"/>
    <x v="29"/>
    <x v="4"/>
    <s v="Adventure"/>
    <s v="Biography"/>
    <s v="Drama"/>
    <s v="History"/>
    <m/>
    <m/>
    <m/>
  </r>
  <r>
    <x v="475"/>
    <x v="56"/>
    <n v="48334413"/>
    <x v="794"/>
    <x v="7"/>
    <s v="China"/>
    <n v="39751583.5"/>
    <x v="59"/>
    <x v="4"/>
    <s v="Adventure"/>
    <s v="Animation"/>
    <s v="Comedy"/>
    <s v="Family"/>
    <m/>
    <m/>
    <m/>
  </r>
  <r>
    <x v="476"/>
    <x v="49"/>
    <n v="48334413"/>
    <x v="795"/>
    <x v="0"/>
    <s v="Italy"/>
    <n v="39751583.5"/>
    <x v="8"/>
    <x v="5"/>
    <s v="Drama"/>
    <s v="Thriller"/>
    <m/>
    <m/>
    <m/>
    <m/>
    <m/>
  </r>
  <r>
    <x v="453"/>
    <x v="114"/>
    <n v="48334413"/>
    <x v="796"/>
    <x v="0"/>
    <s v="UK"/>
    <n v="39751583.5"/>
    <x v="12"/>
    <x v="0"/>
    <m/>
    <m/>
    <m/>
    <m/>
    <m/>
    <m/>
    <m/>
  </r>
  <r>
    <x v="453"/>
    <x v="119"/>
    <n v="48334413"/>
    <x v="797"/>
    <x v="0"/>
    <s v="USA"/>
    <n v="39751583.5"/>
    <x v="12"/>
    <x v="0"/>
    <s v="Crime"/>
    <s v="Drama"/>
    <s v="Mystery"/>
    <s v="Romance"/>
    <m/>
    <m/>
    <m/>
  </r>
  <r>
    <x v="477"/>
    <x v="63"/>
    <n v="48334413"/>
    <x v="798"/>
    <x v="0"/>
    <s v="USA"/>
    <n v="39751583.5"/>
    <x v="34"/>
    <x v="0"/>
    <s v="Crime"/>
    <s v="Music"/>
    <m/>
    <m/>
    <m/>
    <m/>
    <m/>
  </r>
  <r>
    <x v="478"/>
    <x v="20"/>
    <n v="48334413"/>
    <x v="799"/>
    <x v="0"/>
    <s v="Australia"/>
    <n v="39751583.5"/>
    <x v="19"/>
    <x v="1"/>
    <s v="Thriller"/>
    <m/>
    <m/>
    <m/>
    <m/>
    <m/>
    <m/>
  </r>
  <r>
    <x v="479"/>
    <x v="28"/>
    <n v="48334413"/>
    <x v="800"/>
    <x v="12"/>
    <s v="Italy"/>
    <n v="39751583.5"/>
    <x v="4"/>
    <x v="0"/>
    <s v="Drama"/>
    <s v="Romance"/>
    <m/>
    <m/>
    <m/>
    <m/>
    <m/>
  </r>
  <r>
    <x v="453"/>
    <x v="106"/>
    <n v="48334413"/>
    <x v="801"/>
    <x v="0"/>
    <s v="USA"/>
    <n v="39751583.5"/>
    <x v="55"/>
    <x v="3"/>
    <s v="Romance"/>
    <m/>
    <m/>
    <m/>
    <m/>
    <m/>
    <m/>
  </r>
  <r>
    <x v="480"/>
    <x v="1"/>
    <n v="48334413"/>
    <x v="802"/>
    <x v="1"/>
    <s v="France"/>
    <n v="39751583.5"/>
    <x v="0"/>
    <x v="0"/>
    <m/>
    <m/>
    <m/>
    <m/>
    <m/>
    <m/>
    <m/>
  </r>
  <r>
    <x v="481"/>
    <x v="30"/>
    <n v="48334413"/>
    <x v="803"/>
    <x v="0"/>
    <s v="UK"/>
    <n v="39751583.5"/>
    <x v="6"/>
    <x v="5"/>
    <s v="Drama"/>
    <s v="Mystery"/>
    <s v="Thriller"/>
    <m/>
    <m/>
    <m/>
    <m/>
  </r>
  <r>
    <x v="482"/>
    <x v="120"/>
    <n v="48334413"/>
    <x v="804"/>
    <x v="0"/>
    <s v="UK"/>
    <n v="39751583.5"/>
    <x v="21"/>
    <x v="4"/>
    <s v="Animation"/>
    <s v="Fantasy"/>
    <s v="Horror"/>
    <s v="Mystery"/>
    <s v="Sci-Fi"/>
    <s v="Thriller"/>
    <m/>
  </r>
  <r>
    <x v="453"/>
    <x v="121"/>
    <n v="48334413"/>
    <x v="805"/>
    <x v="0"/>
    <s v="USA"/>
    <n v="39751583.5"/>
    <x v="12"/>
    <x v="4"/>
    <s v="Adventure"/>
    <s v="Animation"/>
    <s v="Drama"/>
    <s v="Fantasy"/>
    <s v="Sci-Fi"/>
    <m/>
    <m/>
  </r>
  <r>
    <x v="483"/>
    <x v="42"/>
    <n v="48334413"/>
    <x v="806"/>
    <x v="0"/>
    <s v="USA"/>
    <n v="39751583.5"/>
    <x v="22"/>
    <x v="2"/>
    <m/>
    <m/>
    <m/>
    <m/>
    <m/>
    <m/>
    <m/>
  </r>
  <r>
    <x v="453"/>
    <x v="99"/>
    <n v="48334413"/>
    <x v="807"/>
    <x v="0"/>
    <s v="USA"/>
    <n v="39751583.5"/>
    <x v="6"/>
    <x v="4"/>
    <s v="Crime"/>
    <s v="Drama"/>
    <s v="Thriller"/>
    <m/>
    <m/>
    <m/>
    <m/>
  </r>
  <r>
    <x v="453"/>
    <x v="99"/>
    <n v="48334413"/>
    <x v="808"/>
    <x v="0"/>
    <s v="USA"/>
    <n v="39751583.5"/>
    <x v="25"/>
    <x v="2"/>
    <s v="Drama"/>
    <s v="Fantasy"/>
    <s v="Mystery"/>
    <m/>
    <m/>
    <m/>
    <m/>
  </r>
  <r>
    <x v="484"/>
    <x v="95"/>
    <n v="48334413"/>
    <x v="809"/>
    <x v="0"/>
    <s v="UK"/>
    <n v="39751583.5"/>
    <x v="11"/>
    <x v="3"/>
    <s v="Romance"/>
    <m/>
    <m/>
    <m/>
    <m/>
    <m/>
    <m/>
  </r>
  <r>
    <x v="453"/>
    <x v="78"/>
    <n v="48334413"/>
    <x v="810"/>
    <x v="0"/>
    <s v="UK"/>
    <n v="39751583.5"/>
    <x v="5"/>
    <x v="3"/>
    <s v="Romance"/>
    <m/>
    <m/>
    <m/>
    <m/>
    <m/>
    <m/>
  </r>
  <r>
    <x v="485"/>
    <x v="31"/>
    <n v="48334413"/>
    <x v="811"/>
    <x v="0"/>
    <s v="UK"/>
    <n v="39751583.5"/>
    <x v="18"/>
    <x v="4"/>
    <s v="Drama"/>
    <m/>
    <m/>
    <m/>
    <m/>
    <m/>
    <m/>
  </r>
  <r>
    <x v="453"/>
    <x v="122"/>
    <n v="48334413"/>
    <x v="812"/>
    <x v="0"/>
    <s v="USA"/>
    <n v="39751583.5"/>
    <x v="50"/>
    <x v="5"/>
    <s v="Drama"/>
    <s v="Thriller"/>
    <m/>
    <m/>
    <m/>
    <m/>
    <m/>
  </r>
  <r>
    <x v="453"/>
    <x v="99"/>
    <n v="48334413"/>
    <x v="813"/>
    <x v="0"/>
    <s v="USA"/>
    <n v="39751583.5"/>
    <x v="5"/>
    <x v="4"/>
    <s v="Crime"/>
    <s v="Drama"/>
    <s v="Thriller"/>
    <m/>
    <m/>
    <m/>
    <m/>
  </r>
  <r>
    <x v="453"/>
    <x v="99"/>
    <n v="48334413"/>
    <x v="814"/>
    <x v="0"/>
    <s v="USA"/>
    <n v="39751583.5"/>
    <x v="7"/>
    <x v="4"/>
    <s v="Drama"/>
    <s v="Mystery"/>
    <s v="Sci-Fi"/>
    <m/>
    <m/>
    <m/>
    <m/>
  </r>
  <r>
    <x v="486"/>
    <x v="0"/>
    <n v="48334413"/>
    <x v="815"/>
    <x v="0"/>
    <s v="USA"/>
    <n v="39751583.5"/>
    <x v="7"/>
    <x v="4"/>
    <s v="Adventure"/>
    <s v="Drama"/>
    <s v="Fantasy"/>
    <s v="Sci-Fi"/>
    <m/>
    <m/>
    <m/>
  </r>
  <r>
    <x v="487"/>
    <x v="34"/>
    <n v="48334413"/>
    <x v="816"/>
    <x v="0"/>
    <s v="USA"/>
    <n v="39751583.5"/>
    <x v="11"/>
    <x v="0"/>
    <s v="Drama"/>
    <m/>
    <m/>
    <m/>
    <m/>
    <m/>
    <m/>
  </r>
  <r>
    <x v="453"/>
    <x v="118"/>
    <n v="48334413"/>
    <x v="817"/>
    <x v="12"/>
    <s v="Italy"/>
    <n v="39751583.5"/>
    <x v="54"/>
    <x v="5"/>
    <s v="Drama"/>
    <s v="Thriller"/>
    <m/>
    <m/>
    <m/>
    <m/>
    <m/>
  </r>
  <r>
    <x v="453"/>
    <x v="34"/>
    <n v="48334413"/>
    <x v="818"/>
    <x v="0"/>
    <s v="UK"/>
    <n v="39751583.5"/>
    <x v="40"/>
    <x v="3"/>
    <s v="History"/>
    <s v="Romance"/>
    <s v="War"/>
    <m/>
    <m/>
    <m/>
    <m/>
  </r>
  <r>
    <x v="453"/>
    <x v="101"/>
    <n v="48334413"/>
    <x v="819"/>
    <x v="0"/>
    <s v="USA"/>
    <n v="39751583.5"/>
    <x v="39"/>
    <x v="5"/>
    <s v="Drama"/>
    <s v="Mystery"/>
    <m/>
    <m/>
    <m/>
    <m/>
    <m/>
  </r>
  <r>
    <x v="488"/>
    <x v="31"/>
    <n v="48334413"/>
    <x v="820"/>
    <x v="0"/>
    <s v="USA"/>
    <n v="39751583.5"/>
    <x v="18"/>
    <x v="3"/>
    <s v="Horror"/>
    <s v="Mystery"/>
    <s v="Thriller"/>
    <m/>
    <m/>
    <m/>
    <m/>
  </r>
  <r>
    <x v="489"/>
    <x v="54"/>
    <n v="48334413"/>
    <x v="821"/>
    <x v="0"/>
    <s v="USA"/>
    <n v="39751583.5"/>
    <x v="1"/>
    <x v="3"/>
    <s v="Mystery"/>
    <s v="Thriller"/>
    <m/>
    <m/>
    <m/>
    <m/>
    <m/>
  </r>
  <r>
    <x v="453"/>
    <x v="123"/>
    <n v="48334413"/>
    <x v="822"/>
    <x v="0"/>
    <s v="UK"/>
    <n v="39751583.5"/>
    <x v="40"/>
    <x v="0"/>
    <s v="Drama"/>
    <s v="Romance"/>
    <m/>
    <m/>
    <m/>
    <m/>
    <m/>
  </r>
  <r>
    <x v="453"/>
    <x v="103"/>
    <n v="48334413"/>
    <x v="823"/>
    <x v="0"/>
    <s v="UK"/>
    <n v="39751583.5"/>
    <x v="39"/>
    <x v="0"/>
    <s v="Romance"/>
    <m/>
    <m/>
    <m/>
    <m/>
    <m/>
    <m/>
  </r>
  <r>
    <x v="490"/>
    <x v="13"/>
    <n v="48334413"/>
    <x v="824"/>
    <x v="0"/>
    <s v="USA"/>
    <n v="39751583.5"/>
    <x v="43"/>
    <x v="0"/>
    <s v="Sci-Fi"/>
    <m/>
    <m/>
    <m/>
    <m/>
    <m/>
    <m/>
  </r>
  <r>
    <x v="491"/>
    <x v="10"/>
    <n v="48334413"/>
    <x v="825"/>
    <x v="0"/>
    <s v="USA"/>
    <n v="39751583.5"/>
    <x v="8"/>
    <x v="3"/>
    <m/>
    <m/>
    <m/>
    <m/>
    <m/>
    <m/>
    <m/>
  </r>
  <r>
    <x v="453"/>
    <x v="99"/>
    <n v="48334413"/>
    <x v="826"/>
    <x v="0"/>
    <s v="USA"/>
    <n v="39751583.5"/>
    <x v="31"/>
    <x v="3"/>
    <s v="Fantasy"/>
    <m/>
    <m/>
    <m/>
    <m/>
    <m/>
    <m/>
  </r>
  <r>
    <x v="492"/>
    <x v="42"/>
    <n v="48334413"/>
    <x v="827"/>
    <x v="0"/>
    <s v="USA"/>
    <n v="39751583.5"/>
    <x v="41"/>
    <x v="7"/>
    <s v="Comedy"/>
    <m/>
    <m/>
    <m/>
    <m/>
    <m/>
    <m/>
  </r>
  <r>
    <x v="493"/>
    <x v="10"/>
    <n v="48334413"/>
    <x v="828"/>
    <x v="0"/>
    <s v="USA"/>
    <n v="39751583.5"/>
    <x v="36"/>
    <x v="3"/>
    <s v="Family"/>
    <s v="Music"/>
    <m/>
    <m/>
    <m/>
    <m/>
    <m/>
  </r>
  <r>
    <x v="453"/>
    <x v="101"/>
    <n v="48334413"/>
    <x v="829"/>
    <x v="0"/>
    <s v="USA"/>
    <n v="39751583.5"/>
    <x v="39"/>
    <x v="0"/>
    <s v="Crime"/>
    <s v="Mystery"/>
    <m/>
    <m/>
    <m/>
    <m/>
    <m/>
  </r>
  <r>
    <x v="494"/>
    <x v="13"/>
    <n v="48334413"/>
    <x v="830"/>
    <x v="0"/>
    <s v="USA"/>
    <n v="39751583.5"/>
    <x v="33"/>
    <x v="0"/>
    <m/>
    <m/>
    <m/>
    <m/>
    <m/>
    <m/>
    <m/>
  </r>
  <r>
    <x v="495"/>
    <x v="0"/>
    <n v="48334413"/>
    <x v="831"/>
    <x v="0"/>
    <s v="USA"/>
    <n v="39751583.5"/>
    <x v="43"/>
    <x v="4"/>
    <s v="Horror"/>
    <m/>
    <m/>
    <m/>
    <m/>
    <m/>
    <m/>
  </r>
  <r>
    <x v="496"/>
    <x v="124"/>
    <n v="48334413"/>
    <x v="832"/>
    <x v="1"/>
    <s v="France"/>
    <n v="39751583.5"/>
    <x v="18"/>
    <x v="3"/>
    <m/>
    <m/>
    <m/>
    <m/>
    <m/>
    <m/>
    <m/>
  </r>
  <r>
    <x v="497"/>
    <x v="34"/>
    <n v="48334413"/>
    <x v="833"/>
    <x v="13"/>
    <s v="India"/>
    <n v="39751583.5"/>
    <x v="6"/>
    <x v="0"/>
    <s v="Romance"/>
    <m/>
    <m/>
    <m/>
    <m/>
    <m/>
    <m/>
  </r>
  <r>
    <x v="453"/>
    <x v="104"/>
    <n v="48334413"/>
    <x v="834"/>
    <x v="0"/>
    <s v="USA"/>
    <n v="39751583.5"/>
    <x v="5"/>
    <x v="5"/>
    <s v="Drama"/>
    <m/>
    <m/>
    <m/>
    <m/>
    <m/>
    <m/>
  </r>
  <r>
    <x v="498"/>
    <x v="41"/>
    <n v="48334413"/>
    <x v="835"/>
    <x v="0"/>
    <s v="USA"/>
    <n v="39751583.5"/>
    <x v="6"/>
    <x v="13"/>
    <s v="Romance"/>
    <m/>
    <m/>
    <m/>
    <m/>
    <m/>
    <m/>
  </r>
  <r>
    <x v="499"/>
    <x v="16"/>
    <n v="48334413"/>
    <x v="836"/>
    <x v="14"/>
    <s v="India"/>
    <n v="39751583.5"/>
    <x v="47"/>
    <x v="3"/>
    <s v="Thriller"/>
    <m/>
    <m/>
    <m/>
    <m/>
    <m/>
    <m/>
  </r>
  <r>
    <x v="453"/>
    <x v="125"/>
    <n v="48334413"/>
    <x v="837"/>
    <x v="0"/>
    <s v="Canada"/>
    <n v="39751583.5"/>
    <x v="39"/>
    <x v="3"/>
    <s v="Family"/>
    <m/>
    <m/>
    <m/>
    <m/>
    <m/>
    <m/>
  </r>
  <r>
    <x v="453"/>
    <x v="99"/>
    <n v="48334413"/>
    <x v="838"/>
    <x v="0"/>
    <s v="USA"/>
    <n v="39751583.5"/>
    <x v="23"/>
    <x v="5"/>
    <s v="Drama"/>
    <m/>
    <m/>
    <m/>
    <m/>
    <m/>
    <m/>
  </r>
  <r>
    <x v="500"/>
    <x v="61"/>
    <n v="48334413"/>
    <x v="839"/>
    <x v="1"/>
    <s v="France"/>
    <n v="39751583.5"/>
    <x v="6"/>
    <x v="3"/>
    <s v="Fantasy"/>
    <m/>
    <m/>
    <m/>
    <m/>
    <m/>
    <m/>
  </r>
  <r>
    <x v="453"/>
    <x v="121"/>
    <n v="48334413"/>
    <x v="840"/>
    <x v="0"/>
    <s v="USA"/>
    <n v="39751583.5"/>
    <x v="0"/>
    <x v="0"/>
    <s v="Family"/>
    <s v="Romance"/>
    <m/>
    <m/>
    <m/>
    <m/>
    <m/>
  </r>
  <r>
    <x v="501"/>
    <x v="10"/>
    <n v="48334413"/>
    <x v="841"/>
    <x v="0"/>
    <s v="Canada"/>
    <n v="39751583.5"/>
    <x v="2"/>
    <x v="0"/>
    <s v="Fantasy"/>
    <m/>
    <m/>
    <m/>
    <m/>
    <m/>
    <m/>
  </r>
  <r>
    <x v="502"/>
    <x v="3"/>
    <n v="48334413"/>
    <x v="842"/>
    <x v="0"/>
    <s v="Australia"/>
    <n v="39751583.5"/>
    <x v="15"/>
    <x v="1"/>
    <s v="Thriller"/>
    <m/>
    <m/>
    <m/>
    <m/>
    <m/>
    <m/>
  </r>
  <r>
    <x v="503"/>
    <x v="22"/>
    <n v="48334413"/>
    <x v="843"/>
    <x v="0"/>
    <s v="USA"/>
    <n v="39751583.5"/>
    <x v="4"/>
    <x v="3"/>
    <m/>
    <m/>
    <m/>
    <m/>
    <m/>
    <m/>
    <m/>
  </r>
  <r>
    <x v="453"/>
    <x v="103"/>
    <n v="48334413"/>
    <x v="844"/>
    <x v="0"/>
    <s v="USA"/>
    <n v="39751583.5"/>
    <x v="39"/>
    <x v="0"/>
    <s v="Drama"/>
    <s v="War"/>
    <m/>
    <m/>
    <m/>
    <m/>
    <m/>
  </r>
  <r>
    <x v="453"/>
    <x v="111"/>
    <n v="48334413"/>
    <x v="845"/>
    <x v="0"/>
    <s v="USA"/>
    <n v="39751583.5"/>
    <x v="22"/>
    <x v="3"/>
    <s v="Music"/>
    <m/>
    <m/>
    <m/>
    <m/>
    <m/>
    <m/>
  </r>
  <r>
    <x v="504"/>
    <x v="20"/>
    <n v="48334413"/>
    <x v="846"/>
    <x v="0"/>
    <s v="USA"/>
    <n v="39751583.5"/>
    <x v="46"/>
    <x v="1"/>
    <s v="Thriller"/>
    <m/>
    <m/>
    <m/>
    <m/>
    <m/>
    <m/>
  </r>
  <r>
    <x v="453"/>
    <x v="105"/>
    <n v="48334413"/>
    <x v="847"/>
    <x v="0"/>
    <s v="UK"/>
    <n v="39751583.5"/>
    <x v="4"/>
    <x v="3"/>
    <s v="Thriller"/>
    <m/>
    <m/>
    <m/>
    <m/>
    <m/>
    <m/>
  </r>
  <r>
    <x v="505"/>
    <x v="4"/>
    <n v="48334413"/>
    <x v="848"/>
    <x v="0"/>
    <s v="USA"/>
    <n v="39751583.5"/>
    <x v="0"/>
    <x v="3"/>
    <s v="Romance"/>
    <m/>
    <m/>
    <m/>
    <m/>
    <m/>
    <m/>
  </r>
  <r>
    <x v="453"/>
    <x v="126"/>
    <n v="48334413"/>
    <x v="849"/>
    <x v="0"/>
    <s v="USA"/>
    <n v="39751583.5"/>
    <x v="22"/>
    <x v="7"/>
    <s v="Comedy"/>
    <m/>
    <m/>
    <m/>
    <m/>
    <m/>
    <m/>
  </r>
  <r>
    <x v="453"/>
    <x v="127"/>
    <n v="48334413"/>
    <x v="850"/>
    <x v="0"/>
    <s v="USA"/>
    <n v="39751583.5"/>
    <x v="38"/>
    <x v="1"/>
    <s v="Sci-Fi"/>
    <s v="Thriller"/>
    <m/>
    <m/>
    <m/>
    <m/>
    <m/>
  </r>
  <r>
    <x v="453"/>
    <x v="101"/>
    <n v="48334413"/>
    <x v="851"/>
    <x v="0"/>
    <s v="USA"/>
    <n v="39751583.5"/>
    <x v="12"/>
    <x v="0"/>
    <s v="Drama"/>
    <s v="Horror"/>
    <s v="Sci-Fi"/>
    <s v="Thriller"/>
    <m/>
    <m/>
    <m/>
  </r>
  <r>
    <x v="506"/>
    <x v="35"/>
    <n v="48334413"/>
    <x v="852"/>
    <x v="0"/>
    <s v="USA"/>
    <n v="39751583.5"/>
    <x v="38"/>
    <x v="3"/>
    <s v="Family"/>
    <s v="Music"/>
    <m/>
    <m/>
    <m/>
    <m/>
    <m/>
  </r>
  <r>
    <x v="453"/>
    <x v="99"/>
    <n v="48334413"/>
    <x v="853"/>
    <x v="0"/>
    <s v="UK"/>
    <n v="39751583.5"/>
    <x v="17"/>
    <x v="3"/>
    <m/>
    <m/>
    <m/>
    <m/>
    <m/>
    <m/>
    <m/>
  </r>
  <r>
    <x v="255"/>
    <x v="39"/>
    <n v="48334413"/>
    <x v="854"/>
    <x v="0"/>
    <s v="USA"/>
    <n v="39751583.5"/>
    <x v="3"/>
    <x v="0"/>
    <m/>
    <m/>
    <m/>
    <m/>
    <m/>
    <m/>
    <m/>
  </r>
  <r>
    <x v="507"/>
    <x v="13"/>
    <n v="48334413"/>
    <x v="855"/>
    <x v="0"/>
    <s v="USA"/>
    <n v="39751583.5"/>
    <x v="1"/>
    <x v="0"/>
    <s v="Drama"/>
    <s v="Romance"/>
    <m/>
    <m/>
    <m/>
    <m/>
    <m/>
  </r>
  <r>
    <x v="508"/>
    <x v="10"/>
    <n v="48334413"/>
    <x v="856"/>
    <x v="0"/>
    <s v="Australia"/>
    <n v="39751583.5"/>
    <x v="0"/>
    <x v="0"/>
    <s v="Drama"/>
    <s v="Romance"/>
    <s v="Sci-Fi"/>
    <m/>
    <m/>
    <m/>
    <m/>
  </r>
  <r>
    <x v="509"/>
    <x v="10"/>
    <n v="48334413"/>
    <x v="857"/>
    <x v="15"/>
    <s v="Denmark"/>
    <n v="39751583.5"/>
    <x v="21"/>
    <x v="4"/>
    <s v="Adventure"/>
    <s v="Animation"/>
    <s v="Comedy"/>
    <s v="Sci-Fi"/>
    <m/>
    <m/>
    <m/>
  </r>
  <r>
    <x v="510"/>
    <x v="7"/>
    <n v="48334413"/>
    <x v="858"/>
    <x v="0"/>
    <s v="USA"/>
    <n v="39751583.5"/>
    <x v="19"/>
    <x v="14"/>
    <m/>
    <m/>
    <m/>
    <m/>
    <m/>
    <m/>
    <m/>
  </r>
  <r>
    <x v="511"/>
    <x v="10"/>
    <n v="48334413"/>
    <x v="859"/>
    <x v="0"/>
    <s v="Spain"/>
    <n v="39751583.5"/>
    <x v="46"/>
    <x v="3"/>
    <s v="Thriller"/>
    <m/>
    <m/>
    <m/>
    <m/>
    <m/>
    <m/>
  </r>
  <r>
    <x v="512"/>
    <x v="94"/>
    <n v="48334413"/>
    <x v="860"/>
    <x v="0"/>
    <s v="UK"/>
    <n v="39751583.5"/>
    <x v="46"/>
    <x v="1"/>
    <s v="Sci-Fi"/>
    <s v="Thriller"/>
    <m/>
    <m/>
    <m/>
    <m/>
    <m/>
  </r>
  <r>
    <x v="453"/>
    <x v="99"/>
    <n v="48334413"/>
    <x v="861"/>
    <x v="0"/>
    <s v="USA"/>
    <n v="39751583.5"/>
    <x v="7"/>
    <x v="5"/>
    <s v="Drama"/>
    <s v="Mystery"/>
    <m/>
    <m/>
    <m/>
    <m/>
    <m/>
  </r>
  <r>
    <x v="453"/>
    <x v="100"/>
    <n v="48334413"/>
    <x v="862"/>
    <x v="0"/>
    <s v="USA"/>
    <n v="39751583.5"/>
    <x v="23"/>
    <x v="0"/>
    <m/>
    <m/>
    <m/>
    <m/>
    <m/>
    <m/>
    <m/>
  </r>
  <r>
    <x v="453"/>
    <x v="99"/>
    <n v="48334413"/>
    <x v="863"/>
    <x v="0"/>
    <s v="USA"/>
    <n v="39751583.5"/>
    <x v="4"/>
    <x v="0"/>
    <s v="Drama"/>
    <s v="Romance"/>
    <m/>
    <m/>
    <m/>
    <m/>
    <m/>
  </r>
  <r>
    <x v="513"/>
    <x v="34"/>
    <n v="48334413"/>
    <x v="864"/>
    <x v="14"/>
    <s v="India"/>
    <n v="39751583.5"/>
    <x v="60"/>
    <x v="4"/>
    <s v="Comedy"/>
    <s v="Romance"/>
    <s v="Thriller"/>
    <m/>
    <m/>
    <m/>
    <m/>
  </r>
  <r>
    <x v="514"/>
    <x v="49"/>
    <n v="48334413"/>
    <x v="865"/>
    <x v="0"/>
    <s v="UK"/>
    <n v="39751583.5"/>
    <x v="6"/>
    <x v="0"/>
    <s v="Drama"/>
    <s v="Romance"/>
    <s v="Sport"/>
    <m/>
    <m/>
    <m/>
    <m/>
  </r>
  <r>
    <x v="453"/>
    <x v="99"/>
    <n v="48334413"/>
    <x v="866"/>
    <x v="0"/>
    <s v="USA"/>
    <n v="39751583.5"/>
    <x v="12"/>
    <x v="0"/>
    <s v="Drama"/>
    <s v="Sci-Fi"/>
    <m/>
    <m/>
    <m/>
    <m/>
    <m/>
  </r>
  <r>
    <x v="515"/>
    <x v="41"/>
    <n v="48334413"/>
    <x v="867"/>
    <x v="0"/>
    <s v="USA"/>
    <n v="39751583.5"/>
    <x v="18"/>
    <x v="5"/>
    <s v="Drama"/>
    <m/>
    <m/>
    <m/>
    <m/>
    <m/>
    <m/>
  </r>
  <r>
    <x v="516"/>
    <x v="54"/>
    <n v="48334413"/>
    <x v="868"/>
    <x v="0"/>
    <s v="USA"/>
    <n v="39751583.5"/>
    <x v="27"/>
    <x v="3"/>
    <s v="Horror"/>
    <s v="Mystery"/>
    <s v="Sci-Fi"/>
    <s v="Thriller"/>
    <m/>
    <m/>
    <m/>
  </r>
  <r>
    <x v="517"/>
    <x v="60"/>
    <n v="48334413"/>
    <x v="869"/>
    <x v="0"/>
    <s v="UK"/>
    <n v="39751583.5"/>
    <x v="34"/>
    <x v="4"/>
    <s v="Comedy"/>
    <s v="Fantasy"/>
    <s v="Horror"/>
    <m/>
    <m/>
    <m/>
    <m/>
  </r>
  <r>
    <x v="518"/>
    <x v="89"/>
    <n v="48334413"/>
    <x v="870"/>
    <x v="0"/>
    <s v="Ireland"/>
    <n v="39751583.5"/>
    <x v="21"/>
    <x v="0"/>
    <s v="Horror"/>
    <m/>
    <m/>
    <m/>
    <m/>
    <m/>
    <m/>
  </r>
  <r>
    <x v="453"/>
    <x v="106"/>
    <n v="48334413"/>
    <x v="871"/>
    <x v="0"/>
    <s v="USA"/>
    <n v="39751583.5"/>
    <x v="4"/>
    <x v="0"/>
    <s v="Drama"/>
    <m/>
    <m/>
    <m/>
    <m/>
    <m/>
    <m/>
  </r>
  <r>
    <x v="519"/>
    <x v="42"/>
    <n v="48334413"/>
    <x v="872"/>
    <x v="6"/>
    <s v="West Germany"/>
    <n v="39751583.5"/>
    <x v="27"/>
    <x v="1"/>
    <s v="Mystery"/>
    <m/>
    <m/>
    <m/>
    <m/>
    <m/>
    <m/>
  </r>
  <r>
    <x v="520"/>
    <x v="89"/>
    <n v="48334413"/>
    <x v="873"/>
    <x v="0"/>
    <s v="New Zealand"/>
    <n v="39751583.5"/>
    <x v="2"/>
    <x v="3"/>
    <m/>
    <m/>
    <m/>
    <m/>
    <m/>
    <m/>
    <m/>
  </r>
  <r>
    <x v="521"/>
    <x v="54"/>
    <n v="48334413"/>
    <x v="874"/>
    <x v="0"/>
    <s v="USA"/>
    <n v="39751583.5"/>
    <x v="11"/>
    <x v="5"/>
    <s v="Drama"/>
    <s v="Film-Noir"/>
    <m/>
    <m/>
    <m/>
    <m/>
    <m/>
  </r>
  <r>
    <x v="522"/>
    <x v="54"/>
    <n v="48334413"/>
    <x v="875"/>
    <x v="0"/>
    <s v="USA"/>
    <n v="39751583.5"/>
    <x v="54"/>
    <x v="0"/>
    <s v="Horror"/>
    <s v="Thriller"/>
    <m/>
    <m/>
    <m/>
    <m/>
    <m/>
  </r>
  <r>
    <x v="523"/>
    <x v="22"/>
    <n v="48334413"/>
    <x v="876"/>
    <x v="0"/>
    <s v="USA"/>
    <n v="39751583.5"/>
    <x v="47"/>
    <x v="1"/>
    <s v="Thriller"/>
    <m/>
    <m/>
    <m/>
    <m/>
    <m/>
    <m/>
  </r>
  <r>
    <x v="524"/>
    <x v="4"/>
    <n v="48334413"/>
    <x v="877"/>
    <x v="0"/>
    <s v="USA"/>
    <n v="39751583.5"/>
    <x v="32"/>
    <x v="1"/>
    <m/>
    <m/>
    <m/>
    <m/>
    <m/>
    <m/>
    <m/>
  </r>
  <r>
    <x v="525"/>
    <x v="20"/>
    <n v="48334413"/>
    <x v="878"/>
    <x v="0"/>
    <s v="USA"/>
    <n v="39751583.5"/>
    <x v="15"/>
    <x v="3"/>
    <s v="Family"/>
    <m/>
    <m/>
    <m/>
    <m/>
    <m/>
    <m/>
  </r>
  <r>
    <x v="453"/>
    <x v="35"/>
    <n v="48334413"/>
    <x v="879"/>
    <x v="0"/>
    <s v="USA"/>
    <n v="39751583.5"/>
    <x v="4"/>
    <x v="4"/>
    <s v="Crime"/>
    <s v="Drama"/>
    <s v="Mystery"/>
    <m/>
    <m/>
    <m/>
    <m/>
  </r>
  <r>
    <x v="453"/>
    <x v="128"/>
    <n v="48334413"/>
    <x v="880"/>
    <x v="0"/>
    <s v="USA"/>
    <n v="39751583.5"/>
    <x v="4"/>
    <x v="3"/>
    <m/>
    <m/>
    <m/>
    <m/>
    <m/>
    <m/>
    <m/>
  </r>
  <r>
    <x v="498"/>
    <x v="39"/>
    <n v="48334413"/>
    <x v="881"/>
    <x v="0"/>
    <s v="USA"/>
    <n v="39751583.5"/>
    <x v="20"/>
    <x v="3"/>
    <s v="Family"/>
    <s v="Fantasy"/>
    <m/>
    <m/>
    <m/>
    <m/>
    <m/>
  </r>
  <r>
    <x v="526"/>
    <x v="60"/>
    <n v="48334413"/>
    <x v="882"/>
    <x v="0"/>
    <s v="USA"/>
    <n v="39751583.5"/>
    <x v="0"/>
    <x v="2"/>
    <s v="Comedy"/>
    <s v="Drama"/>
    <m/>
    <m/>
    <m/>
    <m/>
    <m/>
  </r>
  <r>
    <x v="527"/>
    <x v="120"/>
    <n v="48334413"/>
    <x v="883"/>
    <x v="0"/>
    <s v="USA"/>
    <n v="39751583.5"/>
    <x v="61"/>
    <x v="0"/>
    <m/>
    <m/>
    <m/>
    <m/>
    <m/>
    <m/>
    <m/>
  </r>
  <r>
    <x v="453"/>
    <x v="34"/>
    <n v="48334413"/>
    <x v="884"/>
    <x v="0"/>
    <s v="Australia"/>
    <n v="39751583.5"/>
    <x v="6"/>
    <x v="3"/>
    <s v="Horror"/>
    <s v="Thriller"/>
    <m/>
    <m/>
    <m/>
    <m/>
    <m/>
  </r>
  <r>
    <x v="528"/>
    <x v="37"/>
    <n v="48334413"/>
    <x v="885"/>
    <x v="14"/>
    <s v="India"/>
    <n v="39751583.5"/>
    <x v="31"/>
    <x v="0"/>
    <s v="Drama"/>
    <m/>
    <m/>
    <m/>
    <m/>
    <m/>
    <m/>
  </r>
  <r>
    <x v="405"/>
    <x v="20"/>
    <n v="48334413"/>
    <x v="886"/>
    <x v="0"/>
    <s v="UK"/>
    <n v="39751583.5"/>
    <x v="4"/>
    <x v="3"/>
    <m/>
    <m/>
    <m/>
    <m/>
    <m/>
    <m/>
    <m/>
  </r>
  <r>
    <x v="529"/>
    <x v="31"/>
    <n v="48334413"/>
    <x v="887"/>
    <x v="0"/>
    <s v="USA"/>
    <n v="39751583.5"/>
    <x v="20"/>
    <x v="3"/>
    <m/>
    <m/>
    <m/>
    <m/>
    <m/>
    <m/>
    <m/>
  </r>
  <r>
    <x v="530"/>
    <x v="49"/>
    <n v="48334413"/>
    <x v="888"/>
    <x v="16"/>
    <s v="Spain"/>
    <n v="39751583.5"/>
    <x v="11"/>
    <x v="3"/>
    <s v="Romance"/>
    <m/>
    <m/>
    <m/>
    <m/>
    <m/>
    <m/>
  </r>
  <r>
    <x v="531"/>
    <x v="39"/>
    <n v="48334413"/>
    <x v="889"/>
    <x v="0"/>
    <s v="USA"/>
    <n v="39751583.5"/>
    <x v="47"/>
    <x v="1"/>
    <s v="Thriller"/>
    <m/>
    <m/>
    <m/>
    <m/>
    <m/>
    <m/>
  </r>
  <r>
    <x v="532"/>
    <x v="18"/>
    <n v="48334413"/>
    <x v="890"/>
    <x v="0"/>
    <s v="USA"/>
    <n v="39751583.5"/>
    <x v="6"/>
    <x v="3"/>
    <s v="Romance"/>
    <s v="Sci-Fi"/>
    <m/>
    <m/>
    <m/>
    <m/>
    <m/>
  </r>
  <r>
    <x v="453"/>
    <x v="106"/>
    <n v="48334413"/>
    <x v="891"/>
    <x v="0"/>
    <s v="USA"/>
    <n v="39751583.5"/>
    <x v="1"/>
    <x v="0"/>
    <m/>
    <m/>
    <m/>
    <m/>
    <m/>
    <m/>
    <m/>
  </r>
  <r>
    <x v="533"/>
    <x v="31"/>
    <n v="48334413"/>
    <x v="892"/>
    <x v="0"/>
    <s v="UK"/>
    <n v="39751583.5"/>
    <x v="26"/>
    <x v="14"/>
    <m/>
    <m/>
    <m/>
    <m/>
    <m/>
    <m/>
    <m/>
  </r>
  <r>
    <x v="534"/>
    <x v="129"/>
    <n v="48334413"/>
    <x v="893"/>
    <x v="0"/>
    <s v="USA"/>
    <n v="39751583.5"/>
    <x v="8"/>
    <x v="1"/>
    <s v="Sci-Fi"/>
    <s v="Short"/>
    <s v="Thriller"/>
    <m/>
    <m/>
    <m/>
    <m/>
  </r>
  <r>
    <x v="535"/>
    <x v="34"/>
    <n v="48334413"/>
    <x v="894"/>
    <x v="0"/>
    <s v="USA"/>
    <n v="39751583.5"/>
    <x v="23"/>
    <x v="4"/>
    <s v="Adventure"/>
    <s v="Fantasy"/>
    <s v="Sci-Fi"/>
    <m/>
    <m/>
    <m/>
    <m/>
  </r>
  <r>
    <x v="536"/>
    <x v="60"/>
    <n v="48334413"/>
    <x v="895"/>
    <x v="0"/>
    <s v="USA"/>
    <n v="39751583.5"/>
    <x v="56"/>
    <x v="3"/>
    <s v="Music"/>
    <s v="Romance"/>
    <m/>
    <m/>
    <m/>
    <m/>
    <m/>
  </r>
  <r>
    <x v="537"/>
    <x v="30"/>
    <n v="48334413"/>
    <x v="896"/>
    <x v="1"/>
    <s v="France"/>
    <n v="39751583.5"/>
    <x v="11"/>
    <x v="0"/>
    <s v="Drama"/>
    <m/>
    <m/>
    <m/>
    <m/>
    <m/>
    <m/>
  </r>
  <r>
    <x v="538"/>
    <x v="54"/>
    <n v="48334413"/>
    <x v="897"/>
    <x v="0"/>
    <s v="USA"/>
    <n v="39751583.5"/>
    <x v="18"/>
    <x v="0"/>
    <m/>
    <m/>
    <m/>
    <m/>
    <m/>
    <m/>
    <m/>
  </r>
  <r>
    <x v="539"/>
    <x v="54"/>
    <n v="48334413"/>
    <x v="898"/>
    <x v="0"/>
    <s v="USA"/>
    <n v="39751583.5"/>
    <x v="38"/>
    <x v="3"/>
    <m/>
    <m/>
    <m/>
    <m/>
    <m/>
    <m/>
    <m/>
  </r>
  <r>
    <x v="540"/>
    <x v="18"/>
    <n v="48334413"/>
    <x v="899"/>
    <x v="0"/>
    <s v="UK"/>
    <n v="39751583.5"/>
    <x v="11"/>
    <x v="3"/>
    <s v="Romance"/>
    <m/>
    <m/>
    <m/>
    <m/>
    <m/>
    <m/>
  </r>
  <r>
    <x v="541"/>
    <x v="10"/>
    <n v="48334413"/>
    <x v="900"/>
    <x v="0"/>
    <s v="USA"/>
    <n v="39751583.5"/>
    <x v="31"/>
    <x v="15"/>
    <m/>
    <m/>
    <m/>
    <m/>
    <m/>
    <m/>
    <m/>
  </r>
  <r>
    <x v="542"/>
    <x v="57"/>
    <n v="48334413"/>
    <x v="901"/>
    <x v="0"/>
    <s v="USA"/>
    <n v="39751583.5"/>
    <x v="62"/>
    <x v="4"/>
    <s v="Mystery"/>
    <s v="Thriller"/>
    <m/>
    <m/>
    <m/>
    <m/>
    <m/>
  </r>
  <r>
    <x v="543"/>
    <x v="10"/>
    <n v="48334413"/>
    <x v="902"/>
    <x v="0"/>
    <s v="USA"/>
    <n v="39751583.5"/>
    <x v="25"/>
    <x v="0"/>
    <s v="Mystery"/>
    <s v="Thriller"/>
    <m/>
    <m/>
    <m/>
    <m/>
    <m/>
  </r>
  <r>
    <x v="544"/>
    <x v="81"/>
    <n v="48334413"/>
    <x v="903"/>
    <x v="0"/>
    <s v="USA"/>
    <n v="39751583.5"/>
    <x v="30"/>
    <x v="3"/>
    <s v="Horror"/>
    <s v="Mystery"/>
    <s v="Thriller"/>
    <m/>
    <m/>
    <m/>
    <m/>
  </r>
  <r>
    <x v="453"/>
    <x v="99"/>
    <n v="48334413"/>
    <x v="904"/>
    <x v="0"/>
    <s v="USA"/>
    <n v="39751583.5"/>
    <x v="5"/>
    <x v="3"/>
    <s v="Fantasy"/>
    <s v="Sci-Fi"/>
    <s v="Thriller"/>
    <m/>
    <m/>
    <m/>
    <m/>
  </r>
  <r>
    <x v="453"/>
    <x v="100"/>
    <n v="48334413"/>
    <x v="905"/>
    <x v="0"/>
    <s v="USA"/>
    <n v="39751583.5"/>
    <x v="40"/>
    <x v="7"/>
    <s v="Comedy"/>
    <s v="Drama"/>
    <m/>
    <m/>
    <m/>
    <m/>
    <m/>
  </r>
  <r>
    <x v="453"/>
    <x v="104"/>
    <n v="48334413"/>
    <x v="906"/>
    <x v="0"/>
    <s v="USA"/>
    <n v="39751583.5"/>
    <x v="15"/>
    <x v="4"/>
    <s v="Adventure"/>
    <s v="Drama"/>
    <s v="Sci-Fi"/>
    <m/>
    <m/>
    <m/>
    <m/>
  </r>
  <r>
    <x v="545"/>
    <x v="58"/>
    <n v="48334413"/>
    <x v="907"/>
    <x v="0"/>
    <s v="UK"/>
    <n v="39751583.5"/>
    <x v="37"/>
    <x v="3"/>
    <m/>
    <m/>
    <m/>
    <m/>
    <m/>
    <m/>
    <m/>
  </r>
  <r>
    <x v="546"/>
    <x v="20"/>
    <n v="48334413"/>
    <x v="908"/>
    <x v="0"/>
    <s v="USA"/>
    <n v="39751583.5"/>
    <x v="36"/>
    <x v="1"/>
    <m/>
    <m/>
    <m/>
    <m/>
    <m/>
    <m/>
    <m/>
  </r>
  <r>
    <x v="453"/>
    <x v="130"/>
    <n v="48334413"/>
    <x v="909"/>
    <x v="0"/>
    <s v="UK"/>
    <n v="39751583.5"/>
    <x v="42"/>
    <x v="5"/>
    <s v="Drama"/>
    <m/>
    <m/>
    <m/>
    <m/>
    <m/>
    <m/>
  </r>
  <r>
    <x v="547"/>
    <x v="89"/>
    <n v="48334413"/>
    <x v="910"/>
    <x v="0"/>
    <s v="USA"/>
    <n v="39751583.5"/>
    <x v="26"/>
    <x v="3"/>
    <m/>
    <m/>
    <m/>
    <m/>
    <m/>
    <m/>
    <m/>
  </r>
  <r>
    <x v="548"/>
    <x v="43"/>
    <n v="48334413"/>
    <x v="911"/>
    <x v="0"/>
    <s v="UK"/>
    <n v="39751583.5"/>
    <x v="26"/>
    <x v="12"/>
    <s v="Thriller"/>
    <m/>
    <m/>
    <m/>
    <m/>
    <m/>
    <m/>
  </r>
  <r>
    <x v="549"/>
    <x v="31"/>
    <n v="48334413"/>
    <x v="912"/>
    <x v="0"/>
    <s v="USA"/>
    <n v="39751583.5"/>
    <x v="63"/>
    <x v="3"/>
    <s v="Musical"/>
    <m/>
    <m/>
    <m/>
    <m/>
    <m/>
    <m/>
  </r>
  <r>
    <x v="550"/>
    <x v="34"/>
    <n v="48334413"/>
    <x v="913"/>
    <x v="0"/>
    <s v="USA"/>
    <n v="39751583.5"/>
    <x v="14"/>
    <x v="4"/>
    <s v="Drama"/>
    <s v="Fantasy"/>
    <s v="Sci-Fi"/>
    <m/>
    <m/>
    <m/>
    <m/>
  </r>
  <r>
    <x v="551"/>
    <x v="131"/>
    <n v="48334413"/>
    <x v="914"/>
    <x v="0"/>
    <s v="USA"/>
    <n v="39751583.5"/>
    <x v="26"/>
    <x v="0"/>
    <s v="Short"/>
    <m/>
    <m/>
    <m/>
    <m/>
    <m/>
    <m/>
  </r>
  <r>
    <x v="552"/>
    <x v="7"/>
    <n v="48334413"/>
    <x v="915"/>
    <x v="0"/>
    <s v="USA"/>
    <n v="39751583.5"/>
    <x v="36"/>
    <x v="5"/>
    <s v="Drama"/>
    <m/>
    <m/>
    <m/>
    <m/>
    <m/>
    <m/>
  </r>
  <r>
    <x v="553"/>
    <x v="56"/>
    <n v="48334413"/>
    <x v="916"/>
    <x v="0"/>
    <s v="USA"/>
    <n v="39751583.5"/>
    <x v="9"/>
    <x v="0"/>
    <s v="Horror"/>
    <s v="Mystery"/>
    <s v="Thriller"/>
    <m/>
    <m/>
    <m/>
    <m/>
  </r>
  <r>
    <x v="554"/>
    <x v="59"/>
    <n v="48334413"/>
    <x v="917"/>
    <x v="15"/>
    <s v="Denmark"/>
    <n v="39751583.5"/>
    <x v="23"/>
    <x v="3"/>
    <s v="Fantasy"/>
    <m/>
    <m/>
    <m/>
    <m/>
    <m/>
    <m/>
  </r>
  <r>
    <x v="555"/>
    <x v="31"/>
    <n v="48334413"/>
    <x v="918"/>
    <x v="0"/>
    <s v="USA"/>
    <n v="39751583.5"/>
    <x v="2"/>
    <x v="3"/>
    <s v="Sci-Fi"/>
    <s v="Thriller"/>
    <m/>
    <m/>
    <m/>
    <m/>
    <m/>
  </r>
  <r>
    <x v="556"/>
    <x v="89"/>
    <n v="48334413"/>
    <x v="919"/>
    <x v="0"/>
    <s v="UK"/>
    <n v="39751583.5"/>
    <x v="18"/>
    <x v="1"/>
    <m/>
    <m/>
    <m/>
    <m/>
    <m/>
    <m/>
    <m/>
  </r>
  <r>
    <x v="557"/>
    <x v="1"/>
    <n v="48334413"/>
    <x v="920"/>
    <x v="0"/>
    <s v="USA"/>
    <n v="39751583.5"/>
    <x v="6"/>
    <x v="4"/>
    <s v="Drama"/>
    <s v="Sport"/>
    <m/>
    <m/>
    <m/>
    <m/>
    <m/>
  </r>
  <r>
    <x v="558"/>
    <x v="93"/>
    <n v="48334413"/>
    <x v="921"/>
    <x v="0"/>
    <s v="USA"/>
    <n v="39751583.5"/>
    <x v="6"/>
    <x v="5"/>
    <s v="Drama"/>
    <m/>
    <m/>
    <m/>
    <m/>
    <m/>
    <m/>
  </r>
  <r>
    <x v="559"/>
    <x v="40"/>
    <n v="48334413"/>
    <x v="922"/>
    <x v="0"/>
    <s v="USA"/>
    <n v="39751583.5"/>
    <x v="9"/>
    <x v="5"/>
    <s v="Horror"/>
    <s v="Thriller"/>
    <m/>
    <m/>
    <m/>
    <m/>
    <m/>
  </r>
  <r>
    <x v="560"/>
    <x v="54"/>
    <n v="48334413"/>
    <x v="923"/>
    <x v="0"/>
    <s v="USA"/>
    <n v="39751583.5"/>
    <x v="2"/>
    <x v="0"/>
    <m/>
    <m/>
    <m/>
    <m/>
    <m/>
    <m/>
    <m/>
  </r>
  <r>
    <x v="561"/>
    <x v="39"/>
    <n v="48334413"/>
    <x v="924"/>
    <x v="0"/>
    <s v="Canada"/>
    <n v="39751583.5"/>
    <x v="15"/>
    <x v="5"/>
    <s v="Drama"/>
    <s v="Thriller"/>
    <m/>
    <m/>
    <m/>
    <m/>
    <m/>
  </r>
  <r>
    <x v="562"/>
    <x v="4"/>
    <n v="48334413"/>
    <x v="925"/>
    <x v="17"/>
    <s v="Brazil"/>
    <n v="39751583.5"/>
    <x v="16"/>
    <x v="0"/>
    <s v="Drama"/>
    <s v="Romance"/>
    <m/>
    <m/>
    <m/>
    <m/>
    <m/>
  </r>
  <r>
    <x v="563"/>
    <x v="34"/>
    <n v="48334413"/>
    <x v="926"/>
    <x v="0"/>
    <s v="USA"/>
    <n v="39751583.5"/>
    <x v="47"/>
    <x v="0"/>
    <s v="Drama"/>
    <m/>
    <m/>
    <m/>
    <m/>
    <m/>
    <m/>
  </r>
  <r>
    <x v="564"/>
    <x v="17"/>
    <n v="48334413"/>
    <x v="927"/>
    <x v="0"/>
    <s v="USA"/>
    <n v="39751583.5"/>
    <x v="26"/>
    <x v="0"/>
    <m/>
    <m/>
    <m/>
    <m/>
    <m/>
    <m/>
    <m/>
  </r>
  <r>
    <x v="564"/>
    <x v="63"/>
    <n v="48334413"/>
    <x v="928"/>
    <x v="0"/>
    <s v="USA"/>
    <n v="39751583.5"/>
    <x v="16"/>
    <x v="0"/>
    <s v="Drama"/>
    <m/>
    <m/>
    <m/>
    <m/>
    <m/>
    <m/>
  </r>
  <r>
    <x v="565"/>
    <x v="42"/>
    <n v="48334413"/>
    <x v="929"/>
    <x v="0"/>
    <s v="Canada"/>
    <n v="39751583.5"/>
    <x v="2"/>
    <x v="4"/>
    <s v="Crime"/>
    <s v="Thriller"/>
    <m/>
    <m/>
    <m/>
    <m/>
    <m/>
  </r>
  <r>
    <x v="566"/>
    <x v="50"/>
    <n v="48334413"/>
    <x v="930"/>
    <x v="0"/>
    <s v="USA"/>
    <n v="39751583.5"/>
    <x v="28"/>
    <x v="1"/>
    <s v="Mystery"/>
    <s v="Thriller"/>
    <m/>
    <m/>
    <m/>
    <m/>
    <m/>
  </r>
  <r>
    <x v="567"/>
    <x v="3"/>
    <n v="48334413"/>
    <x v="931"/>
    <x v="0"/>
    <s v="USA"/>
    <n v="39751583.5"/>
    <x v="0"/>
    <x v="3"/>
    <m/>
    <m/>
    <m/>
    <m/>
    <m/>
    <m/>
    <m/>
  </r>
  <r>
    <x v="568"/>
    <x v="1"/>
    <n v="48334413"/>
    <x v="932"/>
    <x v="0"/>
    <s v="USA"/>
    <n v="39751583.5"/>
    <x v="16"/>
    <x v="5"/>
    <s v="Drama"/>
    <m/>
    <m/>
    <m/>
    <m/>
    <m/>
    <m/>
  </r>
  <r>
    <x v="569"/>
    <x v="54"/>
    <n v="48334413"/>
    <x v="933"/>
    <x v="0"/>
    <s v="Canada"/>
    <n v="39751583.5"/>
    <x v="5"/>
    <x v="0"/>
    <s v="Drama"/>
    <m/>
    <m/>
    <m/>
    <m/>
    <m/>
    <m/>
  </r>
  <r>
    <x v="453"/>
    <x v="104"/>
    <n v="48334413"/>
    <x v="934"/>
    <x v="0"/>
    <s v="USA"/>
    <n v="39751583.5"/>
    <x v="31"/>
    <x v="5"/>
    <s v="Drama"/>
    <s v="Mystery"/>
    <s v="Thriller"/>
    <m/>
    <m/>
    <m/>
    <m/>
  </r>
  <r>
    <x v="570"/>
    <x v="0"/>
    <n v="48334413"/>
    <x v="935"/>
    <x v="0"/>
    <s v="Italy"/>
    <n v="38000000"/>
    <x v="46"/>
    <x v="2"/>
    <s v="Comedy"/>
    <s v="History"/>
    <s v="Romance"/>
    <m/>
    <m/>
    <m/>
    <m/>
  </r>
  <r>
    <x v="571"/>
    <x v="75"/>
    <n v="48334413"/>
    <x v="936"/>
    <x v="0"/>
    <s v="Libya"/>
    <n v="35000000"/>
    <x v="39"/>
    <x v="6"/>
    <s v="Drama"/>
    <s v="History"/>
    <s v="War"/>
    <m/>
    <m/>
    <m/>
    <m/>
  </r>
  <r>
    <x v="572"/>
    <x v="132"/>
    <n v="48334413"/>
    <x v="937"/>
    <x v="0"/>
    <s v="USA"/>
    <n v="35000000"/>
    <x v="31"/>
    <x v="6"/>
    <s v="Drama"/>
    <s v="History"/>
    <s v="Romance"/>
    <m/>
    <m/>
    <m/>
    <m/>
  </r>
  <r>
    <x v="72"/>
    <x v="78"/>
    <n v="48334413"/>
    <x v="938"/>
    <x v="0"/>
    <s v="USA"/>
    <n v="35000000"/>
    <x v="1"/>
    <x v="4"/>
    <s v="Comedy"/>
    <s v="War"/>
    <m/>
    <m/>
    <m/>
    <m/>
    <m/>
  </r>
  <r>
    <x v="453"/>
    <x v="105"/>
    <n v="48334413"/>
    <x v="939"/>
    <x v="0"/>
    <s v="Norway"/>
    <n v="34000000"/>
    <x v="23"/>
    <x v="0"/>
    <s v="Crime"/>
    <s v="Drama"/>
    <m/>
    <m/>
    <m/>
    <m/>
    <m/>
  </r>
  <r>
    <x v="573"/>
    <x v="31"/>
    <n v="48334413"/>
    <x v="940"/>
    <x v="0"/>
    <s v="France"/>
    <n v="32000000"/>
    <x v="21"/>
    <x v="4"/>
    <s v="Comedy"/>
    <s v="Crime"/>
    <s v="Western"/>
    <m/>
    <m/>
    <m/>
    <m/>
  </r>
  <r>
    <x v="574"/>
    <x v="31"/>
    <n v="48334413"/>
    <x v="941"/>
    <x v="0"/>
    <s v="USA"/>
    <n v="32000000"/>
    <x v="21"/>
    <x v="4"/>
    <s v="Adventure"/>
    <s v="Comedy"/>
    <s v="Fantasy"/>
    <s v="Romance"/>
    <m/>
    <m/>
    <m/>
  </r>
  <r>
    <x v="575"/>
    <x v="31"/>
    <n v="48334413"/>
    <x v="942"/>
    <x v="0"/>
    <s v="Australia"/>
    <n v="30000000"/>
    <x v="34"/>
    <x v="4"/>
    <s v="Horror"/>
    <s v="Sci-Fi"/>
    <m/>
    <m/>
    <m/>
    <m/>
    <m/>
  </r>
  <r>
    <x v="56"/>
    <x v="22"/>
    <n v="48334413"/>
    <x v="943"/>
    <x v="0"/>
    <s v="USA"/>
    <n v="30000000"/>
    <x v="37"/>
    <x v="4"/>
    <s v="Crime"/>
    <s v="Drama"/>
    <s v="Thriller"/>
    <m/>
    <m/>
    <m/>
    <m/>
  </r>
  <r>
    <x v="576"/>
    <x v="36"/>
    <n v="48334413"/>
    <x v="944"/>
    <x v="0"/>
    <s v="Germany"/>
    <n v="30000000"/>
    <x v="6"/>
    <x v="6"/>
    <s v="Drama"/>
    <s v="History"/>
    <m/>
    <m/>
    <m/>
    <m/>
    <m/>
  </r>
  <r>
    <x v="577"/>
    <x v="18"/>
    <n v="48334413"/>
    <x v="945"/>
    <x v="0"/>
    <s v="Switzerland"/>
    <n v="30000000"/>
    <x v="21"/>
    <x v="6"/>
    <s v="Drama"/>
    <s v="Romance"/>
    <m/>
    <m/>
    <m/>
    <m/>
    <m/>
  </r>
  <r>
    <x v="578"/>
    <x v="63"/>
    <n v="48334413"/>
    <x v="946"/>
    <x v="18"/>
    <s v="Russia"/>
    <n v="30000000"/>
    <x v="30"/>
    <x v="2"/>
    <s v="Animation"/>
    <s v="Fantasy"/>
    <m/>
    <m/>
    <m/>
    <m/>
    <m/>
  </r>
  <r>
    <x v="579"/>
    <x v="28"/>
    <n v="48334413"/>
    <x v="947"/>
    <x v="0"/>
    <s v="Italy"/>
    <n v="30000000"/>
    <x v="15"/>
    <x v="5"/>
    <s v="Drama"/>
    <s v="Mystery"/>
    <s v="Thriller"/>
    <m/>
    <m/>
    <m/>
    <m/>
  </r>
  <r>
    <x v="580"/>
    <x v="61"/>
    <n v="48334413"/>
    <x v="948"/>
    <x v="4"/>
    <s v="Japan"/>
    <n v="30000000"/>
    <x v="20"/>
    <x v="2"/>
    <s v="Animation"/>
    <s v="Sci-Fi"/>
    <m/>
    <m/>
    <m/>
    <m/>
    <m/>
  </r>
  <r>
    <x v="581"/>
    <x v="61"/>
    <n v="48334413"/>
    <x v="949"/>
    <x v="18"/>
    <s v="Russia"/>
    <n v="29500000"/>
    <x v="48"/>
    <x v="4"/>
    <s v="Adventure"/>
    <s v="Sci-Fi"/>
    <m/>
    <m/>
    <m/>
    <m/>
    <m/>
  </r>
  <r>
    <x v="185"/>
    <x v="8"/>
    <n v="48334413"/>
    <x v="950"/>
    <x v="0"/>
    <s v="USA"/>
    <n v="29000000"/>
    <x v="6"/>
    <x v="6"/>
    <s v="Comedy"/>
    <s v="Crime"/>
    <s v="Drama"/>
    <s v="Romance"/>
    <s v="Thriller"/>
    <m/>
    <m/>
  </r>
  <r>
    <x v="346"/>
    <x v="28"/>
    <n v="48334413"/>
    <x v="951"/>
    <x v="0"/>
    <s v="UK"/>
    <n v="29000000"/>
    <x v="6"/>
    <x v="6"/>
    <s v="Comedy"/>
    <s v="Drama"/>
    <s v="Music"/>
    <s v="Romance"/>
    <m/>
    <m/>
    <m/>
  </r>
  <r>
    <x v="582"/>
    <x v="51"/>
    <n v="48334413"/>
    <x v="952"/>
    <x v="0"/>
    <s v="USA"/>
    <n v="27220000"/>
    <x v="16"/>
    <x v="5"/>
    <s v="Drama"/>
    <s v="Mystery"/>
    <s v="Thriller"/>
    <m/>
    <m/>
    <m/>
    <m/>
  </r>
  <r>
    <x v="583"/>
    <x v="12"/>
    <n v="48334413"/>
    <x v="953"/>
    <x v="0"/>
    <s v="UK"/>
    <n v="27000000"/>
    <x v="27"/>
    <x v="4"/>
    <s v="Adventure"/>
    <s v="Fantasy"/>
    <m/>
    <m/>
    <m/>
    <m/>
    <m/>
  </r>
  <r>
    <x v="253"/>
    <x v="20"/>
    <n v="48334413"/>
    <x v="954"/>
    <x v="0"/>
    <s v="West Germany"/>
    <n v="27000000"/>
    <x v="7"/>
    <x v="2"/>
    <s v="Drama"/>
    <s v="Family"/>
    <s v="Fantasy"/>
    <m/>
    <m/>
    <m/>
    <m/>
  </r>
  <r>
    <x v="421"/>
    <x v="74"/>
    <n v="48334413"/>
    <x v="955"/>
    <x v="0"/>
    <s v="France"/>
    <n v="27000000"/>
    <x v="24"/>
    <x v="3"/>
    <s v="Musical"/>
    <s v="Romance"/>
    <m/>
    <m/>
    <m/>
    <m/>
    <m/>
  </r>
  <r>
    <x v="584"/>
    <x v="10"/>
    <n v="48334413"/>
    <x v="956"/>
    <x v="0"/>
    <s v="USA"/>
    <n v="27000000"/>
    <x v="38"/>
    <x v="4"/>
    <s v="Drama"/>
    <m/>
    <m/>
    <m/>
    <m/>
    <m/>
    <m/>
  </r>
  <r>
    <x v="585"/>
    <x v="41"/>
    <n v="48334413"/>
    <x v="957"/>
    <x v="0"/>
    <s v="USA"/>
    <n v="26000000"/>
    <x v="2"/>
    <x v="8"/>
    <s v="Horror"/>
    <m/>
    <m/>
    <m/>
    <m/>
    <m/>
    <m/>
  </r>
  <r>
    <x v="86"/>
    <x v="41"/>
    <n v="48334413"/>
    <x v="958"/>
    <x v="0"/>
    <s v="USA"/>
    <n v="26000000"/>
    <x v="56"/>
    <x v="0"/>
    <s v="Romance"/>
    <m/>
    <m/>
    <m/>
    <m/>
    <m/>
    <m/>
  </r>
  <r>
    <x v="586"/>
    <x v="34"/>
    <n v="48334413"/>
    <x v="959"/>
    <x v="18"/>
    <s v="Russia"/>
    <n v="26000000"/>
    <x v="18"/>
    <x v="2"/>
    <s v="Fantasy"/>
    <s v="Mystery"/>
    <s v="Thriller"/>
    <m/>
    <m/>
    <m/>
    <m/>
  </r>
  <r>
    <x v="587"/>
    <x v="10"/>
    <n v="48334413"/>
    <x v="960"/>
    <x v="1"/>
    <s v="France"/>
    <n v="25000000"/>
    <x v="9"/>
    <x v="2"/>
    <s v="Animation"/>
    <s v="Comedy"/>
    <s v="Fantasy"/>
    <s v="Music"/>
    <s v="Romance"/>
    <m/>
    <m/>
  </r>
  <r>
    <x v="588"/>
    <x v="17"/>
    <n v="48334413"/>
    <x v="961"/>
    <x v="0"/>
    <s v="UK"/>
    <n v="25000000"/>
    <x v="15"/>
    <x v="2"/>
    <s v="Family"/>
    <s v="Fantasy"/>
    <s v="Horror"/>
    <s v="Mystery"/>
    <m/>
    <m/>
    <m/>
  </r>
  <r>
    <x v="191"/>
    <x v="43"/>
    <n v="48334413"/>
    <x v="962"/>
    <x v="0"/>
    <s v="UK"/>
    <n v="25000000"/>
    <x v="0"/>
    <x v="4"/>
    <s v="Horror"/>
    <s v="Sci-Fi"/>
    <s v="Thriller"/>
    <m/>
    <m/>
    <m/>
    <m/>
  </r>
  <r>
    <x v="589"/>
    <x v="24"/>
    <n v="48334413"/>
    <x v="963"/>
    <x v="0"/>
    <s v="UK"/>
    <n v="25000000"/>
    <x v="46"/>
    <x v="2"/>
    <s v="Fantasy"/>
    <m/>
    <m/>
    <m/>
    <m/>
    <m/>
    <m/>
  </r>
  <r>
    <x v="590"/>
    <x v="42"/>
    <n v="48334413"/>
    <x v="964"/>
    <x v="0"/>
    <s v="France"/>
    <n v="25000000"/>
    <x v="11"/>
    <x v="0"/>
    <s v="Drama"/>
    <m/>
    <m/>
    <m/>
    <m/>
    <m/>
    <m/>
  </r>
  <r>
    <x v="591"/>
    <x v="42"/>
    <n v="48334413"/>
    <x v="965"/>
    <x v="0"/>
    <s v="France"/>
    <n v="25000000"/>
    <x v="64"/>
    <x v="2"/>
    <s v="Animation"/>
    <s v="Comedy"/>
    <m/>
    <m/>
    <m/>
    <m/>
    <m/>
  </r>
  <r>
    <x v="592"/>
    <x v="63"/>
    <n v="48334413"/>
    <x v="966"/>
    <x v="18"/>
    <s v="Russia"/>
    <n v="25000000"/>
    <x v="34"/>
    <x v="2"/>
    <s v="Animation"/>
    <s v="Comedy"/>
    <s v="Family"/>
    <m/>
    <m/>
    <m/>
    <m/>
  </r>
  <r>
    <x v="593"/>
    <x v="64"/>
    <n v="48334413"/>
    <x v="967"/>
    <x v="0"/>
    <s v="UK"/>
    <n v="25000000"/>
    <x v="8"/>
    <x v="4"/>
    <s v="Adventure"/>
    <s v="History"/>
    <s v="Romance"/>
    <m/>
    <m/>
    <m/>
    <m/>
  </r>
  <r>
    <x v="594"/>
    <x v="16"/>
    <n v="48334413"/>
    <x v="968"/>
    <x v="0"/>
    <s v="Italy"/>
    <n v="25000000"/>
    <x v="4"/>
    <x v="4"/>
    <s v="Drama"/>
    <s v="History"/>
    <s v="War"/>
    <m/>
    <m/>
    <m/>
    <m/>
  </r>
  <r>
    <x v="595"/>
    <x v="41"/>
    <n v="48334413"/>
    <x v="969"/>
    <x v="0"/>
    <s v="USA"/>
    <n v="25000000"/>
    <x v="30"/>
    <x v="4"/>
    <s v="Thriller"/>
    <m/>
    <m/>
    <m/>
    <m/>
    <m/>
    <m/>
  </r>
  <r>
    <x v="596"/>
    <x v="30"/>
    <n v="48334413"/>
    <x v="970"/>
    <x v="7"/>
    <s v="China"/>
    <n v="25000000"/>
    <x v="8"/>
    <x v="4"/>
    <s v="Drama"/>
    <s v="History"/>
    <s v="War"/>
    <m/>
    <m/>
    <m/>
    <m/>
  </r>
  <r>
    <x v="597"/>
    <x v="133"/>
    <n v="48334413"/>
    <x v="971"/>
    <x v="11"/>
    <s v="Sweden"/>
    <n v="25000000"/>
    <x v="24"/>
    <x v="4"/>
    <s v="Adventure"/>
    <s v="Drama"/>
    <s v="Romance"/>
    <s v="War"/>
    <m/>
    <m/>
    <m/>
  </r>
  <r>
    <x v="598"/>
    <x v="28"/>
    <n v="48334413"/>
    <x v="972"/>
    <x v="0"/>
    <s v="France"/>
    <n v="24000000"/>
    <x v="65"/>
    <x v="3"/>
    <s v="History"/>
    <s v="Sport"/>
    <m/>
    <m/>
    <m/>
    <m/>
    <m/>
  </r>
  <r>
    <x v="599"/>
    <x v="80"/>
    <n v="48334413"/>
    <x v="973"/>
    <x v="16"/>
    <s v="Spain"/>
    <n v="24000000"/>
    <x v="0"/>
    <x v="2"/>
    <s v="Drama"/>
    <s v="History"/>
    <s v="Romance"/>
    <s v="Thriller"/>
    <s v="War"/>
    <m/>
    <m/>
  </r>
  <r>
    <x v="600"/>
    <x v="34"/>
    <n v="48334413"/>
    <x v="974"/>
    <x v="0"/>
    <s v="USA"/>
    <n v="23000000"/>
    <x v="11"/>
    <x v="5"/>
    <s v="Drama"/>
    <m/>
    <m/>
    <m/>
    <m/>
    <m/>
    <m/>
  </r>
  <r>
    <x v="601"/>
    <x v="29"/>
    <n v="48334413"/>
    <x v="975"/>
    <x v="7"/>
    <s v="China"/>
    <n v="23000000"/>
    <x v="26"/>
    <x v="4"/>
    <s v="Drama"/>
    <s v="History"/>
    <m/>
    <m/>
    <m/>
    <m/>
    <m/>
  </r>
  <r>
    <x v="415"/>
    <x v="123"/>
    <n v="48334413"/>
    <x v="976"/>
    <x v="0"/>
    <s v="UK"/>
    <n v="22000000"/>
    <x v="23"/>
    <x v="6"/>
    <s v="Drama"/>
    <s v="History"/>
    <m/>
    <m/>
    <m/>
    <m/>
    <m/>
  </r>
  <r>
    <x v="602"/>
    <x v="40"/>
    <n v="48334413"/>
    <x v="977"/>
    <x v="16"/>
    <s v="Spain"/>
    <n v="22000000"/>
    <x v="15"/>
    <x v="2"/>
    <s v="Animation"/>
    <s v="Family"/>
    <s v="Sport"/>
    <m/>
    <m/>
    <m/>
    <m/>
  </r>
  <r>
    <x v="603"/>
    <x v="0"/>
    <n v="48334413"/>
    <x v="978"/>
    <x v="0"/>
    <s v="USA"/>
    <n v="22000000"/>
    <x v="1"/>
    <x v="4"/>
    <s v="Crime"/>
    <s v="Thriller"/>
    <m/>
    <m/>
    <m/>
    <m/>
    <m/>
  </r>
  <r>
    <x v="604"/>
    <x v="11"/>
    <n v="48334413"/>
    <x v="979"/>
    <x v="0"/>
    <s v="UK"/>
    <n v="20000000"/>
    <x v="16"/>
    <x v="4"/>
    <s v="Adventure"/>
    <s v="Sci-Fi"/>
    <m/>
    <m/>
    <m/>
    <m/>
    <m/>
  </r>
  <r>
    <x v="605"/>
    <x v="1"/>
    <n v="48334413"/>
    <x v="980"/>
    <x v="0"/>
    <s v="USA"/>
    <n v="20000000"/>
    <x v="1"/>
    <x v="4"/>
    <s v="Sci-Fi"/>
    <m/>
    <m/>
    <m/>
    <m/>
    <m/>
    <m/>
  </r>
  <r>
    <x v="606"/>
    <x v="27"/>
    <n v="48334413"/>
    <x v="981"/>
    <x v="0"/>
    <s v="USA"/>
    <n v="20000000"/>
    <x v="15"/>
    <x v="0"/>
    <s v="Drama"/>
    <s v="Musical"/>
    <s v="Romance"/>
    <s v="Western"/>
    <m/>
    <m/>
    <m/>
  </r>
  <r>
    <x v="195"/>
    <x v="64"/>
    <n v="48334413"/>
    <x v="982"/>
    <x v="0"/>
    <s v="USA"/>
    <n v="20000000"/>
    <x v="14"/>
    <x v="2"/>
    <s v="Comedy"/>
    <s v="Drama"/>
    <s v="Fantasy"/>
    <m/>
    <m/>
    <m/>
    <m/>
  </r>
  <r>
    <x v="456"/>
    <x v="47"/>
    <n v="48334413"/>
    <x v="983"/>
    <x v="0"/>
    <s v="USA"/>
    <n v="20000000"/>
    <x v="14"/>
    <x v="0"/>
    <s v="Drama"/>
    <s v="Music"/>
    <s v="Musical"/>
    <s v="Romance"/>
    <m/>
    <m/>
    <m/>
  </r>
  <r>
    <x v="607"/>
    <x v="58"/>
    <n v="48334413"/>
    <x v="984"/>
    <x v="0"/>
    <s v="Canada"/>
    <n v="20000000"/>
    <x v="20"/>
    <x v="3"/>
    <s v="History"/>
    <s v="Romance"/>
    <s v="War"/>
    <m/>
    <m/>
    <m/>
    <m/>
  </r>
  <r>
    <x v="608"/>
    <x v="1"/>
    <n v="48334413"/>
    <x v="985"/>
    <x v="0"/>
    <s v="UK"/>
    <n v="20000000"/>
    <x v="15"/>
    <x v="5"/>
    <s v="Drama"/>
    <s v="Thriller"/>
    <m/>
    <m/>
    <m/>
    <m/>
    <m/>
  </r>
  <r>
    <x v="609"/>
    <x v="39"/>
    <n v="48334413"/>
    <x v="986"/>
    <x v="0"/>
    <s v="South Africa"/>
    <n v="20000000"/>
    <x v="19"/>
    <x v="2"/>
    <s v="Animation"/>
    <s v="Comedy"/>
    <s v="Family"/>
    <m/>
    <m/>
    <m/>
    <m/>
  </r>
  <r>
    <x v="610"/>
    <x v="1"/>
    <n v="48334413"/>
    <x v="987"/>
    <x v="0"/>
    <s v="USA"/>
    <n v="20000000"/>
    <x v="46"/>
    <x v="7"/>
    <m/>
    <m/>
    <m/>
    <m/>
    <m/>
    <m/>
    <m/>
  </r>
  <r>
    <x v="611"/>
    <x v="51"/>
    <n v="48334413"/>
    <x v="988"/>
    <x v="0"/>
    <s v="Panama"/>
    <n v="20000000"/>
    <x v="11"/>
    <x v="4"/>
    <s v="Biography"/>
    <s v="Drama"/>
    <s v="Sport"/>
    <m/>
    <m/>
    <m/>
    <m/>
  </r>
  <r>
    <x v="236"/>
    <x v="49"/>
    <n v="48334413"/>
    <x v="989"/>
    <x v="0"/>
    <s v="USA"/>
    <n v="20000000"/>
    <x v="37"/>
    <x v="4"/>
    <s v="Crime"/>
    <s v="Thriller"/>
    <m/>
    <m/>
    <m/>
    <m/>
    <m/>
  </r>
  <r>
    <x v="612"/>
    <x v="63"/>
    <n v="48334413"/>
    <x v="990"/>
    <x v="0"/>
    <s v="South Africa"/>
    <n v="20000000"/>
    <x v="19"/>
    <x v="2"/>
    <s v="Animation"/>
    <s v="Family"/>
    <m/>
    <m/>
    <m/>
    <m/>
    <m/>
  </r>
  <r>
    <x v="613"/>
    <x v="11"/>
    <n v="48334413"/>
    <x v="991"/>
    <x v="0"/>
    <s v="USA"/>
    <n v="19500000"/>
    <x v="8"/>
    <x v="5"/>
    <s v="Drama"/>
    <s v="Mystery"/>
    <s v="Thriller"/>
    <m/>
    <m/>
    <m/>
    <s v="Thriller"/>
  </r>
  <r>
    <x v="614"/>
    <x v="31"/>
    <n v="48334413"/>
    <x v="992"/>
    <x v="0"/>
    <s v="USA"/>
    <n v="19000000"/>
    <x v="0"/>
    <x v="4"/>
    <s v="Crime"/>
    <s v="Thriller"/>
    <m/>
    <m/>
    <m/>
    <m/>
    <m/>
  </r>
  <r>
    <x v="615"/>
    <x v="56"/>
    <n v="48334413"/>
    <x v="993"/>
    <x v="0"/>
    <s v="USA"/>
    <n v="19000000"/>
    <x v="31"/>
    <x v="2"/>
    <s v="Animation"/>
    <s v="Comedy"/>
    <s v="Fantasy"/>
    <m/>
    <m/>
    <m/>
    <m/>
  </r>
  <r>
    <x v="338"/>
    <x v="70"/>
    <n v="48334413"/>
    <x v="994"/>
    <x v="0"/>
    <s v="USA"/>
    <n v="19000000"/>
    <x v="39"/>
    <x v="3"/>
    <s v="Horror"/>
    <m/>
    <m/>
    <m/>
    <m/>
    <m/>
    <m/>
  </r>
  <r>
    <x v="616"/>
    <x v="134"/>
    <n v="48334413"/>
    <x v="995"/>
    <x v="0"/>
    <s v="USA"/>
    <n v="19000000"/>
    <x v="15"/>
    <x v="3"/>
    <s v="History"/>
    <s v="War"/>
    <m/>
    <m/>
    <m/>
    <m/>
    <m/>
  </r>
  <r>
    <x v="614"/>
    <x v="31"/>
    <n v="48334413"/>
    <x v="992"/>
    <x v="0"/>
    <s v="USA"/>
    <n v="19000000"/>
    <x v="0"/>
    <x v="4"/>
    <s v="Crime"/>
    <s v="Thriller"/>
    <m/>
    <m/>
    <m/>
    <m/>
    <m/>
  </r>
  <r>
    <x v="263"/>
    <x v="57"/>
    <n v="48334413"/>
    <x v="996"/>
    <x v="0"/>
    <s v="USA"/>
    <n v="18000000"/>
    <x v="11"/>
    <x v="0"/>
    <s v="Drama"/>
    <s v="War"/>
    <m/>
    <m/>
    <m/>
    <m/>
    <m/>
  </r>
  <r>
    <x v="193"/>
    <x v="34"/>
    <n v="48334413"/>
    <x v="997"/>
    <x v="0"/>
    <s v="USA"/>
    <n v="18000000"/>
    <x v="7"/>
    <x v="12"/>
    <s v="Thriller"/>
    <m/>
    <m/>
    <m/>
    <m/>
    <m/>
    <m/>
  </r>
  <r>
    <x v="617"/>
    <x v="1"/>
    <n v="48334413"/>
    <x v="998"/>
    <x v="0"/>
    <s v="Germany"/>
    <n v="18000000"/>
    <x v="33"/>
    <x v="5"/>
    <s v="Drama"/>
    <s v="Thriller"/>
    <m/>
    <m/>
    <m/>
    <m/>
    <m/>
  </r>
  <r>
    <x v="618"/>
    <x v="58"/>
    <n v="48334413"/>
    <x v="999"/>
    <x v="0"/>
    <s v="France"/>
    <n v="18000000"/>
    <x v="3"/>
    <x v="14"/>
    <m/>
    <m/>
    <m/>
    <m/>
    <m/>
    <m/>
    <m/>
  </r>
  <r>
    <x v="112"/>
    <x v="22"/>
    <n v="48334413"/>
    <x v="1000"/>
    <x v="0"/>
    <s v="USA"/>
    <n v="18000000"/>
    <x v="34"/>
    <x v="4"/>
    <s v="Crime"/>
    <s v="Drama"/>
    <s v="Thriller"/>
    <m/>
    <m/>
    <m/>
    <m/>
  </r>
  <r>
    <x v="619"/>
    <x v="50"/>
    <n v="48334413"/>
    <x v="1001"/>
    <x v="0"/>
    <s v="France"/>
    <n v="18000000"/>
    <x v="48"/>
    <x v="4"/>
    <s v="Horror"/>
    <m/>
    <m/>
    <m/>
    <m/>
    <m/>
    <m/>
  </r>
  <r>
    <x v="620"/>
    <x v="31"/>
    <n v="48334413"/>
    <x v="1002"/>
    <x v="0"/>
    <s v="USA"/>
    <n v="18000000"/>
    <x v="28"/>
    <x v="4"/>
    <s v="Thriller"/>
    <m/>
    <m/>
    <m/>
    <m/>
    <m/>
    <m/>
  </r>
  <r>
    <x v="621"/>
    <x v="31"/>
    <n v="48334413"/>
    <x v="1003"/>
    <x v="0"/>
    <s v="USA"/>
    <n v="18000000"/>
    <x v="0"/>
    <x v="8"/>
    <s v="Horror"/>
    <s v="Thriller"/>
    <m/>
    <m/>
    <m/>
    <m/>
    <m/>
  </r>
  <r>
    <x v="622"/>
    <x v="56"/>
    <n v="48334413"/>
    <x v="1004"/>
    <x v="0"/>
    <s v="Netherlands"/>
    <n v="17900000"/>
    <x v="38"/>
    <x v="4"/>
    <s v="Adventure"/>
    <s v="Fantasy"/>
    <m/>
    <m/>
    <m/>
    <m/>
    <m/>
  </r>
  <r>
    <x v="623"/>
    <x v="44"/>
    <n v="48334413"/>
    <x v="1005"/>
    <x v="1"/>
    <s v="France"/>
    <n v="17000000"/>
    <x v="2"/>
    <x v="0"/>
    <s v="Romance"/>
    <m/>
    <m/>
    <m/>
    <m/>
    <m/>
    <m/>
  </r>
  <r>
    <x v="624"/>
    <x v="50"/>
    <n v="48334413"/>
    <x v="1006"/>
    <x v="0"/>
    <s v="USA"/>
    <n v="17000000"/>
    <x v="34"/>
    <x v="9"/>
    <m/>
    <m/>
    <m/>
    <m/>
    <m/>
    <m/>
    <m/>
  </r>
  <r>
    <x v="625"/>
    <x v="1"/>
    <n v="48334413"/>
    <x v="1007"/>
    <x v="1"/>
    <s v="France"/>
    <n v="17000000"/>
    <x v="20"/>
    <x v="0"/>
    <s v="Drama"/>
    <s v="Thriller"/>
    <m/>
    <m/>
    <m/>
    <m/>
    <m/>
  </r>
  <r>
    <x v="626"/>
    <x v="10"/>
    <n v="48334413"/>
    <x v="1008"/>
    <x v="0"/>
    <s v="USA"/>
    <n v="17000000"/>
    <x v="66"/>
    <x v="4"/>
    <m/>
    <m/>
    <m/>
    <m/>
    <m/>
    <m/>
    <m/>
  </r>
  <r>
    <x v="627"/>
    <x v="58"/>
    <n v="48334413"/>
    <x v="1009"/>
    <x v="0"/>
    <s v="USA"/>
    <n v="16900000"/>
    <x v="16"/>
    <x v="4"/>
    <s v="Drama"/>
    <s v="War"/>
    <m/>
    <m/>
    <m/>
    <m/>
    <m/>
  </r>
  <r>
    <x v="628"/>
    <x v="7"/>
    <n v="48334413"/>
    <x v="1010"/>
    <x v="0"/>
    <s v="USA"/>
    <n v="16000000"/>
    <x v="35"/>
    <x v="4"/>
    <s v="Drama"/>
    <s v="Sci-Fi"/>
    <s v="Thriller"/>
    <m/>
    <m/>
    <m/>
    <m/>
  </r>
  <r>
    <x v="172"/>
    <x v="31"/>
    <n v="48334413"/>
    <x v="1011"/>
    <x v="0"/>
    <s v="USA"/>
    <n v="16000000"/>
    <x v="23"/>
    <x v="3"/>
    <s v="Family"/>
    <m/>
    <m/>
    <m/>
    <m/>
    <m/>
    <m/>
  </r>
  <r>
    <x v="629"/>
    <x v="28"/>
    <n v="48334413"/>
    <x v="1012"/>
    <x v="0"/>
    <s v="France"/>
    <n v="16000000"/>
    <x v="15"/>
    <x v="5"/>
    <s v="Drama"/>
    <s v="Thriller"/>
    <m/>
    <m/>
    <m/>
    <m/>
    <m/>
  </r>
  <r>
    <x v="630"/>
    <x v="31"/>
    <n v="48334413"/>
    <x v="1013"/>
    <x v="4"/>
    <s v="Japan"/>
    <n v="16000000"/>
    <x v="37"/>
    <x v="4"/>
    <s v="Adventure"/>
    <s v="Animation"/>
    <s v="Family"/>
    <s v="Fantasy"/>
    <s v="Sci-Fi"/>
    <m/>
    <m/>
  </r>
  <r>
    <x v="631"/>
    <x v="135"/>
    <n v="48334413"/>
    <x v="1014"/>
    <x v="0"/>
    <s v="UK"/>
    <n v="15000000"/>
    <x v="40"/>
    <x v="3"/>
    <s v="War"/>
    <m/>
    <m/>
    <m/>
    <m/>
    <m/>
    <m/>
  </r>
  <r>
    <x v="632"/>
    <x v="44"/>
    <n v="48334413"/>
    <x v="1015"/>
    <x v="0"/>
    <s v="South Africa"/>
    <n v="15000000"/>
    <x v="27"/>
    <x v="6"/>
    <s v="Drama"/>
    <s v="History"/>
    <m/>
    <m/>
    <m/>
    <m/>
    <m/>
  </r>
  <r>
    <x v="633"/>
    <x v="51"/>
    <n v="48334413"/>
    <x v="1016"/>
    <x v="0"/>
    <s v="Germany"/>
    <n v="15000000"/>
    <x v="35"/>
    <x v="4"/>
    <s v="Adventure"/>
    <s v="Fantasy"/>
    <m/>
    <m/>
    <m/>
    <m/>
    <m/>
  </r>
  <r>
    <x v="634"/>
    <x v="1"/>
    <n v="48334413"/>
    <x v="1017"/>
    <x v="16"/>
    <s v="Italy"/>
    <n v="15000000"/>
    <x v="21"/>
    <x v="6"/>
    <m/>
    <m/>
    <m/>
    <m/>
    <m/>
    <m/>
    <m/>
  </r>
  <r>
    <x v="635"/>
    <x v="5"/>
    <n v="48334413"/>
    <x v="1018"/>
    <x v="7"/>
    <s v="Hong Kong"/>
    <n v="15000000"/>
    <x v="6"/>
    <x v="4"/>
    <s v="Crime"/>
    <s v="Drama"/>
    <s v="Thriller"/>
    <m/>
    <m/>
    <m/>
    <m/>
  </r>
  <r>
    <x v="636"/>
    <x v="55"/>
    <n v="48334413"/>
    <x v="1019"/>
    <x v="0"/>
    <s v="UK"/>
    <n v="15000000"/>
    <x v="24"/>
    <x v="6"/>
    <s v="Drama"/>
    <m/>
    <m/>
    <m/>
    <m/>
    <m/>
    <m/>
  </r>
  <r>
    <x v="637"/>
    <x v="43"/>
    <n v="48334413"/>
    <x v="1020"/>
    <x v="0"/>
    <s v="USA"/>
    <n v="15000000"/>
    <x v="21"/>
    <x v="4"/>
    <s v="Crime"/>
    <s v="Drama"/>
    <s v="Mystery"/>
    <s v="Thriller"/>
    <m/>
    <m/>
    <m/>
  </r>
  <r>
    <x v="453"/>
    <x v="136"/>
    <n v="48334413"/>
    <x v="1021"/>
    <x v="0"/>
    <s v="Australia"/>
    <n v="15000000"/>
    <x v="7"/>
    <x v="3"/>
    <s v="War"/>
    <m/>
    <m/>
    <m/>
    <m/>
    <m/>
    <m/>
  </r>
  <r>
    <x v="638"/>
    <x v="4"/>
    <n v="48334413"/>
    <x v="1022"/>
    <x v="7"/>
    <s v="China"/>
    <n v="15000000"/>
    <x v="7"/>
    <x v="4"/>
    <s v="Adventure"/>
    <s v="Comedy"/>
    <m/>
    <m/>
    <m/>
    <m/>
    <m/>
  </r>
  <r>
    <x v="639"/>
    <x v="54"/>
    <n v="48334413"/>
    <x v="1023"/>
    <x v="0"/>
    <s v="USA"/>
    <n v="15000000"/>
    <x v="32"/>
    <x v="7"/>
    <m/>
    <m/>
    <m/>
    <m/>
    <m/>
    <m/>
    <m/>
  </r>
  <r>
    <x v="640"/>
    <x v="20"/>
    <n v="48334413"/>
    <x v="1024"/>
    <x v="0"/>
    <s v="USA"/>
    <n v="14500000"/>
    <x v="8"/>
    <x v="3"/>
    <s v="Family"/>
    <s v="Music"/>
    <m/>
    <m/>
    <m/>
    <m/>
    <m/>
  </r>
  <r>
    <x v="641"/>
    <x v="31"/>
    <n v="48334413"/>
    <x v="1025"/>
    <x v="0"/>
    <s v="USA"/>
    <n v="14000000"/>
    <x v="5"/>
    <x v="4"/>
    <s v="Adventure"/>
    <s v="Drama"/>
    <m/>
    <m/>
    <m/>
    <m/>
    <m/>
  </r>
  <r>
    <x v="642"/>
    <x v="58"/>
    <n v="48334413"/>
    <x v="1026"/>
    <x v="0"/>
    <s v="Spain"/>
    <n v="14000000"/>
    <x v="8"/>
    <x v="3"/>
    <s v="Horror"/>
    <s v="Mystery"/>
    <s v="Thriller"/>
    <m/>
    <m/>
    <m/>
    <m/>
  </r>
  <r>
    <x v="641"/>
    <x v="31"/>
    <n v="48334413"/>
    <x v="1025"/>
    <x v="0"/>
    <s v="USA"/>
    <n v="14000000"/>
    <x v="5"/>
    <x v="4"/>
    <s v="Adventure"/>
    <s v="Drama"/>
    <m/>
    <m/>
    <m/>
    <m/>
    <m/>
  </r>
  <r>
    <x v="643"/>
    <x v="36"/>
    <n v="48334413"/>
    <x v="1027"/>
    <x v="0"/>
    <s v="USA"/>
    <n v="14000000"/>
    <x v="32"/>
    <x v="1"/>
    <m/>
    <m/>
    <m/>
    <m/>
    <m/>
    <m/>
    <m/>
  </r>
  <r>
    <x v="180"/>
    <x v="52"/>
    <n v="48334413"/>
    <x v="1028"/>
    <x v="0"/>
    <s v="USA"/>
    <n v="14000000"/>
    <x v="15"/>
    <x v="3"/>
    <s v="Music"/>
    <s v="Musical"/>
    <s v="Romance"/>
    <m/>
    <m/>
    <m/>
    <m/>
  </r>
  <r>
    <x v="644"/>
    <x v="0"/>
    <n v="48334413"/>
    <x v="1029"/>
    <x v="0"/>
    <s v="USA"/>
    <n v="14000000"/>
    <x v="2"/>
    <x v="5"/>
    <s v="Drama"/>
    <m/>
    <m/>
    <m/>
    <m/>
    <m/>
    <m/>
  </r>
  <r>
    <x v="645"/>
    <x v="41"/>
    <n v="48334413"/>
    <x v="1030"/>
    <x v="0"/>
    <s v="UK"/>
    <n v="13500000"/>
    <x v="19"/>
    <x v="0"/>
    <m/>
    <m/>
    <m/>
    <m/>
    <m/>
    <m/>
    <m/>
  </r>
  <r>
    <x v="646"/>
    <x v="20"/>
    <n v="48334413"/>
    <x v="1031"/>
    <x v="0"/>
    <s v="USA"/>
    <n v="13000000"/>
    <x v="67"/>
    <x v="1"/>
    <s v="Sci-Fi"/>
    <s v="Thriller"/>
    <m/>
    <m/>
    <m/>
    <m/>
    <m/>
  </r>
  <r>
    <x v="402"/>
    <x v="41"/>
    <n v="48334413"/>
    <x v="1032"/>
    <x v="0"/>
    <s v="Canada"/>
    <n v="12500000"/>
    <x v="7"/>
    <x v="2"/>
    <s v="Drama"/>
    <s v="History"/>
    <m/>
    <m/>
    <m/>
    <m/>
    <m/>
  </r>
  <r>
    <x v="647"/>
    <x v="0"/>
    <n v="48334413"/>
    <x v="1033"/>
    <x v="0"/>
    <s v="Canada"/>
    <n v="12500000"/>
    <x v="2"/>
    <x v="2"/>
    <s v="Drama"/>
    <m/>
    <m/>
    <m/>
    <m/>
    <m/>
    <m/>
  </r>
  <r>
    <x v="648"/>
    <x v="22"/>
    <n v="48334413"/>
    <x v="1034"/>
    <x v="0"/>
    <s v="USA"/>
    <n v="12000000"/>
    <x v="5"/>
    <x v="2"/>
    <s v="Drama"/>
    <s v="Thriller"/>
    <m/>
    <m/>
    <m/>
    <m/>
    <m/>
  </r>
  <r>
    <x v="649"/>
    <x v="24"/>
    <n v="48334413"/>
    <x v="1035"/>
    <x v="7"/>
    <s v="China"/>
    <n v="12000000"/>
    <x v="26"/>
    <x v="4"/>
    <m/>
    <m/>
    <m/>
    <m/>
    <m/>
    <m/>
    <m/>
  </r>
  <r>
    <x v="650"/>
    <x v="134"/>
    <n v="48334413"/>
    <x v="1036"/>
    <x v="0"/>
    <s v="USA"/>
    <n v="12000000"/>
    <x v="13"/>
    <x v="6"/>
    <s v="Drama"/>
    <s v="War"/>
    <m/>
    <m/>
    <m/>
    <m/>
    <m/>
  </r>
  <r>
    <x v="651"/>
    <x v="30"/>
    <n v="48334413"/>
    <x v="1037"/>
    <x v="0"/>
    <s v="USA"/>
    <n v="12000000"/>
    <x v="18"/>
    <x v="1"/>
    <s v="Sci-Fi"/>
    <m/>
    <m/>
    <m/>
    <m/>
    <m/>
    <m/>
  </r>
  <r>
    <x v="650"/>
    <x v="65"/>
    <n v="48334413"/>
    <x v="1038"/>
    <x v="0"/>
    <s v="UK"/>
    <n v="12000000"/>
    <x v="14"/>
    <x v="3"/>
    <s v="Thriller"/>
    <m/>
    <m/>
    <m/>
    <m/>
    <m/>
    <m/>
  </r>
  <r>
    <x v="652"/>
    <x v="57"/>
    <n v="48334413"/>
    <x v="1039"/>
    <x v="0"/>
    <s v="USA"/>
    <n v="12000000"/>
    <x v="24"/>
    <x v="5"/>
    <s v="Drama"/>
    <s v="Romance"/>
    <s v="Thriller"/>
    <m/>
    <m/>
    <m/>
    <m/>
  </r>
  <r>
    <x v="653"/>
    <x v="41"/>
    <n v="48334413"/>
    <x v="1040"/>
    <x v="0"/>
    <s v="USA"/>
    <n v="12000000"/>
    <x v="21"/>
    <x v="2"/>
    <s v="Crime"/>
    <s v="Thriller"/>
    <m/>
    <m/>
    <m/>
    <m/>
    <m/>
  </r>
  <r>
    <x v="654"/>
    <x v="53"/>
    <n v="48334413"/>
    <x v="1041"/>
    <x v="4"/>
    <s v="Japan"/>
    <n v="12000000"/>
    <x v="0"/>
    <x v="4"/>
    <s v="Adventure"/>
    <s v="Drama"/>
    <s v="Sci-Fi"/>
    <m/>
    <m/>
    <m/>
    <m/>
  </r>
  <r>
    <x v="655"/>
    <x v="4"/>
    <n v="48334413"/>
    <x v="1042"/>
    <x v="0"/>
    <s v="UK"/>
    <n v="12000000"/>
    <x v="26"/>
    <x v="8"/>
    <s v="Mystery"/>
    <s v="Thriller"/>
    <m/>
    <m/>
    <m/>
    <m/>
    <m/>
  </r>
  <r>
    <x v="656"/>
    <x v="56"/>
    <n v="48334413"/>
    <x v="1043"/>
    <x v="0"/>
    <s v="USA"/>
    <n v="12000000"/>
    <x v="60"/>
    <x v="16"/>
    <s v="Musical"/>
    <m/>
    <m/>
    <m/>
    <m/>
    <m/>
    <m/>
  </r>
  <r>
    <x v="657"/>
    <x v="19"/>
    <n v="48334413"/>
    <x v="1044"/>
    <x v="8"/>
    <s v="China"/>
    <n v="12000000"/>
    <x v="8"/>
    <x v="3"/>
    <m/>
    <m/>
    <m/>
    <m/>
    <m/>
    <m/>
    <m/>
  </r>
  <r>
    <x v="658"/>
    <x v="22"/>
    <n v="48334413"/>
    <x v="1045"/>
    <x v="0"/>
    <s v="Canada"/>
    <n v="12000000"/>
    <x v="49"/>
    <x v="4"/>
    <s v="Comedy"/>
    <s v="Crime"/>
    <m/>
    <m/>
    <m/>
    <m/>
    <m/>
  </r>
  <r>
    <x v="659"/>
    <x v="11"/>
    <n v="48334413"/>
    <x v="1046"/>
    <x v="0"/>
    <s v="UK"/>
    <n v="12000000"/>
    <x v="21"/>
    <x v="5"/>
    <s v="Drama"/>
    <s v="Thriller"/>
    <m/>
    <m/>
    <m/>
    <m/>
    <m/>
  </r>
  <r>
    <x v="374"/>
    <x v="22"/>
    <n v="48334413"/>
    <x v="1047"/>
    <x v="0"/>
    <s v="USA"/>
    <n v="12000000"/>
    <x v="21"/>
    <x v="2"/>
    <s v="Fantasy"/>
    <s v="Thriller"/>
    <m/>
    <m/>
    <m/>
    <m/>
    <m/>
  </r>
  <r>
    <x v="660"/>
    <x v="41"/>
    <n v="48334413"/>
    <x v="1048"/>
    <x v="0"/>
    <s v="UK"/>
    <n v="11500000"/>
    <x v="27"/>
    <x v="3"/>
    <s v="Thriller"/>
    <m/>
    <m/>
    <m/>
    <m/>
    <m/>
    <m/>
  </r>
  <r>
    <x v="661"/>
    <x v="10"/>
    <n v="48334413"/>
    <x v="1049"/>
    <x v="0"/>
    <s v="Canada"/>
    <n v="11000000"/>
    <x v="2"/>
    <x v="3"/>
    <s v="Western"/>
    <m/>
    <m/>
    <m/>
    <m/>
    <m/>
    <m/>
  </r>
  <r>
    <x v="662"/>
    <x v="42"/>
    <n v="48334413"/>
    <x v="1050"/>
    <x v="1"/>
    <s v="France"/>
    <n v="11000000"/>
    <x v="24"/>
    <x v="2"/>
    <s v="Animation"/>
    <s v="Family"/>
    <s v="Fantasy"/>
    <m/>
    <m/>
    <m/>
    <m/>
  </r>
  <r>
    <x v="663"/>
    <x v="40"/>
    <n v="48334413"/>
    <x v="1051"/>
    <x v="1"/>
    <s v="France"/>
    <n v="11000000"/>
    <x v="6"/>
    <x v="0"/>
    <s v="Romance"/>
    <m/>
    <m/>
    <m/>
    <m/>
    <m/>
    <m/>
  </r>
  <r>
    <x v="123"/>
    <x v="22"/>
    <n v="48334413"/>
    <x v="1052"/>
    <x v="0"/>
    <s v="USA"/>
    <n v="11000000"/>
    <x v="26"/>
    <x v="0"/>
    <m/>
    <m/>
    <m/>
    <m/>
    <m/>
    <m/>
    <m/>
  </r>
  <r>
    <x v="418"/>
    <x v="80"/>
    <n v="48334413"/>
    <x v="1053"/>
    <x v="0"/>
    <s v="USA"/>
    <n v="11000000"/>
    <x v="16"/>
    <x v="3"/>
    <m/>
    <m/>
    <m/>
    <m/>
    <m/>
    <m/>
    <m/>
  </r>
  <r>
    <x v="338"/>
    <x v="137"/>
    <n v="48334413"/>
    <x v="1054"/>
    <x v="0"/>
    <s v="UK"/>
    <n v="11000000"/>
    <x v="23"/>
    <x v="2"/>
    <s v="Drama"/>
    <s v="History"/>
    <s v="War"/>
    <m/>
    <m/>
    <m/>
    <m/>
  </r>
  <r>
    <x v="664"/>
    <x v="55"/>
    <n v="48334413"/>
    <x v="1055"/>
    <x v="0"/>
    <s v="USA"/>
    <n v="11000000"/>
    <x v="26"/>
    <x v="3"/>
    <s v="History"/>
    <m/>
    <m/>
    <m/>
    <m/>
    <m/>
    <m/>
  </r>
  <r>
    <x v="665"/>
    <x v="0"/>
    <n v="48334413"/>
    <x v="1056"/>
    <x v="0"/>
    <s v="USA"/>
    <n v="11000000"/>
    <x v="49"/>
    <x v="0"/>
    <s v="Drama"/>
    <s v="Romance"/>
    <m/>
    <m/>
    <m/>
    <m/>
    <m/>
  </r>
  <r>
    <x v="666"/>
    <x v="40"/>
    <n v="48334413"/>
    <x v="1057"/>
    <x v="1"/>
    <s v="France"/>
    <n v="11000000"/>
    <x v="7"/>
    <x v="0"/>
    <s v="Drama"/>
    <s v="Music"/>
    <m/>
    <m/>
    <m/>
    <m/>
    <m/>
  </r>
  <r>
    <x v="667"/>
    <x v="40"/>
    <n v="48334413"/>
    <x v="1058"/>
    <x v="0"/>
    <s v="USA"/>
    <n v="11000000"/>
    <x v="48"/>
    <x v="3"/>
    <s v="Thriller"/>
    <m/>
    <m/>
    <m/>
    <m/>
    <m/>
    <m/>
  </r>
  <r>
    <x v="668"/>
    <x v="14"/>
    <n v="48334413"/>
    <x v="1059"/>
    <x v="0"/>
    <s v="USA"/>
    <n v="10000000"/>
    <x v="22"/>
    <x v="4"/>
    <s v="Drama"/>
    <s v="History"/>
    <s v="War"/>
    <m/>
    <m/>
    <m/>
    <m/>
  </r>
  <r>
    <x v="669"/>
    <x v="86"/>
    <n v="48334413"/>
    <x v="1060"/>
    <x v="0"/>
    <s v="USA"/>
    <n v="10000000"/>
    <x v="15"/>
    <x v="4"/>
    <s v="Adventure"/>
    <s v="Thriller"/>
    <m/>
    <m/>
    <m/>
    <m/>
    <m/>
  </r>
  <r>
    <x v="670"/>
    <x v="18"/>
    <n v="48334413"/>
    <x v="1061"/>
    <x v="0"/>
    <s v="USA"/>
    <n v="10000000"/>
    <x v="11"/>
    <x v="1"/>
    <s v="Sci-Fi"/>
    <s v="Thriller"/>
    <m/>
    <m/>
    <m/>
    <m/>
    <m/>
  </r>
  <r>
    <x v="671"/>
    <x v="34"/>
    <n v="48334413"/>
    <x v="1062"/>
    <x v="0"/>
    <s v="USA"/>
    <n v="10000000"/>
    <x v="48"/>
    <x v="4"/>
    <s v="Thriller"/>
    <m/>
    <m/>
    <m/>
    <m/>
    <m/>
    <m/>
  </r>
  <r>
    <x v="672"/>
    <x v="41"/>
    <n v="48334413"/>
    <x v="1063"/>
    <x v="0"/>
    <s v="USA"/>
    <n v="10000000"/>
    <x v="6"/>
    <x v="17"/>
    <m/>
    <m/>
    <m/>
    <m/>
    <m/>
    <m/>
    <m/>
  </r>
  <r>
    <x v="193"/>
    <x v="58"/>
    <n v="48334413"/>
    <x v="1064"/>
    <x v="0"/>
    <s v="USA"/>
    <n v="10000000"/>
    <x v="9"/>
    <x v="12"/>
    <s v="Thriller"/>
    <m/>
    <m/>
    <m/>
    <m/>
    <m/>
    <m/>
  </r>
  <r>
    <x v="673"/>
    <x v="73"/>
    <n v="48334413"/>
    <x v="1065"/>
    <x v="0"/>
    <s v="USA"/>
    <n v="10000000"/>
    <x v="41"/>
    <x v="0"/>
    <s v="Sci-Fi"/>
    <m/>
    <m/>
    <m/>
    <m/>
    <m/>
    <m/>
  </r>
  <r>
    <x v="674"/>
    <x v="138"/>
    <n v="48334413"/>
    <x v="1066"/>
    <x v="14"/>
    <s v="India"/>
    <n v="10000000"/>
    <x v="2"/>
    <x v="4"/>
    <s v="Adventure"/>
    <s v="Romance"/>
    <s v="Sci-Fi"/>
    <m/>
    <m/>
    <m/>
    <m/>
  </r>
  <r>
    <x v="675"/>
    <x v="0"/>
    <n v="48334413"/>
    <x v="1067"/>
    <x v="0"/>
    <s v="USA"/>
    <n v="10000000"/>
    <x v="20"/>
    <x v="0"/>
    <s v="Drama"/>
    <s v="Romance"/>
    <m/>
    <m/>
    <m/>
    <m/>
    <m/>
  </r>
  <r>
    <x v="676"/>
    <x v="48"/>
    <n v="48334413"/>
    <x v="1068"/>
    <x v="0"/>
    <s v="Australia"/>
    <n v="10000000"/>
    <x v="34"/>
    <x v="3"/>
    <s v="Mystery"/>
    <s v="Thriller"/>
    <m/>
    <m/>
    <m/>
    <m/>
    <m/>
  </r>
  <r>
    <x v="399"/>
    <x v="4"/>
    <n v="48334413"/>
    <x v="1069"/>
    <x v="0"/>
    <s v="USA"/>
    <n v="10000000"/>
    <x v="21"/>
    <x v="3"/>
    <s v="Fantasy"/>
    <s v="Horror"/>
    <s v="Thriller"/>
    <m/>
    <m/>
    <m/>
    <m/>
  </r>
  <r>
    <x v="677"/>
    <x v="50"/>
    <n v="48334413"/>
    <x v="1070"/>
    <x v="0"/>
    <s v="Canada"/>
    <n v="10000000"/>
    <x v="36"/>
    <x v="3"/>
    <s v="Music"/>
    <m/>
    <m/>
    <m/>
    <m/>
    <m/>
    <m/>
  </r>
  <r>
    <x v="678"/>
    <x v="63"/>
    <n v="48334413"/>
    <x v="1071"/>
    <x v="0"/>
    <s v="South Korea"/>
    <n v="10000000"/>
    <x v="46"/>
    <x v="2"/>
    <s v="Animation"/>
    <m/>
    <m/>
    <m/>
    <m/>
    <m/>
    <m/>
  </r>
  <r>
    <x v="621"/>
    <x v="40"/>
    <n v="48334413"/>
    <x v="1072"/>
    <x v="0"/>
    <s v="Germany"/>
    <n v="10000000"/>
    <x v="2"/>
    <x v="3"/>
    <s v="War"/>
    <m/>
    <m/>
    <m/>
    <m/>
    <m/>
    <m/>
  </r>
  <r>
    <x v="679"/>
    <x v="41"/>
    <n v="48334413"/>
    <x v="1073"/>
    <x v="0"/>
    <s v="UK"/>
    <n v="10000000"/>
    <x v="18"/>
    <x v="0"/>
    <s v="Drama"/>
    <s v="Horror"/>
    <s v="Romance"/>
    <m/>
    <m/>
    <m/>
    <m/>
  </r>
  <r>
    <x v="680"/>
    <x v="10"/>
    <n v="48334413"/>
    <x v="1074"/>
    <x v="0"/>
    <s v="USA"/>
    <n v="10000000"/>
    <x v="61"/>
    <x v="4"/>
    <s v="Horror"/>
    <s v="Sci-Fi"/>
    <m/>
    <m/>
    <m/>
    <m/>
    <m/>
  </r>
  <r>
    <x v="681"/>
    <x v="12"/>
    <n v="48334413"/>
    <x v="1075"/>
    <x v="0"/>
    <s v="Canada"/>
    <n v="10000000"/>
    <x v="14"/>
    <x v="3"/>
    <s v="Romance"/>
    <m/>
    <m/>
    <m/>
    <m/>
    <m/>
    <m/>
  </r>
  <r>
    <x v="682"/>
    <x v="3"/>
    <n v="48334413"/>
    <x v="1076"/>
    <x v="0"/>
    <s v="USA"/>
    <n v="10000000"/>
    <x v="34"/>
    <x v="0"/>
    <m/>
    <m/>
    <m/>
    <m/>
    <m/>
    <m/>
    <m/>
  </r>
  <r>
    <x v="683"/>
    <x v="3"/>
    <n v="48334413"/>
    <x v="1077"/>
    <x v="0"/>
    <s v="USA"/>
    <n v="10000000"/>
    <x v="28"/>
    <x v="1"/>
    <s v="Thriller"/>
    <m/>
    <m/>
    <m/>
    <m/>
    <m/>
    <m/>
  </r>
  <r>
    <x v="684"/>
    <x v="56"/>
    <n v="48334413"/>
    <x v="1078"/>
    <x v="0"/>
    <s v="Canada"/>
    <n v="10000000"/>
    <x v="20"/>
    <x v="4"/>
    <s v="Comedy"/>
    <s v="Drama"/>
    <s v="Western"/>
    <m/>
    <m/>
    <m/>
    <m/>
  </r>
  <r>
    <x v="685"/>
    <x v="20"/>
    <n v="48334413"/>
    <x v="1079"/>
    <x v="0"/>
    <s v="Canada"/>
    <n v="10000000"/>
    <x v="34"/>
    <x v="4"/>
    <s v="Crime"/>
    <s v="Drama"/>
    <s v="Thriller"/>
    <m/>
    <m/>
    <m/>
    <m/>
  </r>
  <r>
    <x v="686"/>
    <x v="30"/>
    <n v="48334413"/>
    <x v="1080"/>
    <x v="0"/>
    <s v="UK"/>
    <n v="10000000"/>
    <x v="27"/>
    <x v="4"/>
    <s v="Comedy"/>
    <s v="Crime"/>
    <s v="Drama"/>
    <m/>
    <m/>
    <m/>
    <m/>
  </r>
  <r>
    <x v="336"/>
    <x v="20"/>
    <n v="48334413"/>
    <x v="1081"/>
    <x v="0"/>
    <s v="USA"/>
    <n v="10000000"/>
    <x v="48"/>
    <x v="4"/>
    <s v="Horror"/>
    <s v="Thriller"/>
    <m/>
    <m/>
    <m/>
    <m/>
    <m/>
  </r>
  <r>
    <x v="687"/>
    <x v="31"/>
    <n v="48334413"/>
    <x v="1082"/>
    <x v="0"/>
    <s v="USA"/>
    <n v="10000000"/>
    <x v="19"/>
    <x v="0"/>
    <s v="Horror"/>
    <s v="Sci-Fi"/>
    <m/>
    <m/>
    <m/>
    <m/>
    <m/>
  </r>
  <r>
    <x v="688"/>
    <x v="139"/>
    <n v="48334413"/>
    <x v="1083"/>
    <x v="0"/>
    <s v="USA"/>
    <n v="10000000"/>
    <x v="15"/>
    <x v="7"/>
    <s v="Family"/>
    <m/>
    <m/>
    <m/>
    <m/>
    <m/>
    <m/>
  </r>
  <r>
    <x v="689"/>
    <x v="12"/>
    <n v="48334413"/>
    <x v="1084"/>
    <x v="19"/>
    <s v="South Africa"/>
    <n v="10000000"/>
    <x v="26"/>
    <x v="3"/>
    <m/>
    <m/>
    <m/>
    <m/>
    <m/>
    <m/>
    <m/>
  </r>
  <r>
    <x v="690"/>
    <x v="35"/>
    <n v="48334413"/>
    <x v="1085"/>
    <x v="0"/>
    <s v="USA"/>
    <n v="10000000"/>
    <x v="18"/>
    <x v="6"/>
    <s v="Drama"/>
    <m/>
    <m/>
    <m/>
    <m/>
    <m/>
    <m/>
  </r>
  <r>
    <x v="691"/>
    <x v="60"/>
    <n v="48334413"/>
    <x v="1086"/>
    <x v="0"/>
    <s v="USA"/>
    <n v="9500000"/>
    <x v="33"/>
    <x v="4"/>
    <s v="Horror"/>
    <m/>
    <m/>
    <m/>
    <m/>
    <m/>
    <m/>
  </r>
  <r>
    <x v="692"/>
    <x v="10"/>
    <n v="48334413"/>
    <x v="1087"/>
    <x v="0"/>
    <s v="Canada"/>
    <n v="9300000"/>
    <x v="15"/>
    <x v="2"/>
    <s v="Animation"/>
    <s v="Fantasy"/>
    <s v="Horror"/>
    <s v="Sci-Fi"/>
    <m/>
    <m/>
    <m/>
  </r>
  <r>
    <x v="693"/>
    <x v="47"/>
    <n v="48334413"/>
    <x v="1088"/>
    <x v="0"/>
    <s v="USA"/>
    <n v="9000000"/>
    <x v="9"/>
    <x v="4"/>
    <s v="Adventure"/>
    <s v="Drama"/>
    <s v="History"/>
    <s v="War"/>
    <m/>
    <m/>
    <m/>
  </r>
  <r>
    <x v="419"/>
    <x v="60"/>
    <n v="48334413"/>
    <x v="1089"/>
    <x v="0"/>
    <s v="Canada"/>
    <n v="9000000"/>
    <x v="37"/>
    <x v="4"/>
    <s v="Drama"/>
    <s v="Thriller"/>
    <m/>
    <m/>
    <m/>
    <m/>
    <m/>
  </r>
  <r>
    <x v="694"/>
    <x v="50"/>
    <n v="48334413"/>
    <x v="1090"/>
    <x v="0"/>
    <s v="USA"/>
    <n v="9000000"/>
    <x v="21"/>
    <x v="4"/>
    <s v="Adventure"/>
    <s v="Comedy"/>
    <s v="Romance"/>
    <s v="Sci-Fi"/>
    <m/>
    <m/>
    <m/>
  </r>
  <r>
    <x v="695"/>
    <x v="18"/>
    <n v="48334413"/>
    <x v="1091"/>
    <x v="0"/>
    <s v="USA"/>
    <n v="9000000"/>
    <x v="20"/>
    <x v="3"/>
    <s v="Romance"/>
    <m/>
    <m/>
    <m/>
    <m/>
    <m/>
    <m/>
  </r>
  <r>
    <x v="696"/>
    <x v="57"/>
    <n v="48334413"/>
    <x v="1092"/>
    <x v="0"/>
    <s v="Australia"/>
    <n v="9000000"/>
    <x v="6"/>
    <x v="3"/>
    <s v="History"/>
    <s v="War"/>
    <m/>
    <m/>
    <m/>
    <m/>
    <m/>
  </r>
  <r>
    <x v="697"/>
    <x v="1"/>
    <n v="48334413"/>
    <x v="1093"/>
    <x v="0"/>
    <s v="France"/>
    <n v="9000000"/>
    <x v="1"/>
    <x v="2"/>
    <s v="Comedy"/>
    <s v="Fantasy"/>
    <s v="Sci-Fi"/>
    <m/>
    <m/>
    <m/>
    <m/>
  </r>
  <r>
    <x v="698"/>
    <x v="43"/>
    <n v="48334413"/>
    <x v="1094"/>
    <x v="0"/>
    <s v="USA"/>
    <n v="9000000"/>
    <x v="48"/>
    <x v="3"/>
    <s v="Horror"/>
    <s v="Mystery"/>
    <s v="Thriller"/>
    <m/>
    <m/>
    <m/>
    <m/>
  </r>
  <r>
    <x v="699"/>
    <x v="10"/>
    <n v="48334413"/>
    <x v="1095"/>
    <x v="0"/>
    <s v="UK"/>
    <n v="8800000"/>
    <x v="0"/>
    <x v="12"/>
    <s v="Sci-Fi"/>
    <s v="Thriller"/>
    <m/>
    <m/>
    <m/>
    <m/>
    <m/>
  </r>
  <r>
    <x v="700"/>
    <x v="49"/>
    <n v="48334413"/>
    <x v="1096"/>
    <x v="0"/>
    <s v="Canada"/>
    <n v="8700000"/>
    <x v="11"/>
    <x v="3"/>
    <s v="Romance"/>
    <m/>
    <m/>
    <m/>
    <m/>
    <m/>
    <m/>
  </r>
  <r>
    <x v="701"/>
    <x v="120"/>
    <n v="48334413"/>
    <x v="1097"/>
    <x v="0"/>
    <s v="USA"/>
    <n v="8600000"/>
    <x v="19"/>
    <x v="4"/>
    <s v="Drama"/>
    <s v="Thriller"/>
    <m/>
    <m/>
    <m/>
    <m/>
    <m/>
  </r>
  <r>
    <x v="702"/>
    <x v="22"/>
    <n v="48334413"/>
    <x v="1098"/>
    <x v="0"/>
    <s v="Australia"/>
    <n v="8500000"/>
    <x v="31"/>
    <x v="6"/>
    <s v="Comedy"/>
    <s v="Drama"/>
    <s v="Family"/>
    <s v="Romance"/>
    <m/>
    <m/>
    <m/>
  </r>
  <r>
    <x v="703"/>
    <x v="57"/>
    <n v="48334413"/>
    <x v="1099"/>
    <x v="20"/>
    <s v="Turkey"/>
    <n v="8300000"/>
    <x v="27"/>
    <x v="4"/>
    <s v="Adventure"/>
    <m/>
    <m/>
    <m/>
    <m/>
    <m/>
    <m/>
  </r>
  <r>
    <x v="704"/>
    <x v="24"/>
    <n v="48334413"/>
    <x v="1100"/>
    <x v="0"/>
    <s v="USA"/>
    <n v="8300000"/>
    <x v="16"/>
    <x v="3"/>
    <s v="Romance"/>
    <m/>
    <m/>
    <m/>
    <m/>
    <m/>
    <m/>
  </r>
  <r>
    <x v="705"/>
    <x v="19"/>
    <n v="48334413"/>
    <x v="1101"/>
    <x v="0"/>
    <s v="USA"/>
    <n v="8000000"/>
    <x v="26"/>
    <x v="0"/>
    <s v="Fantasy"/>
    <s v="Horror"/>
    <m/>
    <m/>
    <m/>
    <m/>
    <m/>
  </r>
  <r>
    <x v="706"/>
    <x v="56"/>
    <n v="48334413"/>
    <x v="1102"/>
    <x v="16"/>
    <s v="Mexico"/>
    <n v="8000000"/>
    <x v="45"/>
    <x v="7"/>
    <s v="Family"/>
    <m/>
    <m/>
    <m/>
    <m/>
    <m/>
    <m/>
  </r>
  <r>
    <x v="707"/>
    <x v="74"/>
    <n v="48334413"/>
    <x v="1103"/>
    <x v="9"/>
    <s v="South Korea"/>
    <n v="8000000"/>
    <x v="11"/>
    <x v="4"/>
    <s v="Drama"/>
    <m/>
    <m/>
    <m/>
    <m/>
    <m/>
    <m/>
  </r>
  <r>
    <x v="705"/>
    <x v="19"/>
    <n v="48334413"/>
    <x v="1101"/>
    <x v="0"/>
    <s v="USA"/>
    <n v="8000000"/>
    <x v="26"/>
    <x v="0"/>
    <s v="Fantasy"/>
    <s v="Horror"/>
    <m/>
    <m/>
    <m/>
    <m/>
    <m/>
  </r>
  <r>
    <x v="708"/>
    <x v="31"/>
    <n v="48334413"/>
    <x v="1104"/>
    <x v="0"/>
    <s v="USA"/>
    <n v="8000000"/>
    <x v="38"/>
    <x v="0"/>
    <s v="Fantasy"/>
    <s v="Sci-Fi"/>
    <m/>
    <m/>
    <m/>
    <m/>
    <m/>
  </r>
  <r>
    <x v="709"/>
    <x v="12"/>
    <n v="48334413"/>
    <x v="1105"/>
    <x v="0"/>
    <s v="Canada"/>
    <n v="8000000"/>
    <x v="14"/>
    <x v="4"/>
    <s v="Comedy"/>
    <s v="Crime"/>
    <s v="Thriller"/>
    <m/>
    <m/>
    <m/>
    <m/>
  </r>
  <r>
    <x v="169"/>
    <x v="1"/>
    <n v="48334413"/>
    <x v="1106"/>
    <x v="0"/>
    <s v="USA"/>
    <n v="8000000"/>
    <x v="35"/>
    <x v="0"/>
    <s v="Romance"/>
    <m/>
    <m/>
    <m/>
    <m/>
    <m/>
    <m/>
  </r>
  <r>
    <x v="710"/>
    <x v="1"/>
    <n v="48334413"/>
    <x v="1107"/>
    <x v="0"/>
    <s v="UK"/>
    <n v="8000000"/>
    <x v="56"/>
    <x v="2"/>
    <s v="Drama"/>
    <m/>
    <m/>
    <m/>
    <m/>
    <m/>
    <m/>
  </r>
  <r>
    <x v="711"/>
    <x v="55"/>
    <n v="48334413"/>
    <x v="1108"/>
    <x v="1"/>
    <s v="Canada"/>
    <n v="8000000"/>
    <x v="5"/>
    <x v="6"/>
    <s v="Drama"/>
    <s v="Sport"/>
    <m/>
    <m/>
    <m/>
    <m/>
    <m/>
  </r>
  <r>
    <x v="712"/>
    <x v="49"/>
    <n v="48334413"/>
    <x v="1109"/>
    <x v="0"/>
    <s v="USA"/>
    <n v="8000000"/>
    <x v="28"/>
    <x v="4"/>
    <s v="Crime"/>
    <s v="Drama"/>
    <s v="Thriller"/>
    <m/>
    <m/>
    <m/>
    <m/>
  </r>
  <r>
    <x v="24"/>
    <x v="44"/>
    <n v="48334413"/>
    <x v="1110"/>
    <x v="0"/>
    <s v="USA"/>
    <n v="8000000"/>
    <x v="13"/>
    <x v="3"/>
    <m/>
    <m/>
    <m/>
    <m/>
    <m/>
    <m/>
    <m/>
  </r>
  <r>
    <x v="713"/>
    <x v="40"/>
    <n v="48334413"/>
    <x v="1111"/>
    <x v="0"/>
    <s v="USA"/>
    <n v="8000000"/>
    <x v="41"/>
    <x v="4"/>
    <m/>
    <m/>
    <m/>
    <m/>
    <m/>
    <m/>
    <m/>
  </r>
  <r>
    <x v="714"/>
    <x v="10"/>
    <n v="48334413"/>
    <x v="1112"/>
    <x v="0"/>
    <s v="USA"/>
    <n v="8000000"/>
    <x v="8"/>
    <x v="4"/>
    <s v="Adventure"/>
    <s v="Fantasy"/>
    <m/>
    <m/>
    <m/>
    <m/>
    <m/>
  </r>
  <r>
    <x v="715"/>
    <x v="61"/>
    <n v="48334413"/>
    <x v="1113"/>
    <x v="17"/>
    <s v="Brazil"/>
    <n v="8000000"/>
    <x v="31"/>
    <x v="3"/>
    <m/>
    <m/>
    <m/>
    <m/>
    <m/>
    <m/>
    <m/>
  </r>
  <r>
    <x v="716"/>
    <x v="24"/>
    <n v="48334413"/>
    <x v="1114"/>
    <x v="0"/>
    <s v="USA"/>
    <n v="7840000"/>
    <x v="7"/>
    <x v="3"/>
    <m/>
    <m/>
    <m/>
    <m/>
    <m/>
    <m/>
    <m/>
  </r>
  <r>
    <x v="717"/>
    <x v="43"/>
    <n v="48334413"/>
    <x v="1115"/>
    <x v="1"/>
    <s v="France"/>
    <n v="7700000"/>
    <x v="4"/>
    <x v="3"/>
    <s v="War"/>
    <s v="Western"/>
    <m/>
    <m/>
    <m/>
    <m/>
    <m/>
  </r>
  <r>
    <x v="718"/>
    <x v="90"/>
    <n v="48334413"/>
    <x v="1116"/>
    <x v="0"/>
    <s v="USA"/>
    <n v="7623000"/>
    <x v="11"/>
    <x v="6"/>
    <s v="Drama"/>
    <s v="History"/>
    <s v="Romance"/>
    <m/>
    <m/>
    <m/>
    <m/>
  </r>
  <r>
    <x v="501"/>
    <x v="13"/>
    <n v="48334413"/>
    <x v="1117"/>
    <x v="0"/>
    <s v="USA"/>
    <n v="7500000"/>
    <x v="9"/>
    <x v="12"/>
    <s v="Romance"/>
    <s v="Sci-Fi"/>
    <s v="Thriller"/>
    <m/>
    <m/>
    <m/>
    <m/>
  </r>
  <r>
    <x v="719"/>
    <x v="43"/>
    <n v="48334413"/>
    <x v="1118"/>
    <x v="0"/>
    <s v="UK"/>
    <n v="7500000"/>
    <x v="46"/>
    <x v="0"/>
    <m/>
    <m/>
    <m/>
    <m/>
    <m/>
    <m/>
    <m/>
  </r>
  <r>
    <x v="720"/>
    <x v="13"/>
    <n v="48334413"/>
    <x v="1119"/>
    <x v="0"/>
    <s v="Nigeria"/>
    <n v="7500000"/>
    <x v="37"/>
    <x v="4"/>
    <s v="Crime"/>
    <s v="Drama"/>
    <s v="Thriller"/>
    <m/>
    <m/>
    <m/>
    <m/>
  </r>
  <r>
    <x v="721"/>
    <x v="44"/>
    <n v="48334413"/>
    <x v="1120"/>
    <x v="0"/>
    <s v="Canada"/>
    <n v="7500000"/>
    <x v="33"/>
    <x v="4"/>
    <s v="Thriller"/>
    <m/>
    <m/>
    <m/>
    <m/>
    <m/>
    <m/>
  </r>
  <r>
    <x v="722"/>
    <x v="17"/>
    <n v="48334413"/>
    <x v="1121"/>
    <x v="0"/>
    <s v="Bulgaria"/>
    <n v="7000000"/>
    <x v="0"/>
    <x v="4"/>
    <s v="Sci-Fi"/>
    <s v="Thriller"/>
    <m/>
    <m/>
    <m/>
    <m/>
    <m/>
  </r>
  <r>
    <x v="275"/>
    <x v="41"/>
    <n v="48334413"/>
    <x v="1122"/>
    <x v="0"/>
    <s v="Canada"/>
    <n v="7000000"/>
    <x v="46"/>
    <x v="0"/>
    <s v="Drama"/>
    <s v="Family"/>
    <m/>
    <m/>
    <m/>
    <m/>
    <m/>
  </r>
  <r>
    <x v="723"/>
    <x v="140"/>
    <n v="48334413"/>
    <x v="1123"/>
    <x v="18"/>
    <s v="Russia"/>
    <n v="7000000"/>
    <x v="15"/>
    <x v="3"/>
    <s v="Sci-Fi"/>
    <m/>
    <m/>
    <m/>
    <m/>
    <m/>
    <m/>
  </r>
  <r>
    <x v="724"/>
    <x v="30"/>
    <n v="48334413"/>
    <x v="1124"/>
    <x v="0"/>
    <s v="Canada"/>
    <n v="7000000"/>
    <x v="12"/>
    <x v="4"/>
    <s v="Crime"/>
    <s v="Thriller"/>
    <m/>
    <m/>
    <m/>
    <m/>
    <m/>
  </r>
  <r>
    <x v="725"/>
    <x v="22"/>
    <n v="48334413"/>
    <x v="1125"/>
    <x v="21"/>
    <s v="Hong Kong"/>
    <n v="7000000"/>
    <x v="48"/>
    <x v="4"/>
    <s v="Crime"/>
    <m/>
    <m/>
    <m/>
    <m/>
    <m/>
    <m/>
  </r>
  <r>
    <x v="150"/>
    <x v="60"/>
    <n v="48334413"/>
    <x v="1126"/>
    <x v="0"/>
    <s v="USA"/>
    <n v="7000000"/>
    <x v="46"/>
    <x v="0"/>
    <s v="Fantasy"/>
    <s v="Horror"/>
    <s v="Mystery"/>
    <m/>
    <m/>
    <m/>
    <m/>
  </r>
  <r>
    <x v="726"/>
    <x v="42"/>
    <n v="48334413"/>
    <x v="1127"/>
    <x v="18"/>
    <s v="Russia"/>
    <n v="7000000"/>
    <x v="48"/>
    <x v="2"/>
    <s v="Animation"/>
    <s v="Family"/>
    <m/>
    <m/>
    <m/>
    <m/>
    <m/>
  </r>
  <r>
    <x v="727"/>
    <x v="105"/>
    <n v="48334413"/>
    <x v="1128"/>
    <x v="0"/>
    <s v="USA"/>
    <n v="7000000"/>
    <x v="27"/>
    <x v="4"/>
    <s v="Adventure"/>
    <s v="Animation"/>
    <s v="Comedy"/>
    <s v="Drama"/>
    <s v="Family"/>
    <s v="Fantasy"/>
    <m/>
  </r>
  <r>
    <x v="106"/>
    <x v="11"/>
    <n v="48334413"/>
    <x v="1129"/>
    <x v="0"/>
    <s v="USA"/>
    <n v="7000000"/>
    <x v="46"/>
    <x v="0"/>
    <s v="Drama"/>
    <s v="Family"/>
    <s v="Music"/>
    <s v="Musical"/>
    <s v="Romance"/>
    <m/>
    <m/>
  </r>
  <r>
    <x v="728"/>
    <x v="20"/>
    <n v="48334413"/>
    <x v="1130"/>
    <x v="0"/>
    <s v="USA"/>
    <n v="7000000"/>
    <x v="19"/>
    <x v="5"/>
    <s v="Drama"/>
    <s v="Thriller"/>
    <m/>
    <m/>
    <m/>
    <m/>
    <m/>
  </r>
  <r>
    <x v="651"/>
    <x v="6"/>
    <n v="48334413"/>
    <x v="1131"/>
    <x v="0"/>
    <s v="France"/>
    <n v="6700000"/>
    <x v="12"/>
    <x v="14"/>
    <s v="War"/>
    <m/>
    <m/>
    <m/>
    <m/>
    <m/>
    <m/>
  </r>
  <r>
    <x v="154"/>
    <x v="61"/>
    <n v="48334413"/>
    <x v="1132"/>
    <x v="0"/>
    <s v="USA"/>
    <n v="6500000"/>
    <x v="11"/>
    <x v="9"/>
    <s v="Thriller"/>
    <m/>
    <m/>
    <m/>
    <m/>
    <m/>
    <m/>
  </r>
  <r>
    <x v="729"/>
    <x v="30"/>
    <n v="48334413"/>
    <x v="1133"/>
    <x v="0"/>
    <s v="New Zealand"/>
    <n v="6500000"/>
    <x v="20"/>
    <x v="4"/>
    <s v="Adventure"/>
    <s v="Drama"/>
    <s v="Western"/>
    <m/>
    <m/>
    <m/>
    <s v="Thriller"/>
  </r>
  <r>
    <x v="730"/>
    <x v="83"/>
    <n v="48334413"/>
    <x v="1134"/>
    <x v="0"/>
    <s v="USA"/>
    <n v="6244087"/>
    <x v="13"/>
    <x v="4"/>
    <s v="Adventure"/>
    <s v="Western"/>
    <m/>
    <m/>
    <m/>
    <m/>
    <m/>
  </r>
  <r>
    <x v="731"/>
    <x v="24"/>
    <n v="48334413"/>
    <x v="1135"/>
    <x v="0"/>
    <s v="UK"/>
    <n v="6000000"/>
    <x v="26"/>
    <x v="3"/>
    <s v="Thriller"/>
    <m/>
    <m/>
    <m/>
    <m/>
    <m/>
    <m/>
  </r>
  <r>
    <x v="732"/>
    <x v="28"/>
    <n v="48334413"/>
    <x v="1136"/>
    <x v="0"/>
    <s v="UK"/>
    <n v="6000000"/>
    <x v="14"/>
    <x v="2"/>
    <s v="Crime"/>
    <s v="Drama"/>
    <s v="Thriller"/>
    <m/>
    <m/>
    <m/>
    <m/>
  </r>
  <r>
    <x v="733"/>
    <x v="63"/>
    <n v="48334413"/>
    <x v="1137"/>
    <x v="0"/>
    <s v="USA"/>
    <n v="6000000"/>
    <x v="11"/>
    <x v="0"/>
    <s v="Crime"/>
    <s v="Drama"/>
    <m/>
    <m/>
    <m/>
    <m/>
    <m/>
  </r>
  <r>
    <x v="681"/>
    <x v="43"/>
    <n v="48334413"/>
    <x v="1138"/>
    <x v="0"/>
    <s v="Canada"/>
    <n v="6000000"/>
    <x v="11"/>
    <x v="3"/>
    <s v="Family"/>
    <m/>
    <m/>
    <m/>
    <m/>
    <m/>
    <m/>
  </r>
  <r>
    <x v="734"/>
    <x v="10"/>
    <n v="48334413"/>
    <x v="1139"/>
    <x v="0"/>
    <s v="USA"/>
    <n v="6000000"/>
    <x v="18"/>
    <x v="4"/>
    <s v="Thriller"/>
    <m/>
    <m/>
    <m/>
    <m/>
    <m/>
    <m/>
  </r>
  <r>
    <x v="735"/>
    <x v="10"/>
    <n v="48334413"/>
    <x v="1140"/>
    <x v="0"/>
    <s v="USA"/>
    <n v="6000000"/>
    <x v="20"/>
    <x v="0"/>
    <s v="Crime"/>
    <s v="Thriller"/>
    <m/>
    <m/>
    <m/>
    <m/>
    <m/>
  </r>
  <r>
    <x v="736"/>
    <x v="15"/>
    <n v="48334413"/>
    <x v="1141"/>
    <x v="0"/>
    <s v="USA"/>
    <n v="6000000"/>
    <x v="15"/>
    <x v="14"/>
    <m/>
    <m/>
    <m/>
    <m/>
    <m/>
    <m/>
    <m/>
  </r>
  <r>
    <x v="670"/>
    <x v="56"/>
    <n v="48334413"/>
    <x v="1142"/>
    <x v="0"/>
    <s v="Canada"/>
    <n v="5952000"/>
    <x v="4"/>
    <x v="1"/>
    <s v="Mystery"/>
    <s v="Sci-Fi"/>
    <s v="Thriller"/>
    <m/>
    <m/>
    <m/>
    <m/>
  </r>
  <r>
    <x v="54"/>
    <x v="51"/>
    <n v="48334413"/>
    <x v="1143"/>
    <x v="0"/>
    <s v="USA"/>
    <n v="5500000"/>
    <x v="17"/>
    <x v="12"/>
    <s v="Western"/>
    <m/>
    <m/>
    <m/>
    <m/>
    <m/>
    <m/>
  </r>
  <r>
    <x v="737"/>
    <x v="2"/>
    <n v="48334413"/>
    <x v="1144"/>
    <x v="0"/>
    <s v="Norway"/>
    <n v="5500000"/>
    <x v="37"/>
    <x v="3"/>
    <s v="Romance"/>
    <m/>
    <m/>
    <m/>
    <m/>
    <m/>
    <m/>
  </r>
  <r>
    <x v="40"/>
    <x v="18"/>
    <n v="48334413"/>
    <x v="1145"/>
    <x v="0"/>
    <s v="USA"/>
    <n v="5100000"/>
    <x v="4"/>
    <x v="3"/>
    <s v="Fantasy"/>
    <s v="Romance"/>
    <m/>
    <m/>
    <m/>
    <m/>
    <m/>
  </r>
  <r>
    <x v="738"/>
    <x v="34"/>
    <n v="48334413"/>
    <x v="1146"/>
    <x v="6"/>
    <s v="Germany"/>
    <n v="5000000"/>
    <x v="17"/>
    <x v="3"/>
    <s v="Thriller"/>
    <m/>
    <m/>
    <m/>
    <m/>
    <m/>
    <m/>
  </r>
  <r>
    <x v="739"/>
    <x v="8"/>
    <n v="48334413"/>
    <x v="1147"/>
    <x v="0"/>
    <s v="UK"/>
    <n v="5000000"/>
    <x v="6"/>
    <x v="0"/>
    <s v="Crime"/>
    <s v="Mystery"/>
    <m/>
    <m/>
    <m/>
    <m/>
    <m/>
  </r>
  <r>
    <x v="622"/>
    <x v="32"/>
    <n v="48334413"/>
    <x v="1148"/>
    <x v="0"/>
    <s v="USA"/>
    <n v="5000000"/>
    <x v="11"/>
    <x v="2"/>
    <s v="Drama"/>
    <s v="Family"/>
    <s v="Fantasy"/>
    <s v="Sci-Fi"/>
    <m/>
    <m/>
    <m/>
  </r>
  <r>
    <x v="740"/>
    <x v="55"/>
    <n v="48334413"/>
    <x v="1149"/>
    <x v="0"/>
    <s v="USA"/>
    <n v="5000000"/>
    <x v="40"/>
    <x v="6"/>
    <s v="Drama"/>
    <m/>
    <m/>
    <m/>
    <m/>
    <m/>
    <m/>
  </r>
  <r>
    <x v="741"/>
    <x v="2"/>
    <n v="48334413"/>
    <x v="1150"/>
    <x v="0"/>
    <s v="USA"/>
    <n v="5000000"/>
    <x v="15"/>
    <x v="6"/>
    <s v="Drama"/>
    <m/>
    <m/>
    <m/>
    <m/>
    <m/>
    <m/>
  </r>
  <r>
    <x v="742"/>
    <x v="29"/>
    <n v="48334413"/>
    <x v="1151"/>
    <x v="0"/>
    <s v="USA"/>
    <n v="5000000"/>
    <x v="24"/>
    <x v="3"/>
    <s v="History"/>
    <m/>
    <m/>
    <m/>
    <m/>
    <m/>
    <m/>
  </r>
  <r>
    <x v="743"/>
    <x v="4"/>
    <n v="48334413"/>
    <x v="1152"/>
    <x v="0"/>
    <s v="USA"/>
    <n v="5000000"/>
    <x v="16"/>
    <x v="4"/>
    <s v="Crime"/>
    <s v="Thriller"/>
    <m/>
    <m/>
    <m/>
    <m/>
    <m/>
  </r>
  <r>
    <x v="744"/>
    <x v="38"/>
    <n v="48334413"/>
    <x v="1153"/>
    <x v="0"/>
    <s v="USA"/>
    <n v="5000000"/>
    <x v="8"/>
    <x v="3"/>
    <s v="History"/>
    <s v="Romance"/>
    <s v="War"/>
    <m/>
    <m/>
    <m/>
    <m/>
  </r>
  <r>
    <x v="12"/>
    <x v="40"/>
    <n v="48334413"/>
    <x v="1154"/>
    <x v="0"/>
    <s v="USA"/>
    <n v="5000000"/>
    <x v="24"/>
    <x v="2"/>
    <s v="Drama"/>
    <s v="Romance"/>
    <m/>
    <m/>
    <m/>
    <m/>
    <m/>
  </r>
  <r>
    <x v="405"/>
    <x v="59"/>
    <n v="48334413"/>
    <x v="1155"/>
    <x v="0"/>
    <s v="UK"/>
    <n v="5000000"/>
    <x v="2"/>
    <x v="4"/>
    <s v="Drama"/>
    <s v="War"/>
    <m/>
    <m/>
    <m/>
    <m/>
    <m/>
  </r>
  <r>
    <x v="745"/>
    <x v="80"/>
    <n v="48334413"/>
    <x v="1156"/>
    <x v="0"/>
    <s v="Italy"/>
    <n v="5000000"/>
    <x v="29"/>
    <x v="17"/>
    <m/>
    <m/>
    <m/>
    <m/>
    <m/>
    <m/>
    <m/>
  </r>
  <r>
    <x v="746"/>
    <x v="54"/>
    <n v="48334413"/>
    <x v="1157"/>
    <x v="0"/>
    <s v="USA"/>
    <n v="5000000"/>
    <x v="8"/>
    <x v="0"/>
    <s v="Music"/>
    <s v="Sci-Fi"/>
    <m/>
    <m/>
    <m/>
    <m/>
    <m/>
  </r>
  <r>
    <x v="747"/>
    <x v="60"/>
    <n v="48334413"/>
    <x v="1158"/>
    <x v="0"/>
    <s v="USA"/>
    <n v="5000000"/>
    <x v="37"/>
    <x v="0"/>
    <s v="Drama"/>
    <s v="Romance"/>
    <m/>
    <m/>
    <m/>
    <m/>
    <m/>
  </r>
  <r>
    <x v="748"/>
    <x v="13"/>
    <n v="48334413"/>
    <x v="1159"/>
    <x v="0"/>
    <s v="Canada"/>
    <n v="5000000"/>
    <x v="28"/>
    <x v="0"/>
    <s v="Horror"/>
    <s v="Sci-Fi"/>
    <m/>
    <m/>
    <m/>
    <m/>
    <m/>
  </r>
  <r>
    <x v="15"/>
    <x v="50"/>
    <n v="48334413"/>
    <x v="1160"/>
    <x v="0"/>
    <s v="USA"/>
    <n v="5000000"/>
    <x v="41"/>
    <x v="1"/>
    <s v="Sci-Fi"/>
    <s v="Thriller"/>
    <m/>
    <m/>
    <m/>
    <m/>
    <m/>
  </r>
  <r>
    <x v="749"/>
    <x v="30"/>
    <n v="48334413"/>
    <x v="1161"/>
    <x v="16"/>
    <s v="Spain"/>
    <n v="5000000"/>
    <x v="11"/>
    <x v="3"/>
    <s v="Horror"/>
    <s v="Thriller"/>
    <m/>
    <m/>
    <m/>
    <m/>
    <m/>
  </r>
  <r>
    <x v="149"/>
    <x v="54"/>
    <n v="48334413"/>
    <x v="1162"/>
    <x v="0"/>
    <s v="USA"/>
    <n v="5000000"/>
    <x v="0"/>
    <x v="0"/>
    <s v="Drama"/>
    <s v="Fantasy"/>
    <m/>
    <m/>
    <m/>
    <m/>
    <m/>
  </r>
  <r>
    <x v="750"/>
    <x v="54"/>
    <n v="48334413"/>
    <x v="1163"/>
    <x v="0"/>
    <s v="USA"/>
    <n v="5000000"/>
    <x v="3"/>
    <x v="5"/>
    <s v="Drama"/>
    <s v="Thriller"/>
    <m/>
    <m/>
    <m/>
    <m/>
    <m/>
  </r>
  <r>
    <x v="621"/>
    <x v="20"/>
    <n v="48334413"/>
    <x v="1164"/>
    <x v="0"/>
    <s v="Bahamas"/>
    <n v="5000000"/>
    <x v="45"/>
    <x v="3"/>
    <s v="Thriller"/>
    <m/>
    <m/>
    <m/>
    <m/>
    <m/>
    <m/>
  </r>
  <r>
    <x v="751"/>
    <x v="17"/>
    <n v="48334413"/>
    <x v="1165"/>
    <x v="0"/>
    <s v="UK"/>
    <n v="5000000"/>
    <x v="45"/>
    <x v="4"/>
    <s v="Drama"/>
    <s v="Thriller"/>
    <s v="War"/>
    <m/>
    <m/>
    <m/>
    <m/>
  </r>
  <r>
    <x v="259"/>
    <x v="19"/>
    <n v="48334413"/>
    <x v="1166"/>
    <x v="0"/>
    <s v="USA"/>
    <n v="5000000"/>
    <x v="9"/>
    <x v="4"/>
    <s v="Sci-Fi"/>
    <s v="Thriller"/>
    <m/>
    <m/>
    <m/>
    <m/>
    <m/>
  </r>
  <r>
    <x v="752"/>
    <x v="34"/>
    <n v="48334413"/>
    <x v="1167"/>
    <x v="0"/>
    <s v="USA"/>
    <n v="5000000"/>
    <x v="15"/>
    <x v="0"/>
    <s v="Drama"/>
    <m/>
    <m/>
    <m/>
    <m/>
    <m/>
    <m/>
  </r>
  <r>
    <x v="753"/>
    <x v="60"/>
    <n v="48334413"/>
    <x v="1168"/>
    <x v="0"/>
    <s v="USA"/>
    <n v="5000000"/>
    <x v="29"/>
    <x v="16"/>
    <m/>
    <m/>
    <m/>
    <m/>
    <m/>
    <m/>
    <m/>
  </r>
  <r>
    <x v="754"/>
    <x v="60"/>
    <n v="48334413"/>
    <x v="1169"/>
    <x v="0"/>
    <s v="USA"/>
    <n v="5000000"/>
    <x v="46"/>
    <x v="0"/>
    <s v="Fantasy"/>
    <s v="Horror"/>
    <s v="Thriller"/>
    <m/>
    <m/>
    <m/>
    <m/>
  </r>
  <r>
    <x v="755"/>
    <x v="68"/>
    <n v="48334413"/>
    <x v="1170"/>
    <x v="0"/>
    <s v="USA"/>
    <n v="5000000"/>
    <x v="18"/>
    <x v="0"/>
    <s v="Crime"/>
    <m/>
    <m/>
    <m/>
    <m/>
    <m/>
    <m/>
  </r>
  <r>
    <x v="756"/>
    <x v="56"/>
    <n v="48334413"/>
    <x v="1171"/>
    <x v="0"/>
    <s v="Canada"/>
    <n v="5000000"/>
    <x v="48"/>
    <x v="17"/>
    <m/>
    <m/>
    <m/>
    <m/>
    <m/>
    <m/>
    <m/>
  </r>
  <r>
    <x v="757"/>
    <x v="60"/>
    <n v="48334413"/>
    <x v="1172"/>
    <x v="0"/>
    <s v="USA"/>
    <n v="5000000"/>
    <x v="55"/>
    <x v="4"/>
    <s v="Thriller"/>
    <m/>
    <m/>
    <m/>
    <m/>
    <m/>
    <m/>
  </r>
  <r>
    <x v="758"/>
    <x v="48"/>
    <n v="48334413"/>
    <x v="1173"/>
    <x v="0"/>
    <s v="Romania"/>
    <n v="5000000"/>
    <x v="6"/>
    <x v="0"/>
    <s v="Drama"/>
    <m/>
    <m/>
    <m/>
    <m/>
    <m/>
    <m/>
  </r>
  <r>
    <x v="453"/>
    <x v="99"/>
    <n v="48334413"/>
    <x v="1174"/>
    <x v="0"/>
    <s v="USA"/>
    <n v="5000000"/>
    <x v="5"/>
    <x v="3"/>
    <s v="Sci-Fi"/>
    <m/>
    <m/>
    <m/>
    <m/>
    <m/>
    <m/>
  </r>
  <r>
    <x v="622"/>
    <x v="32"/>
    <n v="48334413"/>
    <x v="1148"/>
    <x v="0"/>
    <s v="USA"/>
    <n v="5000000"/>
    <x v="11"/>
    <x v="2"/>
    <s v="Drama"/>
    <s v="Family"/>
    <s v="Fantasy"/>
    <s v="Sci-Fi"/>
    <m/>
    <m/>
    <m/>
  </r>
  <r>
    <x v="759"/>
    <x v="54"/>
    <n v="48334413"/>
    <x v="1175"/>
    <x v="0"/>
    <s v="USA"/>
    <n v="4700000"/>
    <x v="59"/>
    <x v="0"/>
    <m/>
    <m/>
    <m/>
    <m/>
    <m/>
    <m/>
    <m/>
  </r>
  <r>
    <x v="760"/>
    <x v="22"/>
    <n v="48334413"/>
    <x v="1176"/>
    <x v="0"/>
    <s v="Mexico"/>
    <n v="4700000"/>
    <x v="8"/>
    <x v="0"/>
    <s v="Drama"/>
    <m/>
    <m/>
    <m/>
    <m/>
    <m/>
    <m/>
  </r>
  <r>
    <x v="730"/>
    <x v="40"/>
    <n v="48334413"/>
    <x v="1177"/>
    <x v="0"/>
    <s v="USA"/>
    <n v="4638783"/>
    <x v="7"/>
    <x v="6"/>
    <s v="Drama"/>
    <s v="Romance"/>
    <s v="Western"/>
    <m/>
    <m/>
    <m/>
    <m/>
  </r>
  <r>
    <x v="761"/>
    <x v="44"/>
    <n v="48334413"/>
    <x v="1178"/>
    <x v="0"/>
    <s v="USA"/>
    <n v="4500000"/>
    <x v="21"/>
    <x v="2"/>
    <s v="Drama"/>
    <s v="Romance"/>
    <m/>
    <m/>
    <m/>
    <m/>
    <m/>
  </r>
  <r>
    <x v="342"/>
    <x v="10"/>
    <n v="48334413"/>
    <x v="1179"/>
    <x v="0"/>
    <s v="USA"/>
    <n v="4500000"/>
    <x v="11"/>
    <x v="0"/>
    <s v="Drama"/>
    <m/>
    <m/>
    <m/>
    <m/>
    <m/>
    <m/>
  </r>
  <r>
    <x v="762"/>
    <x v="61"/>
    <n v="48334413"/>
    <x v="1180"/>
    <x v="0"/>
    <s v="USA"/>
    <n v="4500000"/>
    <x v="7"/>
    <x v="2"/>
    <s v="Drama"/>
    <m/>
    <m/>
    <m/>
    <m/>
    <m/>
    <m/>
  </r>
  <r>
    <x v="205"/>
    <x v="57"/>
    <n v="48334413"/>
    <x v="1181"/>
    <x v="0"/>
    <s v="UK"/>
    <n v="4500000"/>
    <x v="31"/>
    <x v="3"/>
    <s v="History"/>
    <s v="Thriller"/>
    <s v="War"/>
    <m/>
    <m/>
    <m/>
    <m/>
  </r>
  <r>
    <x v="763"/>
    <x v="48"/>
    <n v="48334413"/>
    <x v="1182"/>
    <x v="6"/>
    <s v="Switzerland"/>
    <n v="4500000"/>
    <x v="8"/>
    <x v="12"/>
    <s v="Sci-Fi"/>
    <s v="Thriller"/>
    <m/>
    <m/>
    <m/>
    <m/>
    <m/>
  </r>
  <r>
    <x v="764"/>
    <x v="89"/>
    <n v="48334413"/>
    <x v="1183"/>
    <x v="0"/>
    <s v="USA"/>
    <n v="4500000"/>
    <x v="49"/>
    <x v="0"/>
    <s v="Horror"/>
    <m/>
    <m/>
    <m/>
    <m/>
    <m/>
    <m/>
  </r>
  <r>
    <x v="765"/>
    <x v="18"/>
    <n v="48334413"/>
    <x v="1184"/>
    <x v="0"/>
    <s v="USA"/>
    <n v="4500000"/>
    <x v="21"/>
    <x v="3"/>
    <s v="Thriller"/>
    <m/>
    <m/>
    <m/>
    <m/>
    <m/>
    <m/>
  </r>
  <r>
    <x v="736"/>
    <x v="35"/>
    <n v="48334413"/>
    <x v="1185"/>
    <x v="0"/>
    <s v="USA"/>
    <n v="4490375"/>
    <x v="9"/>
    <x v="0"/>
    <s v="Thriller"/>
    <m/>
    <m/>
    <m/>
    <m/>
    <m/>
    <m/>
  </r>
  <r>
    <x v="766"/>
    <x v="63"/>
    <n v="48334413"/>
    <x v="1186"/>
    <x v="0"/>
    <s v="USA"/>
    <n v="4400000"/>
    <x v="1"/>
    <x v="0"/>
    <m/>
    <m/>
    <m/>
    <m/>
    <m/>
    <m/>
    <m/>
  </r>
  <r>
    <x v="123"/>
    <x v="54"/>
    <n v="48334413"/>
    <x v="1187"/>
    <x v="0"/>
    <s v="USA"/>
    <n v="4400000"/>
    <x v="15"/>
    <x v="0"/>
    <s v="Romance"/>
    <m/>
    <m/>
    <m/>
    <m/>
    <m/>
    <m/>
  </r>
  <r>
    <x v="767"/>
    <x v="19"/>
    <n v="48334413"/>
    <x v="1188"/>
    <x v="14"/>
    <s v="India"/>
    <n v="4400000"/>
    <x v="42"/>
    <x v="4"/>
    <s v="Drama"/>
    <s v="History"/>
    <s v="Thriller"/>
    <s v="War"/>
    <m/>
    <m/>
    <m/>
  </r>
  <r>
    <x v="669"/>
    <x v="1"/>
    <n v="48334413"/>
    <x v="1189"/>
    <x v="0"/>
    <s v="Canada"/>
    <n v="4300000"/>
    <x v="24"/>
    <x v="4"/>
    <s v="Crime"/>
    <s v="Drama"/>
    <s v="Thriller"/>
    <m/>
    <m/>
    <m/>
    <m/>
  </r>
  <r>
    <x v="106"/>
    <x v="1"/>
    <n v="48334413"/>
    <x v="1190"/>
    <x v="0"/>
    <s v="USA"/>
    <n v="4200000"/>
    <x v="34"/>
    <x v="0"/>
    <s v="Drama"/>
    <s v="Family"/>
    <s v="Music"/>
    <s v="Musical"/>
    <s v="Romance"/>
    <m/>
    <m/>
  </r>
  <r>
    <x v="768"/>
    <x v="7"/>
    <n v="48334413"/>
    <x v="1191"/>
    <x v="0"/>
    <s v="USA"/>
    <n v="4000000"/>
    <x v="4"/>
    <x v="0"/>
    <s v="Horror"/>
    <s v="Sci-Fi"/>
    <m/>
    <m/>
    <m/>
    <m/>
    <m/>
  </r>
  <r>
    <x v="769"/>
    <x v="20"/>
    <n v="48334413"/>
    <x v="1192"/>
    <x v="0"/>
    <s v="UK"/>
    <n v="4000000"/>
    <x v="2"/>
    <x v="0"/>
    <s v="Horror"/>
    <s v="Sci-Fi"/>
    <s v="Thriller"/>
    <m/>
    <m/>
    <m/>
    <m/>
  </r>
  <r>
    <x v="768"/>
    <x v="7"/>
    <n v="48334413"/>
    <x v="1191"/>
    <x v="0"/>
    <s v="USA"/>
    <n v="4000000"/>
    <x v="4"/>
    <x v="0"/>
    <s v="Horror"/>
    <s v="Sci-Fi"/>
    <m/>
    <m/>
    <m/>
    <m/>
    <m/>
  </r>
  <r>
    <x v="770"/>
    <x v="51"/>
    <n v="48334413"/>
    <x v="1193"/>
    <x v="0"/>
    <s v="USA"/>
    <n v="4000000"/>
    <x v="4"/>
    <x v="0"/>
    <s v="Drama"/>
    <s v="Romance"/>
    <m/>
    <m/>
    <m/>
    <m/>
    <m/>
  </r>
  <r>
    <x v="771"/>
    <x v="51"/>
    <n v="48334413"/>
    <x v="1194"/>
    <x v="0"/>
    <s v="USA"/>
    <n v="4000000"/>
    <x v="9"/>
    <x v="3"/>
    <s v="Romance"/>
    <m/>
    <m/>
    <m/>
    <m/>
    <m/>
    <m/>
  </r>
  <r>
    <x v="772"/>
    <x v="134"/>
    <n v="48334413"/>
    <x v="1195"/>
    <x v="0"/>
    <s v="USA"/>
    <n v="4000000"/>
    <x v="25"/>
    <x v="2"/>
    <s v="Drama"/>
    <s v="History"/>
    <s v="Thriller"/>
    <s v="War"/>
    <m/>
    <m/>
    <m/>
  </r>
  <r>
    <x v="762"/>
    <x v="35"/>
    <n v="48334413"/>
    <x v="1196"/>
    <x v="0"/>
    <s v="USA"/>
    <n v="4000000"/>
    <x v="7"/>
    <x v="3"/>
    <s v="Romance"/>
    <s v="Western"/>
    <m/>
    <m/>
    <m/>
    <m/>
    <m/>
  </r>
  <r>
    <x v="736"/>
    <x v="32"/>
    <n v="48334413"/>
    <x v="1197"/>
    <x v="0"/>
    <s v="USA"/>
    <n v="4000000"/>
    <x v="2"/>
    <x v="3"/>
    <s v="Thriller"/>
    <m/>
    <m/>
    <m/>
    <m/>
    <m/>
    <m/>
  </r>
  <r>
    <x v="754"/>
    <x v="60"/>
    <n v="48334413"/>
    <x v="1198"/>
    <x v="0"/>
    <s v="USA"/>
    <n v="4000000"/>
    <x v="8"/>
    <x v="4"/>
    <s v="Crime"/>
    <s v="Horror"/>
    <s v="Thriller"/>
    <m/>
    <m/>
    <m/>
    <m/>
  </r>
  <r>
    <x v="773"/>
    <x v="41"/>
    <n v="48334413"/>
    <x v="1199"/>
    <x v="0"/>
    <s v="USA"/>
    <n v="4000000"/>
    <x v="38"/>
    <x v="0"/>
    <s v="Drama"/>
    <s v="Romance"/>
    <m/>
    <m/>
    <m/>
    <m/>
    <m/>
  </r>
  <r>
    <x v="774"/>
    <x v="5"/>
    <n v="48334413"/>
    <x v="1200"/>
    <x v="0"/>
    <s v="USA"/>
    <n v="4000000"/>
    <x v="27"/>
    <x v="0"/>
    <s v="Drama"/>
    <m/>
    <m/>
    <m/>
    <m/>
    <m/>
    <m/>
  </r>
  <r>
    <x v="686"/>
    <x v="4"/>
    <n v="48334413"/>
    <x v="1201"/>
    <x v="0"/>
    <s v="UK"/>
    <n v="4000000"/>
    <x v="2"/>
    <x v="4"/>
    <s v="Adventure"/>
    <s v="Crime"/>
    <s v="Thriller"/>
    <m/>
    <m/>
    <m/>
    <m/>
  </r>
  <r>
    <x v="775"/>
    <x v="35"/>
    <n v="48334413"/>
    <x v="1202"/>
    <x v="18"/>
    <s v="Russia"/>
    <n v="4000000"/>
    <x v="31"/>
    <x v="2"/>
    <s v="Drama"/>
    <m/>
    <m/>
    <m/>
    <m/>
    <m/>
    <m/>
  </r>
  <r>
    <x v="776"/>
    <x v="138"/>
    <n v="48334413"/>
    <x v="1203"/>
    <x v="0"/>
    <s v="USA"/>
    <n v="4000000"/>
    <x v="17"/>
    <x v="3"/>
    <s v="Family"/>
    <s v="History"/>
    <s v="Musical"/>
    <m/>
    <m/>
    <m/>
    <m/>
  </r>
  <r>
    <x v="777"/>
    <x v="18"/>
    <n v="48334413"/>
    <x v="1204"/>
    <x v="0"/>
    <s v="USA"/>
    <n v="4000000"/>
    <x v="24"/>
    <x v="0"/>
    <s v="Drama"/>
    <s v="Romance"/>
    <m/>
    <m/>
    <m/>
    <m/>
    <m/>
  </r>
  <r>
    <x v="778"/>
    <x v="31"/>
    <n v="48334413"/>
    <x v="1205"/>
    <x v="0"/>
    <s v="USA"/>
    <n v="4000000"/>
    <x v="47"/>
    <x v="1"/>
    <m/>
    <m/>
    <m/>
    <m/>
    <m/>
    <m/>
    <m/>
  </r>
  <r>
    <x v="779"/>
    <x v="81"/>
    <n v="48334413"/>
    <x v="1206"/>
    <x v="0"/>
    <s v="USA"/>
    <n v="4000000"/>
    <x v="41"/>
    <x v="1"/>
    <m/>
    <m/>
    <m/>
    <m/>
    <m/>
    <m/>
    <m/>
  </r>
  <r>
    <x v="780"/>
    <x v="3"/>
    <n v="48334413"/>
    <x v="1207"/>
    <x v="0"/>
    <s v="USA"/>
    <n v="4000000"/>
    <x v="2"/>
    <x v="0"/>
    <s v="Romance"/>
    <m/>
    <m/>
    <m/>
    <m/>
    <m/>
    <m/>
  </r>
  <r>
    <x v="781"/>
    <x v="20"/>
    <n v="48334413"/>
    <x v="1208"/>
    <x v="0"/>
    <s v="South Africa"/>
    <n v="4000000"/>
    <x v="47"/>
    <x v="2"/>
    <s v="Biography"/>
    <s v="Drama"/>
    <s v="Romance"/>
    <m/>
    <m/>
    <m/>
    <m/>
  </r>
  <r>
    <x v="26"/>
    <x v="20"/>
    <n v="48334413"/>
    <x v="1209"/>
    <x v="0"/>
    <s v="USA"/>
    <n v="4000000"/>
    <x v="23"/>
    <x v="0"/>
    <s v="Family"/>
    <m/>
    <m/>
    <m/>
    <m/>
    <m/>
    <m/>
  </r>
  <r>
    <x v="782"/>
    <x v="0"/>
    <n v="48334413"/>
    <x v="1210"/>
    <x v="0"/>
    <s v="USA"/>
    <n v="4000000"/>
    <x v="0"/>
    <x v="9"/>
    <s v="Thriller"/>
    <m/>
    <m/>
    <m/>
    <m/>
    <m/>
    <m/>
  </r>
  <r>
    <x v="783"/>
    <x v="49"/>
    <n v="48334413"/>
    <x v="1211"/>
    <x v="0"/>
    <s v="USA"/>
    <n v="3950000"/>
    <x v="22"/>
    <x v="3"/>
    <s v="War"/>
    <m/>
    <m/>
    <m/>
    <m/>
    <m/>
    <m/>
  </r>
  <r>
    <x v="373"/>
    <x v="64"/>
    <n v="48334413"/>
    <x v="1212"/>
    <x v="0"/>
    <s v="USA"/>
    <n v="3800000"/>
    <x v="23"/>
    <x v="3"/>
    <s v="Romance"/>
    <m/>
    <m/>
    <m/>
    <m/>
    <m/>
    <m/>
  </r>
  <r>
    <x v="730"/>
    <x v="64"/>
    <n v="48334413"/>
    <x v="1213"/>
    <x v="0"/>
    <s v="USA"/>
    <n v="3716946"/>
    <x v="4"/>
    <x v="0"/>
    <s v="Drama"/>
    <s v="Romance"/>
    <s v="Western"/>
    <m/>
    <m/>
    <m/>
    <m/>
  </r>
  <r>
    <x v="784"/>
    <x v="11"/>
    <n v="48334413"/>
    <x v="1214"/>
    <x v="0"/>
    <s v="Germany"/>
    <n v="3660000"/>
    <x v="16"/>
    <x v="3"/>
    <s v="Romance"/>
    <s v="Sci-Fi"/>
    <m/>
    <m/>
    <m/>
    <m/>
    <m/>
  </r>
  <r>
    <x v="380"/>
    <x v="8"/>
    <n v="48334413"/>
    <x v="1215"/>
    <x v="0"/>
    <s v="USA"/>
    <n v="3600000"/>
    <x v="12"/>
    <x v="3"/>
    <m/>
    <m/>
    <m/>
    <m/>
    <m/>
    <m/>
    <m/>
  </r>
  <r>
    <x v="705"/>
    <x v="54"/>
    <n v="48334413"/>
    <x v="1216"/>
    <x v="0"/>
    <s v="USA"/>
    <n v="3500000"/>
    <x v="11"/>
    <x v="1"/>
    <m/>
    <m/>
    <m/>
    <m/>
    <m/>
    <m/>
    <m/>
  </r>
  <r>
    <x v="785"/>
    <x v="30"/>
    <n v="48334413"/>
    <x v="1217"/>
    <x v="0"/>
    <s v="Australia"/>
    <n v="3500000"/>
    <x v="4"/>
    <x v="2"/>
    <s v="Drama"/>
    <s v="Family"/>
    <s v="Romance"/>
    <s v="Western"/>
    <m/>
    <m/>
    <m/>
  </r>
  <r>
    <x v="521"/>
    <x v="16"/>
    <n v="48334413"/>
    <x v="1218"/>
    <x v="0"/>
    <s v="USA"/>
    <n v="3500000"/>
    <x v="13"/>
    <x v="6"/>
    <s v="Crime"/>
    <s v="Drama"/>
    <s v="History"/>
    <m/>
    <m/>
    <m/>
    <m/>
  </r>
  <r>
    <x v="716"/>
    <x v="9"/>
    <n v="48334413"/>
    <x v="1219"/>
    <x v="0"/>
    <s v="USA"/>
    <n v="3500000"/>
    <x v="17"/>
    <x v="3"/>
    <m/>
    <m/>
    <m/>
    <m/>
    <m/>
    <m/>
    <m/>
  </r>
  <r>
    <x v="624"/>
    <x v="64"/>
    <n v="48334413"/>
    <x v="1220"/>
    <x v="0"/>
    <s v="USA"/>
    <n v="3500000"/>
    <x v="14"/>
    <x v="4"/>
    <s v="Crime"/>
    <s v="Drama"/>
    <s v="Mystery"/>
    <s v="Thriller"/>
    <m/>
    <m/>
    <m/>
  </r>
  <r>
    <x v="705"/>
    <x v="54"/>
    <n v="48334413"/>
    <x v="1216"/>
    <x v="0"/>
    <s v="USA"/>
    <n v="3500000"/>
    <x v="11"/>
    <x v="1"/>
    <m/>
    <m/>
    <m/>
    <m/>
    <m/>
    <m/>
    <m/>
  </r>
  <r>
    <x v="786"/>
    <x v="1"/>
    <n v="48334413"/>
    <x v="1221"/>
    <x v="0"/>
    <s v="USA"/>
    <n v="3500000"/>
    <x v="0"/>
    <x v="5"/>
    <s v="Drama"/>
    <s v="Mystery"/>
    <s v="Thriller"/>
    <m/>
    <m/>
    <m/>
    <m/>
  </r>
  <r>
    <x v="787"/>
    <x v="49"/>
    <n v="48334413"/>
    <x v="1222"/>
    <x v="0"/>
    <s v="USA"/>
    <n v="3500000"/>
    <x v="46"/>
    <x v="1"/>
    <s v="Thriller"/>
    <m/>
    <m/>
    <m/>
    <m/>
    <m/>
    <m/>
  </r>
  <r>
    <x v="788"/>
    <x v="91"/>
    <n v="48334413"/>
    <x v="1223"/>
    <x v="0"/>
    <s v="USA"/>
    <n v="3500000"/>
    <x v="39"/>
    <x v="4"/>
    <s v="Animation"/>
    <s v="Crime"/>
    <s v="Sci-Fi"/>
    <s v="Thriller"/>
    <m/>
    <m/>
    <m/>
  </r>
  <r>
    <x v="565"/>
    <x v="89"/>
    <n v="48334413"/>
    <x v="1224"/>
    <x v="0"/>
    <s v="Canada"/>
    <n v="3500000"/>
    <x v="68"/>
    <x v="4"/>
    <s v="Adventure"/>
    <s v="Fantasy"/>
    <s v="Thriller"/>
    <m/>
    <m/>
    <m/>
    <m/>
  </r>
  <r>
    <x v="789"/>
    <x v="22"/>
    <n v="48334413"/>
    <x v="1225"/>
    <x v="0"/>
    <s v="USA"/>
    <n v="3500000"/>
    <x v="18"/>
    <x v="4"/>
    <s v="Crime"/>
    <s v="Drama"/>
    <s v="Thriller"/>
    <m/>
    <m/>
    <m/>
    <m/>
  </r>
  <r>
    <x v="790"/>
    <x v="60"/>
    <n v="48334413"/>
    <x v="1226"/>
    <x v="0"/>
    <s v="USA"/>
    <n v="3500000"/>
    <x v="46"/>
    <x v="3"/>
    <s v="Thriller"/>
    <m/>
    <m/>
    <m/>
    <m/>
    <m/>
    <m/>
  </r>
  <r>
    <x v="791"/>
    <x v="20"/>
    <n v="48334413"/>
    <x v="1227"/>
    <x v="0"/>
    <s v="USA"/>
    <n v="3500000"/>
    <x v="2"/>
    <x v="1"/>
    <m/>
    <m/>
    <m/>
    <m/>
    <m/>
    <m/>
    <m/>
  </r>
  <r>
    <x v="792"/>
    <x v="10"/>
    <n v="48334413"/>
    <x v="1228"/>
    <x v="0"/>
    <s v="UK"/>
    <n v="3440000"/>
    <x v="69"/>
    <x v="5"/>
    <s v="Mystery"/>
    <s v="Thriller"/>
    <m/>
    <m/>
    <m/>
    <m/>
    <m/>
  </r>
  <r>
    <x v="123"/>
    <x v="20"/>
    <n v="48334413"/>
    <x v="1229"/>
    <x v="0"/>
    <s v="USA"/>
    <n v="3400000"/>
    <x v="15"/>
    <x v="0"/>
    <m/>
    <m/>
    <m/>
    <m/>
    <m/>
    <m/>
    <m/>
  </r>
  <r>
    <x v="793"/>
    <x v="30"/>
    <n v="48334413"/>
    <x v="1230"/>
    <x v="0"/>
    <s v="USA"/>
    <n v="3400000"/>
    <x v="24"/>
    <x v="6"/>
    <s v="Drama"/>
    <s v="Music"/>
    <m/>
    <m/>
    <m/>
    <m/>
    <m/>
  </r>
  <r>
    <x v="794"/>
    <x v="0"/>
    <n v="48334413"/>
    <x v="1231"/>
    <x v="0"/>
    <s v="USA"/>
    <n v="3300000"/>
    <x v="36"/>
    <x v="0"/>
    <m/>
    <m/>
    <m/>
    <m/>
    <m/>
    <m/>
    <m/>
  </r>
  <r>
    <x v="795"/>
    <x v="13"/>
    <n v="48334413"/>
    <x v="1232"/>
    <x v="0"/>
    <s v="USA"/>
    <n v="3209000"/>
    <x v="8"/>
    <x v="2"/>
    <s v="Drama"/>
    <s v="Romance"/>
    <m/>
    <m/>
    <m/>
    <m/>
    <m/>
  </r>
  <r>
    <x v="796"/>
    <x v="8"/>
    <n v="48334413"/>
    <x v="1233"/>
    <x v="0"/>
    <s v="USA"/>
    <n v="3200000"/>
    <x v="23"/>
    <x v="3"/>
    <s v="Western"/>
    <m/>
    <m/>
    <m/>
    <m/>
    <m/>
    <m/>
  </r>
  <r>
    <x v="797"/>
    <x v="13"/>
    <n v="48334413"/>
    <x v="1234"/>
    <x v="0"/>
    <s v="USA"/>
    <n v="3200000"/>
    <x v="16"/>
    <x v="4"/>
    <s v="Comedy"/>
    <s v="Horror"/>
    <s v="Thriller"/>
    <m/>
    <m/>
    <m/>
    <m/>
  </r>
  <r>
    <x v="798"/>
    <x v="7"/>
    <n v="48334413"/>
    <x v="1235"/>
    <x v="0"/>
    <s v="Canada"/>
    <n v="3200000"/>
    <x v="21"/>
    <x v="1"/>
    <s v="Sci-Fi"/>
    <s v="Thriller"/>
    <m/>
    <m/>
    <m/>
    <m/>
    <m/>
  </r>
  <r>
    <x v="799"/>
    <x v="4"/>
    <n v="48334413"/>
    <x v="1236"/>
    <x v="1"/>
    <s v="Canada"/>
    <n v="3200000"/>
    <x v="24"/>
    <x v="4"/>
    <s v="Drama"/>
    <s v="Horror"/>
    <s v="Thriller"/>
    <m/>
    <m/>
    <m/>
    <m/>
  </r>
  <r>
    <x v="800"/>
    <x v="36"/>
    <n v="48334413"/>
    <x v="1237"/>
    <x v="0"/>
    <s v="USA"/>
    <n v="3180000"/>
    <x v="29"/>
    <x v="3"/>
    <s v="Family"/>
    <s v="Fantasy"/>
    <s v="Romance"/>
    <m/>
    <m/>
    <m/>
    <m/>
  </r>
  <r>
    <x v="488"/>
    <x v="4"/>
    <n v="48334413"/>
    <x v="1238"/>
    <x v="0"/>
    <s v="Canada"/>
    <n v="3150000"/>
    <x v="3"/>
    <x v="1"/>
    <s v="Thriller"/>
    <m/>
    <m/>
    <m/>
    <m/>
    <m/>
    <m/>
  </r>
  <r>
    <x v="453"/>
    <x v="100"/>
    <n v="48334413"/>
    <x v="1239"/>
    <x v="0"/>
    <s v="USA"/>
    <n v="3000000"/>
    <x v="24"/>
    <x v="0"/>
    <s v="Family"/>
    <s v="Fantasy"/>
    <m/>
    <m/>
    <m/>
    <m/>
    <m/>
  </r>
  <r>
    <x v="453"/>
    <x v="99"/>
    <n v="48334413"/>
    <x v="1240"/>
    <x v="0"/>
    <s v="USA"/>
    <n v="3000000"/>
    <x v="64"/>
    <x v="18"/>
    <s v="Reality-TV"/>
    <s v="Romance"/>
    <m/>
    <m/>
    <m/>
    <m/>
    <m/>
  </r>
  <r>
    <x v="801"/>
    <x v="34"/>
    <n v="48334413"/>
    <x v="1241"/>
    <x v="0"/>
    <s v="UK"/>
    <n v="3000000"/>
    <x v="20"/>
    <x v="1"/>
    <s v="Thriller"/>
    <m/>
    <m/>
    <m/>
    <m/>
    <m/>
    <m/>
  </r>
  <r>
    <x v="521"/>
    <x v="7"/>
    <n v="48334413"/>
    <x v="1242"/>
    <x v="0"/>
    <s v="USA"/>
    <n v="3000000"/>
    <x v="23"/>
    <x v="3"/>
    <s v="Romance"/>
    <m/>
    <m/>
    <m/>
    <m/>
    <m/>
    <m/>
  </r>
  <r>
    <x v="802"/>
    <x v="13"/>
    <n v="48334413"/>
    <x v="1243"/>
    <x v="0"/>
    <s v="USA"/>
    <n v="3000000"/>
    <x v="0"/>
    <x v="4"/>
    <s v="Adventure"/>
    <s v="Sci-Fi"/>
    <m/>
    <m/>
    <m/>
    <m/>
    <m/>
  </r>
  <r>
    <x v="770"/>
    <x v="65"/>
    <n v="48334413"/>
    <x v="1244"/>
    <x v="0"/>
    <s v="USA"/>
    <n v="3000000"/>
    <x v="25"/>
    <x v="0"/>
    <s v="Drama"/>
    <s v="Romance"/>
    <m/>
    <m/>
    <m/>
    <m/>
    <m/>
  </r>
  <r>
    <x v="803"/>
    <x v="0"/>
    <n v="48334413"/>
    <x v="1245"/>
    <x v="0"/>
    <s v="USA"/>
    <n v="3000000"/>
    <x v="24"/>
    <x v="0"/>
    <s v="Drama"/>
    <s v="Music"/>
    <m/>
    <m/>
    <m/>
    <m/>
    <m/>
  </r>
  <r>
    <x v="521"/>
    <x v="70"/>
    <n v="48334413"/>
    <x v="1246"/>
    <x v="0"/>
    <s v="USA"/>
    <n v="3000000"/>
    <x v="12"/>
    <x v="3"/>
    <m/>
    <m/>
    <m/>
    <m/>
    <m/>
    <m/>
    <m/>
  </r>
  <r>
    <x v="804"/>
    <x v="141"/>
    <n v="48334413"/>
    <x v="1247"/>
    <x v="0"/>
    <s v="USA"/>
    <n v="3000000"/>
    <x v="25"/>
    <x v="3"/>
    <s v="War"/>
    <m/>
    <m/>
    <m/>
    <m/>
    <m/>
    <m/>
  </r>
  <r>
    <x v="805"/>
    <x v="59"/>
    <n v="48334413"/>
    <x v="1248"/>
    <x v="0"/>
    <s v="USA"/>
    <n v="3000000"/>
    <x v="22"/>
    <x v="4"/>
    <s v="Adventure"/>
    <s v="Romance"/>
    <s v="Western"/>
    <m/>
    <m/>
    <m/>
    <m/>
  </r>
  <r>
    <x v="806"/>
    <x v="56"/>
    <n v="48334413"/>
    <x v="1249"/>
    <x v="0"/>
    <s v="USA"/>
    <n v="3000000"/>
    <x v="22"/>
    <x v="16"/>
    <s v="Fantasy"/>
    <s v="Musical"/>
    <m/>
    <m/>
    <m/>
    <m/>
    <m/>
  </r>
  <r>
    <x v="807"/>
    <x v="20"/>
    <n v="48334413"/>
    <x v="1250"/>
    <x v="0"/>
    <s v="USA"/>
    <n v="3000000"/>
    <x v="13"/>
    <x v="3"/>
    <s v="Romance"/>
    <m/>
    <m/>
    <m/>
    <m/>
    <m/>
    <m/>
  </r>
  <r>
    <x v="808"/>
    <x v="30"/>
    <n v="48334413"/>
    <x v="1251"/>
    <x v="0"/>
    <s v="USA"/>
    <n v="3000000"/>
    <x v="26"/>
    <x v="0"/>
    <s v="Crime"/>
    <s v="Drama"/>
    <s v="Thriller"/>
    <m/>
    <m/>
    <m/>
    <m/>
  </r>
  <r>
    <x v="809"/>
    <x v="39"/>
    <n v="48334413"/>
    <x v="1252"/>
    <x v="0"/>
    <s v="USA"/>
    <n v="3000000"/>
    <x v="48"/>
    <x v="1"/>
    <s v="Thriller"/>
    <m/>
    <m/>
    <m/>
    <m/>
    <m/>
    <m/>
  </r>
  <r>
    <x v="810"/>
    <x v="42"/>
    <n v="48334413"/>
    <x v="1253"/>
    <x v="0"/>
    <s v="USA"/>
    <n v="3000000"/>
    <x v="68"/>
    <x v="0"/>
    <m/>
    <m/>
    <m/>
    <m/>
    <m/>
    <m/>
    <m/>
  </r>
  <r>
    <x v="811"/>
    <x v="10"/>
    <n v="48334413"/>
    <x v="1254"/>
    <x v="0"/>
    <s v="USA"/>
    <n v="3000000"/>
    <x v="8"/>
    <x v="0"/>
    <m/>
    <m/>
    <m/>
    <m/>
    <m/>
    <m/>
    <m/>
  </r>
  <r>
    <x v="812"/>
    <x v="63"/>
    <n v="48334413"/>
    <x v="1255"/>
    <x v="0"/>
    <s v="Brazil"/>
    <n v="3000000"/>
    <x v="3"/>
    <x v="4"/>
    <s v="Drama"/>
    <s v="Thriller"/>
    <m/>
    <m/>
    <m/>
    <m/>
    <m/>
  </r>
  <r>
    <x v="813"/>
    <x v="42"/>
    <n v="48334413"/>
    <x v="1256"/>
    <x v="0"/>
    <s v="USA"/>
    <n v="3000000"/>
    <x v="70"/>
    <x v="0"/>
    <m/>
    <m/>
    <m/>
    <m/>
    <m/>
    <m/>
    <m/>
  </r>
  <r>
    <x v="814"/>
    <x v="10"/>
    <n v="48334413"/>
    <x v="1257"/>
    <x v="0"/>
    <s v="USA"/>
    <n v="3000000"/>
    <x v="19"/>
    <x v="4"/>
    <s v="Drama"/>
    <s v="Sport"/>
    <m/>
    <m/>
    <m/>
    <m/>
    <m/>
  </r>
  <r>
    <x v="643"/>
    <x v="22"/>
    <n v="48334413"/>
    <x v="1258"/>
    <x v="0"/>
    <s v="USA"/>
    <n v="3000000"/>
    <x v="7"/>
    <x v="5"/>
    <s v="Thriller"/>
    <m/>
    <m/>
    <m/>
    <m/>
    <m/>
    <m/>
  </r>
  <r>
    <x v="815"/>
    <x v="41"/>
    <n v="48334413"/>
    <x v="1259"/>
    <x v="12"/>
    <s v="Italy"/>
    <n v="3000000"/>
    <x v="33"/>
    <x v="0"/>
    <m/>
    <m/>
    <m/>
    <m/>
    <m/>
    <m/>
    <m/>
  </r>
  <r>
    <x v="816"/>
    <x v="13"/>
    <n v="48334413"/>
    <x v="1260"/>
    <x v="0"/>
    <s v="USA"/>
    <n v="3000000"/>
    <x v="46"/>
    <x v="3"/>
    <s v="Horror"/>
    <s v="Mystery"/>
    <s v="Thriller"/>
    <m/>
    <m/>
    <m/>
    <m/>
  </r>
  <r>
    <x v="817"/>
    <x v="68"/>
    <n v="48334413"/>
    <x v="1261"/>
    <x v="0"/>
    <s v="USA"/>
    <n v="3000000"/>
    <x v="67"/>
    <x v="14"/>
    <m/>
    <m/>
    <m/>
    <m/>
    <m/>
    <m/>
    <m/>
  </r>
  <r>
    <x v="818"/>
    <x v="0"/>
    <n v="48334413"/>
    <x v="1262"/>
    <x v="0"/>
    <s v="Italy"/>
    <n v="3000000"/>
    <x v="8"/>
    <x v="2"/>
    <s v="Crime"/>
    <s v="Drama"/>
    <m/>
    <m/>
    <m/>
    <m/>
    <m/>
  </r>
  <r>
    <x v="819"/>
    <x v="20"/>
    <n v="48334413"/>
    <x v="1263"/>
    <x v="0"/>
    <s v="USA"/>
    <n v="3000000"/>
    <x v="8"/>
    <x v="4"/>
    <s v="Adventure"/>
    <s v="Crime"/>
    <s v="Drama"/>
    <m/>
    <m/>
    <m/>
    <m/>
  </r>
  <r>
    <x v="820"/>
    <x v="42"/>
    <n v="48334413"/>
    <x v="1264"/>
    <x v="0"/>
    <s v="USA"/>
    <n v="3000000"/>
    <x v="35"/>
    <x v="4"/>
    <s v="Crime"/>
    <m/>
    <m/>
    <m/>
    <m/>
    <m/>
    <m/>
  </r>
  <r>
    <x v="821"/>
    <x v="10"/>
    <n v="48334413"/>
    <x v="1265"/>
    <x v="0"/>
    <s v="USA"/>
    <n v="3000000"/>
    <x v="49"/>
    <x v="3"/>
    <s v="Horror"/>
    <s v="Mystery"/>
    <s v="Thriller"/>
    <m/>
    <m/>
    <m/>
    <m/>
  </r>
  <r>
    <x v="822"/>
    <x v="56"/>
    <n v="48334413"/>
    <x v="1266"/>
    <x v="0"/>
    <s v="USA"/>
    <n v="3000000"/>
    <x v="56"/>
    <x v="4"/>
    <s v="Horror"/>
    <s v="Thriller"/>
    <m/>
    <m/>
    <m/>
    <m/>
    <m/>
  </r>
  <r>
    <x v="823"/>
    <x v="38"/>
    <n v="48334413"/>
    <x v="1267"/>
    <x v="22"/>
    <s v="Canada"/>
    <n v="3000000"/>
    <x v="24"/>
    <x v="11"/>
    <m/>
    <m/>
    <m/>
    <m/>
    <m/>
    <m/>
    <m/>
  </r>
  <r>
    <x v="824"/>
    <x v="0"/>
    <n v="48334413"/>
    <x v="1268"/>
    <x v="0"/>
    <s v="USA"/>
    <n v="3000000"/>
    <x v="4"/>
    <x v="1"/>
    <m/>
    <m/>
    <m/>
    <m/>
    <m/>
    <m/>
    <m/>
  </r>
  <r>
    <x v="638"/>
    <x v="1"/>
    <n v="48334413"/>
    <x v="1269"/>
    <x v="7"/>
    <s v="China"/>
    <n v="3000000"/>
    <x v="5"/>
    <x v="0"/>
    <s v="Crime"/>
    <m/>
    <m/>
    <m/>
    <m/>
    <m/>
    <m/>
  </r>
  <r>
    <x v="800"/>
    <x v="52"/>
    <n v="48334413"/>
    <x v="1270"/>
    <x v="0"/>
    <s v="USA"/>
    <n v="2900000"/>
    <x v="4"/>
    <x v="0"/>
    <s v="Drama"/>
    <m/>
    <m/>
    <m/>
    <m/>
    <m/>
    <m/>
  </r>
  <r>
    <x v="195"/>
    <x v="34"/>
    <n v="48334413"/>
    <x v="1271"/>
    <x v="0"/>
    <s v="UK"/>
    <n v="2800000"/>
    <x v="17"/>
    <x v="8"/>
    <s v="Horror"/>
    <s v="Mystery"/>
    <m/>
    <m/>
    <m/>
    <m/>
    <m/>
  </r>
  <r>
    <x v="195"/>
    <x v="34"/>
    <n v="48334413"/>
    <x v="1271"/>
    <x v="0"/>
    <s v="UK"/>
    <n v="2800000"/>
    <x v="17"/>
    <x v="8"/>
    <s v="Horror"/>
    <s v="Mystery"/>
    <m/>
    <m/>
    <m/>
    <m/>
    <m/>
  </r>
  <r>
    <x v="825"/>
    <x v="36"/>
    <n v="48334413"/>
    <x v="1272"/>
    <x v="0"/>
    <s v="USA"/>
    <n v="2700000"/>
    <x v="7"/>
    <x v="2"/>
    <s v="Family"/>
    <s v="Sport"/>
    <m/>
    <m/>
    <m/>
    <m/>
    <m/>
  </r>
  <r>
    <x v="796"/>
    <x v="17"/>
    <n v="48334413"/>
    <x v="1273"/>
    <x v="0"/>
    <s v="USA"/>
    <n v="2686585"/>
    <x v="26"/>
    <x v="2"/>
    <s v="Comedy"/>
    <s v="Romance"/>
    <m/>
    <m/>
    <m/>
    <m/>
    <m/>
  </r>
  <r>
    <x v="826"/>
    <x v="13"/>
    <n v="48334413"/>
    <x v="1274"/>
    <x v="23"/>
    <s v="Netherlands"/>
    <n v="2650000"/>
    <x v="14"/>
    <x v="0"/>
    <s v="Drama"/>
    <m/>
    <m/>
    <m/>
    <m/>
    <m/>
    <m/>
  </r>
  <r>
    <x v="827"/>
    <x v="57"/>
    <n v="48334413"/>
    <x v="1275"/>
    <x v="0"/>
    <s v="USA"/>
    <n v="2627000"/>
    <x v="14"/>
    <x v="3"/>
    <s v="Fantasy"/>
    <s v="Romance"/>
    <s v="War"/>
    <m/>
    <m/>
    <m/>
    <m/>
  </r>
  <r>
    <x v="828"/>
    <x v="41"/>
    <n v="48334413"/>
    <x v="1276"/>
    <x v="0"/>
    <s v="USA"/>
    <n v="2600000"/>
    <x v="48"/>
    <x v="1"/>
    <s v="Thriller"/>
    <m/>
    <m/>
    <m/>
    <m/>
    <m/>
    <m/>
  </r>
  <r>
    <x v="829"/>
    <x v="18"/>
    <n v="48334413"/>
    <x v="1277"/>
    <x v="0"/>
    <s v="USA"/>
    <n v="2540800"/>
    <x v="25"/>
    <x v="0"/>
    <s v="Musical"/>
    <s v="Romance"/>
    <m/>
    <m/>
    <m/>
    <m/>
    <m/>
  </r>
  <r>
    <x v="830"/>
    <x v="11"/>
    <n v="48334413"/>
    <x v="1278"/>
    <x v="0"/>
    <s v="USA"/>
    <n v="2500000"/>
    <x v="11"/>
    <x v="0"/>
    <s v="Family"/>
    <m/>
    <m/>
    <m/>
    <m/>
    <m/>
    <m/>
  </r>
  <r>
    <x v="831"/>
    <x v="22"/>
    <n v="48334413"/>
    <x v="1279"/>
    <x v="0"/>
    <s v="UK"/>
    <n v="2500000"/>
    <x v="8"/>
    <x v="0"/>
    <s v="Crime"/>
    <s v="Horror"/>
    <s v="Thriller"/>
    <m/>
    <m/>
    <m/>
    <m/>
  </r>
  <r>
    <x v="832"/>
    <x v="0"/>
    <n v="48334413"/>
    <x v="1280"/>
    <x v="0"/>
    <s v="Australia"/>
    <n v="2500000"/>
    <x v="17"/>
    <x v="10"/>
    <m/>
    <m/>
    <m/>
    <m/>
    <m/>
    <m/>
    <m/>
  </r>
  <r>
    <x v="833"/>
    <x v="1"/>
    <n v="48334413"/>
    <x v="1281"/>
    <x v="0"/>
    <s v="USA"/>
    <n v="2500000"/>
    <x v="2"/>
    <x v="4"/>
    <s v="Sci-Fi"/>
    <m/>
    <m/>
    <m/>
    <m/>
    <m/>
    <m/>
  </r>
  <r>
    <x v="664"/>
    <x v="48"/>
    <n v="48334413"/>
    <x v="1282"/>
    <x v="0"/>
    <s v="USA"/>
    <n v="2500000"/>
    <x v="12"/>
    <x v="3"/>
    <m/>
    <m/>
    <m/>
    <m/>
    <m/>
    <m/>
    <m/>
  </r>
  <r>
    <x v="834"/>
    <x v="56"/>
    <n v="48334413"/>
    <x v="1283"/>
    <x v="0"/>
    <s v="USA"/>
    <n v="2500000"/>
    <x v="19"/>
    <x v="0"/>
    <s v="Drama"/>
    <s v="Family"/>
    <s v="Romance"/>
    <m/>
    <m/>
    <m/>
    <m/>
  </r>
  <r>
    <x v="835"/>
    <x v="54"/>
    <n v="48334413"/>
    <x v="1284"/>
    <x v="0"/>
    <s v="Germany"/>
    <n v="2500000"/>
    <x v="38"/>
    <x v="0"/>
    <s v="Horror"/>
    <m/>
    <m/>
    <m/>
    <m/>
    <m/>
    <m/>
  </r>
  <r>
    <x v="836"/>
    <x v="28"/>
    <n v="48334413"/>
    <x v="1285"/>
    <x v="0"/>
    <s v="UK"/>
    <n v="2500000"/>
    <x v="38"/>
    <x v="5"/>
    <s v="Drama"/>
    <m/>
    <m/>
    <m/>
    <m/>
    <m/>
    <m/>
  </r>
  <r>
    <x v="837"/>
    <x v="43"/>
    <n v="48334413"/>
    <x v="1286"/>
    <x v="0"/>
    <s v="UK"/>
    <n v="2500000"/>
    <x v="69"/>
    <x v="0"/>
    <s v="Sci-Fi"/>
    <m/>
    <m/>
    <m/>
    <m/>
    <m/>
    <m/>
  </r>
  <r>
    <x v="838"/>
    <x v="10"/>
    <n v="48334413"/>
    <x v="1287"/>
    <x v="0"/>
    <s v="USA"/>
    <n v="2500000"/>
    <x v="26"/>
    <x v="3"/>
    <s v="Thriller"/>
    <m/>
    <m/>
    <m/>
    <m/>
    <m/>
    <m/>
  </r>
  <r>
    <x v="488"/>
    <x v="10"/>
    <n v="48334413"/>
    <x v="1288"/>
    <x v="0"/>
    <s v="Canada"/>
    <n v="2500000"/>
    <x v="27"/>
    <x v="4"/>
    <s v="Comedy"/>
    <s v="Horror"/>
    <m/>
    <m/>
    <m/>
    <m/>
    <m/>
  </r>
  <r>
    <x v="839"/>
    <x v="56"/>
    <n v="48334413"/>
    <x v="1289"/>
    <x v="0"/>
    <s v="USA"/>
    <n v="2500000"/>
    <x v="18"/>
    <x v="3"/>
    <s v="Music"/>
    <s v="Mystery"/>
    <s v="Romance"/>
    <s v="Sci-Fi"/>
    <m/>
    <m/>
    <m/>
  </r>
  <r>
    <x v="840"/>
    <x v="0"/>
    <n v="48334413"/>
    <x v="1290"/>
    <x v="0"/>
    <s v="USA"/>
    <n v="2400000"/>
    <x v="48"/>
    <x v="0"/>
    <s v="Music"/>
    <s v="Romance"/>
    <m/>
    <m/>
    <m/>
    <m/>
    <m/>
  </r>
  <r>
    <x v="841"/>
    <x v="43"/>
    <n v="48334413"/>
    <x v="1291"/>
    <x v="0"/>
    <s v="USA"/>
    <n v="2361000"/>
    <x v="20"/>
    <x v="0"/>
    <s v="Musical"/>
    <m/>
    <m/>
    <m/>
    <m/>
    <m/>
    <m/>
  </r>
  <r>
    <x v="453"/>
    <x v="101"/>
    <n v="48334413"/>
    <x v="1292"/>
    <x v="0"/>
    <s v="USA"/>
    <n v="2300000"/>
    <x v="40"/>
    <x v="4"/>
    <s v="Drama"/>
    <s v="Fantasy"/>
    <s v="Romance"/>
    <m/>
    <m/>
    <m/>
    <m/>
  </r>
  <r>
    <x v="590"/>
    <x v="52"/>
    <n v="48334413"/>
    <x v="1293"/>
    <x v="0"/>
    <s v="USA"/>
    <n v="2300000"/>
    <x v="13"/>
    <x v="3"/>
    <s v="Horror"/>
    <m/>
    <m/>
    <m/>
    <m/>
    <m/>
    <m/>
  </r>
  <r>
    <x v="842"/>
    <x v="10"/>
    <n v="48334413"/>
    <x v="1294"/>
    <x v="0"/>
    <s v="USA"/>
    <n v="2300000"/>
    <x v="4"/>
    <x v="2"/>
    <s v="Animation"/>
    <s v="Comedy"/>
    <s v="Family"/>
    <s v="Fantasy"/>
    <s v="Musical"/>
    <m/>
    <m/>
  </r>
  <r>
    <x v="841"/>
    <x v="7"/>
    <n v="48334413"/>
    <x v="1295"/>
    <x v="0"/>
    <s v="USA"/>
    <n v="2295429"/>
    <x v="14"/>
    <x v="3"/>
    <s v="Family"/>
    <s v="Musical"/>
    <s v="Romance"/>
    <m/>
    <m/>
    <m/>
    <m/>
  </r>
  <r>
    <x v="843"/>
    <x v="20"/>
    <n v="48334413"/>
    <x v="1296"/>
    <x v="0"/>
    <s v="Canada"/>
    <n v="2200000"/>
    <x v="11"/>
    <x v="3"/>
    <m/>
    <m/>
    <m/>
    <m/>
    <m/>
    <m/>
    <m/>
  </r>
  <r>
    <x v="844"/>
    <x v="10"/>
    <n v="48334413"/>
    <x v="1297"/>
    <x v="0"/>
    <s v="USA"/>
    <n v="2200000"/>
    <x v="49"/>
    <x v="14"/>
    <m/>
    <m/>
    <m/>
    <m/>
    <m/>
    <m/>
    <m/>
  </r>
  <r>
    <x v="845"/>
    <x v="5"/>
    <n v="48334413"/>
    <x v="1298"/>
    <x v="0"/>
    <s v="USA"/>
    <n v="2160000"/>
    <x v="31"/>
    <x v="3"/>
    <m/>
    <m/>
    <m/>
    <m/>
    <m/>
    <m/>
    <m/>
  </r>
  <r>
    <x v="846"/>
    <x v="56"/>
    <n v="48334413"/>
    <x v="1299"/>
    <x v="0"/>
    <s v="USA"/>
    <n v="2100000"/>
    <x v="2"/>
    <x v="3"/>
    <m/>
    <m/>
    <m/>
    <m/>
    <m/>
    <m/>
    <m/>
  </r>
  <r>
    <x v="847"/>
    <x v="41"/>
    <n v="48334413"/>
    <x v="1300"/>
    <x v="0"/>
    <s v="USA"/>
    <n v="2100000"/>
    <x v="15"/>
    <x v="0"/>
    <s v="Drama"/>
    <s v="Mystery"/>
    <s v="Romance"/>
    <s v="Thriller"/>
    <m/>
    <m/>
    <m/>
  </r>
  <r>
    <x v="848"/>
    <x v="81"/>
    <n v="48334413"/>
    <x v="1301"/>
    <x v="0"/>
    <s v="USA"/>
    <n v="2100000"/>
    <x v="3"/>
    <x v="2"/>
    <s v="Drama"/>
    <s v="Western"/>
    <m/>
    <m/>
    <m/>
    <m/>
    <m/>
  </r>
  <r>
    <x v="338"/>
    <x v="142"/>
    <n v="48334413"/>
    <x v="1302"/>
    <x v="0"/>
    <s v="UK"/>
    <n v="2000000"/>
    <x v="5"/>
    <x v="5"/>
    <s v="Drama"/>
    <s v="Romance"/>
    <m/>
    <m/>
    <m/>
    <m/>
    <m/>
  </r>
  <r>
    <x v="716"/>
    <x v="35"/>
    <n v="48334413"/>
    <x v="1303"/>
    <x v="0"/>
    <s v="UK"/>
    <n v="2000000"/>
    <x v="12"/>
    <x v="6"/>
    <s v="Drama"/>
    <s v="History"/>
    <m/>
    <m/>
    <m/>
    <m/>
    <m/>
  </r>
  <r>
    <x v="736"/>
    <x v="12"/>
    <n v="48334413"/>
    <x v="1304"/>
    <x v="0"/>
    <s v="UK"/>
    <n v="2000000"/>
    <x v="31"/>
    <x v="14"/>
    <m/>
    <m/>
    <m/>
    <m/>
    <m/>
    <m/>
    <m/>
  </r>
  <r>
    <x v="335"/>
    <x v="56"/>
    <n v="48334413"/>
    <x v="1305"/>
    <x v="0"/>
    <s v="USA"/>
    <n v="2000000"/>
    <x v="4"/>
    <x v="0"/>
    <s v="Sci-Fi"/>
    <m/>
    <m/>
    <m/>
    <m/>
    <m/>
    <m/>
  </r>
  <r>
    <x v="335"/>
    <x v="60"/>
    <n v="48334413"/>
    <x v="1306"/>
    <x v="0"/>
    <s v="USA"/>
    <n v="2000000"/>
    <x v="9"/>
    <x v="0"/>
    <m/>
    <m/>
    <m/>
    <m/>
    <m/>
    <m/>
    <m/>
  </r>
  <r>
    <x v="849"/>
    <x v="2"/>
    <n v="48334413"/>
    <x v="1307"/>
    <x v="0"/>
    <s v="USA"/>
    <n v="2000000"/>
    <x v="39"/>
    <x v="5"/>
    <s v="Drama"/>
    <m/>
    <m/>
    <m/>
    <m/>
    <m/>
    <m/>
  </r>
  <r>
    <x v="338"/>
    <x v="142"/>
    <n v="48334413"/>
    <x v="1302"/>
    <x v="0"/>
    <s v="UK"/>
    <n v="2000000"/>
    <x v="5"/>
    <x v="5"/>
    <s v="Drama"/>
    <s v="Romance"/>
    <m/>
    <m/>
    <m/>
    <m/>
    <m/>
  </r>
  <r>
    <x v="850"/>
    <x v="16"/>
    <n v="48334413"/>
    <x v="1308"/>
    <x v="0"/>
    <s v="USA"/>
    <n v="2000000"/>
    <x v="13"/>
    <x v="3"/>
    <s v="Sport"/>
    <m/>
    <m/>
    <m/>
    <m/>
    <m/>
    <m/>
  </r>
  <r>
    <x v="851"/>
    <x v="36"/>
    <n v="48334413"/>
    <x v="1309"/>
    <x v="0"/>
    <s v="USA"/>
    <n v="2000000"/>
    <x v="7"/>
    <x v="3"/>
    <s v="Romance"/>
    <m/>
    <m/>
    <m/>
    <m/>
    <m/>
    <m/>
  </r>
  <r>
    <x v="852"/>
    <x v="40"/>
    <n v="48334413"/>
    <x v="1310"/>
    <x v="0"/>
    <s v="USA"/>
    <n v="2000000"/>
    <x v="14"/>
    <x v="3"/>
    <s v="Musical"/>
    <s v="Romance"/>
    <m/>
    <m/>
    <m/>
    <m/>
    <m/>
  </r>
  <r>
    <x v="853"/>
    <x v="0"/>
    <n v="48334413"/>
    <x v="1311"/>
    <x v="0"/>
    <s v="USA"/>
    <n v="2000000"/>
    <x v="1"/>
    <x v="1"/>
    <s v="Romance"/>
    <s v="Sci-Fi"/>
    <m/>
    <m/>
    <m/>
    <m/>
    <m/>
  </r>
  <r>
    <x v="854"/>
    <x v="4"/>
    <n v="48334413"/>
    <x v="1312"/>
    <x v="0"/>
    <s v="UK"/>
    <n v="2000000"/>
    <x v="16"/>
    <x v="5"/>
    <s v="Drama"/>
    <s v="Thriller"/>
    <m/>
    <m/>
    <m/>
    <m/>
    <m/>
  </r>
  <r>
    <x v="855"/>
    <x v="39"/>
    <n v="48334413"/>
    <x v="1313"/>
    <x v="0"/>
    <s v="USA"/>
    <n v="2000000"/>
    <x v="3"/>
    <x v="5"/>
    <s v="Drama"/>
    <s v="Horror"/>
    <s v="Mystery"/>
    <s v="Thriller"/>
    <m/>
    <m/>
    <m/>
  </r>
  <r>
    <x v="856"/>
    <x v="81"/>
    <n v="48334413"/>
    <x v="1314"/>
    <x v="0"/>
    <s v="UK"/>
    <n v="2000000"/>
    <x v="7"/>
    <x v="10"/>
    <m/>
    <m/>
    <m/>
    <m/>
    <m/>
    <m/>
    <m/>
  </r>
  <r>
    <x v="335"/>
    <x v="68"/>
    <n v="48334413"/>
    <x v="1315"/>
    <x v="0"/>
    <s v="USA"/>
    <n v="2000000"/>
    <x v="6"/>
    <x v="0"/>
    <m/>
    <m/>
    <m/>
    <m/>
    <m/>
    <m/>
    <m/>
  </r>
  <r>
    <x v="857"/>
    <x v="10"/>
    <n v="48334413"/>
    <x v="1316"/>
    <x v="0"/>
    <s v="USA"/>
    <n v="2000000"/>
    <x v="28"/>
    <x v="4"/>
    <s v="Crime"/>
    <s v="Drama"/>
    <s v="Thriller"/>
    <m/>
    <m/>
    <m/>
    <m/>
  </r>
  <r>
    <x v="858"/>
    <x v="60"/>
    <n v="48334413"/>
    <x v="1317"/>
    <x v="0"/>
    <s v="USA"/>
    <n v="2000000"/>
    <x v="35"/>
    <x v="1"/>
    <s v="Thriller"/>
    <m/>
    <m/>
    <m/>
    <m/>
    <m/>
    <m/>
  </r>
  <r>
    <x v="859"/>
    <x v="49"/>
    <n v="48334413"/>
    <x v="1318"/>
    <x v="0"/>
    <s v="USA"/>
    <n v="2000000"/>
    <x v="0"/>
    <x v="0"/>
    <s v="Crime"/>
    <s v="Drama"/>
    <m/>
    <m/>
    <m/>
    <m/>
    <m/>
  </r>
  <r>
    <x v="860"/>
    <x v="54"/>
    <n v="48334413"/>
    <x v="1319"/>
    <x v="0"/>
    <s v="USA"/>
    <n v="2000000"/>
    <x v="24"/>
    <x v="0"/>
    <m/>
    <m/>
    <m/>
    <m/>
    <m/>
    <m/>
    <m/>
  </r>
  <r>
    <x v="644"/>
    <x v="50"/>
    <n v="48334413"/>
    <x v="1320"/>
    <x v="0"/>
    <s v="USA"/>
    <n v="2000000"/>
    <x v="21"/>
    <x v="0"/>
    <s v="Drama"/>
    <m/>
    <m/>
    <m/>
    <m/>
    <m/>
    <m/>
  </r>
  <r>
    <x v="12"/>
    <x v="4"/>
    <n v="48334413"/>
    <x v="1321"/>
    <x v="0"/>
    <s v="USA"/>
    <n v="2000000"/>
    <x v="14"/>
    <x v="0"/>
    <s v="Musical"/>
    <m/>
    <m/>
    <m/>
    <m/>
    <m/>
    <m/>
  </r>
  <r>
    <x v="861"/>
    <x v="30"/>
    <n v="48334413"/>
    <x v="1322"/>
    <x v="0"/>
    <s v="USA"/>
    <n v="2000000"/>
    <x v="48"/>
    <x v="10"/>
    <m/>
    <m/>
    <m/>
    <m/>
    <m/>
    <m/>
    <m/>
  </r>
  <r>
    <x v="862"/>
    <x v="7"/>
    <n v="48334413"/>
    <x v="1323"/>
    <x v="0"/>
    <s v="USA"/>
    <n v="2000000"/>
    <x v="45"/>
    <x v="4"/>
    <s v="Adventure"/>
    <s v="History"/>
    <s v="Western"/>
    <m/>
    <m/>
    <m/>
    <m/>
  </r>
  <r>
    <x v="863"/>
    <x v="56"/>
    <n v="48334413"/>
    <x v="1324"/>
    <x v="0"/>
    <s v="USA"/>
    <n v="2000000"/>
    <x v="36"/>
    <x v="3"/>
    <s v="Horror"/>
    <s v="Mystery"/>
    <s v="Thriller"/>
    <m/>
    <m/>
    <m/>
    <m/>
  </r>
  <r>
    <x v="864"/>
    <x v="22"/>
    <n v="48334413"/>
    <x v="1325"/>
    <x v="0"/>
    <s v="USA"/>
    <n v="2000000"/>
    <x v="43"/>
    <x v="14"/>
    <m/>
    <m/>
    <m/>
    <m/>
    <m/>
    <m/>
    <m/>
  </r>
  <r>
    <x v="865"/>
    <x v="10"/>
    <n v="48334413"/>
    <x v="1326"/>
    <x v="0"/>
    <s v="Canada"/>
    <n v="2000000"/>
    <x v="47"/>
    <x v="2"/>
    <s v="Family"/>
    <m/>
    <m/>
    <m/>
    <m/>
    <m/>
    <m/>
  </r>
  <r>
    <x v="866"/>
    <x v="30"/>
    <n v="48334413"/>
    <x v="1327"/>
    <x v="0"/>
    <s v="USA"/>
    <n v="2000000"/>
    <x v="40"/>
    <x v="0"/>
    <s v="Drama"/>
    <s v="Family"/>
    <m/>
    <m/>
    <m/>
    <m/>
    <m/>
  </r>
  <r>
    <x v="867"/>
    <x v="31"/>
    <n v="48334413"/>
    <x v="1328"/>
    <x v="0"/>
    <s v="USA"/>
    <n v="2000000"/>
    <x v="58"/>
    <x v="4"/>
    <s v="Horror"/>
    <s v="Thriller"/>
    <m/>
    <m/>
    <m/>
    <m/>
    <m/>
  </r>
  <r>
    <x v="868"/>
    <x v="43"/>
    <n v="48334413"/>
    <x v="1329"/>
    <x v="0"/>
    <s v="USA"/>
    <n v="2000000"/>
    <x v="46"/>
    <x v="3"/>
    <m/>
    <m/>
    <m/>
    <m/>
    <m/>
    <m/>
    <m/>
  </r>
  <r>
    <x v="734"/>
    <x v="10"/>
    <n v="48334413"/>
    <x v="1330"/>
    <x v="0"/>
    <s v="USA"/>
    <n v="1950000"/>
    <x v="34"/>
    <x v="4"/>
    <s v="Thriller"/>
    <m/>
    <m/>
    <m/>
    <m/>
    <m/>
    <m/>
  </r>
  <r>
    <x v="648"/>
    <x v="44"/>
    <n v="48334413"/>
    <x v="1331"/>
    <x v="0"/>
    <s v="USA"/>
    <n v="1800000"/>
    <x v="22"/>
    <x v="4"/>
    <s v="Crime"/>
    <s v="Drama"/>
    <s v="Thriller"/>
    <m/>
    <m/>
    <m/>
    <m/>
  </r>
  <r>
    <x v="851"/>
    <x v="65"/>
    <n v="48334413"/>
    <x v="1332"/>
    <x v="0"/>
    <s v="USA"/>
    <n v="1800000"/>
    <x v="13"/>
    <x v="3"/>
    <m/>
    <m/>
    <m/>
    <m/>
    <m/>
    <m/>
    <m/>
  </r>
  <r>
    <x v="338"/>
    <x v="13"/>
    <n v="48334413"/>
    <x v="1333"/>
    <x v="0"/>
    <s v="USA"/>
    <n v="1800000"/>
    <x v="42"/>
    <x v="0"/>
    <m/>
    <m/>
    <m/>
    <m/>
    <m/>
    <m/>
    <m/>
  </r>
  <r>
    <x v="869"/>
    <x v="49"/>
    <n v="48334413"/>
    <x v="1334"/>
    <x v="0"/>
    <s v="USA"/>
    <n v="1800000"/>
    <x v="3"/>
    <x v="4"/>
    <s v="Sci-Fi"/>
    <m/>
    <m/>
    <m/>
    <m/>
    <m/>
    <m/>
  </r>
  <r>
    <x v="870"/>
    <x v="31"/>
    <n v="48334413"/>
    <x v="1335"/>
    <x v="0"/>
    <s v="USA"/>
    <n v="1800000"/>
    <x v="0"/>
    <x v="0"/>
    <s v="Horror"/>
    <m/>
    <m/>
    <m/>
    <m/>
    <m/>
    <m/>
  </r>
  <r>
    <x v="802"/>
    <x v="58"/>
    <n v="48334413"/>
    <x v="1336"/>
    <x v="0"/>
    <s v="USA"/>
    <n v="1800000"/>
    <x v="14"/>
    <x v="17"/>
    <m/>
    <m/>
    <m/>
    <m/>
    <m/>
    <m/>
    <m/>
  </r>
  <r>
    <x v="871"/>
    <x v="8"/>
    <n v="48334413"/>
    <x v="1337"/>
    <x v="0"/>
    <s v="USA"/>
    <n v="1800000"/>
    <x v="48"/>
    <x v="1"/>
    <s v="Thriller"/>
    <m/>
    <m/>
    <m/>
    <m/>
    <m/>
    <m/>
  </r>
  <r>
    <x v="872"/>
    <x v="10"/>
    <n v="48334413"/>
    <x v="1338"/>
    <x v="0"/>
    <s v="Canada"/>
    <n v="1800000"/>
    <x v="43"/>
    <x v="4"/>
    <s v="Sci-Fi"/>
    <m/>
    <m/>
    <m/>
    <m/>
    <m/>
    <m/>
  </r>
  <r>
    <x v="873"/>
    <x v="11"/>
    <n v="48334413"/>
    <x v="1339"/>
    <x v="0"/>
    <s v="USA"/>
    <n v="1800000"/>
    <x v="18"/>
    <x v="0"/>
    <s v="Drama"/>
    <m/>
    <m/>
    <m/>
    <m/>
    <m/>
    <m/>
  </r>
  <r>
    <x v="874"/>
    <x v="42"/>
    <n v="48334413"/>
    <x v="1340"/>
    <x v="0"/>
    <s v="UK"/>
    <n v="1800000"/>
    <x v="37"/>
    <x v="14"/>
    <m/>
    <m/>
    <m/>
    <m/>
    <m/>
    <m/>
    <m/>
  </r>
  <r>
    <x v="875"/>
    <x v="48"/>
    <n v="48334413"/>
    <x v="1341"/>
    <x v="0"/>
    <s v="USA"/>
    <n v="1750000"/>
    <x v="2"/>
    <x v="1"/>
    <m/>
    <m/>
    <m/>
    <m/>
    <m/>
    <m/>
    <m/>
  </r>
  <r>
    <x v="876"/>
    <x v="60"/>
    <n v="48334413"/>
    <x v="1342"/>
    <x v="0"/>
    <s v="Canada"/>
    <n v="1750000"/>
    <x v="49"/>
    <x v="4"/>
    <s v="Sci-Fi"/>
    <m/>
    <m/>
    <m/>
    <m/>
    <m/>
    <m/>
  </r>
  <r>
    <x v="869"/>
    <x v="60"/>
    <n v="48334413"/>
    <x v="1343"/>
    <x v="0"/>
    <s v="USA"/>
    <n v="1700000"/>
    <x v="0"/>
    <x v="4"/>
    <s v="Sci-Fi"/>
    <m/>
    <m/>
    <m/>
    <m/>
    <m/>
    <m/>
  </r>
  <r>
    <x v="736"/>
    <x v="13"/>
    <n v="48334413"/>
    <x v="1344"/>
    <x v="0"/>
    <s v="USA"/>
    <n v="1696377"/>
    <x v="17"/>
    <x v="19"/>
    <s v="Mystery"/>
    <s v="Romance"/>
    <s v="Thriller"/>
    <m/>
    <m/>
    <m/>
    <m/>
  </r>
  <r>
    <x v="716"/>
    <x v="36"/>
    <n v="48334413"/>
    <x v="1345"/>
    <x v="0"/>
    <s v="USA"/>
    <n v="1650000"/>
    <x v="22"/>
    <x v="3"/>
    <s v="Romance"/>
    <s v="War"/>
    <m/>
    <m/>
    <m/>
    <m/>
    <m/>
  </r>
  <r>
    <x v="800"/>
    <x v="59"/>
    <n v="48334413"/>
    <x v="1346"/>
    <x v="0"/>
    <s v="USA"/>
    <n v="1644736"/>
    <x v="13"/>
    <x v="0"/>
    <s v="Drama"/>
    <s v="Romance"/>
    <m/>
    <m/>
    <m/>
    <m/>
    <m/>
  </r>
  <r>
    <x v="877"/>
    <x v="5"/>
    <n v="48334413"/>
    <x v="1347"/>
    <x v="0"/>
    <s v="USA"/>
    <n v="1614000"/>
    <x v="6"/>
    <x v="2"/>
    <s v="Drama"/>
    <s v="Romance"/>
    <s v="Western"/>
    <m/>
    <m/>
    <m/>
    <m/>
  </r>
  <r>
    <x v="796"/>
    <x v="18"/>
    <n v="48334413"/>
    <x v="1348"/>
    <x v="0"/>
    <s v="USA"/>
    <n v="1600000"/>
    <x v="7"/>
    <x v="17"/>
    <m/>
    <m/>
    <m/>
    <m/>
    <m/>
    <m/>
    <m/>
  </r>
  <r>
    <x v="150"/>
    <x v="8"/>
    <n v="48334413"/>
    <x v="1349"/>
    <x v="0"/>
    <s v="USA"/>
    <n v="1600000"/>
    <x v="12"/>
    <x v="3"/>
    <s v="Mystery"/>
    <s v="Thriller"/>
    <m/>
    <m/>
    <m/>
    <m/>
    <m/>
  </r>
  <r>
    <x v="453"/>
    <x v="99"/>
    <n v="48334413"/>
    <x v="1350"/>
    <x v="0"/>
    <s v="USA"/>
    <n v="1500000"/>
    <x v="31"/>
    <x v="4"/>
    <s v="Crime"/>
    <s v="Drama"/>
    <s v="Mystery"/>
    <s v="Thriller"/>
    <m/>
    <m/>
    <m/>
  </r>
  <r>
    <x v="878"/>
    <x v="56"/>
    <n v="48334413"/>
    <x v="1351"/>
    <x v="0"/>
    <s v="USA"/>
    <n v="1500000"/>
    <x v="28"/>
    <x v="1"/>
    <s v="Thriller"/>
    <m/>
    <m/>
    <m/>
    <m/>
    <m/>
    <m/>
  </r>
  <r>
    <x v="749"/>
    <x v="73"/>
    <n v="48334413"/>
    <x v="1352"/>
    <x v="16"/>
    <s v="Spain"/>
    <n v="1500000"/>
    <x v="31"/>
    <x v="1"/>
    <m/>
    <m/>
    <m/>
    <m/>
    <m/>
    <m/>
    <m/>
  </r>
  <r>
    <x v="879"/>
    <x v="7"/>
    <n v="48334413"/>
    <x v="1353"/>
    <x v="20"/>
    <s v="Egypt"/>
    <n v="1500000"/>
    <x v="23"/>
    <x v="10"/>
    <s v="Drama"/>
    <s v="History"/>
    <s v="News"/>
    <m/>
    <m/>
    <m/>
    <m/>
  </r>
  <r>
    <x v="800"/>
    <x v="35"/>
    <n v="48334413"/>
    <x v="1354"/>
    <x v="0"/>
    <s v="USA"/>
    <n v="1500000"/>
    <x v="40"/>
    <x v="0"/>
    <s v="Drama"/>
    <m/>
    <m/>
    <m/>
    <m/>
    <m/>
    <m/>
  </r>
  <r>
    <x v="880"/>
    <x v="22"/>
    <n v="48334413"/>
    <x v="1355"/>
    <x v="0"/>
    <s v="USA"/>
    <n v="1500000"/>
    <x v="26"/>
    <x v="0"/>
    <s v="Crime"/>
    <s v="Sci-Fi"/>
    <s v="Thriller"/>
    <m/>
    <m/>
    <m/>
    <m/>
  </r>
  <r>
    <x v="881"/>
    <x v="31"/>
    <n v="48334413"/>
    <x v="1356"/>
    <x v="0"/>
    <s v="USA"/>
    <n v="1500000"/>
    <x v="3"/>
    <x v="4"/>
    <s v="Horror"/>
    <s v="Thriller"/>
    <m/>
    <m/>
    <m/>
    <m/>
    <m/>
  </r>
  <r>
    <x v="882"/>
    <x v="31"/>
    <n v="48334413"/>
    <x v="1357"/>
    <x v="0"/>
    <s v="USA"/>
    <n v="1500000"/>
    <x v="21"/>
    <x v="0"/>
    <s v="Horror"/>
    <m/>
    <m/>
    <m/>
    <m/>
    <m/>
    <m/>
  </r>
  <r>
    <x v="883"/>
    <x v="7"/>
    <n v="48334413"/>
    <x v="1358"/>
    <x v="0"/>
    <s v="USA"/>
    <n v="1500000"/>
    <x v="27"/>
    <x v="3"/>
    <s v="Music"/>
    <s v="Romance"/>
    <m/>
    <m/>
    <m/>
    <m/>
    <m/>
  </r>
  <r>
    <x v="884"/>
    <x v="31"/>
    <n v="48334413"/>
    <x v="1359"/>
    <x v="0"/>
    <s v="USA"/>
    <n v="1500000"/>
    <x v="17"/>
    <x v="0"/>
    <s v="Drama"/>
    <s v="Romance"/>
    <m/>
    <m/>
    <m/>
    <m/>
    <m/>
  </r>
  <r>
    <x v="885"/>
    <x v="143"/>
    <n v="48334413"/>
    <x v="1360"/>
    <x v="0"/>
    <s v="USA"/>
    <n v="1500000"/>
    <x v="9"/>
    <x v="10"/>
    <m/>
    <m/>
    <m/>
    <m/>
    <m/>
    <m/>
    <m/>
  </r>
  <r>
    <x v="886"/>
    <x v="54"/>
    <n v="48334413"/>
    <x v="1361"/>
    <x v="0"/>
    <s v="Canada"/>
    <n v="1500000"/>
    <x v="9"/>
    <x v="3"/>
    <s v="Fantasy"/>
    <s v="Romance"/>
    <m/>
    <m/>
    <m/>
    <m/>
    <m/>
  </r>
  <r>
    <x v="887"/>
    <x v="1"/>
    <n v="48334413"/>
    <x v="1362"/>
    <x v="0"/>
    <s v="USA"/>
    <n v="1500000"/>
    <x v="2"/>
    <x v="0"/>
    <s v="Drama"/>
    <m/>
    <m/>
    <m/>
    <m/>
    <m/>
    <m/>
  </r>
  <r>
    <x v="888"/>
    <x v="68"/>
    <n v="48334413"/>
    <x v="1363"/>
    <x v="0"/>
    <s v="Canada"/>
    <n v="1500000"/>
    <x v="60"/>
    <x v="9"/>
    <m/>
    <m/>
    <m/>
    <m/>
    <m/>
    <m/>
    <m/>
  </r>
  <r>
    <x v="889"/>
    <x v="0"/>
    <n v="48334413"/>
    <x v="1364"/>
    <x v="0"/>
    <s v="USA"/>
    <n v="1500000"/>
    <x v="69"/>
    <x v="4"/>
    <s v="Crime"/>
    <s v="Thriller"/>
    <m/>
    <m/>
    <m/>
    <m/>
    <m/>
  </r>
  <r>
    <x v="890"/>
    <x v="43"/>
    <n v="48334413"/>
    <x v="1365"/>
    <x v="0"/>
    <s v="USA"/>
    <n v="1500000"/>
    <x v="68"/>
    <x v="3"/>
    <s v="Horror"/>
    <s v="Mystery"/>
    <s v="Thriller"/>
    <m/>
    <m/>
    <m/>
    <m/>
  </r>
  <r>
    <x v="891"/>
    <x v="18"/>
    <n v="48334413"/>
    <x v="1366"/>
    <x v="1"/>
    <s v="France"/>
    <n v="1500000"/>
    <x v="37"/>
    <x v="3"/>
    <m/>
    <m/>
    <m/>
    <m/>
    <m/>
    <m/>
    <m/>
  </r>
  <r>
    <x v="892"/>
    <x v="8"/>
    <n v="48334413"/>
    <x v="1367"/>
    <x v="0"/>
    <s v="UK"/>
    <n v="1455000"/>
    <x v="3"/>
    <x v="17"/>
    <m/>
    <m/>
    <m/>
    <m/>
    <m/>
    <m/>
    <m/>
  </r>
  <r>
    <x v="117"/>
    <x v="21"/>
    <n v="48334413"/>
    <x v="1368"/>
    <x v="0"/>
    <s v="USA"/>
    <n v="1420000"/>
    <x v="30"/>
    <x v="0"/>
    <s v="Romance"/>
    <s v="Thriller"/>
    <m/>
    <m/>
    <m/>
    <m/>
    <m/>
  </r>
  <r>
    <x v="453"/>
    <x v="101"/>
    <n v="48334413"/>
    <x v="1369"/>
    <x v="0"/>
    <s v="USA"/>
    <n v="1400000"/>
    <x v="39"/>
    <x v="4"/>
    <s v="Adventure"/>
    <s v="Drama"/>
    <s v="Sci-Fi"/>
    <m/>
    <m/>
    <m/>
    <m/>
  </r>
  <r>
    <x v="893"/>
    <x v="50"/>
    <n v="48334413"/>
    <x v="1370"/>
    <x v="0"/>
    <s v="USA"/>
    <n v="1400000"/>
    <x v="26"/>
    <x v="1"/>
    <s v="Thriller"/>
    <m/>
    <m/>
    <m/>
    <m/>
    <m/>
    <m/>
  </r>
  <r>
    <x v="894"/>
    <x v="74"/>
    <n v="48334413"/>
    <x v="1371"/>
    <x v="0"/>
    <s v="Kyrgyzstan"/>
    <n v="1400000"/>
    <x v="54"/>
    <x v="4"/>
    <s v="Biography"/>
    <s v="Drama"/>
    <s v="History"/>
    <m/>
    <m/>
    <m/>
    <m/>
  </r>
  <r>
    <x v="895"/>
    <x v="56"/>
    <n v="48334413"/>
    <x v="1372"/>
    <x v="0"/>
    <s v="Australia"/>
    <n v="1400000"/>
    <x v="0"/>
    <x v="3"/>
    <s v="Horror"/>
    <s v="Mystery"/>
    <s v="Thriller"/>
    <m/>
    <m/>
    <m/>
    <m/>
  </r>
  <r>
    <x v="896"/>
    <x v="51"/>
    <n v="48334413"/>
    <x v="1373"/>
    <x v="0"/>
    <s v="USA"/>
    <n v="1377800"/>
    <x v="20"/>
    <x v="2"/>
    <s v="Comedy"/>
    <s v="Family"/>
    <m/>
    <m/>
    <m/>
    <m/>
    <m/>
  </r>
  <r>
    <x v="813"/>
    <x v="68"/>
    <n v="48334413"/>
    <x v="1374"/>
    <x v="0"/>
    <s v="USA"/>
    <n v="1300000"/>
    <x v="51"/>
    <x v="0"/>
    <m/>
    <m/>
    <m/>
    <m/>
    <m/>
    <m/>
    <m/>
  </r>
  <r>
    <x v="897"/>
    <x v="18"/>
    <n v="48334413"/>
    <x v="1375"/>
    <x v="0"/>
    <s v="USA"/>
    <n v="1300000"/>
    <x v="34"/>
    <x v="1"/>
    <s v="Romance"/>
    <s v="Thriller"/>
    <m/>
    <m/>
    <m/>
    <m/>
    <m/>
  </r>
  <r>
    <x v="898"/>
    <x v="4"/>
    <n v="48334413"/>
    <x v="1376"/>
    <x v="0"/>
    <s v="USA"/>
    <n v="1300000"/>
    <x v="17"/>
    <x v="4"/>
    <s v="Romance"/>
    <s v="Thriller"/>
    <m/>
    <m/>
    <m/>
    <m/>
    <m/>
  </r>
  <r>
    <x v="180"/>
    <x v="28"/>
    <n v="48334413"/>
    <x v="1377"/>
    <x v="0"/>
    <s v="USA"/>
    <n v="1300000"/>
    <x v="25"/>
    <x v="5"/>
    <s v="Drama"/>
    <m/>
    <m/>
    <m/>
    <m/>
    <m/>
    <m/>
  </r>
  <r>
    <x v="736"/>
    <x v="19"/>
    <n v="48334413"/>
    <x v="1378"/>
    <x v="0"/>
    <s v="USA"/>
    <n v="1288000"/>
    <x v="40"/>
    <x v="3"/>
    <s v="Film-Noir"/>
    <s v="Mystery"/>
    <s v="Thriller"/>
    <m/>
    <m/>
    <m/>
    <m/>
  </r>
  <r>
    <x v="899"/>
    <x v="60"/>
    <n v="48334413"/>
    <x v="1379"/>
    <x v="0"/>
    <s v="USA"/>
    <n v="1250000"/>
    <x v="43"/>
    <x v="0"/>
    <s v="Horror"/>
    <m/>
    <m/>
    <m/>
    <m/>
    <m/>
    <m/>
  </r>
  <r>
    <x v="900"/>
    <x v="51"/>
    <n v="48334413"/>
    <x v="1380"/>
    <x v="0"/>
    <s v="USA"/>
    <n v="1250000"/>
    <x v="6"/>
    <x v="17"/>
    <m/>
    <m/>
    <m/>
    <m/>
    <m/>
    <m/>
    <m/>
  </r>
  <r>
    <x v="770"/>
    <x v="43"/>
    <n v="48334413"/>
    <x v="1381"/>
    <x v="0"/>
    <s v="USA"/>
    <n v="1250000"/>
    <x v="13"/>
    <x v="3"/>
    <s v="Film-Noir"/>
    <m/>
    <m/>
    <m/>
    <m/>
    <m/>
    <m/>
  </r>
  <r>
    <x v="901"/>
    <x v="49"/>
    <n v="48334413"/>
    <x v="1382"/>
    <x v="0"/>
    <s v="USA"/>
    <n v="1250000"/>
    <x v="3"/>
    <x v="1"/>
    <s v="Sci-Fi"/>
    <m/>
    <m/>
    <m/>
    <m/>
    <m/>
    <m/>
  </r>
  <r>
    <x v="902"/>
    <x v="22"/>
    <n v="48334413"/>
    <x v="1383"/>
    <x v="0"/>
    <s v="USA"/>
    <n v="1250000"/>
    <x v="6"/>
    <x v="5"/>
    <s v="Film-Noir"/>
    <s v="Thriller"/>
    <m/>
    <m/>
    <m/>
    <m/>
    <m/>
  </r>
  <r>
    <x v="796"/>
    <x v="36"/>
    <n v="48334413"/>
    <x v="1384"/>
    <x v="0"/>
    <s v="USA"/>
    <n v="1250000"/>
    <x v="22"/>
    <x v="3"/>
    <s v="Family"/>
    <m/>
    <m/>
    <m/>
    <m/>
    <m/>
    <m/>
  </r>
  <r>
    <x v="903"/>
    <x v="10"/>
    <n v="48334413"/>
    <x v="1385"/>
    <x v="0"/>
    <s v="UK"/>
    <n v="1200000"/>
    <x v="19"/>
    <x v="0"/>
    <s v="Drama"/>
    <s v="Romance"/>
    <m/>
    <m/>
    <m/>
    <m/>
    <m/>
  </r>
  <r>
    <x v="736"/>
    <x v="4"/>
    <n v="48334413"/>
    <x v="1386"/>
    <x v="0"/>
    <s v="USA"/>
    <n v="1200000"/>
    <x v="11"/>
    <x v="0"/>
    <s v="Mystery"/>
    <s v="Romance"/>
    <m/>
    <m/>
    <m/>
    <m/>
    <m/>
  </r>
  <r>
    <x v="742"/>
    <x v="41"/>
    <n v="48334413"/>
    <x v="1387"/>
    <x v="0"/>
    <s v="USA"/>
    <n v="1200000"/>
    <x v="6"/>
    <x v="4"/>
    <s v="Adventure"/>
    <s v="Romance"/>
    <s v="War"/>
    <m/>
    <m/>
    <m/>
    <m/>
  </r>
  <r>
    <x v="904"/>
    <x v="4"/>
    <n v="48334413"/>
    <x v="1388"/>
    <x v="0"/>
    <s v="Canada"/>
    <n v="1200000"/>
    <x v="36"/>
    <x v="14"/>
    <m/>
    <m/>
    <m/>
    <m/>
    <m/>
    <m/>
    <m/>
  </r>
  <r>
    <x v="905"/>
    <x v="3"/>
    <n v="48334413"/>
    <x v="1389"/>
    <x v="0"/>
    <s v="Canada"/>
    <n v="1200000"/>
    <x v="61"/>
    <x v="4"/>
    <s v="Horror"/>
    <s v="Mystery"/>
    <s v="Thriller"/>
    <m/>
    <m/>
    <m/>
    <m/>
  </r>
  <r>
    <x v="906"/>
    <x v="0"/>
    <n v="48334413"/>
    <x v="1390"/>
    <x v="0"/>
    <s v="USA"/>
    <n v="1200000"/>
    <x v="24"/>
    <x v="4"/>
    <s v="Comedy"/>
    <m/>
    <m/>
    <m/>
    <m/>
    <m/>
    <m/>
  </r>
  <r>
    <x v="907"/>
    <x v="3"/>
    <n v="48334413"/>
    <x v="1391"/>
    <x v="0"/>
    <s v="USA"/>
    <n v="1200000"/>
    <x v="28"/>
    <x v="1"/>
    <m/>
    <m/>
    <m/>
    <m/>
    <m/>
    <m/>
    <m/>
  </r>
  <r>
    <x v="908"/>
    <x v="41"/>
    <n v="48334413"/>
    <x v="1392"/>
    <x v="0"/>
    <s v="USA"/>
    <n v="1200000"/>
    <x v="41"/>
    <x v="1"/>
    <m/>
    <m/>
    <m/>
    <m/>
    <m/>
    <m/>
    <m/>
  </r>
  <r>
    <x v="909"/>
    <x v="56"/>
    <n v="48334413"/>
    <x v="1393"/>
    <x v="0"/>
    <s v="USA"/>
    <n v="1100000"/>
    <x v="71"/>
    <x v="4"/>
    <s v="Horror"/>
    <s v="Sci-Fi"/>
    <m/>
    <m/>
    <m/>
    <m/>
    <m/>
  </r>
  <r>
    <x v="910"/>
    <x v="120"/>
    <n v="48334413"/>
    <x v="1394"/>
    <x v="0"/>
    <s v="Italy"/>
    <n v="1100000"/>
    <x v="70"/>
    <x v="1"/>
    <m/>
    <m/>
    <m/>
    <m/>
    <m/>
    <m/>
    <m/>
  </r>
  <r>
    <x v="911"/>
    <x v="50"/>
    <n v="48334413"/>
    <x v="1395"/>
    <x v="0"/>
    <s v="Norway"/>
    <n v="1100000"/>
    <x v="35"/>
    <x v="3"/>
    <m/>
    <m/>
    <m/>
    <m/>
    <m/>
    <m/>
    <m/>
  </r>
  <r>
    <x v="912"/>
    <x v="17"/>
    <n v="48334413"/>
    <x v="1396"/>
    <x v="0"/>
    <s v="UK"/>
    <n v="1100000"/>
    <x v="14"/>
    <x v="3"/>
    <s v="Family"/>
    <s v="Romance"/>
    <m/>
    <m/>
    <m/>
    <m/>
    <m/>
  </r>
  <r>
    <x v="913"/>
    <x v="61"/>
    <n v="48334413"/>
    <x v="1397"/>
    <x v="18"/>
    <s v="Soviet Union"/>
    <n v="1000000"/>
    <x v="23"/>
    <x v="3"/>
    <s v="Mystery"/>
    <s v="Sci-Fi"/>
    <m/>
    <m/>
    <m/>
    <m/>
    <m/>
  </r>
  <r>
    <x v="914"/>
    <x v="0"/>
    <n v="48334413"/>
    <x v="1398"/>
    <x v="0"/>
    <s v="USA"/>
    <n v="1000000"/>
    <x v="68"/>
    <x v="1"/>
    <m/>
    <m/>
    <m/>
    <m/>
    <m/>
    <m/>
    <m/>
  </r>
  <r>
    <x v="915"/>
    <x v="44"/>
    <n v="48334413"/>
    <x v="1399"/>
    <x v="0"/>
    <s v="USA"/>
    <n v="1000000"/>
    <x v="3"/>
    <x v="4"/>
    <s v="Comedy"/>
    <s v="Crime"/>
    <s v="Thriller"/>
    <m/>
    <m/>
    <m/>
    <m/>
  </r>
  <r>
    <x v="916"/>
    <x v="56"/>
    <n v="48334413"/>
    <x v="1400"/>
    <x v="0"/>
    <s v="USA"/>
    <n v="1000000"/>
    <x v="15"/>
    <x v="3"/>
    <s v="Sci-Fi"/>
    <m/>
    <m/>
    <m/>
    <m/>
    <m/>
    <m/>
  </r>
  <r>
    <x v="917"/>
    <x v="64"/>
    <n v="48334413"/>
    <x v="1401"/>
    <x v="0"/>
    <s v="UK"/>
    <n v="1000000"/>
    <x v="9"/>
    <x v="2"/>
    <s v="Comedy"/>
    <s v="History"/>
    <m/>
    <m/>
    <m/>
    <m/>
    <m/>
  </r>
  <r>
    <x v="918"/>
    <x v="56"/>
    <n v="48334413"/>
    <x v="1402"/>
    <x v="0"/>
    <s v="USA"/>
    <n v="1000000"/>
    <x v="8"/>
    <x v="3"/>
    <s v="Romance"/>
    <s v="Western"/>
    <m/>
    <m/>
    <m/>
    <m/>
    <m/>
  </r>
  <r>
    <x v="919"/>
    <x v="17"/>
    <n v="48334413"/>
    <x v="1403"/>
    <x v="0"/>
    <s v="USA"/>
    <n v="1000000"/>
    <x v="11"/>
    <x v="4"/>
    <s v="Drama"/>
    <s v="Romance"/>
    <s v="War"/>
    <m/>
    <m/>
    <m/>
    <m/>
  </r>
  <r>
    <x v="714"/>
    <x v="22"/>
    <n v="48334413"/>
    <x v="1404"/>
    <x v="0"/>
    <s v="USA"/>
    <n v="1000000"/>
    <x v="11"/>
    <x v="0"/>
    <s v="Fantasy"/>
    <s v="Mystery"/>
    <m/>
    <m/>
    <m/>
    <m/>
    <m/>
  </r>
  <r>
    <x v="920"/>
    <x v="51"/>
    <n v="48334413"/>
    <x v="1405"/>
    <x v="0"/>
    <s v="USA"/>
    <n v="1000000"/>
    <x v="34"/>
    <x v="5"/>
    <s v="Drama"/>
    <s v="Romance"/>
    <m/>
    <m/>
    <m/>
    <m/>
    <m/>
  </r>
  <r>
    <x v="921"/>
    <x v="56"/>
    <n v="48334413"/>
    <x v="1406"/>
    <x v="0"/>
    <s v="USA"/>
    <n v="1000000"/>
    <x v="2"/>
    <x v="0"/>
    <s v="Romance"/>
    <m/>
    <m/>
    <m/>
    <m/>
    <m/>
    <m/>
  </r>
  <r>
    <x v="922"/>
    <x v="0"/>
    <n v="48334413"/>
    <x v="1407"/>
    <x v="0"/>
    <s v="USA"/>
    <n v="1000000"/>
    <x v="72"/>
    <x v="4"/>
    <s v="Adventure"/>
    <s v="Comedy"/>
    <s v="Fantasy"/>
    <s v="Sci-Fi"/>
    <m/>
    <m/>
    <m/>
  </r>
  <r>
    <x v="923"/>
    <x v="51"/>
    <n v="48334413"/>
    <x v="1408"/>
    <x v="16"/>
    <s v="Mexico"/>
    <n v="1000000"/>
    <x v="9"/>
    <x v="5"/>
    <s v="Drama"/>
    <s v="Romance"/>
    <m/>
    <m/>
    <m/>
    <m/>
    <m/>
  </r>
  <r>
    <x v="924"/>
    <x v="34"/>
    <n v="48334413"/>
    <x v="1409"/>
    <x v="24"/>
    <s v="Pakistan"/>
    <n v="1000000"/>
    <x v="14"/>
    <x v="0"/>
    <s v="Family"/>
    <m/>
    <m/>
    <m/>
    <m/>
    <m/>
    <m/>
  </r>
  <r>
    <x v="925"/>
    <x v="120"/>
    <n v="48334413"/>
    <x v="1410"/>
    <x v="0"/>
    <s v="USA"/>
    <n v="1000000"/>
    <x v="15"/>
    <x v="3"/>
    <s v="Romance"/>
    <m/>
    <m/>
    <m/>
    <m/>
    <m/>
    <m/>
  </r>
  <r>
    <x v="926"/>
    <x v="49"/>
    <n v="48334413"/>
    <x v="1411"/>
    <x v="0"/>
    <s v="USA"/>
    <n v="1000000"/>
    <x v="19"/>
    <x v="0"/>
    <s v="Drama"/>
    <m/>
    <m/>
    <m/>
    <m/>
    <m/>
    <m/>
  </r>
  <r>
    <x v="927"/>
    <x v="4"/>
    <n v="48334413"/>
    <x v="1412"/>
    <x v="0"/>
    <s v="USA"/>
    <n v="1000000"/>
    <x v="8"/>
    <x v="5"/>
    <s v="Drama"/>
    <s v="Thriller"/>
    <m/>
    <m/>
    <m/>
    <m/>
    <m/>
  </r>
  <r>
    <x v="928"/>
    <x v="10"/>
    <n v="48334413"/>
    <x v="1413"/>
    <x v="0"/>
    <s v="USA"/>
    <n v="1000000"/>
    <x v="60"/>
    <x v="0"/>
    <m/>
    <m/>
    <m/>
    <m/>
    <m/>
    <m/>
    <m/>
  </r>
  <r>
    <x v="929"/>
    <x v="54"/>
    <n v="48334413"/>
    <x v="1414"/>
    <x v="0"/>
    <s v="USA"/>
    <n v="1000000"/>
    <x v="19"/>
    <x v="3"/>
    <m/>
    <m/>
    <m/>
    <m/>
    <m/>
    <m/>
    <m/>
  </r>
  <r>
    <x v="930"/>
    <x v="10"/>
    <n v="48334413"/>
    <x v="1415"/>
    <x v="0"/>
    <s v="USA"/>
    <n v="1000000"/>
    <x v="0"/>
    <x v="3"/>
    <m/>
    <m/>
    <m/>
    <m/>
    <m/>
    <m/>
    <m/>
  </r>
  <r>
    <x v="931"/>
    <x v="39"/>
    <n v="48334413"/>
    <x v="1416"/>
    <x v="0"/>
    <s v="USA"/>
    <n v="1000000"/>
    <x v="62"/>
    <x v="1"/>
    <m/>
    <m/>
    <m/>
    <m/>
    <m/>
    <m/>
    <m/>
  </r>
  <r>
    <x v="932"/>
    <x v="10"/>
    <n v="48334413"/>
    <x v="1417"/>
    <x v="0"/>
    <s v="USA"/>
    <n v="1000000"/>
    <x v="21"/>
    <x v="0"/>
    <s v="Drama"/>
    <s v="Romance"/>
    <m/>
    <m/>
    <m/>
    <m/>
    <m/>
  </r>
  <r>
    <x v="933"/>
    <x v="53"/>
    <n v="48334413"/>
    <x v="1418"/>
    <x v="0"/>
    <s v="USA"/>
    <n v="1000000"/>
    <x v="43"/>
    <x v="0"/>
    <s v="Music"/>
    <m/>
    <m/>
    <m/>
    <m/>
    <m/>
    <m/>
  </r>
  <r>
    <x v="931"/>
    <x v="3"/>
    <n v="48334413"/>
    <x v="1419"/>
    <x v="0"/>
    <s v="USA"/>
    <n v="1000000"/>
    <x v="61"/>
    <x v="17"/>
    <m/>
    <m/>
    <m/>
    <m/>
    <m/>
    <m/>
    <m/>
  </r>
  <r>
    <x v="934"/>
    <x v="49"/>
    <n v="48334413"/>
    <x v="1420"/>
    <x v="0"/>
    <s v="UK"/>
    <n v="1000000"/>
    <x v="37"/>
    <x v="1"/>
    <s v="Mystery"/>
    <m/>
    <m/>
    <m/>
    <m/>
    <m/>
    <m/>
  </r>
  <r>
    <x v="935"/>
    <x v="20"/>
    <n v="48334413"/>
    <x v="1421"/>
    <x v="0"/>
    <s v="USA"/>
    <n v="1000000"/>
    <x v="67"/>
    <x v="3"/>
    <s v="Thriller"/>
    <m/>
    <m/>
    <m/>
    <m/>
    <m/>
    <m/>
  </r>
  <r>
    <x v="936"/>
    <x v="10"/>
    <n v="48334413"/>
    <x v="1422"/>
    <x v="0"/>
    <s v="Canada"/>
    <n v="1000000"/>
    <x v="18"/>
    <x v="3"/>
    <s v="Musical"/>
    <s v="Sci-Fi"/>
    <m/>
    <m/>
    <m/>
    <m/>
    <m/>
  </r>
  <r>
    <x v="937"/>
    <x v="13"/>
    <n v="48334413"/>
    <x v="1423"/>
    <x v="0"/>
    <s v="USA"/>
    <n v="1000000"/>
    <x v="34"/>
    <x v="1"/>
    <m/>
    <m/>
    <m/>
    <m/>
    <m/>
    <m/>
    <m/>
  </r>
  <r>
    <x v="938"/>
    <x v="31"/>
    <n v="48334413"/>
    <x v="1424"/>
    <x v="0"/>
    <s v="USA"/>
    <n v="1000000"/>
    <x v="55"/>
    <x v="4"/>
    <s v="Comedy"/>
    <s v="Horror"/>
    <m/>
    <m/>
    <m/>
    <m/>
    <m/>
  </r>
  <r>
    <x v="939"/>
    <x v="11"/>
    <n v="48334413"/>
    <x v="1425"/>
    <x v="0"/>
    <s v="USA"/>
    <n v="1000000"/>
    <x v="48"/>
    <x v="3"/>
    <m/>
    <m/>
    <m/>
    <m/>
    <m/>
    <m/>
    <m/>
  </r>
  <r>
    <x v="940"/>
    <x v="10"/>
    <n v="48334413"/>
    <x v="1426"/>
    <x v="0"/>
    <s v="USA"/>
    <n v="1000000"/>
    <x v="6"/>
    <x v="3"/>
    <m/>
    <m/>
    <m/>
    <m/>
    <m/>
    <m/>
    <m/>
  </r>
  <r>
    <x v="941"/>
    <x v="44"/>
    <n v="48334413"/>
    <x v="1427"/>
    <x v="0"/>
    <s v="USA"/>
    <n v="1000000"/>
    <x v="2"/>
    <x v="3"/>
    <s v="Mystery"/>
    <s v="Thriller"/>
    <m/>
    <m/>
    <m/>
    <m/>
    <m/>
  </r>
  <r>
    <x v="942"/>
    <x v="89"/>
    <n v="48334413"/>
    <x v="1428"/>
    <x v="0"/>
    <s v="USA"/>
    <n v="990000"/>
    <x v="35"/>
    <x v="4"/>
    <s v="Comedy"/>
    <s v="Drama"/>
    <s v="Sci-Fi"/>
    <m/>
    <m/>
    <m/>
    <m/>
  </r>
  <r>
    <x v="943"/>
    <x v="10"/>
    <n v="48334413"/>
    <x v="1429"/>
    <x v="0"/>
    <s v="USA"/>
    <n v="989000"/>
    <x v="46"/>
    <x v="0"/>
    <s v="Romance"/>
    <m/>
    <m/>
    <m/>
    <m/>
    <m/>
    <m/>
  </r>
  <r>
    <x v="742"/>
    <x v="68"/>
    <n v="48334413"/>
    <x v="1430"/>
    <x v="0"/>
    <s v="USA"/>
    <n v="950000"/>
    <x v="29"/>
    <x v="3"/>
    <s v="Romance"/>
    <s v="War"/>
    <m/>
    <m/>
    <m/>
    <m/>
    <m/>
  </r>
  <r>
    <x v="944"/>
    <x v="54"/>
    <n v="48334413"/>
    <x v="1431"/>
    <x v="0"/>
    <s v="Germany"/>
    <n v="950000"/>
    <x v="3"/>
    <x v="1"/>
    <s v="Thriller"/>
    <m/>
    <m/>
    <m/>
    <m/>
    <m/>
    <m/>
  </r>
  <r>
    <x v="945"/>
    <x v="41"/>
    <n v="48334413"/>
    <x v="1432"/>
    <x v="0"/>
    <s v="USA"/>
    <n v="950000"/>
    <x v="27"/>
    <x v="3"/>
    <m/>
    <m/>
    <m/>
    <m/>
    <m/>
    <m/>
    <m/>
  </r>
  <r>
    <x v="946"/>
    <x v="39"/>
    <n v="48334413"/>
    <x v="1433"/>
    <x v="0"/>
    <s v="USA"/>
    <n v="913000"/>
    <x v="6"/>
    <x v="10"/>
    <s v="News"/>
    <m/>
    <m/>
    <m/>
    <m/>
    <m/>
    <m/>
  </r>
  <r>
    <x v="947"/>
    <x v="73"/>
    <n v="48334413"/>
    <x v="1434"/>
    <x v="1"/>
    <s v="France"/>
    <n v="900000"/>
    <x v="15"/>
    <x v="3"/>
    <m/>
    <m/>
    <m/>
    <m/>
    <m/>
    <m/>
    <m/>
  </r>
  <r>
    <x v="948"/>
    <x v="0"/>
    <n v="48334413"/>
    <x v="1435"/>
    <x v="1"/>
    <s v="Canada"/>
    <n v="900000"/>
    <x v="27"/>
    <x v="3"/>
    <s v="Thriller"/>
    <m/>
    <m/>
    <m/>
    <m/>
    <m/>
    <m/>
  </r>
  <r>
    <x v="949"/>
    <x v="13"/>
    <n v="48334413"/>
    <x v="1436"/>
    <x v="0"/>
    <s v="USA"/>
    <n v="850000"/>
    <x v="7"/>
    <x v="3"/>
    <m/>
    <m/>
    <m/>
    <m/>
    <m/>
    <m/>
    <m/>
  </r>
  <r>
    <x v="950"/>
    <x v="124"/>
    <n v="48334413"/>
    <x v="1437"/>
    <x v="0"/>
    <s v="USA"/>
    <n v="800000"/>
    <x v="24"/>
    <x v="3"/>
    <s v="Romance"/>
    <s v="War"/>
    <m/>
    <m/>
    <m/>
    <m/>
    <m/>
  </r>
  <r>
    <x v="951"/>
    <x v="60"/>
    <n v="48334413"/>
    <x v="1438"/>
    <x v="0"/>
    <s v="USA"/>
    <n v="800000"/>
    <x v="34"/>
    <x v="14"/>
    <m/>
    <m/>
    <m/>
    <m/>
    <m/>
    <m/>
    <m/>
  </r>
  <r>
    <x v="952"/>
    <x v="39"/>
    <n v="48334413"/>
    <x v="1439"/>
    <x v="16"/>
    <s v="Argentina"/>
    <n v="800000"/>
    <x v="11"/>
    <x v="3"/>
    <m/>
    <m/>
    <m/>
    <m/>
    <m/>
    <m/>
    <m/>
  </r>
  <r>
    <x v="953"/>
    <x v="20"/>
    <n v="48334413"/>
    <x v="1440"/>
    <x v="0"/>
    <s v="USA"/>
    <n v="800000"/>
    <x v="11"/>
    <x v="5"/>
    <s v="Drama"/>
    <s v="Romance"/>
    <m/>
    <m/>
    <m/>
    <m/>
    <m/>
  </r>
  <r>
    <x v="885"/>
    <x v="86"/>
    <n v="48334413"/>
    <x v="1441"/>
    <x v="0"/>
    <s v="USA"/>
    <n v="750000"/>
    <x v="5"/>
    <x v="10"/>
    <s v="War"/>
    <m/>
    <m/>
    <m/>
    <m/>
    <m/>
    <m/>
  </r>
  <r>
    <x v="954"/>
    <x v="40"/>
    <n v="48334413"/>
    <x v="1442"/>
    <x v="12"/>
    <s v="Italy"/>
    <n v="750000"/>
    <x v="23"/>
    <x v="3"/>
    <m/>
    <m/>
    <m/>
    <m/>
    <m/>
    <m/>
    <m/>
  </r>
  <r>
    <x v="268"/>
    <x v="10"/>
    <n v="48334413"/>
    <x v="1443"/>
    <x v="0"/>
    <s v="USA"/>
    <n v="750000"/>
    <x v="37"/>
    <x v="1"/>
    <m/>
    <m/>
    <m/>
    <m/>
    <m/>
    <m/>
    <m/>
  </r>
  <r>
    <x v="955"/>
    <x v="13"/>
    <n v="48334413"/>
    <x v="1444"/>
    <x v="0"/>
    <s v="USA"/>
    <n v="750000"/>
    <x v="69"/>
    <x v="1"/>
    <m/>
    <m/>
    <m/>
    <m/>
    <m/>
    <m/>
    <m/>
  </r>
  <r>
    <x v="716"/>
    <x v="63"/>
    <n v="48334413"/>
    <x v="1445"/>
    <x v="0"/>
    <s v="USA"/>
    <n v="750000"/>
    <x v="23"/>
    <x v="14"/>
    <s v="Western"/>
    <m/>
    <m/>
    <m/>
    <m/>
    <m/>
    <m/>
  </r>
  <r>
    <x v="956"/>
    <x v="50"/>
    <n v="48334413"/>
    <x v="1446"/>
    <x v="0"/>
    <s v="USA"/>
    <n v="750000"/>
    <x v="35"/>
    <x v="5"/>
    <s v="Drama"/>
    <s v="Thriller"/>
    <m/>
    <m/>
    <m/>
    <m/>
    <m/>
  </r>
  <r>
    <x v="957"/>
    <x v="61"/>
    <n v="48334413"/>
    <x v="1447"/>
    <x v="0"/>
    <s v="USA"/>
    <n v="750000"/>
    <x v="14"/>
    <x v="10"/>
    <m/>
    <m/>
    <m/>
    <m/>
    <m/>
    <m/>
    <m/>
  </r>
  <r>
    <x v="958"/>
    <x v="20"/>
    <n v="48334413"/>
    <x v="1448"/>
    <x v="0"/>
    <s v="USA"/>
    <n v="700000"/>
    <x v="48"/>
    <x v="0"/>
    <s v="Drama"/>
    <m/>
    <m/>
    <m/>
    <m/>
    <m/>
    <m/>
  </r>
  <r>
    <x v="959"/>
    <x v="144"/>
    <n v="48334413"/>
    <x v="1449"/>
    <x v="0"/>
    <s v="USA"/>
    <n v="650000"/>
    <x v="7"/>
    <x v="10"/>
    <m/>
    <m/>
    <m/>
    <m/>
    <m/>
    <m/>
    <m/>
  </r>
  <r>
    <x v="960"/>
    <x v="10"/>
    <n v="48334413"/>
    <x v="1450"/>
    <x v="0"/>
    <s v="USA"/>
    <n v="650000"/>
    <x v="18"/>
    <x v="8"/>
    <s v="Horror"/>
    <s v="Mystery"/>
    <s v="Thriller"/>
    <m/>
    <m/>
    <m/>
    <m/>
  </r>
  <r>
    <x v="109"/>
    <x v="39"/>
    <n v="48334413"/>
    <x v="1451"/>
    <x v="0"/>
    <s v="USA"/>
    <n v="650000"/>
    <x v="20"/>
    <x v="0"/>
    <m/>
    <m/>
    <m/>
    <m/>
    <m/>
    <m/>
    <m/>
  </r>
  <r>
    <x v="346"/>
    <x v="0"/>
    <n v="48334413"/>
    <x v="1452"/>
    <x v="0"/>
    <s v="UK"/>
    <n v="650000"/>
    <x v="26"/>
    <x v="0"/>
    <s v="Drama"/>
    <s v="Romance"/>
    <m/>
    <m/>
    <m/>
    <m/>
    <m/>
  </r>
  <r>
    <x v="961"/>
    <x v="139"/>
    <n v="48334413"/>
    <x v="1453"/>
    <x v="0"/>
    <s v="USA"/>
    <n v="625000"/>
    <x v="67"/>
    <x v="3"/>
    <s v="Thriller"/>
    <m/>
    <m/>
    <m/>
    <m/>
    <m/>
    <m/>
  </r>
  <r>
    <x v="962"/>
    <x v="10"/>
    <n v="48334413"/>
    <x v="1454"/>
    <x v="0"/>
    <s v="USA"/>
    <n v="600000"/>
    <x v="13"/>
    <x v="4"/>
    <s v="Drama"/>
    <s v="Thriller"/>
    <m/>
    <m/>
    <m/>
    <m/>
    <m/>
  </r>
  <r>
    <x v="963"/>
    <x v="1"/>
    <n v="48334413"/>
    <x v="1455"/>
    <x v="0"/>
    <s v="USA"/>
    <n v="600000"/>
    <x v="36"/>
    <x v="14"/>
    <m/>
    <m/>
    <m/>
    <m/>
    <m/>
    <m/>
    <m/>
  </r>
  <r>
    <x v="964"/>
    <x v="60"/>
    <n v="48334413"/>
    <x v="1456"/>
    <x v="0"/>
    <s v="USA"/>
    <n v="550000"/>
    <x v="0"/>
    <x v="3"/>
    <s v="Romance"/>
    <m/>
    <m/>
    <m/>
    <m/>
    <m/>
    <m/>
  </r>
  <r>
    <x v="965"/>
    <x v="61"/>
    <n v="48334413"/>
    <x v="1457"/>
    <x v="14"/>
    <s v="India"/>
    <n v="550000"/>
    <x v="14"/>
    <x v="6"/>
    <s v="Documentary"/>
    <s v="Drama"/>
    <m/>
    <m/>
    <m/>
    <m/>
    <m/>
  </r>
  <r>
    <x v="966"/>
    <x v="56"/>
    <n v="48334413"/>
    <x v="1458"/>
    <x v="0"/>
    <s v="USA"/>
    <n v="500000"/>
    <x v="33"/>
    <x v="0"/>
    <s v="Horror"/>
    <s v="Sci-Fi"/>
    <m/>
    <m/>
    <m/>
    <m/>
    <m/>
  </r>
  <r>
    <x v="831"/>
    <x v="63"/>
    <n v="48334413"/>
    <x v="1459"/>
    <x v="0"/>
    <s v="UK"/>
    <n v="500000"/>
    <x v="14"/>
    <x v="5"/>
    <s v="Drama"/>
    <s v="Thriller"/>
    <m/>
    <m/>
    <m/>
    <m/>
    <m/>
  </r>
  <r>
    <x v="967"/>
    <x v="39"/>
    <n v="48334413"/>
    <x v="1460"/>
    <x v="25"/>
    <s v="Slovenia"/>
    <n v="500000"/>
    <x v="16"/>
    <x v="0"/>
    <m/>
    <m/>
    <m/>
    <m/>
    <m/>
    <m/>
    <m/>
  </r>
  <r>
    <x v="968"/>
    <x v="0"/>
    <n v="48334413"/>
    <x v="1461"/>
    <x v="0"/>
    <s v="Switzerland"/>
    <n v="500000"/>
    <x v="19"/>
    <x v="0"/>
    <s v="Music"/>
    <s v="Romance"/>
    <m/>
    <m/>
    <m/>
    <m/>
    <m/>
  </r>
  <r>
    <x v="969"/>
    <x v="13"/>
    <n v="48334413"/>
    <x v="1462"/>
    <x v="0"/>
    <s v="UK"/>
    <n v="500000"/>
    <x v="4"/>
    <x v="6"/>
    <s v="Documentary"/>
    <s v="Music"/>
    <m/>
    <m/>
    <m/>
    <m/>
    <m/>
  </r>
  <r>
    <x v="970"/>
    <x v="32"/>
    <n v="48334413"/>
    <x v="1463"/>
    <x v="0"/>
    <s v="USA"/>
    <n v="500000"/>
    <x v="19"/>
    <x v="14"/>
    <m/>
    <m/>
    <m/>
    <m/>
    <m/>
    <m/>
    <m/>
  </r>
  <r>
    <x v="957"/>
    <x v="49"/>
    <n v="48334413"/>
    <x v="1464"/>
    <x v="0"/>
    <s v="USA"/>
    <n v="500000"/>
    <x v="11"/>
    <x v="10"/>
    <m/>
    <m/>
    <m/>
    <m/>
    <m/>
    <m/>
    <m/>
  </r>
  <r>
    <x v="971"/>
    <x v="44"/>
    <n v="48334413"/>
    <x v="1465"/>
    <x v="0"/>
    <s v="USA"/>
    <n v="500000"/>
    <x v="55"/>
    <x v="0"/>
    <s v="Horror"/>
    <m/>
    <m/>
    <m/>
    <m/>
    <m/>
    <m/>
  </r>
  <r>
    <x v="972"/>
    <x v="10"/>
    <n v="48334413"/>
    <x v="1466"/>
    <x v="0"/>
    <s v="USA"/>
    <n v="500000"/>
    <x v="24"/>
    <x v="12"/>
    <s v="Thriller"/>
    <m/>
    <m/>
    <m/>
    <m/>
    <m/>
    <m/>
  </r>
  <r>
    <x v="973"/>
    <x v="43"/>
    <n v="48334413"/>
    <x v="1467"/>
    <x v="16"/>
    <s v="Dominican Republic"/>
    <n v="500000"/>
    <x v="26"/>
    <x v="5"/>
    <s v="Drama"/>
    <m/>
    <m/>
    <m/>
    <m/>
    <m/>
    <m/>
  </r>
  <r>
    <x v="122"/>
    <x v="0"/>
    <n v="48334413"/>
    <x v="1468"/>
    <x v="0"/>
    <s v="USA"/>
    <n v="500000"/>
    <x v="7"/>
    <x v="1"/>
    <s v="Musical"/>
    <m/>
    <m/>
    <m/>
    <m/>
    <m/>
    <m/>
  </r>
  <r>
    <x v="974"/>
    <x v="7"/>
    <n v="48334413"/>
    <x v="1469"/>
    <x v="0"/>
    <s v="USA"/>
    <n v="500000"/>
    <x v="21"/>
    <x v="16"/>
    <m/>
    <m/>
    <m/>
    <m/>
    <m/>
    <m/>
    <m/>
  </r>
  <r>
    <x v="975"/>
    <x v="3"/>
    <n v="48334413"/>
    <x v="1470"/>
    <x v="0"/>
    <s v="USA"/>
    <n v="500000"/>
    <x v="34"/>
    <x v="16"/>
    <m/>
    <m/>
    <m/>
    <m/>
    <m/>
    <m/>
    <m/>
  </r>
  <r>
    <x v="976"/>
    <x v="68"/>
    <n v="48334413"/>
    <x v="1471"/>
    <x v="0"/>
    <s v="USA"/>
    <n v="500000"/>
    <x v="49"/>
    <x v="4"/>
    <m/>
    <m/>
    <m/>
    <m/>
    <m/>
    <m/>
    <m/>
  </r>
  <r>
    <x v="977"/>
    <x v="0"/>
    <n v="48334413"/>
    <x v="1472"/>
    <x v="0"/>
    <s v="USA"/>
    <n v="500000"/>
    <x v="18"/>
    <x v="0"/>
    <s v="Horror"/>
    <m/>
    <m/>
    <m/>
    <m/>
    <m/>
    <m/>
  </r>
  <r>
    <x v="978"/>
    <x v="42"/>
    <n v="48334413"/>
    <x v="1473"/>
    <x v="0"/>
    <s v="Canada"/>
    <n v="500000"/>
    <x v="0"/>
    <x v="1"/>
    <s v="Thriller"/>
    <m/>
    <m/>
    <m/>
    <m/>
    <m/>
    <m/>
  </r>
  <r>
    <x v="979"/>
    <x v="1"/>
    <n v="48334413"/>
    <x v="1474"/>
    <x v="0"/>
    <s v="France"/>
    <n v="500000"/>
    <x v="49"/>
    <x v="3"/>
    <s v="Musical"/>
    <s v="Romance"/>
    <m/>
    <m/>
    <m/>
    <m/>
    <m/>
  </r>
  <r>
    <x v="980"/>
    <x v="50"/>
    <n v="48334413"/>
    <x v="1475"/>
    <x v="0"/>
    <s v="USA"/>
    <n v="475000"/>
    <x v="8"/>
    <x v="4"/>
    <s v="Comedy"/>
    <s v="Horror"/>
    <s v="Sci-Fi"/>
    <m/>
    <m/>
    <m/>
    <m/>
  </r>
  <r>
    <x v="981"/>
    <x v="89"/>
    <n v="48334413"/>
    <x v="1476"/>
    <x v="0"/>
    <s v="USA"/>
    <n v="450000"/>
    <x v="9"/>
    <x v="0"/>
    <s v="Romance"/>
    <m/>
    <m/>
    <m/>
    <m/>
    <m/>
    <m/>
  </r>
  <r>
    <x v="982"/>
    <x v="108"/>
    <n v="48334413"/>
    <x v="1477"/>
    <x v="0"/>
    <s v="USA"/>
    <n v="450000"/>
    <x v="40"/>
    <x v="10"/>
    <m/>
    <m/>
    <m/>
    <m/>
    <m/>
    <m/>
    <m/>
  </r>
  <r>
    <x v="983"/>
    <x v="18"/>
    <n v="48334413"/>
    <x v="1478"/>
    <x v="0"/>
    <s v="UK"/>
    <n v="400000"/>
    <x v="7"/>
    <x v="10"/>
    <m/>
    <m/>
    <m/>
    <m/>
    <m/>
    <m/>
    <m/>
  </r>
  <r>
    <x v="984"/>
    <x v="51"/>
    <n v="48334413"/>
    <x v="1479"/>
    <x v="1"/>
    <s v="UK"/>
    <n v="400000"/>
    <x v="5"/>
    <x v="10"/>
    <m/>
    <m/>
    <m/>
    <m/>
    <m/>
    <m/>
    <m/>
  </r>
  <r>
    <x v="985"/>
    <x v="50"/>
    <n v="48334413"/>
    <x v="1480"/>
    <x v="11"/>
    <s v="Sweden"/>
    <n v="400000"/>
    <x v="40"/>
    <x v="3"/>
    <m/>
    <m/>
    <m/>
    <m/>
    <m/>
    <m/>
    <m/>
  </r>
  <r>
    <x v="986"/>
    <x v="21"/>
    <n v="48334413"/>
    <x v="1481"/>
    <x v="0"/>
    <s v="USA"/>
    <n v="385907"/>
    <x v="13"/>
    <x v="3"/>
    <s v="History"/>
    <s v="War"/>
    <m/>
    <m/>
    <m/>
    <m/>
    <m/>
  </r>
  <r>
    <x v="987"/>
    <x v="49"/>
    <n v="48334413"/>
    <x v="1482"/>
    <x v="0"/>
    <s v="USA"/>
    <n v="375000"/>
    <x v="17"/>
    <x v="8"/>
    <s v="Horror"/>
    <m/>
    <m/>
    <m/>
    <m/>
    <m/>
    <m/>
  </r>
  <r>
    <x v="988"/>
    <x v="124"/>
    <n v="48334413"/>
    <x v="1483"/>
    <x v="0"/>
    <s v="USA"/>
    <n v="350000"/>
    <x v="30"/>
    <x v="1"/>
    <m/>
    <m/>
    <m/>
    <m/>
    <m/>
    <m/>
    <m/>
  </r>
  <r>
    <x v="989"/>
    <x v="34"/>
    <n v="48334413"/>
    <x v="1484"/>
    <x v="0"/>
    <s v="New Zealand"/>
    <n v="350000"/>
    <x v="9"/>
    <x v="0"/>
    <s v="Horror"/>
    <s v="Mystery"/>
    <m/>
    <m/>
    <m/>
    <m/>
    <m/>
  </r>
  <r>
    <x v="990"/>
    <x v="1"/>
    <n v="48334413"/>
    <x v="1485"/>
    <x v="0"/>
    <s v="USA"/>
    <n v="350000"/>
    <x v="43"/>
    <x v="16"/>
    <s v="Sci-Fi"/>
    <m/>
    <m/>
    <m/>
    <m/>
    <m/>
    <m/>
  </r>
  <r>
    <x v="373"/>
    <x v="49"/>
    <n v="48334413"/>
    <x v="1486"/>
    <x v="0"/>
    <s v="USA"/>
    <n v="350000"/>
    <x v="10"/>
    <x v="5"/>
    <s v="Drama"/>
    <m/>
    <m/>
    <m/>
    <m/>
    <m/>
    <m/>
  </r>
  <r>
    <x v="991"/>
    <x v="10"/>
    <n v="48334413"/>
    <x v="1487"/>
    <x v="0"/>
    <s v="USA"/>
    <n v="350000"/>
    <x v="59"/>
    <x v="4"/>
    <s v="Thriller"/>
    <m/>
    <m/>
    <m/>
    <m/>
    <m/>
    <m/>
  </r>
  <r>
    <x v="800"/>
    <x v="116"/>
    <n v="48334413"/>
    <x v="1488"/>
    <x v="0"/>
    <s v="USA"/>
    <n v="325000"/>
    <x v="40"/>
    <x v="0"/>
    <s v="Romance"/>
    <m/>
    <m/>
    <m/>
    <m/>
    <m/>
    <m/>
  </r>
  <r>
    <x v="992"/>
    <x v="60"/>
    <n v="48334413"/>
    <x v="1489"/>
    <x v="0"/>
    <s v="USA"/>
    <n v="300000"/>
    <x v="34"/>
    <x v="3"/>
    <m/>
    <m/>
    <m/>
    <m/>
    <m/>
    <m/>
    <m/>
  </r>
  <r>
    <x v="993"/>
    <x v="28"/>
    <n v="48334413"/>
    <x v="1490"/>
    <x v="1"/>
    <s v="France"/>
    <n v="300000"/>
    <x v="5"/>
    <x v="5"/>
    <s v="Drama"/>
    <s v="Romance"/>
    <m/>
    <m/>
    <m/>
    <m/>
    <m/>
  </r>
  <r>
    <x v="994"/>
    <x v="42"/>
    <n v="48334413"/>
    <x v="1491"/>
    <x v="0"/>
    <s v="USA"/>
    <n v="300000"/>
    <x v="8"/>
    <x v="4"/>
    <s v="Comedy"/>
    <s v="Sci-Fi"/>
    <s v="Sport"/>
    <m/>
    <m/>
    <m/>
    <m/>
  </r>
  <r>
    <x v="995"/>
    <x v="1"/>
    <n v="48334413"/>
    <x v="1492"/>
    <x v="0"/>
    <s v="USA"/>
    <n v="300000"/>
    <x v="11"/>
    <x v="0"/>
    <s v="Drama"/>
    <s v="Romance"/>
    <m/>
    <m/>
    <m/>
    <m/>
    <m/>
  </r>
  <r>
    <x v="996"/>
    <x v="0"/>
    <n v="48334413"/>
    <x v="1493"/>
    <x v="0"/>
    <s v="USA"/>
    <n v="300000"/>
    <x v="16"/>
    <x v="0"/>
    <s v="Crime"/>
    <s v="Drama"/>
    <s v="Horror"/>
    <s v="Mystery"/>
    <s v="Thriller"/>
    <m/>
    <m/>
  </r>
  <r>
    <x v="997"/>
    <x v="10"/>
    <n v="48334413"/>
    <x v="1494"/>
    <x v="0"/>
    <s v="USA"/>
    <n v="300000"/>
    <x v="49"/>
    <x v="4"/>
    <s v="Crime"/>
    <s v="Drama"/>
    <m/>
    <m/>
    <m/>
    <m/>
    <m/>
  </r>
  <r>
    <x v="998"/>
    <x v="49"/>
    <n v="48334413"/>
    <x v="1495"/>
    <x v="0"/>
    <s v="USA"/>
    <n v="300000"/>
    <x v="49"/>
    <x v="1"/>
    <m/>
    <m/>
    <m/>
    <m/>
    <m/>
    <m/>
    <m/>
  </r>
  <r>
    <x v="999"/>
    <x v="10"/>
    <n v="48334413"/>
    <x v="1496"/>
    <x v="0"/>
    <s v="USA"/>
    <n v="290000"/>
    <x v="49"/>
    <x v="4"/>
    <s v="Adventure"/>
    <s v="Mystery"/>
    <s v="Romance"/>
    <s v="Thriller"/>
    <m/>
    <m/>
    <m/>
  </r>
  <r>
    <x v="1000"/>
    <x v="49"/>
    <n v="48334413"/>
    <x v="1497"/>
    <x v="0"/>
    <s v="USA"/>
    <n v="250000"/>
    <x v="36"/>
    <x v="1"/>
    <s v="Mystery"/>
    <m/>
    <m/>
    <m/>
    <m/>
    <m/>
    <m/>
  </r>
  <r>
    <x v="1001"/>
    <x v="13"/>
    <n v="48334413"/>
    <x v="1498"/>
    <x v="0"/>
    <s v="Canada"/>
    <n v="250000"/>
    <x v="21"/>
    <x v="3"/>
    <m/>
    <m/>
    <m/>
    <m/>
    <m/>
    <m/>
    <m/>
  </r>
  <r>
    <x v="1002"/>
    <x v="1"/>
    <n v="48334413"/>
    <x v="1499"/>
    <x v="0"/>
    <s v="USA"/>
    <n v="250000"/>
    <x v="8"/>
    <x v="3"/>
    <s v="Family"/>
    <m/>
    <m/>
    <m/>
    <m/>
    <m/>
    <m/>
  </r>
  <r>
    <x v="1003"/>
    <x v="145"/>
    <n v="48334413"/>
    <x v="1500"/>
    <x v="0"/>
    <s v="USA"/>
    <n v="250000"/>
    <x v="22"/>
    <x v="10"/>
    <m/>
    <m/>
    <m/>
    <m/>
    <m/>
    <m/>
    <m/>
  </r>
  <r>
    <x v="1004"/>
    <x v="13"/>
    <n v="48334413"/>
    <x v="1501"/>
    <x v="0"/>
    <s v="USA"/>
    <n v="250000"/>
    <x v="45"/>
    <x v="1"/>
    <s v="Thriller"/>
    <m/>
    <m/>
    <m/>
    <m/>
    <m/>
    <m/>
  </r>
  <r>
    <x v="974"/>
    <x v="7"/>
    <n v="48334413"/>
    <x v="1502"/>
    <x v="0"/>
    <s v="USA"/>
    <n v="250000"/>
    <x v="24"/>
    <x v="16"/>
    <m/>
    <m/>
    <m/>
    <m/>
    <m/>
    <m/>
    <m/>
  </r>
  <r>
    <x v="1005"/>
    <x v="10"/>
    <n v="48334413"/>
    <x v="1503"/>
    <x v="0"/>
    <s v="USA"/>
    <n v="250000"/>
    <x v="13"/>
    <x v="10"/>
    <m/>
    <m/>
    <m/>
    <m/>
    <m/>
    <m/>
    <m/>
  </r>
  <r>
    <x v="1006"/>
    <x v="7"/>
    <n v="48334413"/>
    <x v="1504"/>
    <x v="0"/>
    <s v="USA"/>
    <n v="250000"/>
    <x v="6"/>
    <x v="0"/>
    <s v="Music"/>
    <s v="Romance"/>
    <m/>
    <m/>
    <m/>
    <m/>
    <m/>
  </r>
  <r>
    <x v="1007"/>
    <x v="51"/>
    <n v="48334413"/>
    <x v="1505"/>
    <x v="0"/>
    <s v="USA"/>
    <n v="250000"/>
    <x v="56"/>
    <x v="2"/>
    <s v="Drama"/>
    <s v="Fantasy"/>
    <s v="Thriller"/>
    <s v="Western"/>
    <m/>
    <m/>
    <m/>
  </r>
  <r>
    <x v="1008"/>
    <x v="13"/>
    <n v="48334413"/>
    <x v="1506"/>
    <x v="0"/>
    <s v="USA"/>
    <n v="250000"/>
    <x v="8"/>
    <x v="0"/>
    <s v="Drama"/>
    <m/>
    <m/>
    <m/>
    <m/>
    <m/>
    <m/>
  </r>
  <r>
    <x v="744"/>
    <x v="146"/>
    <n v="48334413"/>
    <x v="1507"/>
    <x v="0"/>
    <s v="USA"/>
    <n v="245000"/>
    <x v="25"/>
    <x v="3"/>
    <s v="Romance"/>
    <s v="War"/>
    <m/>
    <m/>
    <m/>
    <m/>
    <m/>
  </r>
  <r>
    <x v="1009"/>
    <x v="39"/>
    <n v="48334413"/>
    <x v="1508"/>
    <x v="0"/>
    <s v="USA"/>
    <n v="240000"/>
    <x v="20"/>
    <x v="0"/>
    <m/>
    <m/>
    <m/>
    <m/>
    <m/>
    <m/>
    <m/>
  </r>
  <r>
    <x v="785"/>
    <x v="31"/>
    <n v="48334413"/>
    <x v="1509"/>
    <x v="0"/>
    <s v="Australia"/>
    <n v="200000"/>
    <x v="14"/>
    <x v="4"/>
    <s v="Adventure"/>
    <s v="Sci-Fi"/>
    <s v="Thriller"/>
    <m/>
    <m/>
    <m/>
    <m/>
  </r>
  <r>
    <x v="1010"/>
    <x v="145"/>
    <n v="48334413"/>
    <x v="1510"/>
    <x v="0"/>
    <s v="USA"/>
    <n v="200000"/>
    <x v="20"/>
    <x v="0"/>
    <s v="Drama"/>
    <s v="History"/>
    <s v="Musical"/>
    <s v="Romance"/>
    <m/>
    <m/>
    <m/>
  </r>
  <r>
    <x v="1011"/>
    <x v="10"/>
    <n v="48334413"/>
    <x v="1511"/>
    <x v="0"/>
    <s v="USA"/>
    <n v="200000"/>
    <x v="33"/>
    <x v="5"/>
    <s v="Horror"/>
    <s v="Mystery"/>
    <s v="Thriller"/>
    <m/>
    <m/>
    <m/>
    <m/>
  </r>
  <r>
    <x v="943"/>
    <x v="54"/>
    <n v="48334413"/>
    <x v="1512"/>
    <x v="0"/>
    <s v="USA"/>
    <n v="200000"/>
    <x v="13"/>
    <x v="3"/>
    <s v="Romance"/>
    <s v="Sci-Fi"/>
    <m/>
    <m/>
    <m/>
    <m/>
    <m/>
  </r>
  <r>
    <x v="1012"/>
    <x v="89"/>
    <n v="48334413"/>
    <x v="1513"/>
    <x v="0"/>
    <s v="USA"/>
    <n v="200000"/>
    <x v="11"/>
    <x v="3"/>
    <s v="Family"/>
    <m/>
    <m/>
    <m/>
    <m/>
    <m/>
    <m/>
  </r>
  <r>
    <x v="1013"/>
    <x v="51"/>
    <n v="48334413"/>
    <x v="1514"/>
    <x v="0"/>
    <s v="USA"/>
    <n v="200000"/>
    <x v="15"/>
    <x v="0"/>
    <s v="Drama"/>
    <s v="Music"/>
    <m/>
    <m/>
    <m/>
    <m/>
    <m/>
  </r>
  <r>
    <x v="1014"/>
    <x v="20"/>
    <n v="48334413"/>
    <x v="1515"/>
    <x v="0"/>
    <s v="USA"/>
    <n v="200000"/>
    <x v="23"/>
    <x v="3"/>
    <m/>
    <m/>
    <m/>
    <m/>
    <m/>
    <m/>
    <m/>
  </r>
  <r>
    <x v="1015"/>
    <x v="17"/>
    <n v="48334413"/>
    <x v="1516"/>
    <x v="0"/>
    <s v="USA"/>
    <n v="200000"/>
    <x v="14"/>
    <x v="3"/>
    <m/>
    <m/>
    <m/>
    <m/>
    <m/>
    <m/>
    <m/>
  </r>
  <r>
    <x v="1016"/>
    <x v="68"/>
    <n v="48334413"/>
    <x v="1517"/>
    <x v="0"/>
    <s v="USA"/>
    <n v="200000"/>
    <x v="18"/>
    <x v="0"/>
    <s v="Horror"/>
    <s v="Thriller"/>
    <m/>
    <m/>
    <m/>
    <m/>
    <m/>
  </r>
  <r>
    <x v="1017"/>
    <x v="73"/>
    <n v="48334413"/>
    <x v="1518"/>
    <x v="0"/>
    <s v="USA"/>
    <n v="180000"/>
    <x v="54"/>
    <x v="10"/>
    <m/>
    <m/>
    <m/>
    <m/>
    <m/>
    <m/>
    <m/>
  </r>
  <r>
    <x v="1018"/>
    <x v="44"/>
    <n v="48334413"/>
    <x v="1519"/>
    <x v="26"/>
    <s v="Romania"/>
    <n v="168000"/>
    <x v="20"/>
    <x v="3"/>
    <m/>
    <m/>
    <m/>
    <m/>
    <m/>
    <m/>
    <m/>
  </r>
  <r>
    <x v="1019"/>
    <x v="20"/>
    <n v="48334413"/>
    <x v="1520"/>
    <x v="0"/>
    <s v="USA"/>
    <n v="150000"/>
    <x v="56"/>
    <x v="4"/>
    <s v="Romance"/>
    <s v="Sport"/>
    <m/>
    <m/>
    <m/>
    <m/>
    <m/>
  </r>
  <r>
    <x v="1020"/>
    <x v="147"/>
    <n v="48334413"/>
    <x v="1521"/>
    <x v="1"/>
    <s v="France"/>
    <n v="150000"/>
    <x v="7"/>
    <x v="10"/>
    <m/>
    <m/>
    <m/>
    <m/>
    <m/>
    <m/>
    <m/>
  </r>
  <r>
    <x v="1021"/>
    <x v="103"/>
    <n v="48334413"/>
    <x v="1522"/>
    <x v="0"/>
    <s v="USA"/>
    <n v="150000"/>
    <x v="39"/>
    <x v="7"/>
    <s v="Comedy"/>
    <s v="Family"/>
    <m/>
    <m/>
    <m/>
    <m/>
    <m/>
  </r>
  <r>
    <x v="1022"/>
    <x v="145"/>
    <n v="48334413"/>
    <x v="1523"/>
    <x v="0"/>
    <s v="USA"/>
    <n v="150000"/>
    <x v="48"/>
    <x v="10"/>
    <m/>
    <m/>
    <m/>
    <m/>
    <m/>
    <m/>
    <m/>
  </r>
  <r>
    <x v="1023"/>
    <x v="56"/>
    <n v="48334413"/>
    <x v="1524"/>
    <x v="0"/>
    <s v="USA"/>
    <n v="125000"/>
    <x v="11"/>
    <x v="3"/>
    <m/>
    <m/>
    <m/>
    <m/>
    <m/>
    <m/>
    <m/>
  </r>
  <r>
    <x v="1024"/>
    <x v="148"/>
    <n v="48334413"/>
    <x v="1525"/>
    <x v="20"/>
    <s v="United Arab Emirates"/>
    <n v="125000"/>
    <x v="40"/>
    <x v="10"/>
    <s v="Family"/>
    <m/>
    <m/>
    <m/>
    <m/>
    <m/>
    <m/>
  </r>
  <r>
    <x v="1025"/>
    <x v="34"/>
    <n v="48334413"/>
    <x v="1526"/>
    <x v="0"/>
    <s v="USA"/>
    <n v="125000"/>
    <x v="33"/>
    <x v="11"/>
    <m/>
    <m/>
    <m/>
    <m/>
    <m/>
    <m/>
    <m/>
  </r>
  <r>
    <x v="1026"/>
    <x v="10"/>
    <n v="48334413"/>
    <x v="1527"/>
    <x v="0"/>
    <s v="USA"/>
    <n v="120000"/>
    <x v="24"/>
    <x v="10"/>
    <s v="War"/>
    <m/>
    <m/>
    <m/>
    <m/>
    <m/>
    <m/>
  </r>
  <r>
    <x v="1027"/>
    <x v="60"/>
    <n v="48334413"/>
    <x v="1528"/>
    <x v="0"/>
    <s v="Canada"/>
    <n v="120000"/>
    <x v="14"/>
    <x v="0"/>
    <m/>
    <m/>
    <m/>
    <m/>
    <m/>
    <m/>
    <m/>
  </r>
  <r>
    <x v="993"/>
    <x v="20"/>
    <n v="48334413"/>
    <x v="1529"/>
    <x v="1"/>
    <s v="France"/>
    <n v="120000"/>
    <x v="7"/>
    <x v="3"/>
    <m/>
    <m/>
    <m/>
    <m/>
    <m/>
    <m/>
    <m/>
  </r>
  <r>
    <x v="705"/>
    <x v="49"/>
    <n v="48334413"/>
    <x v="1530"/>
    <x v="0"/>
    <s v="USA"/>
    <n v="114000"/>
    <x v="13"/>
    <x v="3"/>
    <s v="Horror"/>
    <s v="Mystery"/>
    <m/>
    <m/>
    <m/>
    <m/>
    <m/>
  </r>
  <r>
    <x v="1028"/>
    <x v="94"/>
    <n v="48334413"/>
    <x v="1531"/>
    <x v="0"/>
    <s v="USA"/>
    <n v="103000"/>
    <x v="21"/>
    <x v="0"/>
    <m/>
    <m/>
    <m/>
    <m/>
    <m/>
    <m/>
    <m/>
  </r>
  <r>
    <x v="1029"/>
    <x v="22"/>
    <n v="48334413"/>
    <x v="1532"/>
    <x v="0"/>
    <s v="Canada"/>
    <n v="100000"/>
    <x v="0"/>
    <x v="1"/>
    <m/>
    <m/>
    <m/>
    <m/>
    <m/>
    <m/>
    <m/>
  </r>
  <r>
    <x v="1030"/>
    <x v="10"/>
    <n v="48334413"/>
    <x v="1533"/>
    <x v="0"/>
    <s v="USA"/>
    <n v="100000"/>
    <x v="59"/>
    <x v="12"/>
    <s v="Thriller"/>
    <m/>
    <m/>
    <m/>
    <m/>
    <m/>
    <m/>
  </r>
  <r>
    <x v="396"/>
    <x v="54"/>
    <n v="48334413"/>
    <x v="1534"/>
    <x v="0"/>
    <s v="USA"/>
    <n v="100000"/>
    <x v="24"/>
    <x v="3"/>
    <m/>
    <m/>
    <m/>
    <m/>
    <m/>
    <m/>
    <m/>
  </r>
  <r>
    <x v="1031"/>
    <x v="31"/>
    <n v="48334413"/>
    <x v="1535"/>
    <x v="0"/>
    <s v="USA"/>
    <n v="100000"/>
    <x v="56"/>
    <x v="0"/>
    <s v="Drama"/>
    <m/>
    <m/>
    <m/>
    <m/>
    <m/>
    <m/>
  </r>
  <r>
    <x v="1032"/>
    <x v="4"/>
    <n v="48334413"/>
    <x v="1536"/>
    <x v="0"/>
    <s v="USA"/>
    <n v="100000"/>
    <x v="19"/>
    <x v="5"/>
    <s v="Drama"/>
    <s v="Sport"/>
    <m/>
    <m/>
    <m/>
    <m/>
    <m/>
  </r>
  <r>
    <x v="1033"/>
    <x v="18"/>
    <n v="48334413"/>
    <x v="1537"/>
    <x v="0"/>
    <s v="Canada"/>
    <n v="100000"/>
    <x v="5"/>
    <x v="10"/>
    <m/>
    <m/>
    <m/>
    <m/>
    <m/>
    <m/>
    <m/>
  </r>
  <r>
    <x v="1034"/>
    <x v="81"/>
    <n v="48334413"/>
    <x v="1538"/>
    <x v="0"/>
    <s v="USA"/>
    <n v="100000"/>
    <x v="58"/>
    <x v="4"/>
    <s v="Drama"/>
    <s v="Sci-Fi"/>
    <s v="Thriller"/>
    <m/>
    <m/>
    <m/>
    <m/>
  </r>
  <r>
    <x v="1035"/>
    <x v="94"/>
    <n v="48334413"/>
    <x v="1539"/>
    <x v="0"/>
    <s v="USA"/>
    <n v="100000"/>
    <x v="17"/>
    <x v="6"/>
    <s v="Documentary"/>
    <s v="Music"/>
    <m/>
    <m/>
    <m/>
    <m/>
    <m/>
  </r>
  <r>
    <x v="1036"/>
    <x v="86"/>
    <n v="48334413"/>
    <x v="1540"/>
    <x v="0"/>
    <s v="USA"/>
    <n v="100000"/>
    <x v="9"/>
    <x v="3"/>
    <m/>
    <m/>
    <m/>
    <m/>
    <m/>
    <m/>
    <m/>
  </r>
  <r>
    <x v="1037"/>
    <x v="42"/>
    <n v="48334413"/>
    <x v="1541"/>
    <x v="0"/>
    <s v="USA"/>
    <n v="75000"/>
    <x v="36"/>
    <x v="4"/>
    <s v="Sci-Fi"/>
    <s v="Thriller"/>
    <m/>
    <m/>
    <m/>
    <m/>
    <m/>
  </r>
  <r>
    <x v="1038"/>
    <x v="13"/>
    <n v="48334413"/>
    <x v="1542"/>
    <x v="0"/>
    <s v="USA"/>
    <n v="75000"/>
    <x v="38"/>
    <x v="3"/>
    <s v="Sci-Fi"/>
    <s v="Thriller"/>
    <m/>
    <m/>
    <m/>
    <m/>
    <m/>
  </r>
  <r>
    <x v="1039"/>
    <x v="42"/>
    <n v="48334413"/>
    <x v="1543"/>
    <x v="0"/>
    <s v="USA"/>
    <n v="70000"/>
    <x v="25"/>
    <x v="10"/>
    <m/>
    <m/>
    <m/>
    <m/>
    <m/>
    <m/>
    <m/>
  </r>
  <r>
    <x v="1040"/>
    <x v="54"/>
    <n v="48334413"/>
    <x v="1544"/>
    <x v="0"/>
    <s v="USA"/>
    <n v="70000"/>
    <x v="19"/>
    <x v="3"/>
    <s v="Horror"/>
    <s v="Mystery"/>
    <m/>
    <m/>
    <m/>
    <m/>
    <m/>
  </r>
  <r>
    <x v="1041"/>
    <x v="26"/>
    <n v="48334413"/>
    <x v="1545"/>
    <x v="0"/>
    <s v="USA"/>
    <n v="62000"/>
    <x v="30"/>
    <x v="1"/>
    <s v="Sci-Fi"/>
    <m/>
    <m/>
    <m/>
    <m/>
    <m/>
    <m/>
  </r>
  <r>
    <x v="1042"/>
    <x v="31"/>
    <n v="48334413"/>
    <x v="1546"/>
    <x v="0"/>
    <s v="USA"/>
    <n v="60000"/>
    <x v="43"/>
    <x v="5"/>
    <s v="Drama"/>
    <s v="Horror"/>
    <m/>
    <m/>
    <m/>
    <m/>
    <m/>
  </r>
  <r>
    <x v="1043"/>
    <x v="56"/>
    <n v="48334413"/>
    <x v="1547"/>
    <x v="0"/>
    <s v="USA"/>
    <n v="60000"/>
    <x v="18"/>
    <x v="1"/>
    <m/>
    <m/>
    <m/>
    <m/>
    <m/>
    <m/>
    <m/>
  </r>
  <r>
    <x v="1044"/>
    <x v="11"/>
    <n v="48334413"/>
    <x v="1548"/>
    <x v="0"/>
    <s v="USA"/>
    <n v="50000"/>
    <x v="27"/>
    <x v="10"/>
    <m/>
    <m/>
    <m/>
    <m/>
    <m/>
    <m/>
    <m/>
  </r>
  <r>
    <x v="1045"/>
    <x v="149"/>
    <n v="48334413"/>
    <x v="1549"/>
    <x v="0"/>
    <s v="USA"/>
    <n v="50000"/>
    <x v="4"/>
    <x v="8"/>
    <s v="Horror"/>
    <s v="Mystery"/>
    <s v="Thriller"/>
    <m/>
    <m/>
    <m/>
    <m/>
  </r>
  <r>
    <x v="1046"/>
    <x v="22"/>
    <n v="48334413"/>
    <x v="1550"/>
    <x v="0"/>
    <s v="USA"/>
    <n v="50000"/>
    <x v="12"/>
    <x v="10"/>
    <m/>
    <m/>
    <m/>
    <m/>
    <m/>
    <m/>
    <m/>
  </r>
  <r>
    <x v="1047"/>
    <x v="81"/>
    <n v="48334413"/>
    <x v="1551"/>
    <x v="0"/>
    <s v="USA"/>
    <n v="50000"/>
    <x v="7"/>
    <x v="6"/>
    <s v="Documentary"/>
    <m/>
    <m/>
    <m/>
    <m/>
    <m/>
    <m/>
  </r>
  <r>
    <x v="1048"/>
    <x v="86"/>
    <n v="48334413"/>
    <x v="1552"/>
    <x v="0"/>
    <s v="USA"/>
    <n v="50000"/>
    <x v="32"/>
    <x v="1"/>
    <s v="Thriller"/>
    <m/>
    <m/>
    <m/>
    <m/>
    <m/>
    <m/>
  </r>
  <r>
    <x v="1049"/>
    <x v="49"/>
    <n v="48334413"/>
    <x v="1553"/>
    <x v="0"/>
    <s v="USA"/>
    <n v="45000"/>
    <x v="3"/>
    <x v="0"/>
    <m/>
    <m/>
    <m/>
    <m/>
    <m/>
    <m/>
    <m/>
  </r>
  <r>
    <x v="1050"/>
    <x v="39"/>
    <n v="48334413"/>
    <x v="1554"/>
    <x v="0"/>
    <s v="USA"/>
    <n v="42000"/>
    <x v="24"/>
    <x v="3"/>
    <m/>
    <m/>
    <m/>
    <m/>
    <m/>
    <m/>
    <m/>
  </r>
  <r>
    <x v="1051"/>
    <x v="39"/>
    <n v="48334413"/>
    <x v="1555"/>
    <x v="0"/>
    <s v="USA"/>
    <n v="40000"/>
    <x v="59"/>
    <x v="1"/>
    <m/>
    <m/>
    <m/>
    <m/>
    <m/>
    <m/>
    <m/>
  </r>
  <r>
    <x v="1052"/>
    <x v="10"/>
    <n v="48334413"/>
    <x v="1556"/>
    <x v="0"/>
    <s v="USA"/>
    <n v="25000"/>
    <x v="46"/>
    <x v="5"/>
    <s v="Drama"/>
    <s v="Thriller"/>
    <m/>
    <m/>
    <m/>
    <m/>
    <m/>
  </r>
  <r>
    <x v="1053"/>
    <x v="124"/>
    <n v="48334413"/>
    <x v="1557"/>
    <x v="0"/>
    <s v="USA"/>
    <n v="24000"/>
    <x v="14"/>
    <x v="3"/>
    <s v="Family"/>
    <m/>
    <m/>
    <m/>
    <m/>
    <m/>
    <m/>
  </r>
  <r>
    <x v="1051"/>
    <x v="10"/>
    <n v="48334413"/>
    <x v="1558"/>
    <x v="0"/>
    <s v="USA"/>
    <n v="22000"/>
    <x v="68"/>
    <x v="0"/>
    <s v="Romance"/>
    <m/>
    <m/>
    <m/>
    <m/>
    <m/>
    <m/>
  </r>
  <r>
    <x v="740"/>
    <x v="56"/>
    <n v="48334413"/>
    <x v="1559"/>
    <x v="0"/>
    <s v="USA"/>
    <n v="20000"/>
    <x v="7"/>
    <x v="8"/>
    <s v="Horror"/>
    <s v="Sci-Fi"/>
    <m/>
    <m/>
    <m/>
    <m/>
    <m/>
  </r>
  <r>
    <x v="1054"/>
    <x v="68"/>
    <n v="48334413"/>
    <x v="1560"/>
    <x v="0"/>
    <s v="USA"/>
    <n v="20000"/>
    <x v="59"/>
    <x v="16"/>
    <m/>
    <m/>
    <m/>
    <m/>
    <m/>
    <m/>
    <m/>
  </r>
  <r>
    <x v="1055"/>
    <x v="35"/>
    <n v="48334413"/>
    <x v="1561"/>
    <x v="0"/>
    <s v="USA"/>
    <n v="20000"/>
    <x v="26"/>
    <x v="3"/>
    <m/>
    <m/>
    <m/>
    <m/>
    <m/>
    <m/>
    <m/>
  </r>
  <r>
    <x v="1056"/>
    <x v="73"/>
    <n v="48334413"/>
    <x v="1562"/>
    <x v="0"/>
    <s v="USA"/>
    <n v="20000"/>
    <x v="56"/>
    <x v="9"/>
    <s v="Thriller"/>
    <m/>
    <m/>
    <m/>
    <m/>
    <m/>
    <m/>
  </r>
  <r>
    <x v="1057"/>
    <x v="66"/>
    <n v="48334413"/>
    <x v="1563"/>
    <x v="0"/>
    <s v="USA"/>
    <n v="17350"/>
    <x v="71"/>
    <x v="3"/>
    <s v="Horror"/>
    <s v="Thriller"/>
    <m/>
    <m/>
    <m/>
    <m/>
    <m/>
  </r>
  <r>
    <x v="1058"/>
    <x v="99"/>
    <n v="48334413"/>
    <x v="1564"/>
    <x v="27"/>
    <s v="Kenya"/>
    <n v="15000"/>
    <x v="7"/>
    <x v="3"/>
    <m/>
    <m/>
    <m/>
    <m/>
    <m/>
    <m/>
    <m/>
  </r>
  <r>
    <x v="1059"/>
    <x v="112"/>
    <n v="48334413"/>
    <x v="1565"/>
    <x v="0"/>
    <s v="USA"/>
    <n v="13000"/>
    <x v="34"/>
    <x v="11"/>
    <s v="Short"/>
    <m/>
    <m/>
    <m/>
    <m/>
    <m/>
    <m/>
  </r>
  <r>
    <x v="1060"/>
    <x v="39"/>
    <n v="48334413"/>
    <x v="1566"/>
    <x v="0"/>
    <s v="Ireland"/>
    <n v="10000"/>
    <x v="15"/>
    <x v="1"/>
    <m/>
    <m/>
    <m/>
    <m/>
    <m/>
    <m/>
    <m/>
  </r>
  <r>
    <x v="1061"/>
    <x v="3"/>
    <n v="48334413"/>
    <x v="1567"/>
    <x v="0"/>
    <s v="USA"/>
    <n v="3250"/>
    <x v="22"/>
    <x v="5"/>
    <s v="Drama"/>
    <m/>
    <m/>
    <m/>
    <m/>
    <m/>
    <m/>
  </r>
  <r>
    <x v="1062"/>
    <x v="120"/>
    <n v="48334413"/>
    <x v="1568"/>
    <x v="0"/>
    <s v="USA"/>
    <n v="1400"/>
    <x v="2"/>
    <x v="3"/>
    <s v="Horror"/>
    <s v="Thriller"/>
    <m/>
    <m/>
    <m/>
    <m/>
    <m/>
  </r>
  <r>
    <x v="0"/>
    <x v="13"/>
    <n v="48291624"/>
    <x v="1569"/>
    <x v="0"/>
    <s v="USA"/>
    <n v="58000000"/>
    <x v="15"/>
    <x v="0"/>
    <s v="Fantasy"/>
    <s v="Romance"/>
    <m/>
    <m/>
    <m/>
    <m/>
    <m/>
  </r>
  <r>
    <x v="42"/>
    <x v="2"/>
    <n v="48265581"/>
    <x v="1570"/>
    <x v="0"/>
    <s v="USA"/>
    <n v="50000000"/>
    <x v="22"/>
    <x v="3"/>
    <s v="Mystery"/>
    <s v="Thriller"/>
    <m/>
    <m/>
    <m/>
    <m/>
    <m/>
  </r>
  <r>
    <x v="1063"/>
    <x v="0"/>
    <n v="48237389"/>
    <x v="1571"/>
    <x v="0"/>
    <s v="USA"/>
    <n v="25000000"/>
    <x v="3"/>
    <x v="0"/>
    <s v="Romance"/>
    <m/>
    <m/>
    <m/>
    <m/>
    <m/>
    <m/>
  </r>
  <r>
    <x v="117"/>
    <x v="150"/>
    <n v="48169908"/>
    <x v="1572"/>
    <x v="0"/>
    <s v="USA"/>
    <n v="33000000"/>
    <x v="5"/>
    <x v="6"/>
    <s v="Drama"/>
    <s v="History"/>
    <s v="Romance"/>
    <m/>
    <m/>
    <m/>
    <m/>
  </r>
  <r>
    <x v="182"/>
    <x v="65"/>
    <n v="48154732"/>
    <x v="1573"/>
    <x v="0"/>
    <s v="USA"/>
    <n v="50000000"/>
    <x v="19"/>
    <x v="4"/>
    <s v="Drama"/>
    <s v="War"/>
    <m/>
    <m/>
    <m/>
    <m/>
    <m/>
  </r>
  <r>
    <x v="1064"/>
    <x v="31"/>
    <n v="48114556"/>
    <x v="1574"/>
    <x v="0"/>
    <s v="USA"/>
    <n v="26000000"/>
    <x v="49"/>
    <x v="0"/>
    <s v="Family"/>
    <s v="Fantasy"/>
    <s v="Romance"/>
    <m/>
    <m/>
    <m/>
    <m/>
  </r>
  <r>
    <x v="325"/>
    <x v="151"/>
    <n v="48092846"/>
    <x v="1575"/>
    <x v="0"/>
    <s v="USA"/>
    <n v="12500000"/>
    <x v="4"/>
    <x v="2"/>
    <s v="Animation"/>
    <s v="Family"/>
    <m/>
    <m/>
    <m/>
    <m/>
    <m/>
  </r>
  <r>
    <x v="179"/>
    <x v="28"/>
    <n v="48056940"/>
    <x v="1576"/>
    <x v="0"/>
    <s v="USA"/>
    <n v="3000000"/>
    <x v="9"/>
    <x v="1"/>
    <s v="Mystery"/>
    <m/>
    <m/>
    <m/>
    <m/>
    <m/>
    <m/>
  </r>
  <r>
    <x v="1065"/>
    <x v="24"/>
    <n v="48043505"/>
    <x v="1577"/>
    <x v="0"/>
    <s v="UK"/>
    <n v="30000000"/>
    <x v="5"/>
    <x v="4"/>
    <s v="Comedy"/>
    <m/>
    <m/>
    <m/>
    <m/>
    <m/>
    <m/>
  </r>
  <r>
    <x v="1066"/>
    <x v="49"/>
    <n v="48006503"/>
    <x v="1578"/>
    <x v="0"/>
    <s v="USA"/>
    <n v="37000000"/>
    <x v="27"/>
    <x v="2"/>
    <s v="Comedy"/>
    <s v="Family"/>
    <s v="Fantasy"/>
    <m/>
    <m/>
    <m/>
    <m/>
  </r>
  <r>
    <x v="1067"/>
    <x v="98"/>
    <n v="47887943"/>
    <x v="1579"/>
    <x v="0"/>
    <s v="USA"/>
    <n v="20000000"/>
    <x v="18"/>
    <x v="2"/>
    <s v="Animation"/>
    <s v="Family"/>
    <s v="Musical"/>
    <m/>
    <m/>
    <m/>
    <m/>
  </r>
  <r>
    <x v="56"/>
    <x v="54"/>
    <n v="47860214"/>
    <x v="1580"/>
    <x v="0"/>
    <s v="USA"/>
    <n v="15000000"/>
    <x v="38"/>
    <x v="1"/>
    <s v="Thriller"/>
    <m/>
    <m/>
    <m/>
    <m/>
    <m/>
    <m/>
  </r>
  <r>
    <x v="1068"/>
    <x v="49"/>
    <n v="47852604"/>
    <x v="1581"/>
    <x v="0"/>
    <s v="USA"/>
    <n v="20000000"/>
    <x v="1"/>
    <x v="3"/>
    <s v="Mystery"/>
    <s v="Thriller"/>
    <m/>
    <m/>
    <m/>
    <m/>
    <m/>
  </r>
  <r>
    <x v="68"/>
    <x v="60"/>
    <n v="47811275"/>
    <x v="1582"/>
    <x v="0"/>
    <s v="USA"/>
    <n v="15000000"/>
    <x v="18"/>
    <x v="2"/>
    <s v="Comedy"/>
    <s v="Family"/>
    <m/>
    <m/>
    <m/>
    <m/>
    <m/>
  </r>
  <r>
    <x v="426"/>
    <x v="44"/>
    <n v="47806295"/>
    <x v="1583"/>
    <x v="0"/>
    <s v="USA"/>
    <n v="43000000"/>
    <x v="20"/>
    <x v="1"/>
    <s v="Mystery"/>
    <s v="Thriller"/>
    <m/>
    <m/>
    <m/>
    <m/>
    <m/>
  </r>
  <r>
    <x v="1069"/>
    <x v="49"/>
    <n v="47781388"/>
    <x v="1584"/>
    <x v="0"/>
    <s v="USA"/>
    <n v="40000000"/>
    <x v="24"/>
    <x v="12"/>
    <s v="Thriller"/>
    <m/>
    <m/>
    <m/>
    <m/>
    <m/>
    <m/>
  </r>
  <r>
    <x v="1070"/>
    <x v="12"/>
    <n v="47748610"/>
    <x v="1585"/>
    <x v="0"/>
    <s v="USA"/>
    <n v="75000000"/>
    <x v="2"/>
    <x v="4"/>
    <s v="Horror"/>
    <s v="Sci-Fi"/>
    <m/>
    <m/>
    <m/>
    <m/>
    <m/>
  </r>
  <r>
    <x v="1071"/>
    <x v="44"/>
    <n v="47592825"/>
    <x v="1586"/>
    <x v="0"/>
    <s v="USA"/>
    <n v="85000000"/>
    <x v="15"/>
    <x v="4"/>
    <s v="Adventure"/>
    <s v="Comedy"/>
    <s v="Thriller"/>
    <m/>
    <m/>
    <m/>
    <m/>
  </r>
  <r>
    <x v="1072"/>
    <x v="56"/>
    <n v="47553512"/>
    <x v="1587"/>
    <x v="0"/>
    <s v="USA"/>
    <n v="50000000"/>
    <x v="19"/>
    <x v="4"/>
    <s v="Thriller"/>
    <m/>
    <m/>
    <m/>
    <m/>
    <m/>
    <m/>
  </r>
  <r>
    <x v="1073"/>
    <x v="17"/>
    <n v="47536959"/>
    <x v="1588"/>
    <x v="0"/>
    <s v="USA"/>
    <n v="10000000"/>
    <x v="4"/>
    <x v="3"/>
    <m/>
    <m/>
    <m/>
    <m/>
    <m/>
    <m/>
    <m/>
  </r>
  <r>
    <x v="1073"/>
    <x v="17"/>
    <n v="47536959"/>
    <x v="1588"/>
    <x v="0"/>
    <s v="USA"/>
    <n v="10000000"/>
    <x v="4"/>
    <x v="3"/>
    <m/>
    <m/>
    <m/>
    <m/>
    <m/>
    <m/>
    <m/>
  </r>
  <r>
    <x v="1074"/>
    <x v="44"/>
    <n v="47474112"/>
    <x v="1589"/>
    <x v="0"/>
    <s v="USA"/>
    <n v="90000000"/>
    <x v="18"/>
    <x v="4"/>
    <s v="Drama"/>
    <s v="Sci-Fi"/>
    <s v="Thriller"/>
    <m/>
    <m/>
    <m/>
    <m/>
  </r>
  <r>
    <x v="1071"/>
    <x v="28"/>
    <n v="47456450"/>
    <x v="1590"/>
    <x v="0"/>
    <s v="USA"/>
    <n v="70000000"/>
    <x v="6"/>
    <x v="4"/>
    <s v="Drama"/>
    <s v="Thriller"/>
    <m/>
    <m/>
    <m/>
    <m/>
    <m/>
  </r>
  <r>
    <x v="72"/>
    <x v="152"/>
    <n v="47379090"/>
    <x v="1591"/>
    <x v="0"/>
    <s v="France"/>
    <n v="70000000"/>
    <x v="17"/>
    <x v="3"/>
    <s v="History"/>
    <s v="Thriller"/>
    <m/>
    <m/>
    <m/>
    <m/>
    <m/>
  </r>
  <r>
    <x v="205"/>
    <x v="38"/>
    <n v="47307550"/>
    <x v="1592"/>
    <x v="0"/>
    <s v="USA"/>
    <n v="45000000"/>
    <x v="20"/>
    <x v="5"/>
    <s v="Drama"/>
    <s v="Thriller"/>
    <m/>
    <m/>
    <m/>
    <m/>
    <m/>
  </r>
  <r>
    <x v="1075"/>
    <x v="30"/>
    <n v="47285499"/>
    <x v="1593"/>
    <x v="0"/>
    <s v="USA"/>
    <n v="26000000"/>
    <x v="38"/>
    <x v="4"/>
    <s v="Adventure"/>
    <s v="Comedy"/>
    <s v="Crime"/>
    <s v="Family"/>
    <s v="Romance"/>
    <s v="Thriller"/>
    <m/>
  </r>
  <r>
    <x v="1076"/>
    <x v="31"/>
    <n v="47277326"/>
    <x v="1594"/>
    <x v="0"/>
    <s v="USA"/>
    <n v="4800000"/>
    <x v="1"/>
    <x v="1"/>
    <m/>
    <m/>
    <m/>
    <m/>
    <m/>
    <m/>
    <m/>
  </r>
  <r>
    <x v="314"/>
    <x v="0"/>
    <n v="47124400"/>
    <x v="1595"/>
    <x v="0"/>
    <s v="USA"/>
    <n v="25000000"/>
    <x v="24"/>
    <x v="0"/>
    <s v="Family"/>
    <s v="Fantasy"/>
    <m/>
    <m/>
    <m/>
    <m/>
    <m/>
  </r>
  <r>
    <x v="302"/>
    <x v="38"/>
    <n v="47105085"/>
    <x v="1596"/>
    <x v="0"/>
    <s v="USA"/>
    <n v="50000000"/>
    <x v="7"/>
    <x v="5"/>
    <s v="Drama"/>
    <m/>
    <m/>
    <m/>
    <m/>
    <m/>
    <m/>
  </r>
  <r>
    <x v="378"/>
    <x v="21"/>
    <n v="47095453"/>
    <x v="1597"/>
    <x v="0"/>
    <s v="USA"/>
    <n v="48000000"/>
    <x v="16"/>
    <x v="0"/>
    <s v="Fantasy"/>
    <s v="Romance"/>
    <m/>
    <m/>
    <m/>
    <m/>
    <m/>
  </r>
  <r>
    <x v="54"/>
    <x v="16"/>
    <n v="47034272"/>
    <x v="1598"/>
    <x v="0"/>
    <s v="USA"/>
    <n v="40000000"/>
    <x v="26"/>
    <x v="6"/>
    <s v="Drama"/>
    <s v="Music"/>
    <s v="Musical"/>
    <m/>
    <m/>
    <m/>
    <m/>
  </r>
  <r>
    <x v="76"/>
    <x v="41"/>
    <n v="47000485"/>
    <x v="1599"/>
    <x v="0"/>
    <s v="USA"/>
    <n v="75000000"/>
    <x v="18"/>
    <x v="4"/>
    <s v="Comedy"/>
    <s v="Romance"/>
    <s v="Thriller"/>
    <m/>
    <m/>
    <m/>
    <m/>
  </r>
  <r>
    <x v="1077"/>
    <x v="43"/>
    <n v="47000000"/>
    <x v="1600"/>
    <x v="0"/>
    <s v="USA"/>
    <n v="300000"/>
    <x v="12"/>
    <x v="1"/>
    <s v="Thriller"/>
    <m/>
    <m/>
    <m/>
    <m/>
    <m/>
    <m/>
  </r>
  <r>
    <x v="1077"/>
    <x v="43"/>
    <n v="47000000"/>
    <x v="1600"/>
    <x v="0"/>
    <s v="USA"/>
    <n v="300000"/>
    <x v="12"/>
    <x v="1"/>
    <s v="Thriller"/>
    <m/>
    <m/>
    <m/>
    <m/>
    <m/>
    <m/>
  </r>
  <r>
    <x v="1078"/>
    <x v="33"/>
    <n v="46982632"/>
    <x v="1601"/>
    <x v="0"/>
    <s v="Canada"/>
    <n v="50000000"/>
    <x v="24"/>
    <x v="2"/>
    <s v="Horror"/>
    <s v="Mystery"/>
    <m/>
    <m/>
    <m/>
    <m/>
    <m/>
  </r>
  <r>
    <x v="51"/>
    <x v="55"/>
    <n v="46975183"/>
    <x v="1602"/>
    <x v="0"/>
    <s v="USA"/>
    <n v="61000000"/>
    <x v="11"/>
    <x v="4"/>
    <s v="Crime"/>
    <s v="Drama"/>
    <s v="Mystery"/>
    <s v="Thriller"/>
    <m/>
    <m/>
    <m/>
  </r>
  <r>
    <x v="300"/>
    <x v="64"/>
    <n v="46875468"/>
    <x v="1603"/>
    <x v="0"/>
    <s v="USA"/>
    <n v="30000000"/>
    <x v="17"/>
    <x v="4"/>
    <s v="Crime"/>
    <s v="Drama"/>
    <s v="Mystery"/>
    <s v="Thriller"/>
    <m/>
    <m/>
    <m/>
  </r>
  <r>
    <x v="180"/>
    <x v="70"/>
    <n v="46836394"/>
    <x v="1604"/>
    <x v="0"/>
    <s v="USA"/>
    <n v="25000000"/>
    <x v="54"/>
    <x v="6"/>
    <s v="Crime"/>
    <s v="Drama"/>
    <m/>
    <m/>
    <m/>
    <m/>
    <m/>
  </r>
  <r>
    <x v="275"/>
    <x v="11"/>
    <n v="46815748"/>
    <x v="1605"/>
    <x v="0"/>
    <s v="USA"/>
    <n v="45000000"/>
    <x v="2"/>
    <x v="4"/>
    <s v="Adventure"/>
    <s v="Crime"/>
    <s v="Thriller"/>
    <m/>
    <m/>
    <m/>
    <m/>
  </r>
  <r>
    <x v="1079"/>
    <x v="28"/>
    <n v="46813366"/>
    <x v="1606"/>
    <x v="0"/>
    <s v="USA"/>
    <n v="38000000"/>
    <x v="0"/>
    <x v="0"/>
    <s v="Romance"/>
    <m/>
    <m/>
    <m/>
    <m/>
    <m/>
    <m/>
  </r>
  <r>
    <x v="290"/>
    <x v="21"/>
    <n v="46800000"/>
    <x v="1607"/>
    <x v="0"/>
    <s v="UK"/>
    <n v="14000000"/>
    <x v="6"/>
    <x v="4"/>
    <s v="Adventure"/>
    <s v="Sci-Fi"/>
    <s v="Thriller"/>
    <m/>
    <m/>
    <m/>
    <m/>
  </r>
  <r>
    <x v="1080"/>
    <x v="39"/>
    <n v="46729374"/>
    <x v="1608"/>
    <x v="0"/>
    <s v="USA"/>
    <n v="13000000"/>
    <x v="3"/>
    <x v="0"/>
    <s v="Mystery"/>
    <m/>
    <m/>
    <m/>
    <m/>
    <m/>
    <m/>
  </r>
  <r>
    <x v="54"/>
    <x v="52"/>
    <n v="46700000"/>
    <x v="1609"/>
    <x v="0"/>
    <s v="USA"/>
    <n v="21000000"/>
    <x v="1"/>
    <x v="4"/>
    <s v="Adventure"/>
    <s v="Thriller"/>
    <m/>
    <m/>
    <m/>
    <m/>
    <m/>
  </r>
  <r>
    <x v="1081"/>
    <x v="44"/>
    <n v="46611204"/>
    <x v="1610"/>
    <x v="0"/>
    <s v="USA"/>
    <n v="48000000"/>
    <x v="0"/>
    <x v="0"/>
    <s v="Drama"/>
    <s v="Fantasy"/>
    <s v="Romance"/>
    <m/>
    <m/>
    <m/>
    <m/>
  </r>
  <r>
    <x v="9"/>
    <x v="81"/>
    <n v="46563158"/>
    <x v="1611"/>
    <x v="0"/>
    <s v="USA"/>
    <n v="13000000"/>
    <x v="6"/>
    <x v="5"/>
    <s v="Thriller"/>
    <m/>
    <m/>
    <m/>
    <m/>
    <m/>
    <m/>
  </r>
  <r>
    <x v="267"/>
    <x v="10"/>
    <n v="46455802"/>
    <x v="1612"/>
    <x v="0"/>
    <s v="USA"/>
    <n v="26000000"/>
    <x v="8"/>
    <x v="1"/>
    <s v="Thriller"/>
    <m/>
    <m/>
    <m/>
    <m/>
    <m/>
    <m/>
  </r>
  <r>
    <x v="65"/>
    <x v="55"/>
    <n v="46377022"/>
    <x v="1613"/>
    <x v="0"/>
    <s v="UK"/>
    <n v="10000000"/>
    <x v="4"/>
    <x v="0"/>
    <s v="Drama"/>
    <m/>
    <m/>
    <m/>
    <m/>
    <m/>
    <m/>
  </r>
  <r>
    <x v="1082"/>
    <x v="56"/>
    <n v="46363118"/>
    <x v="1614"/>
    <x v="0"/>
    <s v="USA"/>
    <n v="20000000"/>
    <x v="30"/>
    <x v="3"/>
    <s v="Horror"/>
    <s v="Mystery"/>
    <s v="Thriller"/>
    <m/>
    <m/>
    <m/>
    <m/>
  </r>
  <r>
    <x v="331"/>
    <x v="35"/>
    <n v="46338728"/>
    <x v="1615"/>
    <x v="0"/>
    <s v="USA"/>
    <n v="14500000"/>
    <x v="9"/>
    <x v="3"/>
    <s v="Romance"/>
    <m/>
    <m/>
    <m/>
    <m/>
    <m/>
    <m/>
  </r>
  <r>
    <x v="804"/>
    <x v="136"/>
    <n v="46300000"/>
    <x v="1616"/>
    <x v="0"/>
    <s v="USA"/>
    <n v="9400000"/>
    <x v="17"/>
    <x v="4"/>
    <s v="Adventure"/>
    <s v="Comedy"/>
    <s v="Crime"/>
    <m/>
    <m/>
    <m/>
    <m/>
  </r>
  <r>
    <x v="163"/>
    <x v="24"/>
    <n v="46280507"/>
    <x v="1617"/>
    <x v="0"/>
    <s v="USA"/>
    <n v="40000000"/>
    <x v="20"/>
    <x v="0"/>
    <s v="Romance"/>
    <m/>
    <m/>
    <m/>
    <m/>
    <m/>
    <m/>
  </r>
  <r>
    <x v="1083"/>
    <x v="43"/>
    <n v="46012734"/>
    <x v="1618"/>
    <x v="0"/>
    <s v="USA"/>
    <n v="40000000"/>
    <x v="19"/>
    <x v="0"/>
    <s v="Romance"/>
    <m/>
    <m/>
    <m/>
    <m/>
    <m/>
    <m/>
  </r>
  <r>
    <x v="203"/>
    <x v="8"/>
    <n v="45996718"/>
    <x v="1619"/>
    <x v="0"/>
    <s v="USA"/>
    <n v="60000000"/>
    <x v="15"/>
    <x v="4"/>
    <s v="Crime"/>
    <s v="Drama"/>
    <s v="Thriller"/>
    <m/>
    <m/>
    <m/>
    <m/>
  </r>
  <r>
    <x v="1084"/>
    <x v="89"/>
    <n v="45860039"/>
    <x v="1620"/>
    <x v="0"/>
    <s v="USA"/>
    <n v="56000000"/>
    <x v="8"/>
    <x v="4"/>
    <s v="Crime"/>
    <m/>
    <m/>
    <m/>
    <m/>
    <m/>
    <m/>
  </r>
  <r>
    <x v="1085"/>
    <x v="50"/>
    <n v="45857453"/>
    <x v="1621"/>
    <x v="0"/>
    <s v="UK"/>
    <n v="3500000"/>
    <x v="11"/>
    <x v="0"/>
    <s v="Drama"/>
    <s v="Music"/>
    <m/>
    <m/>
    <m/>
    <m/>
    <m/>
  </r>
  <r>
    <x v="150"/>
    <x v="74"/>
    <n v="45856732"/>
    <x v="1622"/>
    <x v="0"/>
    <s v="USA"/>
    <n v="40000000"/>
    <x v="6"/>
    <x v="5"/>
    <s v="Drama"/>
    <s v="Thriller"/>
    <m/>
    <m/>
    <m/>
    <m/>
    <m/>
  </r>
  <r>
    <x v="1086"/>
    <x v="22"/>
    <n v="45802315"/>
    <x v="1623"/>
    <x v="0"/>
    <s v="USA"/>
    <n v="35000000"/>
    <x v="24"/>
    <x v="4"/>
    <s v="Adventure"/>
    <s v="Fantasy"/>
    <s v="Sci-Fi"/>
    <s v="Thriller"/>
    <m/>
    <m/>
    <m/>
  </r>
  <r>
    <x v="1087"/>
    <x v="10"/>
    <n v="45670855"/>
    <x v="1624"/>
    <x v="0"/>
    <s v="Canada"/>
    <n v="20000000"/>
    <x v="37"/>
    <x v="1"/>
    <s v="Mystery"/>
    <m/>
    <m/>
    <m/>
    <m/>
    <m/>
    <m/>
  </r>
  <r>
    <x v="182"/>
    <x v="65"/>
    <n v="45645204"/>
    <x v="1625"/>
    <x v="0"/>
    <s v="USA"/>
    <n v="30000000"/>
    <x v="24"/>
    <x v="4"/>
    <s v="Crime"/>
    <s v="Thriller"/>
    <m/>
    <m/>
    <m/>
    <m/>
    <m/>
  </r>
  <r>
    <x v="1088"/>
    <x v="94"/>
    <n v="45542421"/>
    <x v="1626"/>
    <x v="0"/>
    <s v="USA"/>
    <n v="30000000"/>
    <x v="2"/>
    <x v="7"/>
    <s v="Comedy"/>
    <s v="Drama"/>
    <s v="Family"/>
    <s v="Musical"/>
    <m/>
    <m/>
    <m/>
  </r>
  <r>
    <x v="316"/>
    <x v="20"/>
    <n v="45507053"/>
    <x v="1627"/>
    <x v="0"/>
    <s v="USA"/>
    <n v="16000000"/>
    <x v="22"/>
    <x v="2"/>
    <s v="Comedy"/>
    <s v="Drama"/>
    <s v="Romance"/>
    <m/>
    <m/>
    <m/>
    <m/>
  </r>
  <r>
    <x v="1089"/>
    <x v="34"/>
    <n v="45506619"/>
    <x v="1628"/>
    <x v="0"/>
    <s v="UK"/>
    <n v="26000000"/>
    <x v="22"/>
    <x v="2"/>
    <s v="Comedy"/>
    <s v="Crime"/>
    <s v="Music"/>
    <m/>
    <m/>
    <m/>
    <m/>
  </r>
  <r>
    <x v="66"/>
    <x v="40"/>
    <n v="45500797"/>
    <x v="1629"/>
    <x v="0"/>
    <s v="USA"/>
    <n v="40000000"/>
    <x v="27"/>
    <x v="2"/>
    <s v="Drama"/>
    <s v="Romance"/>
    <m/>
    <m/>
    <m/>
    <m/>
    <m/>
  </r>
  <r>
    <x v="48"/>
    <x v="17"/>
    <n v="45489752"/>
    <x v="1630"/>
    <x v="0"/>
    <s v="USA"/>
    <n v="26000000"/>
    <x v="20"/>
    <x v="0"/>
    <s v="Drama"/>
    <s v="Romance"/>
    <m/>
    <m/>
    <m/>
    <m/>
    <m/>
  </r>
  <r>
    <x v="1090"/>
    <x v="12"/>
    <n v="45434443"/>
    <x v="1631"/>
    <x v="0"/>
    <s v="USA"/>
    <n v="75000000"/>
    <x v="4"/>
    <x v="4"/>
    <s v="Adventure"/>
    <s v="Comedy"/>
    <m/>
    <m/>
    <m/>
    <m/>
    <m/>
  </r>
  <r>
    <x v="23"/>
    <x v="2"/>
    <n v="45356386"/>
    <x v="1632"/>
    <x v="16"/>
    <s v="USA"/>
    <n v="75000000"/>
    <x v="1"/>
    <x v="4"/>
    <s v="Adventure"/>
    <s v="Western"/>
    <m/>
    <m/>
    <m/>
    <m/>
    <m/>
  </r>
  <r>
    <x v="163"/>
    <x v="51"/>
    <n v="45290318"/>
    <x v="1633"/>
    <x v="0"/>
    <s v="USA"/>
    <n v="42000000"/>
    <x v="20"/>
    <x v="4"/>
    <s v="Comedy"/>
    <s v="Sport"/>
    <m/>
    <m/>
    <m/>
    <m/>
    <m/>
  </r>
  <r>
    <x v="322"/>
    <x v="56"/>
    <n v="45207112"/>
    <x v="1634"/>
    <x v="0"/>
    <s v="USA"/>
    <n v="53000000"/>
    <x v="3"/>
    <x v="5"/>
    <s v="Mystery"/>
    <s v="Thriller"/>
    <m/>
    <m/>
    <m/>
    <m/>
    <m/>
  </r>
  <r>
    <x v="305"/>
    <x v="10"/>
    <n v="45162741"/>
    <x v="1635"/>
    <x v="0"/>
    <s v="Germany"/>
    <n v="28000000"/>
    <x v="24"/>
    <x v="0"/>
    <m/>
    <m/>
    <m/>
    <m/>
    <m/>
    <m/>
    <m/>
  </r>
  <r>
    <x v="144"/>
    <x v="0"/>
    <n v="45089048"/>
    <x v="1636"/>
    <x v="0"/>
    <s v="South Africa"/>
    <n v="25000000"/>
    <x v="20"/>
    <x v="3"/>
    <s v="Romance"/>
    <s v="Sci-Fi"/>
    <m/>
    <m/>
    <m/>
    <m/>
    <m/>
  </r>
  <r>
    <x v="1091"/>
    <x v="8"/>
    <n v="45063889"/>
    <x v="1637"/>
    <x v="0"/>
    <s v="UK"/>
    <n v="8000000"/>
    <x v="17"/>
    <x v="3"/>
    <s v="Horror"/>
    <s v="Sci-Fi"/>
    <s v="Thriller"/>
    <m/>
    <m/>
    <m/>
    <m/>
  </r>
  <r>
    <x v="105"/>
    <x v="11"/>
    <n v="45045037"/>
    <x v="1638"/>
    <x v="0"/>
    <s v="USA"/>
    <n v="36000000"/>
    <x v="1"/>
    <x v="0"/>
    <s v="Romance"/>
    <m/>
    <m/>
    <m/>
    <m/>
    <m/>
    <m/>
  </r>
  <r>
    <x v="1092"/>
    <x v="15"/>
    <n v="44988180"/>
    <x v="1639"/>
    <x v="0"/>
    <s v="USA"/>
    <n v="20000000"/>
    <x v="23"/>
    <x v="6"/>
    <s v="Crime"/>
    <s v="Drama"/>
    <s v="History"/>
    <m/>
    <m/>
    <m/>
    <m/>
  </r>
  <r>
    <x v="1093"/>
    <x v="36"/>
    <n v="44983704"/>
    <x v="1640"/>
    <x v="0"/>
    <s v="USA"/>
    <n v="31000000"/>
    <x v="4"/>
    <x v="5"/>
    <s v="Drama"/>
    <s v="Mystery"/>
    <s v="Sci-Fi"/>
    <s v="Thriller"/>
    <m/>
    <m/>
    <m/>
  </r>
  <r>
    <x v="378"/>
    <x v="35"/>
    <n v="44886089"/>
    <x v="1641"/>
    <x v="0"/>
    <s v="USA"/>
    <n v="10000000"/>
    <x v="26"/>
    <x v="5"/>
    <s v="Drama"/>
    <s v="Thriller"/>
    <m/>
    <m/>
    <m/>
    <m/>
    <m/>
  </r>
  <r>
    <x v="754"/>
    <x v="34"/>
    <n v="44867349"/>
    <x v="1642"/>
    <x v="0"/>
    <s v="USA"/>
    <n v="37000000"/>
    <x v="37"/>
    <x v="4"/>
    <s v="Comedy"/>
    <s v="Crime"/>
    <m/>
    <m/>
    <m/>
    <m/>
    <m/>
  </r>
  <r>
    <x v="1094"/>
    <x v="36"/>
    <n v="44834712"/>
    <x v="1643"/>
    <x v="0"/>
    <s v="USA"/>
    <n v="44000000"/>
    <x v="37"/>
    <x v="3"/>
    <s v="Thriller"/>
    <m/>
    <m/>
    <m/>
    <m/>
    <m/>
    <m/>
  </r>
  <r>
    <x v="112"/>
    <x v="60"/>
    <n v="44793200"/>
    <x v="1644"/>
    <x v="0"/>
    <s v="USA"/>
    <n v="4500000"/>
    <x v="24"/>
    <x v="4"/>
    <s v="Fantasy"/>
    <s v="Horror"/>
    <s v="Thriller"/>
    <m/>
    <m/>
    <m/>
    <m/>
  </r>
  <r>
    <x v="1095"/>
    <x v="36"/>
    <n v="44737059"/>
    <x v="1645"/>
    <x v="0"/>
    <s v="USA"/>
    <n v="50000000"/>
    <x v="20"/>
    <x v="0"/>
    <s v="Sport"/>
    <m/>
    <m/>
    <m/>
    <m/>
    <m/>
    <m/>
  </r>
  <r>
    <x v="1096"/>
    <x v="34"/>
    <n v="44726644"/>
    <x v="1646"/>
    <x v="0"/>
    <s v="USA"/>
    <n v="13000000"/>
    <x v="9"/>
    <x v="4"/>
    <s v="Crime"/>
    <s v="Drama"/>
    <s v="Thriller"/>
    <s v="Western"/>
    <m/>
    <m/>
    <m/>
  </r>
  <r>
    <x v="193"/>
    <x v="78"/>
    <n v="44700000"/>
    <x v="1647"/>
    <x v="0"/>
    <s v="USA"/>
    <n v="25000000"/>
    <x v="25"/>
    <x v="5"/>
    <s v="Drama"/>
    <m/>
    <m/>
    <m/>
    <m/>
    <m/>
    <m/>
  </r>
  <r>
    <x v="1097"/>
    <x v="41"/>
    <n v="44667095"/>
    <x v="1648"/>
    <x v="0"/>
    <s v="France"/>
    <n v="15000000"/>
    <x v="13"/>
    <x v="0"/>
    <s v="Drama"/>
    <s v="Romance"/>
    <m/>
    <m/>
    <m/>
    <m/>
    <m/>
  </r>
  <r>
    <x v="68"/>
    <x v="65"/>
    <n v="44665963"/>
    <x v="1649"/>
    <x v="0"/>
    <s v="USA"/>
    <n v="58000000"/>
    <x v="2"/>
    <x v="0"/>
    <m/>
    <m/>
    <m/>
    <m/>
    <m/>
    <m/>
    <m/>
  </r>
  <r>
    <x v="1098"/>
    <x v="14"/>
    <n v="44606335"/>
    <x v="1650"/>
    <x v="0"/>
    <s v="USA"/>
    <n v="90000000"/>
    <x v="6"/>
    <x v="3"/>
    <s v="Fantasy"/>
    <s v="Romance"/>
    <m/>
    <m/>
    <m/>
    <m/>
    <m/>
  </r>
  <r>
    <x v="1099"/>
    <x v="43"/>
    <n v="44566004"/>
    <x v="1651"/>
    <x v="0"/>
    <s v="USA"/>
    <n v="4000000"/>
    <x v="22"/>
    <x v="3"/>
    <m/>
    <m/>
    <m/>
    <m/>
    <m/>
    <m/>
    <m/>
  </r>
  <r>
    <x v="167"/>
    <x v="22"/>
    <n v="44540956"/>
    <x v="1652"/>
    <x v="0"/>
    <s v="USA"/>
    <n v="400000"/>
    <x v="26"/>
    <x v="0"/>
    <m/>
    <m/>
    <m/>
    <m/>
    <m/>
    <m/>
    <m/>
  </r>
  <r>
    <x v="25"/>
    <x v="69"/>
    <n v="44484065"/>
    <x v="1653"/>
    <x v="0"/>
    <s v="Germany"/>
    <n v="50000000"/>
    <x v="4"/>
    <x v="4"/>
    <s v="Crime"/>
    <s v="Drama"/>
    <s v="Mystery"/>
    <s v="Thriller"/>
    <m/>
    <m/>
    <m/>
  </r>
  <r>
    <x v="1100"/>
    <x v="2"/>
    <n v="44469602"/>
    <x v="1654"/>
    <x v="0"/>
    <s v="USA"/>
    <n v="17000000"/>
    <x v="7"/>
    <x v="6"/>
    <s v="Drama"/>
    <s v="Sport"/>
    <m/>
    <m/>
    <m/>
    <m/>
    <m/>
  </r>
  <r>
    <x v="1101"/>
    <x v="61"/>
    <n v="44456509"/>
    <x v="1655"/>
    <x v="16"/>
    <s v="Mexico"/>
    <n v="5000000"/>
    <x v="17"/>
    <x v="0"/>
    <s v="Drama"/>
    <m/>
    <m/>
    <m/>
    <m/>
    <m/>
    <m/>
  </r>
  <r>
    <x v="10"/>
    <x v="1"/>
    <n v="44455658"/>
    <x v="1656"/>
    <x v="0"/>
    <s v="USA"/>
    <n v="25000000"/>
    <x v="15"/>
    <x v="4"/>
    <s v="Adventure"/>
    <s v="Comedy"/>
    <s v="Crime"/>
    <m/>
    <m/>
    <m/>
    <m/>
  </r>
  <r>
    <x v="259"/>
    <x v="4"/>
    <n v="44450000"/>
    <x v="1657"/>
    <x v="0"/>
    <s v="Canada"/>
    <n v="27000000"/>
    <x v="19"/>
    <x v="4"/>
    <s v="Crime"/>
    <s v="Sci-Fi"/>
    <s v="Thriller"/>
    <m/>
    <m/>
    <m/>
    <m/>
  </r>
  <r>
    <x v="105"/>
    <x v="22"/>
    <n v="44328238"/>
    <x v="1658"/>
    <x v="0"/>
    <s v="USA"/>
    <n v="39751583.5"/>
    <x v="33"/>
    <x v="0"/>
    <m/>
    <m/>
    <m/>
    <m/>
    <m/>
    <m/>
    <m/>
  </r>
  <r>
    <x v="72"/>
    <x v="67"/>
    <n v="44175394"/>
    <x v="1659"/>
    <x v="0"/>
    <s v="USA"/>
    <n v="36000000"/>
    <x v="11"/>
    <x v="3"/>
    <s v="History"/>
    <m/>
    <m/>
    <m/>
    <m/>
    <m/>
    <m/>
  </r>
  <r>
    <x v="1102"/>
    <x v="30"/>
    <n v="44134898"/>
    <x v="1660"/>
    <x v="0"/>
    <s v="USA"/>
    <n v="13000000"/>
    <x v="4"/>
    <x v="0"/>
    <s v="Drama"/>
    <m/>
    <m/>
    <m/>
    <m/>
    <m/>
    <m/>
  </r>
  <r>
    <x v="1103"/>
    <x v="5"/>
    <n v="44087387"/>
    <x v="1661"/>
    <x v="0"/>
    <s v="USA"/>
    <n v="39751583.5"/>
    <x v="8"/>
    <x v="0"/>
    <s v="Drama"/>
    <s v="Family"/>
    <s v="Romance"/>
    <m/>
    <m/>
    <m/>
    <m/>
  </r>
  <r>
    <x v="954"/>
    <x v="153"/>
    <n v="43984230"/>
    <x v="1662"/>
    <x v="0"/>
    <s v="China"/>
    <n v="23000000"/>
    <x v="22"/>
    <x v="6"/>
    <s v="Drama"/>
    <s v="History"/>
    <m/>
    <m/>
    <m/>
    <m/>
    <m/>
  </r>
  <r>
    <x v="1104"/>
    <x v="74"/>
    <n v="43982842"/>
    <x v="1663"/>
    <x v="0"/>
    <s v="USA"/>
    <n v="65000000"/>
    <x v="15"/>
    <x v="3"/>
    <s v="Fantasy"/>
    <s v="Thriller"/>
    <m/>
    <m/>
    <m/>
    <m/>
    <m/>
  </r>
  <r>
    <x v="1104"/>
    <x v="74"/>
    <n v="43982842"/>
    <x v="1663"/>
    <x v="0"/>
    <s v="USA"/>
    <n v="65000000"/>
    <x v="15"/>
    <x v="3"/>
    <s v="Fantasy"/>
    <s v="Thriller"/>
    <m/>
    <m/>
    <m/>
    <m/>
    <m/>
  </r>
  <r>
    <x v="372"/>
    <x v="63"/>
    <n v="43905746"/>
    <x v="1664"/>
    <x v="0"/>
    <s v="USA"/>
    <n v="49000000"/>
    <x v="1"/>
    <x v="4"/>
    <s v="Sci-Fi"/>
    <s v="Thriller"/>
    <m/>
    <m/>
    <m/>
    <m/>
    <m/>
  </r>
  <r>
    <x v="1105"/>
    <x v="1"/>
    <n v="43894863"/>
    <x v="1665"/>
    <x v="0"/>
    <s v="USA"/>
    <n v="30000000"/>
    <x v="1"/>
    <x v="0"/>
    <s v="Romance"/>
    <m/>
    <m/>
    <m/>
    <m/>
    <m/>
    <m/>
  </r>
  <r>
    <x v="1106"/>
    <x v="40"/>
    <n v="43853424"/>
    <x v="1666"/>
    <x v="0"/>
    <s v="USA"/>
    <n v="18000000"/>
    <x v="6"/>
    <x v="6"/>
    <s v="Drama"/>
    <s v="Family"/>
    <s v="Sport"/>
    <m/>
    <m/>
    <m/>
    <m/>
  </r>
  <r>
    <x v="205"/>
    <x v="59"/>
    <n v="43848100"/>
    <x v="1667"/>
    <x v="0"/>
    <s v="USA"/>
    <n v="15000000"/>
    <x v="7"/>
    <x v="5"/>
    <s v="Drama"/>
    <m/>
    <m/>
    <m/>
    <m/>
    <m/>
    <m/>
  </r>
  <r>
    <x v="1107"/>
    <x v="56"/>
    <n v="43818159"/>
    <x v="1668"/>
    <x v="0"/>
    <s v="USA"/>
    <n v="20000000"/>
    <x v="67"/>
    <x v="1"/>
    <s v="Mystery"/>
    <m/>
    <m/>
    <m/>
    <m/>
    <m/>
    <m/>
  </r>
  <r>
    <x v="405"/>
    <x v="35"/>
    <n v="43800000"/>
    <x v="1669"/>
    <x v="0"/>
    <s v="UK"/>
    <n v="7200000"/>
    <x v="15"/>
    <x v="4"/>
    <s v="Adventure"/>
    <s v="Thriller"/>
    <m/>
    <m/>
    <m/>
    <m/>
    <m/>
  </r>
  <r>
    <x v="83"/>
    <x v="50"/>
    <n v="43792641"/>
    <x v="1670"/>
    <x v="0"/>
    <s v="USA"/>
    <n v="35000000"/>
    <x v="48"/>
    <x v="0"/>
    <s v="Romance"/>
    <m/>
    <m/>
    <m/>
    <m/>
    <m/>
    <m/>
  </r>
  <r>
    <x v="1108"/>
    <x v="7"/>
    <n v="43771291"/>
    <x v="1671"/>
    <x v="0"/>
    <s v="USA"/>
    <n v="5000000"/>
    <x v="6"/>
    <x v="12"/>
    <s v="Thriller"/>
    <m/>
    <m/>
    <m/>
    <m/>
    <m/>
    <m/>
  </r>
  <r>
    <x v="1108"/>
    <x v="7"/>
    <n v="43771291"/>
    <x v="1671"/>
    <x v="0"/>
    <s v="USA"/>
    <n v="5000000"/>
    <x v="6"/>
    <x v="12"/>
    <s v="Thriller"/>
    <m/>
    <m/>
    <m/>
    <m/>
    <m/>
    <m/>
  </r>
  <r>
    <x v="1109"/>
    <x v="142"/>
    <n v="43650000"/>
    <x v="1672"/>
    <x v="0"/>
    <s v="USA"/>
    <n v="6000000"/>
    <x v="17"/>
    <x v="5"/>
    <s v="Drama"/>
    <s v="Musical"/>
    <s v="Romance"/>
    <s v="Thriller"/>
    <m/>
    <m/>
    <m/>
  </r>
  <r>
    <x v="1110"/>
    <x v="8"/>
    <n v="43601508"/>
    <x v="1673"/>
    <x v="0"/>
    <s v="USA"/>
    <n v="18000000"/>
    <x v="15"/>
    <x v="0"/>
    <s v="Drama"/>
    <s v="Romance"/>
    <m/>
    <m/>
    <m/>
    <m/>
    <m/>
  </r>
  <r>
    <x v="35"/>
    <x v="68"/>
    <n v="43575716"/>
    <x v="1674"/>
    <x v="0"/>
    <s v="USA"/>
    <n v="85000000"/>
    <x v="49"/>
    <x v="4"/>
    <s v="Comedy"/>
    <s v="Family"/>
    <s v="Fantasy"/>
    <m/>
    <m/>
    <m/>
    <m/>
  </r>
  <r>
    <x v="1111"/>
    <x v="33"/>
    <n v="43568507"/>
    <x v="1675"/>
    <x v="0"/>
    <s v="USA"/>
    <n v="66000000"/>
    <x v="20"/>
    <x v="4"/>
    <s v="Crime"/>
    <s v="Drama"/>
    <s v="Thriller"/>
    <m/>
    <m/>
    <m/>
    <m/>
  </r>
  <r>
    <x v="362"/>
    <x v="25"/>
    <n v="43532294"/>
    <x v="1676"/>
    <x v="0"/>
    <s v="USA"/>
    <n v="65000000"/>
    <x v="6"/>
    <x v="3"/>
    <s v="Sport"/>
    <m/>
    <m/>
    <m/>
    <m/>
    <m/>
    <m/>
  </r>
  <r>
    <x v="438"/>
    <x v="61"/>
    <n v="43490057"/>
    <x v="1677"/>
    <x v="0"/>
    <s v="USA"/>
    <n v="7500000"/>
    <x v="26"/>
    <x v="0"/>
    <s v="Drama"/>
    <m/>
    <m/>
    <m/>
    <m/>
    <m/>
    <m/>
  </r>
  <r>
    <x v="51"/>
    <x v="78"/>
    <n v="43426961"/>
    <x v="1678"/>
    <x v="0"/>
    <s v="USA"/>
    <n v="70000000"/>
    <x v="24"/>
    <x v="4"/>
    <s v="Drama"/>
    <s v="Thriller"/>
    <s v="War"/>
    <m/>
    <m/>
    <m/>
    <m/>
  </r>
  <r>
    <x v="22"/>
    <x v="41"/>
    <n v="43337279"/>
    <x v="1679"/>
    <x v="0"/>
    <s v="USA"/>
    <n v="60000000"/>
    <x v="35"/>
    <x v="2"/>
    <s v="Comedy"/>
    <m/>
    <m/>
    <m/>
    <m/>
    <m/>
    <m/>
  </r>
  <r>
    <x v="23"/>
    <x v="24"/>
    <n v="43290977"/>
    <x v="1680"/>
    <x v="0"/>
    <s v="UK"/>
    <n v="80000000"/>
    <x v="24"/>
    <x v="5"/>
    <s v="Drama"/>
    <s v="Mystery"/>
    <s v="Thriller"/>
    <m/>
    <m/>
    <m/>
    <m/>
  </r>
  <r>
    <x v="204"/>
    <x v="64"/>
    <n v="43247140"/>
    <x v="1681"/>
    <x v="0"/>
    <s v="UK"/>
    <n v="55000000"/>
    <x v="6"/>
    <x v="2"/>
    <s v="Biography"/>
    <s v="Drama"/>
    <s v="History"/>
    <s v="Sport"/>
    <s v="Thriller"/>
    <m/>
    <m/>
  </r>
  <r>
    <x v="250"/>
    <x v="12"/>
    <n v="43119879"/>
    <x v="1682"/>
    <x v="0"/>
    <s v="USA"/>
    <n v="60000000"/>
    <x v="16"/>
    <x v="4"/>
    <s v="Adventure"/>
    <s v="Sci-Fi"/>
    <s v="Thriller"/>
    <m/>
    <m/>
    <m/>
    <m/>
  </r>
  <r>
    <x v="290"/>
    <x v="24"/>
    <n v="43100000"/>
    <x v="1683"/>
    <x v="0"/>
    <s v="UK"/>
    <n v="9500000"/>
    <x v="26"/>
    <x v="4"/>
    <s v="Adventure"/>
    <s v="Thriller"/>
    <m/>
    <m/>
    <m/>
    <m/>
    <m/>
  </r>
  <r>
    <x v="303"/>
    <x v="44"/>
    <n v="43097652"/>
    <x v="1684"/>
    <x v="0"/>
    <s v="USA"/>
    <n v="28000000"/>
    <x v="2"/>
    <x v="0"/>
    <s v="Drama"/>
    <s v="Romance"/>
    <m/>
    <m/>
    <m/>
    <m/>
    <m/>
  </r>
  <r>
    <x v="1112"/>
    <x v="54"/>
    <n v="43095600"/>
    <x v="1685"/>
    <x v="0"/>
    <s v="France"/>
    <n v="32000000"/>
    <x v="2"/>
    <x v="4"/>
    <s v="Crime"/>
    <s v="Thriller"/>
    <m/>
    <m/>
    <m/>
    <m/>
    <m/>
  </r>
  <r>
    <x v="138"/>
    <x v="43"/>
    <n v="43060566"/>
    <x v="1686"/>
    <x v="0"/>
    <s v="USA"/>
    <n v="60000000"/>
    <x v="8"/>
    <x v="4"/>
    <s v="Adventure"/>
    <s v="Fantasy"/>
    <s v="Sci-Fi"/>
    <s v="Thriller"/>
    <m/>
    <m/>
    <m/>
  </r>
  <r>
    <x v="147"/>
    <x v="0"/>
    <n v="43022524"/>
    <x v="1687"/>
    <x v="0"/>
    <s v="USA"/>
    <n v="15000000"/>
    <x v="6"/>
    <x v="0"/>
    <s v="Drama"/>
    <m/>
    <m/>
    <m/>
    <m/>
    <m/>
    <m/>
  </r>
  <r>
    <x v="1113"/>
    <x v="48"/>
    <n v="42919096"/>
    <x v="1688"/>
    <x v="0"/>
    <s v="USA"/>
    <n v="15000000"/>
    <x v="20"/>
    <x v="4"/>
    <s v="Drama"/>
    <s v="Thriller"/>
    <m/>
    <m/>
    <m/>
    <m/>
    <m/>
  </r>
  <r>
    <x v="1113"/>
    <x v="48"/>
    <n v="42919096"/>
    <x v="1688"/>
    <x v="0"/>
    <s v="USA"/>
    <n v="15000000"/>
    <x v="20"/>
    <x v="4"/>
    <s v="Drama"/>
    <s v="Thriller"/>
    <m/>
    <m/>
    <m/>
    <m/>
    <m/>
  </r>
  <r>
    <x v="58"/>
    <x v="11"/>
    <n v="42877165"/>
    <x v="1689"/>
    <x v="0"/>
    <s v="USA"/>
    <n v="86000000"/>
    <x v="0"/>
    <x v="4"/>
    <s v="Crime"/>
    <s v="Drama"/>
    <s v="Thriller"/>
    <m/>
    <m/>
    <m/>
    <m/>
  </r>
  <r>
    <x v="146"/>
    <x v="52"/>
    <n v="42700000"/>
    <x v="1690"/>
    <x v="0"/>
    <s v="USA"/>
    <n v="16500000"/>
    <x v="5"/>
    <x v="3"/>
    <s v="Romance"/>
    <m/>
    <m/>
    <m/>
    <m/>
    <m/>
    <m/>
  </r>
  <r>
    <x v="1114"/>
    <x v="20"/>
    <n v="42672630"/>
    <x v="1691"/>
    <x v="0"/>
    <s v="USA"/>
    <n v="17000000"/>
    <x v="48"/>
    <x v="2"/>
    <s v="Comedy"/>
    <s v="Family"/>
    <s v="Music"/>
    <s v="Romance"/>
    <m/>
    <m/>
    <m/>
  </r>
  <r>
    <x v="1115"/>
    <x v="49"/>
    <n v="42660000"/>
    <x v="1692"/>
    <x v="0"/>
    <s v="USA"/>
    <n v="17000000"/>
    <x v="46"/>
    <x v="4"/>
    <s v="Adventure"/>
    <s v="Comedy"/>
    <s v="Family"/>
    <s v="Fantasy"/>
    <s v="Sci-Fi"/>
    <m/>
    <m/>
  </r>
  <r>
    <x v="1116"/>
    <x v="11"/>
    <n v="42652003"/>
    <x v="1693"/>
    <x v="0"/>
    <s v="USA"/>
    <n v="20000000"/>
    <x v="9"/>
    <x v="2"/>
    <s v="Family"/>
    <m/>
    <m/>
    <m/>
    <m/>
    <m/>
    <m/>
  </r>
  <r>
    <x v="1117"/>
    <x v="36"/>
    <n v="42643187"/>
    <x v="1694"/>
    <x v="0"/>
    <s v="USA"/>
    <n v="39751583.5"/>
    <x v="11"/>
    <x v="6"/>
    <s v="Drama"/>
    <s v="Sport"/>
    <m/>
    <m/>
    <m/>
    <m/>
    <m/>
  </r>
  <r>
    <x v="1118"/>
    <x v="30"/>
    <n v="42640890"/>
    <x v="1695"/>
    <x v="0"/>
    <s v="USA"/>
    <n v="39751583.5"/>
    <x v="37"/>
    <x v="0"/>
    <s v="Romance"/>
    <m/>
    <m/>
    <m/>
    <m/>
    <m/>
    <m/>
  </r>
  <r>
    <x v="385"/>
    <x v="56"/>
    <n v="42638165"/>
    <x v="1696"/>
    <x v="0"/>
    <s v="USA"/>
    <n v="16000000"/>
    <x v="46"/>
    <x v="3"/>
    <s v="Fantasy"/>
    <s v="Horror"/>
    <s v="Mystery"/>
    <s v="Thriller"/>
    <m/>
    <m/>
    <m/>
  </r>
  <r>
    <x v="385"/>
    <x v="56"/>
    <n v="42638165"/>
    <x v="1696"/>
    <x v="0"/>
    <s v="USA"/>
    <n v="16000000"/>
    <x v="46"/>
    <x v="3"/>
    <s v="Fantasy"/>
    <s v="Horror"/>
    <s v="Mystery"/>
    <s v="Thriller"/>
    <m/>
    <m/>
    <m/>
  </r>
  <r>
    <x v="160"/>
    <x v="52"/>
    <n v="42615685"/>
    <x v="1697"/>
    <x v="0"/>
    <s v="USA"/>
    <n v="40000000"/>
    <x v="0"/>
    <x v="0"/>
    <s v="Western"/>
    <m/>
    <m/>
    <m/>
    <m/>
    <m/>
    <m/>
  </r>
  <r>
    <x v="109"/>
    <x v="44"/>
    <n v="42610000"/>
    <x v="1698"/>
    <x v="0"/>
    <s v="USA"/>
    <n v="55000000"/>
    <x v="3"/>
    <x v="4"/>
    <s v="Comedy"/>
    <s v="Crime"/>
    <s v="Thriller"/>
    <m/>
    <m/>
    <m/>
    <m/>
  </r>
  <r>
    <x v="1119"/>
    <x v="1"/>
    <n v="42592530"/>
    <x v="1699"/>
    <x v="0"/>
    <s v="USA"/>
    <n v="15000000"/>
    <x v="8"/>
    <x v="0"/>
    <s v="Fantasy"/>
    <s v="Horror"/>
    <m/>
    <m/>
    <m/>
    <m/>
    <m/>
  </r>
  <r>
    <x v="1072"/>
    <x v="22"/>
    <n v="42575718"/>
    <x v="1700"/>
    <x v="0"/>
    <s v="USA"/>
    <n v="40000000"/>
    <x v="1"/>
    <x v="1"/>
    <m/>
    <m/>
    <m/>
    <m/>
    <m/>
    <m/>
    <m/>
  </r>
  <r>
    <x v="1120"/>
    <x v="48"/>
    <n v="42478175"/>
    <x v="1701"/>
    <x v="0"/>
    <s v="USA"/>
    <n v="25000000"/>
    <x v="11"/>
    <x v="3"/>
    <s v="Fantasy"/>
    <s v="Romance"/>
    <m/>
    <m/>
    <m/>
    <m/>
    <m/>
  </r>
  <r>
    <x v="180"/>
    <x v="14"/>
    <n v="42438300"/>
    <x v="1702"/>
    <x v="0"/>
    <s v="USA"/>
    <n v="52000000"/>
    <x v="40"/>
    <x v="6"/>
    <s v="Crime"/>
    <s v="Drama"/>
    <m/>
    <m/>
    <m/>
    <m/>
    <m/>
  </r>
  <r>
    <x v="221"/>
    <x v="34"/>
    <n v="42385520"/>
    <x v="1703"/>
    <x v="0"/>
    <s v="USA"/>
    <n v="30000000"/>
    <x v="8"/>
    <x v="3"/>
    <s v="Music"/>
    <s v="Romance"/>
    <m/>
    <m/>
    <m/>
    <m/>
    <m/>
  </r>
  <r>
    <x v="1121"/>
    <x v="18"/>
    <n v="42365600"/>
    <x v="1704"/>
    <x v="0"/>
    <s v="UK"/>
    <n v="5000000"/>
    <x v="14"/>
    <x v="2"/>
    <s v="Comedy"/>
    <s v="Fantasy"/>
    <s v="Sci-Fi"/>
    <m/>
    <m/>
    <m/>
    <m/>
  </r>
  <r>
    <x v="164"/>
    <x v="49"/>
    <n v="42345531"/>
    <x v="1705"/>
    <x v="0"/>
    <s v="Germany"/>
    <n v="65000000"/>
    <x v="18"/>
    <x v="4"/>
    <s v="Horror"/>
    <s v="Sci-Fi"/>
    <s v="Thriller"/>
    <m/>
    <m/>
    <m/>
    <m/>
  </r>
  <r>
    <x v="1122"/>
    <x v="5"/>
    <n v="42335698"/>
    <x v="1706"/>
    <x v="0"/>
    <s v="USA"/>
    <n v="18000000"/>
    <x v="22"/>
    <x v="0"/>
    <s v="Drama"/>
    <s v="Romance"/>
    <m/>
    <m/>
    <m/>
    <m/>
    <m/>
  </r>
  <r>
    <x v="78"/>
    <x v="28"/>
    <n v="42272747"/>
    <x v="1707"/>
    <x v="0"/>
    <s v="USA"/>
    <n v="70000000"/>
    <x v="37"/>
    <x v="3"/>
    <s v="Fantasy"/>
    <s v="Mystery"/>
    <s v="Thriller"/>
    <m/>
    <m/>
    <m/>
    <m/>
  </r>
  <r>
    <x v="1123"/>
    <x v="50"/>
    <n v="42194060"/>
    <x v="1708"/>
    <x v="0"/>
    <s v="Spain"/>
    <n v="70000000"/>
    <x v="0"/>
    <x v="2"/>
    <s v="Animation"/>
    <s v="Comedy"/>
    <s v="Family"/>
    <s v="Sci-Fi"/>
    <m/>
    <m/>
    <m/>
  </r>
  <r>
    <x v="237"/>
    <x v="58"/>
    <n v="42168445"/>
    <x v="1709"/>
    <x v="0"/>
    <s v="USA"/>
    <n v="35000000"/>
    <x v="48"/>
    <x v="0"/>
    <s v="Drama"/>
    <s v="Romance"/>
    <m/>
    <m/>
    <m/>
    <m/>
    <m/>
  </r>
  <r>
    <x v="105"/>
    <x v="44"/>
    <n v="42071069"/>
    <x v="1710"/>
    <x v="0"/>
    <s v="USA"/>
    <n v="30000000"/>
    <x v="8"/>
    <x v="0"/>
    <s v="Drama"/>
    <s v="Romance"/>
    <s v="Sport"/>
    <m/>
    <m/>
    <m/>
    <m/>
  </r>
  <r>
    <x v="987"/>
    <x v="4"/>
    <n v="42057340"/>
    <x v="1711"/>
    <x v="0"/>
    <s v="USA"/>
    <n v="30000000"/>
    <x v="24"/>
    <x v="1"/>
    <s v="Thriller"/>
    <m/>
    <m/>
    <m/>
    <m/>
    <m/>
    <m/>
  </r>
  <r>
    <x v="1124"/>
    <x v="25"/>
    <n v="42044321"/>
    <x v="1712"/>
    <x v="0"/>
    <s v="USA"/>
    <n v="80000000"/>
    <x v="20"/>
    <x v="0"/>
    <s v="Drama"/>
    <s v="Romance"/>
    <m/>
    <m/>
    <m/>
    <m/>
    <m/>
  </r>
  <r>
    <x v="1125"/>
    <x v="13"/>
    <n v="42043633"/>
    <x v="1713"/>
    <x v="0"/>
    <s v="USA"/>
    <n v="30000000"/>
    <x v="14"/>
    <x v="8"/>
    <s v="Horror"/>
    <s v="Mystery"/>
    <s v="Thriller"/>
    <m/>
    <m/>
    <m/>
    <m/>
  </r>
  <r>
    <x v="223"/>
    <x v="34"/>
    <n v="42019483"/>
    <x v="1714"/>
    <x v="0"/>
    <s v="USA"/>
    <n v="36000000"/>
    <x v="16"/>
    <x v="3"/>
    <s v="Family"/>
    <m/>
    <m/>
    <m/>
    <m/>
    <m/>
    <m/>
  </r>
  <r>
    <x v="1126"/>
    <x v="32"/>
    <n v="41997790"/>
    <x v="1715"/>
    <x v="0"/>
    <s v="USA"/>
    <n v="38000000"/>
    <x v="16"/>
    <x v="4"/>
    <s v="Sci-Fi"/>
    <s v="Thriller"/>
    <m/>
    <m/>
    <m/>
    <m/>
    <m/>
  </r>
  <r>
    <x v="282"/>
    <x v="77"/>
    <n v="41954997"/>
    <x v="1716"/>
    <x v="0"/>
    <s v="USA"/>
    <n v="35000000"/>
    <x v="22"/>
    <x v="6"/>
    <s v="Crime"/>
    <s v="Drama"/>
    <m/>
    <m/>
    <m/>
    <m/>
    <m/>
  </r>
  <r>
    <x v="1121"/>
    <x v="82"/>
    <n v="41895491"/>
    <x v="1717"/>
    <x v="0"/>
    <s v="USA"/>
    <n v="24000000"/>
    <x v="17"/>
    <x v="0"/>
    <s v="Drama"/>
    <s v="Fantasy"/>
    <m/>
    <m/>
    <m/>
    <m/>
    <m/>
  </r>
  <r>
    <x v="1127"/>
    <x v="50"/>
    <n v="41867960"/>
    <x v="1718"/>
    <x v="0"/>
    <s v="USA"/>
    <n v="20000000"/>
    <x v="3"/>
    <x v="1"/>
    <m/>
    <m/>
    <m/>
    <m/>
    <m/>
    <m/>
    <m/>
  </r>
  <r>
    <x v="136"/>
    <x v="65"/>
    <n v="41814863"/>
    <x v="1719"/>
    <x v="0"/>
    <s v="USA"/>
    <n v="50000000"/>
    <x v="33"/>
    <x v="1"/>
    <s v="Mystery"/>
    <s v="Thriller"/>
    <m/>
    <m/>
    <m/>
    <m/>
    <m/>
  </r>
  <r>
    <x v="1128"/>
    <x v="30"/>
    <n v="41797066"/>
    <x v="1720"/>
    <x v="0"/>
    <s v="USA"/>
    <n v="40000000"/>
    <x v="47"/>
    <x v="4"/>
    <s v="Horror"/>
    <s v="Sci-Fi"/>
    <s v="Thriller"/>
    <m/>
    <m/>
    <m/>
    <m/>
  </r>
  <r>
    <x v="1129"/>
    <x v="7"/>
    <n v="41777564"/>
    <x v="1721"/>
    <x v="0"/>
    <s v="USA"/>
    <n v="15000000"/>
    <x v="16"/>
    <x v="1"/>
    <m/>
    <m/>
    <m/>
    <m/>
    <m/>
    <m/>
    <m/>
  </r>
  <r>
    <x v="651"/>
    <x v="57"/>
    <n v="41609593"/>
    <x v="1722"/>
    <x v="0"/>
    <s v="UK"/>
    <n v="55000000"/>
    <x v="4"/>
    <x v="4"/>
    <s v="Adventure"/>
    <s v="Crime"/>
    <s v="Thriller"/>
    <m/>
    <m/>
    <m/>
    <m/>
  </r>
  <r>
    <x v="1130"/>
    <x v="58"/>
    <n v="41597830"/>
    <x v="1723"/>
    <x v="0"/>
    <s v="USA"/>
    <n v="25000000"/>
    <x v="17"/>
    <x v="3"/>
    <s v="Romance"/>
    <m/>
    <m/>
    <m/>
    <m/>
    <m/>
    <m/>
  </r>
  <r>
    <x v="97"/>
    <x v="21"/>
    <n v="41573740"/>
    <x v="1724"/>
    <x v="0"/>
    <s v="USA"/>
    <n v="39751583.5"/>
    <x v="14"/>
    <x v="1"/>
    <s v="Mystery"/>
    <s v="Thriller"/>
    <m/>
    <m/>
    <m/>
    <m/>
    <m/>
  </r>
  <r>
    <x v="1131"/>
    <x v="61"/>
    <n v="41543207"/>
    <x v="1725"/>
    <x v="0"/>
    <s v="USA"/>
    <n v="42000000"/>
    <x v="2"/>
    <x v="5"/>
    <s v="Drama"/>
    <s v="Mystery"/>
    <s v="Thriller"/>
    <m/>
    <m/>
    <m/>
    <m/>
  </r>
  <r>
    <x v="147"/>
    <x v="21"/>
    <n v="41523271"/>
    <x v="1726"/>
    <x v="0"/>
    <s v="USA"/>
    <n v="80000000"/>
    <x v="24"/>
    <x v="0"/>
    <s v="Crime"/>
    <s v="Drama"/>
    <s v="Romance"/>
    <m/>
    <m/>
    <m/>
    <m/>
  </r>
  <r>
    <x v="374"/>
    <x v="40"/>
    <n v="41482207"/>
    <x v="1727"/>
    <x v="0"/>
    <s v="USA"/>
    <n v="50000000"/>
    <x v="2"/>
    <x v="0"/>
    <s v="Fantasy"/>
    <s v="Horror"/>
    <m/>
    <m/>
    <m/>
    <m/>
    <m/>
  </r>
  <r>
    <x v="1132"/>
    <x v="11"/>
    <n v="41407470"/>
    <x v="1728"/>
    <x v="0"/>
    <s v="USA"/>
    <n v="30000000"/>
    <x v="17"/>
    <x v="0"/>
    <s v="Drama"/>
    <s v="Family"/>
    <m/>
    <m/>
    <m/>
    <m/>
    <m/>
  </r>
  <r>
    <x v="54"/>
    <x v="61"/>
    <n v="41400000"/>
    <x v="1729"/>
    <x v="0"/>
    <s v="USA"/>
    <n v="6900000"/>
    <x v="4"/>
    <x v="17"/>
    <m/>
    <m/>
    <m/>
    <m/>
    <m/>
    <m/>
    <m/>
  </r>
  <r>
    <x v="150"/>
    <x v="18"/>
    <n v="41382841"/>
    <x v="1730"/>
    <x v="0"/>
    <s v="USA"/>
    <n v="18000000"/>
    <x v="2"/>
    <x v="0"/>
    <s v="Drama"/>
    <s v="Fantasy"/>
    <s v="Romance"/>
    <m/>
    <m/>
    <m/>
    <m/>
  </r>
  <r>
    <x v="1133"/>
    <x v="25"/>
    <n v="41300105"/>
    <x v="1731"/>
    <x v="0"/>
    <s v="UK"/>
    <n v="19800000"/>
    <x v="4"/>
    <x v="3"/>
    <s v="Mystery"/>
    <m/>
    <m/>
    <m/>
    <m/>
    <m/>
    <m/>
  </r>
  <r>
    <x v="1134"/>
    <x v="55"/>
    <n v="41256277"/>
    <x v="1732"/>
    <x v="0"/>
    <s v="USA"/>
    <n v="50000000"/>
    <x v="1"/>
    <x v="4"/>
    <s v="Thriller"/>
    <m/>
    <m/>
    <m/>
    <m/>
    <m/>
    <m/>
  </r>
  <r>
    <x v="211"/>
    <x v="57"/>
    <n v="41252428"/>
    <x v="1733"/>
    <x v="0"/>
    <s v="USA"/>
    <n v="42000000"/>
    <x v="20"/>
    <x v="0"/>
    <s v="Drama"/>
    <s v="Romance"/>
    <m/>
    <m/>
    <m/>
    <m/>
    <m/>
  </r>
  <r>
    <x v="4"/>
    <x v="43"/>
    <n v="41227069"/>
    <x v="1734"/>
    <x v="0"/>
    <s v="USA"/>
    <n v="11000000"/>
    <x v="7"/>
    <x v="3"/>
    <s v="Romance"/>
    <m/>
    <m/>
    <m/>
    <m/>
    <m/>
    <m/>
  </r>
  <r>
    <x v="314"/>
    <x v="28"/>
    <n v="41102171"/>
    <x v="1735"/>
    <x v="0"/>
    <s v="USA"/>
    <n v="40000000"/>
    <x v="21"/>
    <x v="0"/>
    <s v="Drama"/>
    <s v="Romance"/>
    <m/>
    <m/>
    <m/>
    <m/>
    <m/>
  </r>
  <r>
    <x v="91"/>
    <x v="0"/>
    <n v="41067398"/>
    <x v="1736"/>
    <x v="0"/>
    <s v="USA"/>
    <n v="25000000"/>
    <x v="0"/>
    <x v="4"/>
    <s v="Comedy"/>
    <s v="Crime"/>
    <s v="Thriller"/>
    <m/>
    <m/>
    <m/>
    <m/>
  </r>
  <r>
    <x v="1135"/>
    <x v="1"/>
    <n v="41008532"/>
    <x v="1737"/>
    <x v="0"/>
    <s v="USA"/>
    <n v="27000000"/>
    <x v="15"/>
    <x v="5"/>
    <s v="Drama"/>
    <s v="Thriller"/>
    <m/>
    <m/>
    <m/>
    <m/>
    <m/>
  </r>
  <r>
    <x v="1136"/>
    <x v="54"/>
    <n v="40990055"/>
    <x v="1738"/>
    <x v="0"/>
    <s v="France"/>
    <n v="1800000"/>
    <x v="37"/>
    <x v="3"/>
    <s v="Horror"/>
    <s v="Thriller"/>
    <m/>
    <m/>
    <m/>
    <m/>
    <m/>
  </r>
  <r>
    <x v="126"/>
    <x v="17"/>
    <n v="40983001"/>
    <x v="1739"/>
    <x v="0"/>
    <s v="USA"/>
    <n v="7000000"/>
    <x v="5"/>
    <x v="5"/>
    <s v="Drama"/>
    <s v="Thriller"/>
    <m/>
    <m/>
    <m/>
    <m/>
    <m/>
  </r>
  <r>
    <x v="185"/>
    <x v="43"/>
    <n v="40962534"/>
    <x v="1740"/>
    <x v="0"/>
    <s v="USA"/>
    <n v="12500000"/>
    <x v="6"/>
    <x v="3"/>
    <m/>
    <m/>
    <m/>
    <m/>
    <m/>
    <m/>
    <m/>
  </r>
  <r>
    <x v="265"/>
    <x v="12"/>
    <n v="40932372"/>
    <x v="1741"/>
    <x v="0"/>
    <s v="USA"/>
    <n v="70000000"/>
    <x v="2"/>
    <x v="4"/>
    <s v="Thriller"/>
    <m/>
    <m/>
    <m/>
    <m/>
    <m/>
    <m/>
  </r>
  <r>
    <x v="1131"/>
    <x v="58"/>
    <n v="40905277"/>
    <x v="1742"/>
    <x v="0"/>
    <s v="USA"/>
    <n v="50000000"/>
    <x v="20"/>
    <x v="5"/>
    <s v="Drama"/>
    <s v="Romance"/>
    <s v="Thriller"/>
    <m/>
    <m/>
    <m/>
    <m/>
  </r>
  <r>
    <x v="1137"/>
    <x v="31"/>
    <n v="40846082"/>
    <x v="1743"/>
    <x v="0"/>
    <s v="USA"/>
    <n v="19000000"/>
    <x v="37"/>
    <x v="1"/>
    <s v="Mystery"/>
    <s v="Thriller"/>
    <m/>
    <m/>
    <m/>
    <m/>
    <m/>
  </r>
  <r>
    <x v="317"/>
    <x v="18"/>
    <n v="40687294"/>
    <x v="1744"/>
    <x v="0"/>
    <s v="Canada"/>
    <n v="35000000"/>
    <x v="18"/>
    <x v="4"/>
    <s v="Crime"/>
    <s v="Drama"/>
    <s v="Mystery"/>
    <s v="Thriller"/>
    <m/>
    <m/>
    <m/>
  </r>
  <r>
    <x v="280"/>
    <x v="43"/>
    <n v="40566655"/>
    <x v="1745"/>
    <x v="0"/>
    <s v="UK"/>
    <n v="30000000"/>
    <x v="6"/>
    <x v="0"/>
    <s v="Drama"/>
    <s v="Romance"/>
    <m/>
    <m/>
    <m/>
    <m/>
    <m/>
  </r>
  <r>
    <x v="437"/>
    <x v="65"/>
    <n v="40559930"/>
    <x v="1746"/>
    <x v="0"/>
    <s v="USA"/>
    <n v="60000000"/>
    <x v="8"/>
    <x v="0"/>
    <s v="Crime"/>
    <s v="Romance"/>
    <s v="Thriller"/>
    <m/>
    <m/>
    <m/>
    <m/>
  </r>
  <r>
    <x v="149"/>
    <x v="10"/>
    <n v="40485039"/>
    <x v="1747"/>
    <x v="0"/>
    <s v="USA"/>
    <n v="10000000"/>
    <x v="26"/>
    <x v="2"/>
    <s v="Comedy"/>
    <s v="Music"/>
    <s v="Sci-Fi"/>
    <m/>
    <m/>
    <m/>
    <m/>
  </r>
  <r>
    <x v="1138"/>
    <x v="42"/>
    <n v="40363530"/>
    <x v="1748"/>
    <x v="0"/>
    <s v="USA"/>
    <n v="16000000"/>
    <x v="68"/>
    <x v="0"/>
    <s v="Family"/>
    <m/>
    <m/>
    <m/>
    <m/>
    <m/>
    <m/>
  </r>
  <r>
    <x v="1139"/>
    <x v="21"/>
    <n v="40334024"/>
    <x v="1749"/>
    <x v="0"/>
    <s v="USA"/>
    <n v="35000000"/>
    <x v="8"/>
    <x v="0"/>
    <s v="Crime"/>
    <s v="Romance"/>
    <m/>
    <m/>
    <m/>
    <m/>
    <m/>
  </r>
  <r>
    <x v="1140"/>
    <x v="33"/>
    <n v="40270895"/>
    <x v="1750"/>
    <x v="0"/>
    <s v="USA"/>
    <n v="22000000"/>
    <x v="17"/>
    <x v="3"/>
    <m/>
    <m/>
    <m/>
    <m/>
    <m/>
    <m/>
    <m/>
  </r>
  <r>
    <x v="410"/>
    <x v="11"/>
    <n v="40247512"/>
    <x v="1751"/>
    <x v="0"/>
    <s v="USA"/>
    <n v="30000000"/>
    <x v="9"/>
    <x v="4"/>
    <s v="Drama"/>
    <s v="Thriller"/>
    <m/>
    <m/>
    <m/>
    <m/>
    <m/>
  </r>
  <r>
    <x v="299"/>
    <x v="40"/>
    <n v="40219708"/>
    <x v="1752"/>
    <x v="0"/>
    <s v="USA"/>
    <n v="21000000"/>
    <x v="2"/>
    <x v="3"/>
    <s v="Sport"/>
    <m/>
    <m/>
    <m/>
    <m/>
    <m/>
    <m/>
  </r>
  <r>
    <x v="1141"/>
    <x v="27"/>
    <n v="40218903"/>
    <x v="1753"/>
    <x v="0"/>
    <s v="USA"/>
    <n v="25000000"/>
    <x v="23"/>
    <x v="3"/>
    <m/>
    <m/>
    <m/>
    <m/>
    <m/>
    <m/>
    <m/>
  </r>
  <r>
    <x v="1142"/>
    <x v="7"/>
    <n v="40203020"/>
    <x v="1754"/>
    <x v="0"/>
    <s v="UK"/>
    <n v="40000000"/>
    <x v="1"/>
    <x v="0"/>
    <s v="Drama"/>
    <s v="Romance"/>
    <m/>
    <m/>
    <m/>
    <m/>
    <m/>
  </r>
  <r>
    <x v="1143"/>
    <x v="41"/>
    <n v="40168080"/>
    <x v="1755"/>
    <x v="0"/>
    <s v="USA"/>
    <n v="26000000"/>
    <x v="34"/>
    <x v="4"/>
    <s v="Fantasy"/>
    <s v="Horror"/>
    <m/>
    <m/>
    <m/>
    <m/>
    <m/>
  </r>
  <r>
    <x v="1144"/>
    <x v="64"/>
    <n v="40158000"/>
    <x v="1756"/>
    <x v="0"/>
    <s v="New Zealand"/>
    <n v="7000000"/>
    <x v="17"/>
    <x v="3"/>
    <s v="Music"/>
    <s v="Romance"/>
    <m/>
    <m/>
    <m/>
    <m/>
    <m/>
  </r>
  <r>
    <x v="396"/>
    <x v="8"/>
    <n v="40137776"/>
    <x v="1757"/>
    <x v="0"/>
    <s v="USA"/>
    <n v="38000000"/>
    <x v="17"/>
    <x v="0"/>
    <s v="Drama"/>
    <s v="Fantasy"/>
    <s v="Romance"/>
    <m/>
    <m/>
    <m/>
    <m/>
  </r>
  <r>
    <x v="626"/>
    <x v="44"/>
    <n v="40118420"/>
    <x v="1758"/>
    <x v="0"/>
    <s v="USA"/>
    <n v="30000000"/>
    <x v="37"/>
    <x v="3"/>
    <s v="Romance"/>
    <s v="Sport"/>
    <m/>
    <m/>
    <m/>
    <m/>
    <m/>
  </r>
  <r>
    <x v="408"/>
    <x v="43"/>
    <n v="40076438"/>
    <x v="1759"/>
    <x v="0"/>
    <s v="USA"/>
    <n v="60000000"/>
    <x v="27"/>
    <x v="4"/>
    <s v="Crime"/>
    <s v="Drama"/>
    <s v="Mystery"/>
    <s v="Thriller"/>
    <m/>
    <m/>
    <m/>
  </r>
  <r>
    <x v="779"/>
    <x v="13"/>
    <n v="40066497"/>
    <x v="1760"/>
    <x v="0"/>
    <s v="USA"/>
    <n v="8000000"/>
    <x v="55"/>
    <x v="3"/>
    <s v="Music"/>
    <m/>
    <m/>
    <m/>
    <m/>
    <m/>
    <m/>
  </r>
  <r>
    <x v="127"/>
    <x v="44"/>
    <n v="40064955"/>
    <x v="1761"/>
    <x v="0"/>
    <s v="USA"/>
    <n v="15000000"/>
    <x v="16"/>
    <x v="1"/>
    <s v="Mystery"/>
    <s v="Sci-Fi"/>
    <m/>
    <m/>
    <m/>
    <m/>
    <m/>
  </r>
  <r>
    <x v="254"/>
    <x v="7"/>
    <n v="40048332"/>
    <x v="1762"/>
    <x v="0"/>
    <s v="USA"/>
    <n v="85000000"/>
    <x v="3"/>
    <x v="4"/>
    <s v="Drama"/>
    <s v="Thriller"/>
    <m/>
    <m/>
    <m/>
    <m/>
    <m/>
  </r>
  <r>
    <x v="1145"/>
    <x v="89"/>
    <n v="40041683"/>
    <x v="1763"/>
    <x v="0"/>
    <s v="USA"/>
    <n v="2500000"/>
    <x v="33"/>
    <x v="0"/>
    <s v="Fantasy"/>
    <m/>
    <m/>
    <m/>
    <m/>
    <m/>
    <m/>
  </r>
  <r>
    <x v="1146"/>
    <x v="41"/>
    <n v="39989008"/>
    <x v="1764"/>
    <x v="0"/>
    <s v="USA"/>
    <n v="24000000"/>
    <x v="28"/>
    <x v="1"/>
    <s v="Mystery"/>
    <m/>
    <m/>
    <m/>
    <m/>
    <m/>
    <m/>
  </r>
  <r>
    <x v="1147"/>
    <x v="63"/>
    <n v="39880476"/>
    <x v="1765"/>
    <x v="0"/>
    <s v="USA"/>
    <n v="25000000"/>
    <x v="34"/>
    <x v="2"/>
    <s v="Animation"/>
    <s v="Comedy"/>
    <s v="Family"/>
    <s v="Fantasy"/>
    <m/>
    <m/>
    <m/>
  </r>
  <r>
    <x v="1148"/>
    <x v="28"/>
    <n v="39825798"/>
    <x v="1766"/>
    <x v="0"/>
    <s v="USA"/>
    <n v="16000000"/>
    <x v="17"/>
    <x v="3"/>
    <s v="Mystery"/>
    <s v="Romance"/>
    <s v="Thriller"/>
    <m/>
    <m/>
    <m/>
    <m/>
  </r>
  <r>
    <x v="22"/>
    <x v="1"/>
    <n v="39800000"/>
    <x v="1767"/>
    <x v="0"/>
    <s v="USA"/>
    <n v="6000000"/>
    <x v="7"/>
    <x v="0"/>
    <s v="Sport"/>
    <m/>
    <m/>
    <m/>
    <m/>
    <m/>
    <m/>
  </r>
  <r>
    <x v="1091"/>
    <x v="5"/>
    <n v="39778599"/>
    <x v="1768"/>
    <x v="0"/>
    <s v="USA"/>
    <n v="50000000"/>
    <x v="24"/>
    <x v="2"/>
    <s v="Drama"/>
    <s v="Thriller"/>
    <m/>
    <m/>
    <m/>
    <m/>
    <m/>
  </r>
  <r>
    <x v="1149"/>
    <x v="31"/>
    <n v="39737645"/>
    <x v="1769"/>
    <x v="0"/>
    <s v="USA"/>
    <n v="20000000"/>
    <x v="73"/>
    <x v="2"/>
    <s v="Comedy"/>
    <m/>
    <m/>
    <m/>
    <m/>
    <m/>
    <m/>
  </r>
  <r>
    <x v="214"/>
    <x v="44"/>
    <n v="39692139"/>
    <x v="1770"/>
    <x v="0"/>
    <s v="USA"/>
    <n v="35000000"/>
    <x v="8"/>
    <x v="0"/>
    <s v="Crime"/>
    <s v="Thriller"/>
    <m/>
    <m/>
    <m/>
    <m/>
    <m/>
  </r>
  <r>
    <x v="1150"/>
    <x v="20"/>
    <n v="39687528"/>
    <x v="1771"/>
    <x v="0"/>
    <s v="France"/>
    <n v="24000000"/>
    <x v="2"/>
    <x v="4"/>
    <s v="Crime"/>
    <s v="Drama"/>
    <s v="Thriller"/>
    <m/>
    <m/>
    <m/>
    <m/>
  </r>
  <r>
    <x v="14"/>
    <x v="47"/>
    <n v="39647595"/>
    <x v="1772"/>
    <x v="0"/>
    <s v="USA"/>
    <n v="12000000"/>
    <x v="31"/>
    <x v="5"/>
    <s v="Thriller"/>
    <m/>
    <m/>
    <m/>
    <m/>
    <m/>
    <m/>
  </r>
  <r>
    <x v="1151"/>
    <x v="8"/>
    <n v="39568996"/>
    <x v="1773"/>
    <x v="0"/>
    <s v="USA"/>
    <n v="32000000"/>
    <x v="24"/>
    <x v="1"/>
    <m/>
    <m/>
    <m/>
    <m/>
    <m/>
    <m/>
    <m/>
  </r>
  <r>
    <x v="1152"/>
    <x v="89"/>
    <n v="39552600"/>
    <x v="1774"/>
    <x v="0"/>
    <s v="USA"/>
    <n v="500000"/>
    <x v="0"/>
    <x v="2"/>
    <s v="Family"/>
    <s v="Romance"/>
    <m/>
    <m/>
    <m/>
    <m/>
    <m/>
  </r>
  <r>
    <x v="164"/>
    <x v="41"/>
    <n v="39532308"/>
    <x v="1775"/>
    <x v="0"/>
    <s v="UK"/>
    <n v="33000000"/>
    <x v="15"/>
    <x v="4"/>
    <s v="Horror"/>
    <s v="Sci-Fi"/>
    <m/>
    <m/>
    <m/>
    <m/>
    <m/>
  </r>
  <r>
    <x v="106"/>
    <x v="49"/>
    <n v="39514713"/>
    <x v="1776"/>
    <x v="0"/>
    <s v="USA"/>
    <n v="28000000"/>
    <x v="15"/>
    <x v="0"/>
    <s v="Family"/>
    <s v="Fantasy"/>
    <m/>
    <m/>
    <m/>
    <m/>
    <m/>
  </r>
  <r>
    <x v="140"/>
    <x v="39"/>
    <n v="39511038"/>
    <x v="1777"/>
    <x v="0"/>
    <s v="USA"/>
    <n v="16000000"/>
    <x v="1"/>
    <x v="1"/>
    <m/>
    <m/>
    <m/>
    <m/>
    <m/>
    <m/>
    <m/>
  </r>
  <r>
    <x v="291"/>
    <x v="48"/>
    <n v="39462438"/>
    <x v="1778"/>
    <x v="0"/>
    <s v="USA"/>
    <n v="7000000"/>
    <x v="4"/>
    <x v="3"/>
    <s v="Music"/>
    <s v="Romance"/>
    <m/>
    <m/>
    <m/>
    <m/>
    <m/>
  </r>
  <r>
    <x v="326"/>
    <x v="10"/>
    <n v="39442871"/>
    <x v="1779"/>
    <x v="0"/>
    <s v="USA"/>
    <n v="80000000"/>
    <x v="48"/>
    <x v="0"/>
    <s v="Fantasy"/>
    <m/>
    <m/>
    <m/>
    <m/>
    <m/>
    <m/>
  </r>
  <r>
    <x v="1153"/>
    <x v="5"/>
    <n v="39440655"/>
    <x v="1780"/>
    <x v="0"/>
    <s v="USA"/>
    <n v="55000000"/>
    <x v="16"/>
    <x v="3"/>
    <s v="Music"/>
    <s v="Musical"/>
    <s v="Romance"/>
    <m/>
    <m/>
    <m/>
    <m/>
  </r>
  <r>
    <x v="1154"/>
    <x v="42"/>
    <n v="39399750"/>
    <x v="1781"/>
    <x v="0"/>
    <s v="USA"/>
    <n v="25000000"/>
    <x v="37"/>
    <x v="2"/>
    <s v="Animation"/>
    <s v="Comedy"/>
    <s v="Family"/>
    <s v="Fantasy"/>
    <s v="Musical"/>
    <m/>
    <m/>
  </r>
  <r>
    <x v="182"/>
    <x v="15"/>
    <n v="39380442"/>
    <x v="1782"/>
    <x v="0"/>
    <s v="USA"/>
    <n v="70000000"/>
    <x v="6"/>
    <x v="4"/>
    <s v="Drama"/>
    <s v="Thriller"/>
    <m/>
    <m/>
    <m/>
    <m/>
    <m/>
  </r>
  <r>
    <x v="1155"/>
    <x v="25"/>
    <n v="39292022"/>
    <x v="1783"/>
    <x v="0"/>
    <s v="USA"/>
    <n v="90000000"/>
    <x v="0"/>
    <x v="4"/>
    <s v="Adventure"/>
    <s v="Thriller"/>
    <m/>
    <m/>
    <m/>
    <m/>
    <m/>
  </r>
  <r>
    <x v="1156"/>
    <x v="28"/>
    <n v="39263506"/>
    <x v="1784"/>
    <x v="0"/>
    <s v="USA"/>
    <n v="22000000"/>
    <x v="0"/>
    <x v="5"/>
    <s v="Drama"/>
    <s v="Thriller"/>
    <m/>
    <m/>
    <m/>
    <m/>
    <m/>
  </r>
  <r>
    <x v="239"/>
    <x v="91"/>
    <n v="39251128"/>
    <x v="1785"/>
    <x v="0"/>
    <s v="USA"/>
    <n v="75000000"/>
    <x v="15"/>
    <x v="3"/>
    <s v="History"/>
    <s v="Romance"/>
    <m/>
    <m/>
    <m/>
    <m/>
    <m/>
  </r>
  <r>
    <x v="1126"/>
    <x v="48"/>
    <n v="39235088"/>
    <x v="1786"/>
    <x v="0"/>
    <s v="USA"/>
    <n v="23000000"/>
    <x v="6"/>
    <x v="1"/>
    <s v="Sci-Fi"/>
    <m/>
    <m/>
    <m/>
    <m/>
    <m/>
    <m/>
  </r>
  <r>
    <x v="335"/>
    <x v="31"/>
    <n v="39200000"/>
    <x v="1787"/>
    <x v="0"/>
    <s v="USA"/>
    <n v="4000000"/>
    <x v="23"/>
    <x v="0"/>
    <s v="Romance"/>
    <m/>
    <m/>
    <m/>
    <m/>
    <m/>
    <m/>
  </r>
  <r>
    <x v="127"/>
    <x v="31"/>
    <n v="39177541"/>
    <x v="1788"/>
    <x v="0"/>
    <s v="USA"/>
    <n v="50000000"/>
    <x v="55"/>
    <x v="4"/>
    <s v="Adventure"/>
    <s v="Family"/>
    <s v="Fantasy"/>
    <m/>
    <m/>
    <m/>
    <m/>
  </r>
  <r>
    <x v="175"/>
    <x v="61"/>
    <n v="39177215"/>
    <x v="1789"/>
    <x v="0"/>
    <s v="USA"/>
    <n v="38000000"/>
    <x v="37"/>
    <x v="5"/>
    <s v="Drama"/>
    <s v="Thriller"/>
    <m/>
    <m/>
    <m/>
    <m/>
    <m/>
  </r>
  <r>
    <x v="1"/>
    <x v="82"/>
    <n v="39143839"/>
    <x v="1790"/>
    <x v="0"/>
    <s v="USA"/>
    <n v="20000000"/>
    <x v="38"/>
    <x v="1"/>
    <s v="Thriller"/>
    <m/>
    <m/>
    <m/>
    <m/>
    <m/>
    <m/>
  </r>
  <r>
    <x v="1157"/>
    <x v="43"/>
    <n v="39103378"/>
    <x v="1791"/>
    <x v="0"/>
    <s v="USA"/>
    <n v="20000000"/>
    <x v="20"/>
    <x v="1"/>
    <s v="Thriller"/>
    <m/>
    <m/>
    <m/>
    <m/>
    <m/>
    <m/>
  </r>
  <r>
    <x v="1094"/>
    <x v="36"/>
    <n v="39100956"/>
    <x v="1792"/>
    <x v="0"/>
    <s v="USA"/>
    <n v="39751583.5"/>
    <x v="11"/>
    <x v="6"/>
    <s v="Drama"/>
    <s v="Music"/>
    <m/>
    <m/>
    <m/>
    <m/>
    <m/>
  </r>
  <r>
    <x v="152"/>
    <x v="48"/>
    <n v="39026186"/>
    <x v="1793"/>
    <x v="0"/>
    <s v="USA"/>
    <n v="35000000"/>
    <x v="1"/>
    <x v="0"/>
    <s v="Drama"/>
    <s v="Romance"/>
    <m/>
    <m/>
    <m/>
    <m/>
    <m/>
  </r>
  <r>
    <x v="1158"/>
    <x v="57"/>
    <n v="39025000"/>
    <x v="1794"/>
    <x v="0"/>
    <s v="UK"/>
    <n v="11000000"/>
    <x v="17"/>
    <x v="5"/>
    <s v="Drama"/>
    <m/>
    <m/>
    <m/>
    <m/>
    <m/>
    <m/>
  </r>
  <r>
    <x v="83"/>
    <x v="5"/>
    <n v="39008741"/>
    <x v="1795"/>
    <x v="0"/>
    <s v="USA"/>
    <n v="25000000"/>
    <x v="24"/>
    <x v="0"/>
    <s v="Drama"/>
    <s v="Family"/>
    <s v="Romance"/>
    <m/>
    <m/>
    <m/>
    <m/>
  </r>
  <r>
    <x v="263"/>
    <x v="66"/>
    <n v="38966057"/>
    <x v="1796"/>
    <x v="0"/>
    <s v="France"/>
    <n v="65000000"/>
    <x v="15"/>
    <x v="0"/>
    <s v="Drama"/>
    <m/>
    <m/>
    <m/>
    <m/>
    <m/>
    <m/>
  </r>
  <r>
    <x v="1159"/>
    <x v="50"/>
    <n v="38916903"/>
    <x v="1797"/>
    <x v="0"/>
    <s v="USA"/>
    <n v="13000000"/>
    <x v="19"/>
    <x v="2"/>
    <s v="Family"/>
    <s v="Sci-Fi"/>
    <m/>
    <m/>
    <m/>
    <m/>
    <m/>
  </r>
  <r>
    <x v="235"/>
    <x v="30"/>
    <n v="38747385"/>
    <x v="1798"/>
    <x v="0"/>
    <s v="USA"/>
    <n v="25000000"/>
    <x v="26"/>
    <x v="0"/>
    <s v="Horror"/>
    <s v="Musical"/>
    <s v="Sci-Fi"/>
    <m/>
    <m/>
    <m/>
    <m/>
  </r>
  <r>
    <x v="37"/>
    <x v="22"/>
    <n v="38624000"/>
    <x v="1799"/>
    <x v="0"/>
    <s v="USA"/>
    <n v="12000000"/>
    <x v="14"/>
    <x v="0"/>
    <s v="Sport"/>
    <m/>
    <m/>
    <m/>
    <m/>
    <m/>
    <m/>
  </r>
  <r>
    <x v="1160"/>
    <x v="43"/>
    <n v="38590500"/>
    <x v="1800"/>
    <x v="0"/>
    <s v="USA"/>
    <n v="50000000"/>
    <x v="45"/>
    <x v="4"/>
    <s v="Adventure"/>
    <s v="Thriller"/>
    <m/>
    <m/>
    <m/>
    <m/>
    <m/>
  </r>
  <r>
    <x v="249"/>
    <x v="28"/>
    <n v="38553833"/>
    <x v="1801"/>
    <x v="0"/>
    <s v="USA"/>
    <n v="55000000"/>
    <x v="9"/>
    <x v="2"/>
    <s v="Drama"/>
    <s v="Horror"/>
    <s v="Thriller"/>
    <m/>
    <m/>
    <m/>
    <m/>
  </r>
  <r>
    <x v="64"/>
    <x v="20"/>
    <n v="38543473"/>
    <x v="1802"/>
    <x v="0"/>
    <s v="USA"/>
    <n v="40000000"/>
    <x v="33"/>
    <x v="0"/>
    <m/>
    <m/>
    <m/>
    <m/>
    <m/>
    <m/>
    <m/>
  </r>
  <r>
    <x v="188"/>
    <x v="56"/>
    <n v="38542418"/>
    <x v="1803"/>
    <x v="0"/>
    <s v="USA"/>
    <n v="80000000"/>
    <x v="2"/>
    <x v="4"/>
    <s v="Sci-Fi"/>
    <s v="Thriller"/>
    <m/>
    <m/>
    <m/>
    <m/>
    <m/>
  </r>
  <r>
    <x v="127"/>
    <x v="56"/>
    <n v="38536376"/>
    <x v="1804"/>
    <x v="0"/>
    <s v="USA"/>
    <n v="27000000"/>
    <x v="58"/>
    <x v="4"/>
    <s v="Adventure"/>
    <s v="Comedy"/>
    <s v="Family"/>
    <s v="Sci-Fi"/>
    <m/>
    <m/>
    <m/>
  </r>
  <r>
    <x v="4"/>
    <x v="52"/>
    <n v="38509342"/>
    <x v="1805"/>
    <x v="0"/>
    <s v="USA"/>
    <n v="75000000"/>
    <x v="1"/>
    <x v="0"/>
    <s v="Drama"/>
    <s v="Musical"/>
    <s v="Romance"/>
    <m/>
    <m/>
    <m/>
    <m/>
  </r>
  <r>
    <x v="778"/>
    <x v="65"/>
    <n v="38432823"/>
    <x v="1806"/>
    <x v="0"/>
    <s v="USA"/>
    <n v="30000000"/>
    <x v="26"/>
    <x v="5"/>
    <s v="Drama"/>
    <s v="Sport"/>
    <m/>
    <m/>
    <m/>
    <m/>
    <m/>
  </r>
  <r>
    <x v="1098"/>
    <x v="59"/>
    <n v="38413606"/>
    <x v="1807"/>
    <x v="0"/>
    <s v="USA"/>
    <n v="30000000"/>
    <x v="17"/>
    <x v="4"/>
    <s v="Comedy"/>
    <s v="Crime"/>
    <s v="Thriller"/>
    <m/>
    <m/>
    <m/>
    <m/>
  </r>
  <r>
    <x v="129"/>
    <x v="34"/>
    <n v="38400000"/>
    <x v="1808"/>
    <x v="0"/>
    <s v="UK"/>
    <n v="6500000"/>
    <x v="23"/>
    <x v="4"/>
    <s v="Sci-Fi"/>
    <m/>
    <m/>
    <m/>
    <m/>
    <m/>
    <m/>
  </r>
  <r>
    <x v="410"/>
    <x v="74"/>
    <n v="38372662"/>
    <x v="1809"/>
    <x v="0"/>
    <s v="France"/>
    <n v="28000000"/>
    <x v="22"/>
    <x v="3"/>
    <s v="Romance"/>
    <m/>
    <m/>
    <m/>
    <m/>
    <m/>
    <m/>
  </r>
  <r>
    <x v="84"/>
    <x v="48"/>
    <n v="38360195"/>
    <x v="1810"/>
    <x v="0"/>
    <s v="USA"/>
    <n v="45000000"/>
    <x v="16"/>
    <x v="2"/>
    <s v="Comedy"/>
    <s v="Drama"/>
    <m/>
    <m/>
    <m/>
    <m/>
    <m/>
  </r>
  <r>
    <x v="1065"/>
    <x v="32"/>
    <n v="38345403"/>
    <x v="1811"/>
    <x v="0"/>
    <s v="UK"/>
    <n v="70000000"/>
    <x v="5"/>
    <x v="2"/>
    <s v="Family"/>
    <s v="Fantasy"/>
    <s v="Romance"/>
    <m/>
    <m/>
    <m/>
    <m/>
  </r>
  <r>
    <x v="1161"/>
    <x v="11"/>
    <n v="38317535"/>
    <x v="1812"/>
    <x v="0"/>
    <s v="UK"/>
    <n v="11000000"/>
    <x v="31"/>
    <x v="3"/>
    <s v="Romance"/>
    <m/>
    <m/>
    <m/>
    <m/>
    <m/>
    <m/>
  </r>
  <r>
    <x v="1149"/>
    <x v="89"/>
    <n v="38232624"/>
    <x v="1813"/>
    <x v="0"/>
    <s v="USA"/>
    <n v="30000000"/>
    <x v="51"/>
    <x v="0"/>
    <m/>
    <m/>
    <m/>
    <m/>
    <m/>
    <m/>
    <m/>
  </r>
  <r>
    <x v="237"/>
    <x v="89"/>
    <n v="38230435"/>
    <x v="1814"/>
    <x v="0"/>
    <s v="USA"/>
    <n v="25000000"/>
    <x v="19"/>
    <x v="4"/>
    <s v="Comedy"/>
    <m/>
    <m/>
    <m/>
    <m/>
    <m/>
    <m/>
  </r>
  <r>
    <x v="1162"/>
    <x v="0"/>
    <n v="38201895"/>
    <x v="1815"/>
    <x v="0"/>
    <s v="USA"/>
    <n v="10500000"/>
    <x v="26"/>
    <x v="3"/>
    <s v="Romance"/>
    <m/>
    <m/>
    <m/>
    <m/>
    <m/>
    <m/>
  </r>
  <r>
    <x v="38"/>
    <x v="11"/>
    <n v="38176892"/>
    <x v="1816"/>
    <x v="0"/>
    <s v="USA"/>
    <n v="40000000"/>
    <x v="8"/>
    <x v="1"/>
    <s v="Mystery"/>
    <m/>
    <m/>
    <m/>
    <m/>
    <m/>
    <m/>
  </r>
  <r>
    <x v="1163"/>
    <x v="0"/>
    <n v="38176108"/>
    <x v="1817"/>
    <x v="0"/>
    <s v="USA"/>
    <n v="16000000"/>
    <x v="11"/>
    <x v="0"/>
    <s v="Drama"/>
    <s v="Romance"/>
    <m/>
    <m/>
    <m/>
    <m/>
    <m/>
  </r>
  <r>
    <x v="117"/>
    <x v="61"/>
    <n v="38168022"/>
    <x v="1818"/>
    <x v="0"/>
    <s v="USA"/>
    <n v="3000000"/>
    <x v="24"/>
    <x v="0"/>
    <s v="Documentary"/>
    <m/>
    <m/>
    <m/>
    <m/>
    <m/>
    <m/>
  </r>
  <r>
    <x v="1164"/>
    <x v="43"/>
    <n v="38122105"/>
    <x v="1819"/>
    <x v="0"/>
    <s v="USA"/>
    <n v="27000000"/>
    <x v="24"/>
    <x v="4"/>
    <s v="Crime"/>
    <s v="Sci-Fi"/>
    <s v="Thriller"/>
    <m/>
    <m/>
    <m/>
    <m/>
  </r>
  <r>
    <x v="123"/>
    <x v="49"/>
    <n v="38119483"/>
    <x v="1820"/>
    <x v="0"/>
    <s v="USA"/>
    <n v="22700000"/>
    <x v="6"/>
    <x v="2"/>
    <s v="Comedy"/>
    <s v="Sci-Fi"/>
    <m/>
    <m/>
    <m/>
    <m/>
    <m/>
  </r>
  <r>
    <x v="236"/>
    <x v="4"/>
    <n v="38105077"/>
    <x v="1821"/>
    <x v="0"/>
    <s v="USA"/>
    <n v="40000000"/>
    <x v="16"/>
    <x v="4"/>
    <s v="Crime"/>
    <s v="Thriller"/>
    <m/>
    <m/>
    <m/>
    <m/>
    <m/>
  </r>
  <r>
    <x v="20"/>
    <x v="13"/>
    <n v="38087756"/>
    <x v="1822"/>
    <x v="0"/>
    <s v="USA"/>
    <n v="40000000"/>
    <x v="34"/>
    <x v="0"/>
    <s v="Family"/>
    <m/>
    <m/>
    <m/>
    <m/>
    <m/>
    <m/>
  </r>
  <r>
    <x v="337"/>
    <x v="30"/>
    <n v="38087366"/>
    <x v="1823"/>
    <x v="0"/>
    <s v="USA"/>
    <n v="12000000"/>
    <x v="24"/>
    <x v="2"/>
    <s v="Comedy"/>
    <m/>
    <m/>
    <m/>
    <m/>
    <m/>
    <m/>
  </r>
  <r>
    <x v="1165"/>
    <x v="4"/>
    <n v="38048637"/>
    <x v="1824"/>
    <x v="0"/>
    <s v="USA"/>
    <n v="14000000"/>
    <x v="3"/>
    <x v="1"/>
    <s v="Mystery"/>
    <s v="Thriller"/>
    <m/>
    <m/>
    <m/>
    <m/>
    <m/>
  </r>
  <r>
    <x v="207"/>
    <x v="31"/>
    <n v="38037513"/>
    <x v="1825"/>
    <x v="0"/>
    <s v="USA"/>
    <n v="20000000"/>
    <x v="8"/>
    <x v="2"/>
    <s v="Comedy"/>
    <s v="Fantasy"/>
    <s v="Music"/>
    <s v="Sci-Fi"/>
    <m/>
    <m/>
    <m/>
  </r>
  <r>
    <x v="1118"/>
    <x v="49"/>
    <n v="37939782"/>
    <x v="1826"/>
    <x v="0"/>
    <s v="USA"/>
    <n v="17000000"/>
    <x v="37"/>
    <x v="0"/>
    <s v="Romance"/>
    <m/>
    <m/>
    <m/>
    <m/>
    <m/>
    <m/>
  </r>
  <r>
    <x v="240"/>
    <x v="8"/>
    <n v="37911876"/>
    <x v="1827"/>
    <x v="0"/>
    <s v="USA"/>
    <n v="32000000"/>
    <x v="45"/>
    <x v="4"/>
    <s v="Comedy"/>
    <s v="Crime"/>
    <m/>
    <m/>
    <m/>
    <m/>
    <m/>
  </r>
  <r>
    <x v="402"/>
    <x v="52"/>
    <n v="37901509"/>
    <x v="1828"/>
    <x v="0"/>
    <s v="USA"/>
    <n v="70000000"/>
    <x v="14"/>
    <x v="2"/>
    <s v="Biography"/>
    <s v="Drama"/>
    <s v="History"/>
    <s v="War"/>
    <m/>
    <m/>
    <m/>
  </r>
  <r>
    <x v="1121"/>
    <x v="36"/>
    <n v="37899638"/>
    <x v="1829"/>
    <x v="0"/>
    <s v="USA"/>
    <n v="88000000"/>
    <x v="1"/>
    <x v="4"/>
    <s v="Adventure"/>
    <s v="Comedy"/>
    <s v="Fantasy"/>
    <s v="Thriller"/>
    <m/>
    <m/>
    <m/>
  </r>
  <r>
    <x v="1166"/>
    <x v="4"/>
    <n v="37882551"/>
    <x v="1830"/>
    <x v="0"/>
    <s v="USA"/>
    <n v="16000000"/>
    <x v="21"/>
    <x v="0"/>
    <m/>
    <m/>
    <m/>
    <m/>
    <m/>
    <m/>
    <m/>
  </r>
  <r>
    <x v="22"/>
    <x v="31"/>
    <n v="37879996"/>
    <x v="1831"/>
    <x v="0"/>
    <s v="USA"/>
    <n v="48000000"/>
    <x v="27"/>
    <x v="0"/>
    <s v="Fantasy"/>
    <s v="Romance"/>
    <m/>
    <m/>
    <m/>
    <m/>
    <m/>
  </r>
  <r>
    <x v="1167"/>
    <x v="61"/>
    <n v="37877959"/>
    <x v="1832"/>
    <x v="0"/>
    <s v="USA"/>
    <n v="15000000"/>
    <x v="6"/>
    <x v="2"/>
    <s v="Biography"/>
    <s v="Drama"/>
    <m/>
    <m/>
    <m/>
    <m/>
    <m/>
  </r>
  <r>
    <x v="1168"/>
    <x v="13"/>
    <n v="37788228"/>
    <x v="1833"/>
    <x v="0"/>
    <s v="USA"/>
    <n v="35200000"/>
    <x v="18"/>
    <x v="0"/>
    <m/>
    <m/>
    <m/>
    <m/>
    <m/>
    <m/>
    <m/>
  </r>
  <r>
    <x v="1169"/>
    <x v="28"/>
    <n v="37766350"/>
    <x v="1834"/>
    <x v="0"/>
    <s v="USA"/>
    <n v="11000000"/>
    <x v="4"/>
    <x v="3"/>
    <m/>
    <m/>
    <m/>
    <m/>
    <m/>
    <m/>
    <m/>
  </r>
  <r>
    <x v="1170"/>
    <x v="40"/>
    <n v="37760080"/>
    <x v="1835"/>
    <x v="0"/>
    <s v="USA"/>
    <n v="70000000"/>
    <x v="0"/>
    <x v="4"/>
    <s v="Adventure"/>
    <s v="Mystery"/>
    <s v="Sci-Fi"/>
    <s v="Thriller"/>
    <m/>
    <m/>
    <m/>
  </r>
  <r>
    <x v="218"/>
    <x v="40"/>
    <n v="37754208"/>
    <x v="1836"/>
    <x v="0"/>
    <s v="USA"/>
    <n v="70000000"/>
    <x v="2"/>
    <x v="4"/>
    <s v="Comedy"/>
    <s v="Sci-Fi"/>
    <m/>
    <m/>
    <m/>
    <m/>
    <m/>
  </r>
  <r>
    <x v="1171"/>
    <x v="18"/>
    <n v="37752931"/>
    <x v="1837"/>
    <x v="0"/>
    <s v="USA"/>
    <n v="40000000"/>
    <x v="3"/>
    <x v="3"/>
    <s v="Romance"/>
    <m/>
    <m/>
    <m/>
    <m/>
    <m/>
    <m/>
  </r>
  <r>
    <x v="1172"/>
    <x v="64"/>
    <n v="37738400"/>
    <x v="1838"/>
    <x v="0"/>
    <s v="USA"/>
    <n v="25000000"/>
    <x v="4"/>
    <x v="3"/>
    <m/>
    <m/>
    <m/>
    <m/>
    <m/>
    <m/>
    <m/>
  </r>
  <r>
    <x v="107"/>
    <x v="6"/>
    <n v="37721949"/>
    <x v="1839"/>
    <x v="0"/>
    <s v="USA"/>
    <n v="39751583.5"/>
    <x v="27"/>
    <x v="3"/>
    <m/>
    <m/>
    <m/>
    <m/>
    <m/>
    <m/>
    <m/>
  </r>
  <r>
    <x v="346"/>
    <x v="1"/>
    <n v="37707719"/>
    <x v="1840"/>
    <x v="0"/>
    <s v="UK"/>
    <n v="12000000"/>
    <x v="17"/>
    <x v="6"/>
    <s v="Drama"/>
    <m/>
    <m/>
    <m/>
    <m/>
    <m/>
    <m/>
  </r>
  <r>
    <x v="251"/>
    <x v="55"/>
    <n v="37672350"/>
    <x v="1841"/>
    <x v="0"/>
    <s v="USA"/>
    <n v="20000000"/>
    <x v="3"/>
    <x v="0"/>
    <s v="Drama"/>
    <s v="Romance"/>
    <m/>
    <m/>
    <m/>
    <m/>
    <m/>
  </r>
  <r>
    <x v="1173"/>
    <x v="41"/>
    <n v="37652565"/>
    <x v="1842"/>
    <x v="0"/>
    <s v="USA"/>
    <n v="42000000"/>
    <x v="18"/>
    <x v="8"/>
    <s v="Horror"/>
    <s v="Mystery"/>
    <s v="Thriller"/>
    <m/>
    <m/>
    <m/>
    <m/>
  </r>
  <r>
    <x v="157"/>
    <x v="48"/>
    <n v="37623143"/>
    <x v="1843"/>
    <x v="16"/>
    <s v="Spain"/>
    <n v="13500000"/>
    <x v="40"/>
    <x v="3"/>
    <s v="Fantasy"/>
    <s v="War"/>
    <m/>
    <m/>
    <m/>
    <m/>
    <m/>
  </r>
  <r>
    <x v="1173"/>
    <x v="43"/>
    <n v="37617947"/>
    <x v="1844"/>
    <x v="0"/>
    <s v="USA"/>
    <n v="30000000"/>
    <x v="9"/>
    <x v="3"/>
    <s v="Family"/>
    <s v="Fantasy"/>
    <m/>
    <m/>
    <m/>
    <m/>
    <m/>
  </r>
  <r>
    <x v="343"/>
    <x v="16"/>
    <n v="37600435"/>
    <x v="1845"/>
    <x v="0"/>
    <s v="USA"/>
    <n v="55000000"/>
    <x v="1"/>
    <x v="4"/>
    <s v="Adventure"/>
    <s v="Romance"/>
    <s v="Thriller"/>
    <m/>
    <m/>
    <m/>
    <m/>
  </r>
  <r>
    <x v="627"/>
    <x v="2"/>
    <n v="37567440"/>
    <x v="1846"/>
    <x v="0"/>
    <s v="USA"/>
    <n v="20000000"/>
    <x v="26"/>
    <x v="2"/>
    <s v="Fantasy"/>
    <m/>
    <m/>
    <m/>
    <m/>
    <m/>
    <m/>
  </r>
  <r>
    <x v="627"/>
    <x v="2"/>
    <n v="37567440"/>
    <x v="1846"/>
    <x v="0"/>
    <s v="USA"/>
    <n v="20000000"/>
    <x v="26"/>
    <x v="2"/>
    <s v="Fantasy"/>
    <m/>
    <m/>
    <m/>
    <m/>
    <m/>
    <m/>
  </r>
  <r>
    <x v="1174"/>
    <x v="54"/>
    <n v="37566230"/>
    <x v="1847"/>
    <x v="0"/>
    <s v="USA"/>
    <n v="17000000"/>
    <x v="33"/>
    <x v="0"/>
    <s v="Drama"/>
    <s v="Family"/>
    <s v="Fantasy"/>
    <s v="Sci-Fi"/>
    <m/>
    <m/>
    <m/>
  </r>
  <r>
    <x v="1175"/>
    <x v="17"/>
    <n v="37553932"/>
    <x v="1848"/>
    <x v="0"/>
    <s v="USA"/>
    <n v="40000000"/>
    <x v="15"/>
    <x v="4"/>
    <s v="Sci-Fi"/>
    <s v="Thriller"/>
    <m/>
    <m/>
    <m/>
    <m/>
    <m/>
  </r>
  <r>
    <x v="455"/>
    <x v="51"/>
    <n v="37516013"/>
    <x v="1849"/>
    <x v="0"/>
    <s v="USA"/>
    <n v="69000000"/>
    <x v="1"/>
    <x v="4"/>
    <s v="Fantasy"/>
    <s v="Horror"/>
    <m/>
    <m/>
    <m/>
    <m/>
    <m/>
  </r>
  <r>
    <x v="11"/>
    <x v="5"/>
    <n v="37486138"/>
    <x v="1850"/>
    <x v="0"/>
    <s v="USA"/>
    <n v="50000000"/>
    <x v="27"/>
    <x v="0"/>
    <s v="Drama"/>
    <s v="Romance"/>
    <m/>
    <m/>
    <m/>
    <m/>
    <m/>
  </r>
  <r>
    <x v="1176"/>
    <x v="44"/>
    <n v="37481242"/>
    <x v="1851"/>
    <x v="0"/>
    <s v="USA"/>
    <n v="35000000"/>
    <x v="48"/>
    <x v="0"/>
    <s v="Romance"/>
    <m/>
    <m/>
    <m/>
    <m/>
    <m/>
    <m/>
  </r>
  <r>
    <x v="54"/>
    <x v="16"/>
    <n v="37479778"/>
    <x v="1852"/>
    <x v="0"/>
    <s v="USA"/>
    <n v="60000000"/>
    <x v="7"/>
    <x v="6"/>
    <s v="Drama"/>
    <s v="History"/>
    <s v="Sport"/>
    <m/>
    <m/>
    <m/>
    <m/>
  </r>
  <r>
    <x v="1177"/>
    <x v="10"/>
    <n v="37470017"/>
    <x v="1853"/>
    <x v="0"/>
    <s v="Germany"/>
    <n v="10000000"/>
    <x v="0"/>
    <x v="1"/>
    <s v="Mystery"/>
    <m/>
    <m/>
    <m/>
    <m/>
    <m/>
    <m/>
  </r>
  <r>
    <x v="147"/>
    <x v="61"/>
    <n v="37442180"/>
    <x v="1854"/>
    <x v="0"/>
    <s v="USA"/>
    <n v="20000000"/>
    <x v="8"/>
    <x v="0"/>
    <s v="Drama"/>
    <s v="Romance"/>
    <s v="Thriller"/>
    <m/>
    <m/>
    <m/>
    <m/>
  </r>
  <r>
    <x v="438"/>
    <x v="15"/>
    <n v="37432299"/>
    <x v="1855"/>
    <x v="0"/>
    <s v="USA"/>
    <n v="34000000"/>
    <x v="6"/>
    <x v="3"/>
    <s v="Romance"/>
    <m/>
    <m/>
    <m/>
    <m/>
    <m/>
    <m/>
  </r>
  <r>
    <x v="1178"/>
    <x v="17"/>
    <n v="37371385"/>
    <x v="1856"/>
    <x v="0"/>
    <s v="USA"/>
    <n v="40000000"/>
    <x v="14"/>
    <x v="2"/>
    <s v="Comedy"/>
    <s v="Sci-Fi"/>
    <m/>
    <m/>
    <m/>
    <m/>
    <m/>
  </r>
  <r>
    <x v="199"/>
    <x v="21"/>
    <n v="37339525"/>
    <x v="1857"/>
    <x v="0"/>
    <s v="USA"/>
    <n v="48000000"/>
    <x v="14"/>
    <x v="5"/>
    <s v="Drama"/>
    <s v="Romance"/>
    <s v="Thriller"/>
    <m/>
    <m/>
    <m/>
    <m/>
  </r>
  <r>
    <x v="54"/>
    <x v="82"/>
    <n v="37304950"/>
    <x v="1858"/>
    <x v="0"/>
    <s v="USA"/>
    <n v="35000000"/>
    <x v="24"/>
    <x v="6"/>
    <s v="Crime"/>
    <s v="Drama"/>
    <m/>
    <m/>
    <m/>
    <m/>
    <m/>
  </r>
  <r>
    <x v="1179"/>
    <x v="50"/>
    <n v="37300107"/>
    <x v="1859"/>
    <x v="0"/>
    <s v="USA"/>
    <n v="16000000"/>
    <x v="46"/>
    <x v="3"/>
    <s v="Horror"/>
    <s v="Thriller"/>
    <m/>
    <m/>
    <m/>
    <m/>
    <m/>
  </r>
  <r>
    <x v="1180"/>
    <x v="48"/>
    <n v="37295394"/>
    <x v="1860"/>
    <x v="0"/>
    <s v="USA"/>
    <n v="6600000"/>
    <x v="21"/>
    <x v="0"/>
    <s v="Drama"/>
    <m/>
    <m/>
    <m/>
    <m/>
    <m/>
    <m/>
  </r>
  <r>
    <x v="1181"/>
    <x v="31"/>
    <n v="37188667"/>
    <x v="1861"/>
    <x v="0"/>
    <s v="USA"/>
    <n v="12000000"/>
    <x v="68"/>
    <x v="0"/>
    <s v="Drama"/>
    <m/>
    <m/>
    <m/>
    <m/>
    <m/>
    <m/>
  </r>
  <r>
    <x v="189"/>
    <x v="13"/>
    <n v="37101011"/>
    <x v="1862"/>
    <x v="0"/>
    <s v="USA"/>
    <n v="40000000"/>
    <x v="19"/>
    <x v="0"/>
    <s v="Drama"/>
    <m/>
    <m/>
    <m/>
    <m/>
    <m/>
    <m/>
  </r>
  <r>
    <x v="203"/>
    <x v="39"/>
    <n v="37053924"/>
    <x v="1863"/>
    <x v="0"/>
    <s v="Germany"/>
    <n v="28000000"/>
    <x v="0"/>
    <x v="4"/>
    <s v="Comedy"/>
    <s v="Crime"/>
    <m/>
    <m/>
    <m/>
    <m/>
    <m/>
  </r>
  <r>
    <x v="1182"/>
    <x v="15"/>
    <n v="37036404"/>
    <x v="1864"/>
    <x v="0"/>
    <s v="USA"/>
    <n v="30000000"/>
    <x v="16"/>
    <x v="0"/>
    <s v="Drama"/>
    <s v="Romance"/>
    <m/>
    <m/>
    <m/>
    <m/>
    <m/>
  </r>
  <r>
    <x v="302"/>
    <x v="36"/>
    <n v="37035845"/>
    <x v="1865"/>
    <x v="0"/>
    <s v="USA"/>
    <n v="52000000"/>
    <x v="16"/>
    <x v="0"/>
    <s v="Fantasy"/>
    <m/>
    <m/>
    <m/>
    <m/>
    <m/>
    <m/>
  </r>
  <r>
    <x v="1183"/>
    <x v="18"/>
    <n v="37035515"/>
    <x v="1866"/>
    <x v="0"/>
    <s v="USA"/>
    <n v="43000000"/>
    <x v="27"/>
    <x v="0"/>
    <s v="Drama"/>
    <m/>
    <m/>
    <m/>
    <m/>
    <m/>
    <m/>
  </r>
  <r>
    <x v="42"/>
    <x v="146"/>
    <n v="37023395"/>
    <x v="1867"/>
    <x v="0"/>
    <s v="USA"/>
    <n v="63000000"/>
    <x v="53"/>
    <x v="3"/>
    <m/>
    <m/>
    <m/>
    <m/>
    <m/>
    <m/>
    <m/>
  </r>
  <r>
    <x v="93"/>
    <x v="20"/>
    <n v="36985501"/>
    <x v="1868"/>
    <x v="0"/>
    <s v="USA"/>
    <n v="26000000"/>
    <x v="34"/>
    <x v="4"/>
    <s v="Adventure"/>
    <s v="Comedy"/>
    <s v="Sci-Fi"/>
    <s v="Thriller"/>
    <m/>
    <m/>
    <m/>
  </r>
  <r>
    <x v="147"/>
    <x v="16"/>
    <n v="36976367"/>
    <x v="1869"/>
    <x v="0"/>
    <s v="USA"/>
    <n v="75000000"/>
    <x v="27"/>
    <x v="3"/>
    <s v="Mystery"/>
    <s v="Sci-Fi"/>
    <s v="Thriller"/>
    <m/>
    <m/>
    <m/>
    <m/>
  </r>
  <r>
    <x v="1184"/>
    <x v="32"/>
    <n v="36965395"/>
    <x v="1870"/>
    <x v="0"/>
    <s v="USA"/>
    <n v="39751583.5"/>
    <x v="6"/>
    <x v="5"/>
    <s v="Drama"/>
    <s v="Mystery"/>
    <s v="Thriller"/>
    <m/>
    <m/>
    <m/>
    <m/>
  </r>
  <r>
    <x v="366"/>
    <x v="12"/>
    <n v="36931089"/>
    <x v="1871"/>
    <x v="0"/>
    <s v="USA"/>
    <n v="70000000"/>
    <x v="37"/>
    <x v="0"/>
    <m/>
    <m/>
    <m/>
    <m/>
    <m/>
    <m/>
    <m/>
  </r>
  <r>
    <x v="195"/>
    <x v="30"/>
    <n v="36883539"/>
    <x v="1872"/>
    <x v="0"/>
    <s v="Germany"/>
    <n v="52000000"/>
    <x v="24"/>
    <x v="4"/>
    <s v="Crime"/>
    <s v="Drama"/>
    <s v="Thriller"/>
    <m/>
    <m/>
    <m/>
    <m/>
  </r>
  <r>
    <x v="369"/>
    <x v="34"/>
    <n v="36874745"/>
    <x v="1873"/>
    <x v="0"/>
    <s v="USA"/>
    <n v="20000000"/>
    <x v="2"/>
    <x v="4"/>
    <s v="Adventure"/>
    <s v="Drama"/>
    <s v="Mystery"/>
    <m/>
    <m/>
    <m/>
    <m/>
  </r>
  <r>
    <x v="1185"/>
    <x v="1"/>
    <n v="36833473"/>
    <x v="1874"/>
    <x v="0"/>
    <s v="France"/>
    <n v="25000000"/>
    <x v="24"/>
    <x v="4"/>
    <s v="Crime"/>
    <s v="Drama"/>
    <s v="Thriller"/>
    <m/>
    <m/>
    <m/>
    <m/>
  </r>
  <r>
    <x v="20"/>
    <x v="20"/>
    <n v="36830057"/>
    <x v="1875"/>
    <x v="0"/>
    <s v="USA"/>
    <n v="65000000"/>
    <x v="35"/>
    <x v="0"/>
    <s v="Family"/>
    <s v="Sci-Fi"/>
    <m/>
    <m/>
    <m/>
    <m/>
    <m/>
  </r>
  <r>
    <x v="158"/>
    <x v="35"/>
    <n v="36733909"/>
    <x v="1876"/>
    <x v="0"/>
    <s v="USA"/>
    <n v="32000000"/>
    <x v="6"/>
    <x v="2"/>
    <s v="Biography"/>
    <s v="Drama"/>
    <s v="Thriller"/>
    <m/>
    <m/>
    <m/>
    <m/>
  </r>
  <r>
    <x v="1186"/>
    <x v="68"/>
    <n v="36696761"/>
    <x v="1877"/>
    <x v="0"/>
    <s v="USA"/>
    <n v="23000000"/>
    <x v="20"/>
    <x v="7"/>
    <s v="Comedy"/>
    <s v="Family"/>
    <s v="Mystery"/>
    <s v="Sci-Fi"/>
    <m/>
    <m/>
    <m/>
  </r>
  <r>
    <x v="114"/>
    <x v="48"/>
    <n v="36665854"/>
    <x v="1878"/>
    <x v="0"/>
    <s v="France"/>
    <n v="40000000"/>
    <x v="16"/>
    <x v="4"/>
    <s v="Crime"/>
    <s v="Drama"/>
    <s v="Thriller"/>
    <m/>
    <m/>
    <m/>
    <m/>
  </r>
  <r>
    <x v="1149"/>
    <x v="68"/>
    <n v="36658108"/>
    <x v="1879"/>
    <x v="0"/>
    <s v="USA"/>
    <n v="20000000"/>
    <x v="55"/>
    <x v="0"/>
    <m/>
    <m/>
    <m/>
    <m/>
    <m/>
    <m/>
    <m/>
  </r>
  <r>
    <x v="377"/>
    <x v="21"/>
    <n v="36581633"/>
    <x v="1880"/>
    <x v="0"/>
    <s v="Germany"/>
    <n v="21000000"/>
    <x v="31"/>
    <x v="6"/>
    <s v="Crime"/>
    <s v="Drama"/>
    <m/>
    <m/>
    <m/>
    <m/>
    <m/>
  </r>
  <r>
    <x v="1187"/>
    <x v="48"/>
    <n v="36500000"/>
    <x v="1881"/>
    <x v="0"/>
    <s v="USA"/>
    <n v="8000000"/>
    <x v="17"/>
    <x v="6"/>
    <s v="Crime"/>
    <s v="Drama"/>
    <m/>
    <m/>
    <m/>
    <m/>
    <m/>
  </r>
  <r>
    <x v="1188"/>
    <x v="55"/>
    <n v="36447959"/>
    <x v="1882"/>
    <x v="0"/>
    <s v="USA"/>
    <n v="25000000"/>
    <x v="14"/>
    <x v="6"/>
    <s v="Drama"/>
    <s v="Sport"/>
    <m/>
    <m/>
    <m/>
    <m/>
    <m/>
  </r>
  <r>
    <x v="807"/>
    <x v="154"/>
    <n v="36385763"/>
    <x v="1883"/>
    <x v="0"/>
    <s v="USA"/>
    <n v="52000000"/>
    <x v="17"/>
    <x v="3"/>
    <s v="War"/>
    <m/>
    <m/>
    <m/>
    <m/>
    <m/>
    <m/>
  </r>
  <r>
    <x v="318"/>
    <x v="15"/>
    <n v="36381716"/>
    <x v="1884"/>
    <x v="0"/>
    <s v="USA"/>
    <n v="82000000"/>
    <x v="0"/>
    <x v="4"/>
    <s v="Fantasy"/>
    <m/>
    <m/>
    <m/>
    <m/>
    <m/>
    <m/>
  </r>
  <r>
    <x v="1189"/>
    <x v="51"/>
    <n v="36310118"/>
    <x v="1885"/>
    <x v="0"/>
    <s v="USA"/>
    <n v="39751583.5"/>
    <x v="3"/>
    <x v="0"/>
    <m/>
    <m/>
    <m/>
    <m/>
    <m/>
    <m/>
    <m/>
  </r>
  <r>
    <x v="9"/>
    <x v="21"/>
    <n v="36283504"/>
    <x v="1886"/>
    <x v="0"/>
    <s v="Germany"/>
    <n v="40000000"/>
    <x v="20"/>
    <x v="12"/>
    <s v="Thriller"/>
    <m/>
    <m/>
    <m/>
    <m/>
    <m/>
    <m/>
  </r>
  <r>
    <x v="1190"/>
    <x v="34"/>
    <n v="36279230"/>
    <x v="1887"/>
    <x v="0"/>
    <s v="USA"/>
    <n v="60000000"/>
    <x v="0"/>
    <x v="4"/>
    <s v="Crime"/>
    <s v="Thriller"/>
    <m/>
    <m/>
    <m/>
    <m/>
    <m/>
  </r>
  <r>
    <x v="785"/>
    <x v="34"/>
    <n v="36200000"/>
    <x v="1888"/>
    <x v="0"/>
    <s v="Australia"/>
    <n v="12305523"/>
    <x v="8"/>
    <x v="4"/>
    <s v="Adventure"/>
    <s v="Sci-Fi"/>
    <s v="Thriller"/>
    <m/>
    <m/>
    <m/>
    <m/>
  </r>
  <r>
    <x v="1191"/>
    <x v="50"/>
    <n v="36200000"/>
    <x v="1889"/>
    <x v="0"/>
    <s v="USA"/>
    <n v="4000000"/>
    <x v="21"/>
    <x v="1"/>
    <s v="Thriller"/>
    <m/>
    <m/>
    <m/>
    <m/>
    <m/>
    <m/>
  </r>
  <r>
    <x v="1192"/>
    <x v="54"/>
    <n v="36073232"/>
    <x v="1890"/>
    <x v="0"/>
    <s v="USA"/>
    <n v="80000000"/>
    <x v="34"/>
    <x v="2"/>
    <s v="Animation"/>
    <s v="Family"/>
    <m/>
    <m/>
    <m/>
    <m/>
    <m/>
  </r>
  <r>
    <x v="164"/>
    <x v="11"/>
    <n v="36064910"/>
    <x v="1891"/>
    <x v="0"/>
    <s v="USA"/>
    <n v="45000000"/>
    <x v="16"/>
    <x v="4"/>
    <s v="Sci-Fi"/>
    <s v="Thriller"/>
    <m/>
    <m/>
    <m/>
    <m/>
    <m/>
  </r>
  <r>
    <x v="25"/>
    <x v="21"/>
    <n v="36049108"/>
    <x v="1892"/>
    <x v="0"/>
    <s v="USA"/>
    <n v="9000000"/>
    <x v="9"/>
    <x v="4"/>
    <s v="Crime"/>
    <s v="Drama"/>
    <s v="Romance"/>
    <s v="Thriller"/>
    <m/>
    <m/>
    <m/>
  </r>
  <r>
    <x v="1193"/>
    <x v="20"/>
    <n v="36037909"/>
    <x v="1893"/>
    <x v="0"/>
    <s v="Germany"/>
    <n v="60000000"/>
    <x v="47"/>
    <x v="0"/>
    <s v="Drama"/>
    <m/>
    <m/>
    <m/>
    <m/>
    <m/>
    <m/>
  </r>
  <r>
    <x v="229"/>
    <x v="48"/>
    <n v="36020063"/>
    <x v="1894"/>
    <x v="0"/>
    <s v="USA"/>
    <n v="22000000"/>
    <x v="24"/>
    <x v="3"/>
    <s v="Thriller"/>
    <m/>
    <m/>
    <m/>
    <m/>
    <m/>
    <m/>
  </r>
  <r>
    <x v="1194"/>
    <x v="74"/>
    <n v="36000000"/>
    <x v="1895"/>
    <x v="0"/>
    <s v="USA"/>
    <n v="5000000"/>
    <x v="9"/>
    <x v="3"/>
    <s v="History"/>
    <m/>
    <m/>
    <m/>
    <m/>
    <m/>
    <m/>
  </r>
  <r>
    <x v="1195"/>
    <x v="142"/>
    <n v="36000000"/>
    <x v="1896"/>
    <x v="0"/>
    <s v="USA"/>
    <n v="4000000"/>
    <x v="15"/>
    <x v="3"/>
    <s v="Family"/>
    <s v="Romance"/>
    <m/>
    <m/>
    <m/>
    <m/>
    <m/>
  </r>
  <r>
    <x v="1196"/>
    <x v="51"/>
    <n v="35990505"/>
    <x v="1897"/>
    <x v="0"/>
    <s v="USA"/>
    <n v="20000000"/>
    <x v="19"/>
    <x v="0"/>
    <s v="Drama"/>
    <s v="Family"/>
    <s v="Romance"/>
    <m/>
    <m/>
    <m/>
    <m/>
  </r>
  <r>
    <x v="134"/>
    <x v="13"/>
    <n v="35927406"/>
    <x v="1898"/>
    <x v="0"/>
    <s v="USA"/>
    <n v="30000000"/>
    <x v="32"/>
    <x v="4"/>
    <s v="Adventure"/>
    <s v="Fantasy"/>
    <s v="Sci-Fi"/>
    <s v="Thriller"/>
    <m/>
    <m/>
    <m/>
  </r>
  <r>
    <x v="1197"/>
    <x v="53"/>
    <n v="35918429"/>
    <x v="1899"/>
    <x v="0"/>
    <s v="USA"/>
    <n v="1700000"/>
    <x v="31"/>
    <x v="5"/>
    <s v="Drama"/>
    <m/>
    <m/>
    <m/>
    <m/>
    <m/>
    <m/>
  </r>
  <r>
    <x v="1198"/>
    <x v="21"/>
    <n v="35887263"/>
    <x v="1900"/>
    <x v="0"/>
    <s v="UK"/>
    <n v="15000000"/>
    <x v="5"/>
    <x v="6"/>
    <s v="Drama"/>
    <s v="Romance"/>
    <m/>
    <m/>
    <m/>
    <m/>
    <m/>
  </r>
  <r>
    <x v="303"/>
    <x v="51"/>
    <n v="35811509"/>
    <x v="1901"/>
    <x v="0"/>
    <s v="Australia"/>
    <n v="5500000"/>
    <x v="5"/>
    <x v="6"/>
    <s v="Drama"/>
    <s v="Music"/>
    <s v="Romance"/>
    <m/>
    <m/>
    <m/>
    <m/>
  </r>
  <r>
    <x v="379"/>
    <x v="0"/>
    <n v="35794166"/>
    <x v="1902"/>
    <x v="0"/>
    <s v="USA"/>
    <n v="10000000"/>
    <x v="27"/>
    <x v="1"/>
    <s v="Mystery"/>
    <s v="Thriller"/>
    <m/>
    <m/>
    <m/>
    <m/>
    <m/>
  </r>
  <r>
    <x v="1199"/>
    <x v="11"/>
    <n v="35754555"/>
    <x v="1903"/>
    <x v="0"/>
    <s v="USA"/>
    <n v="39751583.5"/>
    <x v="9"/>
    <x v="3"/>
    <s v="Sport"/>
    <m/>
    <m/>
    <m/>
    <m/>
    <m/>
    <m/>
  </r>
  <r>
    <x v="54"/>
    <x v="38"/>
    <n v="35707327"/>
    <x v="1904"/>
    <x v="0"/>
    <s v="USA"/>
    <n v="55000000"/>
    <x v="22"/>
    <x v="5"/>
    <s v="Drama"/>
    <s v="Mystery"/>
    <s v="Thriller"/>
    <m/>
    <m/>
    <m/>
    <m/>
  </r>
  <r>
    <x v="398"/>
    <x v="17"/>
    <n v="35635046"/>
    <x v="1905"/>
    <x v="0"/>
    <s v="UK"/>
    <n v="17000000"/>
    <x v="15"/>
    <x v="4"/>
    <s v="Crime"/>
    <s v="Drama"/>
    <s v="Thriller"/>
    <m/>
    <m/>
    <m/>
    <m/>
  </r>
  <r>
    <x v="235"/>
    <x v="49"/>
    <n v="35617599"/>
    <x v="1906"/>
    <x v="0"/>
    <s v="USA"/>
    <n v="45000000"/>
    <x v="1"/>
    <x v="3"/>
    <s v="Family"/>
    <s v="Fantasy"/>
    <m/>
    <m/>
    <m/>
    <m/>
    <m/>
  </r>
  <r>
    <x v="1200"/>
    <x v="51"/>
    <n v="35596227"/>
    <x v="1907"/>
    <x v="0"/>
    <s v="USA"/>
    <n v="20000000"/>
    <x v="2"/>
    <x v="5"/>
    <s v="Drama"/>
    <s v="Thriller"/>
    <m/>
    <m/>
    <m/>
    <m/>
    <m/>
  </r>
  <r>
    <x v="1201"/>
    <x v="1"/>
    <n v="35565975"/>
    <x v="1908"/>
    <x v="0"/>
    <s v="USA"/>
    <n v="30000000"/>
    <x v="0"/>
    <x v="0"/>
    <s v="Drama"/>
    <s v="Romance"/>
    <m/>
    <m/>
    <m/>
    <m/>
    <m/>
  </r>
  <r>
    <x v="1202"/>
    <x v="17"/>
    <n v="35537564"/>
    <x v="1909"/>
    <x v="0"/>
    <s v="USA"/>
    <n v="11500000"/>
    <x v="27"/>
    <x v="0"/>
    <m/>
    <m/>
    <m/>
    <m/>
    <m/>
    <m/>
    <m/>
  </r>
  <r>
    <x v="1203"/>
    <x v="32"/>
    <n v="35422828"/>
    <x v="1910"/>
    <x v="0"/>
    <s v="USA"/>
    <n v="20000000"/>
    <x v="15"/>
    <x v="6"/>
    <s v="Drama"/>
    <s v="Music"/>
    <m/>
    <m/>
    <m/>
    <m/>
    <m/>
  </r>
  <r>
    <x v="405"/>
    <x v="64"/>
    <n v="35400000"/>
    <x v="1911"/>
    <x v="0"/>
    <s v="UK"/>
    <n v="7000000"/>
    <x v="9"/>
    <x v="4"/>
    <s v="Adventure"/>
    <s v="Thriller"/>
    <m/>
    <m/>
    <m/>
    <m/>
    <m/>
  </r>
  <r>
    <x v="403"/>
    <x v="50"/>
    <n v="35385560"/>
    <x v="1912"/>
    <x v="0"/>
    <s v="USA"/>
    <n v="4000000"/>
    <x v="28"/>
    <x v="12"/>
    <s v="Thriller"/>
    <m/>
    <m/>
    <m/>
    <m/>
    <m/>
    <m/>
  </r>
  <r>
    <x v="1204"/>
    <x v="51"/>
    <n v="35324232"/>
    <x v="1913"/>
    <x v="0"/>
    <s v="USA"/>
    <n v="68000000"/>
    <x v="37"/>
    <x v="4"/>
    <s v="Comedy"/>
    <s v="Crime"/>
    <s v="Drama"/>
    <s v="Thriller"/>
    <m/>
    <m/>
    <m/>
  </r>
  <r>
    <x v="218"/>
    <x v="54"/>
    <n v="35287788"/>
    <x v="1914"/>
    <x v="0"/>
    <s v="USA"/>
    <n v="39000000"/>
    <x v="14"/>
    <x v="7"/>
    <s v="Comedy"/>
    <s v="Family"/>
    <s v="Horror"/>
    <s v="Sci-Fi"/>
    <m/>
    <m/>
    <m/>
  </r>
  <r>
    <x v="1205"/>
    <x v="17"/>
    <n v="35286428"/>
    <x v="1915"/>
    <x v="0"/>
    <s v="USA"/>
    <n v="76000000"/>
    <x v="12"/>
    <x v="3"/>
    <s v="Sci-Fi"/>
    <s v="Thriller"/>
    <m/>
    <m/>
    <m/>
    <m/>
    <m/>
  </r>
  <r>
    <x v="1206"/>
    <x v="41"/>
    <n v="35266619"/>
    <x v="1916"/>
    <x v="0"/>
    <s v="USA"/>
    <n v="30000000"/>
    <x v="1"/>
    <x v="3"/>
    <s v="Fantasy"/>
    <s v="Horror"/>
    <m/>
    <m/>
    <m/>
    <m/>
    <m/>
  </r>
  <r>
    <x v="1206"/>
    <x v="41"/>
    <n v="35266619"/>
    <x v="1916"/>
    <x v="0"/>
    <s v="USA"/>
    <n v="30000000"/>
    <x v="1"/>
    <x v="3"/>
    <s v="Fantasy"/>
    <s v="Horror"/>
    <m/>
    <m/>
    <m/>
    <m/>
    <m/>
  </r>
  <r>
    <x v="153"/>
    <x v="10"/>
    <n v="35231365"/>
    <x v="1917"/>
    <x v="0"/>
    <s v="USA"/>
    <n v="60000000"/>
    <x v="58"/>
    <x v="0"/>
    <s v="Family"/>
    <s v="Romance"/>
    <s v="Sci-Fi"/>
    <m/>
    <m/>
    <m/>
    <m/>
  </r>
  <r>
    <x v="1207"/>
    <x v="5"/>
    <n v="35228696"/>
    <x v="1918"/>
    <x v="0"/>
    <s v="USA"/>
    <n v="32000000"/>
    <x v="20"/>
    <x v="3"/>
    <s v="Horror"/>
    <s v="Mystery"/>
    <s v="Thriller"/>
    <m/>
    <m/>
    <m/>
    <m/>
  </r>
  <r>
    <x v="205"/>
    <x v="69"/>
    <n v="35183792"/>
    <x v="1919"/>
    <x v="0"/>
    <s v="USA"/>
    <n v="38000000"/>
    <x v="11"/>
    <x v="6"/>
    <s v="Drama"/>
    <s v="Music"/>
    <s v="Musical"/>
    <m/>
    <m/>
    <m/>
    <m/>
  </r>
  <r>
    <x v="987"/>
    <x v="82"/>
    <n v="35168395"/>
    <x v="1920"/>
    <x v="0"/>
    <s v="USA"/>
    <n v="50000000"/>
    <x v="20"/>
    <x v="3"/>
    <s v="Romance"/>
    <s v="Sport"/>
    <m/>
    <m/>
    <m/>
    <m/>
    <m/>
  </r>
  <r>
    <x v="1177"/>
    <x v="44"/>
    <n v="35143332"/>
    <x v="1921"/>
    <x v="0"/>
    <s v="USA"/>
    <n v="17000000"/>
    <x v="37"/>
    <x v="1"/>
    <m/>
    <m/>
    <m/>
    <m/>
    <m/>
    <m/>
    <m/>
  </r>
  <r>
    <x v="1089"/>
    <x v="41"/>
    <n v="35096190"/>
    <x v="1922"/>
    <x v="0"/>
    <s v="USA"/>
    <n v="60000000"/>
    <x v="2"/>
    <x v="0"/>
    <s v="Crime"/>
    <s v="Romance"/>
    <m/>
    <m/>
    <m/>
    <m/>
    <m/>
  </r>
  <r>
    <x v="240"/>
    <x v="31"/>
    <n v="35092918"/>
    <x v="1923"/>
    <x v="0"/>
    <s v="USA"/>
    <n v="39751583.5"/>
    <x v="35"/>
    <x v="0"/>
    <s v="Family"/>
    <m/>
    <m/>
    <m/>
    <m/>
    <m/>
    <m/>
  </r>
  <r>
    <x v="9"/>
    <x v="1"/>
    <n v="35063732"/>
    <x v="1924"/>
    <x v="0"/>
    <s v="USA"/>
    <n v="32000000"/>
    <x v="16"/>
    <x v="12"/>
    <s v="Thriller"/>
    <m/>
    <m/>
    <m/>
    <m/>
    <m/>
    <m/>
  </r>
  <r>
    <x v="1208"/>
    <x v="4"/>
    <n v="35057332"/>
    <x v="1925"/>
    <x v="0"/>
    <s v="USA"/>
    <n v="33000000"/>
    <x v="20"/>
    <x v="3"/>
    <s v="Music"/>
    <s v="Romance"/>
    <m/>
    <m/>
    <m/>
    <m/>
    <m/>
  </r>
  <r>
    <x v="1209"/>
    <x v="41"/>
    <n v="35054909"/>
    <x v="1926"/>
    <x v="0"/>
    <s v="USA"/>
    <n v="15000000"/>
    <x v="22"/>
    <x v="5"/>
    <s v="Drama"/>
    <m/>
    <m/>
    <m/>
    <m/>
    <m/>
    <m/>
  </r>
  <r>
    <x v="1210"/>
    <x v="10"/>
    <n v="35033759"/>
    <x v="1927"/>
    <x v="0"/>
    <s v="USA"/>
    <n v="19000000"/>
    <x v="2"/>
    <x v="2"/>
    <s v="Comedy"/>
    <m/>
    <m/>
    <m/>
    <m/>
    <m/>
    <m/>
  </r>
  <r>
    <x v="107"/>
    <x v="28"/>
    <n v="35010192"/>
    <x v="1928"/>
    <x v="0"/>
    <s v="USA"/>
    <n v="39751583.5"/>
    <x v="18"/>
    <x v="0"/>
    <s v="Drama"/>
    <s v="Romance"/>
    <m/>
    <m/>
    <m/>
    <m/>
    <m/>
  </r>
  <r>
    <x v="403"/>
    <x v="40"/>
    <n v="35007180"/>
    <x v="1929"/>
    <x v="0"/>
    <s v="USA"/>
    <n v="15000000"/>
    <x v="37"/>
    <x v="4"/>
    <s v="Crime"/>
    <s v="Drama"/>
    <s v="Thriller"/>
    <m/>
    <m/>
    <m/>
    <m/>
  </r>
  <r>
    <x v="1211"/>
    <x v="43"/>
    <n v="35000629"/>
    <x v="1930"/>
    <x v="0"/>
    <s v="USA"/>
    <n v="25000000"/>
    <x v="37"/>
    <x v="0"/>
    <s v="Romance"/>
    <m/>
    <m/>
    <m/>
    <m/>
    <m/>
    <m/>
  </r>
  <r>
    <x v="268"/>
    <x v="41"/>
    <n v="34963967"/>
    <x v="1931"/>
    <x v="0"/>
    <s v="USA"/>
    <n v="8000000"/>
    <x v="5"/>
    <x v="0"/>
    <s v="Drama"/>
    <s v="Romance"/>
    <m/>
    <m/>
    <m/>
    <m/>
    <m/>
  </r>
  <r>
    <x v="1212"/>
    <x v="48"/>
    <n v="34912982"/>
    <x v="1932"/>
    <x v="0"/>
    <s v="USA"/>
    <n v="38000000"/>
    <x v="34"/>
    <x v="4"/>
    <s v="Adventure"/>
    <s v="Sci-Fi"/>
    <s v="Thriller"/>
    <m/>
    <m/>
    <m/>
    <m/>
  </r>
  <r>
    <x v="1213"/>
    <x v="31"/>
    <n v="34872293"/>
    <x v="1933"/>
    <x v="0"/>
    <s v="USA"/>
    <n v="8500000"/>
    <x v="35"/>
    <x v="0"/>
    <s v="Fantasy"/>
    <s v="Horror"/>
    <s v="Thriller"/>
    <m/>
    <m/>
    <m/>
    <m/>
  </r>
  <r>
    <x v="761"/>
    <x v="34"/>
    <n v="34793160"/>
    <x v="1934"/>
    <x v="0"/>
    <s v="USA"/>
    <n v="14000000"/>
    <x v="15"/>
    <x v="2"/>
    <s v="Drama"/>
    <m/>
    <m/>
    <m/>
    <m/>
    <m/>
    <m/>
  </r>
  <r>
    <x v="1214"/>
    <x v="7"/>
    <n v="34746109"/>
    <x v="1935"/>
    <x v="0"/>
    <s v="USA"/>
    <n v="8000000"/>
    <x v="37"/>
    <x v="0"/>
    <s v="Crime"/>
    <s v="Drama"/>
    <s v="Romance"/>
    <s v="Thriller"/>
    <m/>
    <m/>
    <m/>
  </r>
  <r>
    <x v="1215"/>
    <x v="36"/>
    <n v="34703228"/>
    <x v="1936"/>
    <x v="0"/>
    <s v="USA"/>
    <n v="30000000"/>
    <x v="15"/>
    <x v="3"/>
    <s v="Music"/>
    <m/>
    <m/>
    <m/>
    <m/>
    <m/>
    <m/>
  </r>
  <r>
    <x v="346"/>
    <x v="5"/>
    <n v="34700000"/>
    <x v="1937"/>
    <x v="0"/>
    <s v="USA"/>
    <n v="14000000"/>
    <x v="5"/>
    <x v="3"/>
    <s v="Romance"/>
    <m/>
    <m/>
    <m/>
    <m/>
    <m/>
    <m/>
  </r>
  <r>
    <x v="252"/>
    <x v="6"/>
    <n v="34667015"/>
    <x v="1938"/>
    <x v="0"/>
    <s v="UK"/>
    <n v="32000000"/>
    <x v="24"/>
    <x v="4"/>
    <s v="Adventure"/>
    <s v="Thriller"/>
    <m/>
    <m/>
    <m/>
    <m/>
    <m/>
  </r>
  <r>
    <x v="1216"/>
    <x v="8"/>
    <n v="34636443"/>
    <x v="1939"/>
    <x v="0"/>
    <s v="USA"/>
    <n v="52000000"/>
    <x v="24"/>
    <x v="4"/>
    <s v="Crime"/>
    <s v="Drama"/>
    <s v="Mystery"/>
    <s v="Thriller"/>
    <m/>
    <m/>
    <m/>
  </r>
  <r>
    <x v="351"/>
    <x v="43"/>
    <n v="34604054"/>
    <x v="1940"/>
    <x v="0"/>
    <s v="USA"/>
    <n v="30000000"/>
    <x v="19"/>
    <x v="4"/>
    <s v="Crime"/>
    <s v="Drama"/>
    <s v="Thriller"/>
    <m/>
    <m/>
    <m/>
    <m/>
  </r>
  <r>
    <x v="397"/>
    <x v="36"/>
    <n v="34580635"/>
    <x v="1941"/>
    <x v="0"/>
    <s v="UK"/>
    <n v="52000000"/>
    <x v="7"/>
    <x v="6"/>
    <s v="Comedy"/>
    <s v="Drama"/>
    <m/>
    <m/>
    <m/>
    <m/>
    <m/>
  </r>
  <r>
    <x v="307"/>
    <x v="80"/>
    <n v="34566746"/>
    <x v="1942"/>
    <x v="0"/>
    <s v="USA"/>
    <n v="80000000"/>
    <x v="4"/>
    <x v="3"/>
    <s v="History"/>
    <s v="Thriller"/>
    <m/>
    <m/>
    <m/>
    <m/>
    <m/>
  </r>
  <r>
    <x v="653"/>
    <x v="21"/>
    <n v="34543701"/>
    <x v="1943"/>
    <x v="0"/>
    <s v="USA"/>
    <n v="82000000"/>
    <x v="1"/>
    <x v="4"/>
    <s v="Mystery"/>
    <s v="Sci-Fi"/>
    <s v="Thriller"/>
    <m/>
    <m/>
    <m/>
    <m/>
  </r>
  <r>
    <x v="1217"/>
    <x v="21"/>
    <n v="34531832"/>
    <x v="1944"/>
    <x v="0"/>
    <s v="UK"/>
    <n v="35000000"/>
    <x v="6"/>
    <x v="6"/>
    <s v="Drama"/>
    <s v="Sport"/>
    <m/>
    <m/>
    <m/>
    <m/>
    <m/>
  </r>
  <r>
    <x v="1055"/>
    <x v="2"/>
    <n v="34522221"/>
    <x v="1945"/>
    <x v="0"/>
    <s v="USA"/>
    <n v="2000000"/>
    <x v="14"/>
    <x v="3"/>
    <m/>
    <m/>
    <m/>
    <m/>
    <m/>
    <m/>
    <m/>
  </r>
  <r>
    <x v="189"/>
    <x v="54"/>
    <n v="34507079"/>
    <x v="1946"/>
    <x v="0"/>
    <s v="USA"/>
    <n v="35000000"/>
    <x v="33"/>
    <x v="4"/>
    <s v="Comedy"/>
    <s v="Crime"/>
    <m/>
    <m/>
    <m/>
    <m/>
    <m/>
  </r>
  <r>
    <x v="1218"/>
    <x v="17"/>
    <n v="34468224"/>
    <x v="1947"/>
    <x v="0"/>
    <s v="USA"/>
    <n v="4500000"/>
    <x v="4"/>
    <x v="6"/>
    <s v="Crime"/>
    <s v="Drama"/>
    <s v="Thriller"/>
    <m/>
    <m/>
    <m/>
    <m/>
  </r>
  <r>
    <x v="1219"/>
    <x v="30"/>
    <n v="34350553"/>
    <x v="1948"/>
    <x v="0"/>
    <s v="USA"/>
    <n v="68000000"/>
    <x v="21"/>
    <x v="4"/>
    <s v="Comedy"/>
    <s v="Sci-Fi"/>
    <m/>
    <m/>
    <m/>
    <m/>
    <m/>
  </r>
  <r>
    <x v="1219"/>
    <x v="30"/>
    <n v="34350553"/>
    <x v="1948"/>
    <x v="0"/>
    <s v="USA"/>
    <n v="68000000"/>
    <x v="21"/>
    <x v="4"/>
    <s v="Comedy"/>
    <s v="Sci-Fi"/>
    <m/>
    <m/>
    <m/>
    <m/>
    <m/>
  </r>
  <r>
    <x v="329"/>
    <x v="22"/>
    <n v="34334256"/>
    <x v="1949"/>
    <x v="0"/>
    <s v="USA"/>
    <n v="11000000"/>
    <x v="46"/>
    <x v="1"/>
    <s v="Thriller"/>
    <m/>
    <m/>
    <m/>
    <m/>
    <m/>
    <m/>
  </r>
  <r>
    <x v="240"/>
    <x v="89"/>
    <n v="34308901"/>
    <x v="1950"/>
    <x v="0"/>
    <s v="USA"/>
    <n v="16000000"/>
    <x v="33"/>
    <x v="0"/>
    <s v="Crime"/>
    <m/>
    <m/>
    <m/>
    <m/>
    <m/>
    <m/>
  </r>
  <r>
    <x v="1122"/>
    <x v="66"/>
    <n v="34300771"/>
    <x v="1951"/>
    <x v="0"/>
    <s v="France"/>
    <n v="25000000"/>
    <x v="31"/>
    <x v="3"/>
    <m/>
    <m/>
    <m/>
    <m/>
    <m/>
    <m/>
    <m/>
  </r>
  <r>
    <x v="68"/>
    <x v="18"/>
    <n v="34290142"/>
    <x v="1952"/>
    <x v="0"/>
    <s v="USA"/>
    <n v="19800000"/>
    <x v="24"/>
    <x v="0"/>
    <s v="Drama"/>
    <m/>
    <m/>
    <m/>
    <m/>
    <m/>
    <m/>
  </r>
  <r>
    <x v="648"/>
    <x v="20"/>
    <n v="34238611"/>
    <x v="1953"/>
    <x v="0"/>
    <s v="USA"/>
    <n v="55000000"/>
    <x v="27"/>
    <x v="4"/>
    <s v="Crime"/>
    <s v="Drama"/>
    <s v="Thriller"/>
    <m/>
    <m/>
    <m/>
    <m/>
  </r>
  <r>
    <x v="1130"/>
    <x v="55"/>
    <n v="34180954"/>
    <x v="1954"/>
    <x v="0"/>
    <s v="USA"/>
    <n v="32000000"/>
    <x v="17"/>
    <x v="3"/>
    <s v="Romance"/>
    <m/>
    <m/>
    <m/>
    <m/>
    <m/>
    <m/>
  </r>
  <r>
    <x v="1220"/>
    <x v="7"/>
    <n v="34126138"/>
    <x v="1955"/>
    <x v="0"/>
    <s v="USA"/>
    <n v="20000000"/>
    <x v="25"/>
    <x v="3"/>
    <s v="Fantasy"/>
    <s v="Romance"/>
    <s v="Sci-Fi"/>
    <m/>
    <m/>
    <m/>
    <m/>
  </r>
  <r>
    <x v="212"/>
    <x v="13"/>
    <n v="34099640"/>
    <x v="1956"/>
    <x v="0"/>
    <s v="USA"/>
    <n v="5000000"/>
    <x v="14"/>
    <x v="3"/>
    <s v="Family"/>
    <s v="Sport"/>
    <m/>
    <m/>
    <m/>
    <m/>
    <m/>
  </r>
  <r>
    <x v="30"/>
    <x v="59"/>
    <n v="34098563"/>
    <x v="1957"/>
    <x v="0"/>
    <s v="USA"/>
    <n v="55000000"/>
    <x v="20"/>
    <x v="3"/>
    <s v="Thriller"/>
    <m/>
    <m/>
    <m/>
    <m/>
    <m/>
    <m/>
  </r>
  <r>
    <x v="237"/>
    <x v="35"/>
    <n v="34074895"/>
    <x v="1958"/>
    <x v="0"/>
    <s v="USA"/>
    <n v="9000000"/>
    <x v="15"/>
    <x v="0"/>
    <s v="Drama"/>
    <m/>
    <m/>
    <m/>
    <m/>
    <m/>
    <m/>
  </r>
  <r>
    <x v="1221"/>
    <x v="43"/>
    <n v="34017854"/>
    <x v="1959"/>
    <x v="0"/>
    <s v="USA"/>
    <n v="8500000"/>
    <x v="20"/>
    <x v="0"/>
    <m/>
    <m/>
    <m/>
    <m/>
    <m/>
    <m/>
    <m/>
  </r>
  <r>
    <x v="267"/>
    <x v="51"/>
    <n v="34014398"/>
    <x v="1960"/>
    <x v="0"/>
    <s v="Germany"/>
    <n v="33000000"/>
    <x v="37"/>
    <x v="4"/>
    <s v="Adventure"/>
    <s v="Crime"/>
    <s v="Drama"/>
    <s v="Thriller"/>
    <m/>
    <m/>
    <m/>
  </r>
  <r>
    <x v="267"/>
    <x v="51"/>
    <n v="34014398"/>
    <x v="1960"/>
    <x v="0"/>
    <s v="Germany"/>
    <n v="33000000"/>
    <x v="37"/>
    <x v="4"/>
    <s v="Adventure"/>
    <s v="Crime"/>
    <s v="Drama"/>
    <s v="Thriller"/>
    <m/>
    <m/>
    <m/>
  </r>
  <r>
    <x v="263"/>
    <x v="1"/>
    <n v="33987757"/>
    <x v="1961"/>
    <x v="0"/>
    <s v="USA"/>
    <n v="27000000"/>
    <x v="4"/>
    <x v="3"/>
    <s v="Romance"/>
    <m/>
    <m/>
    <m/>
    <m/>
    <m/>
    <m/>
  </r>
  <r>
    <x v="259"/>
    <x v="28"/>
    <n v="33927476"/>
    <x v="1962"/>
    <x v="0"/>
    <s v="UK"/>
    <n v="40000000"/>
    <x v="21"/>
    <x v="1"/>
    <s v="Mystery"/>
    <s v="Sci-Fi"/>
    <s v="Thriller"/>
    <m/>
    <m/>
    <m/>
    <m/>
  </r>
  <r>
    <x v="1222"/>
    <x v="30"/>
    <n v="33864342"/>
    <x v="1963"/>
    <x v="0"/>
    <s v="UK"/>
    <n v="40000000"/>
    <x v="19"/>
    <x v="0"/>
    <s v="Crime"/>
    <s v="Romance"/>
    <m/>
    <m/>
    <m/>
    <m/>
    <m/>
  </r>
  <r>
    <x v="1223"/>
    <x v="4"/>
    <n v="33860010"/>
    <x v="1964"/>
    <x v="0"/>
    <s v="USA"/>
    <n v="15000000"/>
    <x v="46"/>
    <x v="0"/>
    <s v="Romance"/>
    <m/>
    <m/>
    <m/>
    <m/>
    <m/>
    <m/>
  </r>
  <r>
    <x v="105"/>
    <x v="36"/>
    <n v="33828318"/>
    <x v="1965"/>
    <x v="0"/>
    <s v="USA"/>
    <n v="55000000"/>
    <x v="19"/>
    <x v="0"/>
    <m/>
    <m/>
    <m/>
    <m/>
    <m/>
    <m/>
    <m/>
  </r>
  <r>
    <x v="1224"/>
    <x v="35"/>
    <n v="33771174"/>
    <x v="1966"/>
    <x v="0"/>
    <s v="USA"/>
    <n v="15000000"/>
    <x v="9"/>
    <x v="0"/>
    <s v="Drama"/>
    <s v="Romance"/>
    <m/>
    <m/>
    <m/>
    <m/>
    <m/>
  </r>
  <r>
    <x v="104"/>
    <x v="51"/>
    <n v="33687630"/>
    <x v="1967"/>
    <x v="0"/>
    <s v="USA"/>
    <n v="20000000"/>
    <x v="16"/>
    <x v="0"/>
    <s v="Romance"/>
    <m/>
    <m/>
    <m/>
    <m/>
    <m/>
    <m/>
  </r>
  <r>
    <x v="1225"/>
    <x v="52"/>
    <n v="33685268"/>
    <x v="1968"/>
    <x v="0"/>
    <s v="USA"/>
    <n v="68000000"/>
    <x v="3"/>
    <x v="3"/>
    <s v="Horror"/>
    <s v="Sci-Fi"/>
    <s v="Thriller"/>
    <m/>
    <m/>
    <m/>
    <m/>
  </r>
  <r>
    <x v="1226"/>
    <x v="69"/>
    <n v="33682273"/>
    <x v="1969"/>
    <x v="0"/>
    <s v="USA"/>
    <n v="33000000"/>
    <x v="20"/>
    <x v="4"/>
    <s v="Crime"/>
    <s v="Drama"/>
    <s v="Thriller"/>
    <m/>
    <m/>
    <m/>
    <m/>
  </r>
  <r>
    <x v="115"/>
    <x v="54"/>
    <n v="33643461"/>
    <x v="1970"/>
    <x v="0"/>
    <s v="USA"/>
    <n v="50000000"/>
    <x v="41"/>
    <x v="0"/>
    <s v="Family"/>
    <m/>
    <m/>
    <m/>
    <m/>
    <m/>
    <m/>
  </r>
  <r>
    <x v="1227"/>
    <x v="11"/>
    <n v="33631221"/>
    <x v="1971"/>
    <x v="0"/>
    <s v="USA"/>
    <n v="25000000"/>
    <x v="27"/>
    <x v="5"/>
    <s v="Drama"/>
    <s v="Thriller"/>
    <m/>
    <m/>
    <m/>
    <m/>
    <m/>
  </r>
  <r>
    <x v="1227"/>
    <x v="11"/>
    <n v="33631221"/>
    <x v="1971"/>
    <x v="0"/>
    <s v="USA"/>
    <n v="25000000"/>
    <x v="27"/>
    <x v="5"/>
    <s v="Drama"/>
    <s v="Thriller"/>
    <m/>
    <m/>
    <m/>
    <m/>
    <m/>
  </r>
  <r>
    <x v="1228"/>
    <x v="42"/>
    <n v="33583175"/>
    <x v="1972"/>
    <x v="0"/>
    <s v="USA"/>
    <n v="10000000"/>
    <x v="2"/>
    <x v="1"/>
    <s v="Mystery"/>
    <s v="Thriller"/>
    <m/>
    <m/>
    <m/>
    <m/>
    <m/>
  </r>
  <r>
    <x v="54"/>
    <x v="74"/>
    <n v="33574332"/>
    <x v="1973"/>
    <x v="0"/>
    <s v="USA"/>
    <n v="90000000"/>
    <x v="6"/>
    <x v="3"/>
    <s v="History"/>
    <s v="War"/>
    <m/>
    <m/>
    <m/>
    <m/>
    <m/>
  </r>
  <r>
    <x v="1229"/>
    <x v="2"/>
    <n v="33565375"/>
    <x v="1974"/>
    <x v="0"/>
    <s v="UK"/>
    <n v="15000000"/>
    <x v="31"/>
    <x v="3"/>
    <s v="Mystery"/>
    <s v="Romance"/>
    <s v="Thriller"/>
    <m/>
    <m/>
    <m/>
    <m/>
  </r>
  <r>
    <x v="1134"/>
    <x v="21"/>
    <n v="33508922"/>
    <x v="1975"/>
    <x v="0"/>
    <s v="USA"/>
    <n v="40000000"/>
    <x v="11"/>
    <x v="3"/>
    <m/>
    <m/>
    <m/>
    <m/>
    <m/>
    <m/>
    <m/>
  </r>
  <r>
    <x v="1230"/>
    <x v="4"/>
    <n v="33472850"/>
    <x v="1976"/>
    <x v="0"/>
    <s v="USA"/>
    <n v="55000000"/>
    <x v="19"/>
    <x v="0"/>
    <s v="Sport"/>
    <m/>
    <m/>
    <m/>
    <m/>
    <m/>
    <m/>
  </r>
  <r>
    <x v="1055"/>
    <x v="57"/>
    <n v="33451479"/>
    <x v="1977"/>
    <x v="0"/>
    <s v="USA"/>
    <n v="500000"/>
    <x v="20"/>
    <x v="3"/>
    <s v="Romance"/>
    <m/>
    <m/>
    <m/>
    <m/>
    <m/>
    <m/>
  </r>
  <r>
    <x v="1231"/>
    <x v="30"/>
    <n v="33423521"/>
    <x v="1978"/>
    <x v="0"/>
    <s v="Japan"/>
    <n v="35000000"/>
    <x v="61"/>
    <x v="4"/>
    <s v="Adventure"/>
    <s v="Comedy"/>
    <s v="Thriller"/>
    <m/>
    <m/>
    <m/>
    <m/>
  </r>
  <r>
    <x v="1163"/>
    <x v="13"/>
    <n v="33422806"/>
    <x v="1979"/>
    <x v="0"/>
    <s v="USA"/>
    <n v="50000000"/>
    <x v="46"/>
    <x v="2"/>
    <s v="Comedy"/>
    <s v="Fantasy"/>
    <m/>
    <m/>
    <m/>
    <m/>
    <m/>
  </r>
  <r>
    <x v="1232"/>
    <x v="44"/>
    <n v="33422556"/>
    <x v="1980"/>
    <x v="0"/>
    <s v="USA"/>
    <n v="20000000"/>
    <x v="31"/>
    <x v="3"/>
    <s v="Mystery"/>
    <m/>
    <m/>
    <m/>
    <m/>
    <m/>
    <m/>
  </r>
  <r>
    <x v="335"/>
    <x v="1"/>
    <n v="33404871"/>
    <x v="1981"/>
    <x v="0"/>
    <s v="USA"/>
    <n v="18000000"/>
    <x v="4"/>
    <x v="3"/>
    <m/>
    <m/>
    <m/>
    <m/>
    <m/>
    <m/>
    <m/>
  </r>
  <r>
    <x v="1233"/>
    <x v="5"/>
    <n v="33386128"/>
    <x v="1982"/>
    <x v="0"/>
    <s v="USA"/>
    <n v="15000000"/>
    <x v="35"/>
    <x v="1"/>
    <m/>
    <m/>
    <m/>
    <m/>
    <m/>
    <m/>
    <m/>
  </r>
  <r>
    <x v="240"/>
    <x v="20"/>
    <n v="33357476"/>
    <x v="1983"/>
    <x v="0"/>
    <s v="USA"/>
    <n v="35000000"/>
    <x v="18"/>
    <x v="4"/>
    <s v="Comedy"/>
    <s v="Crime"/>
    <s v="Family"/>
    <m/>
    <m/>
    <m/>
    <m/>
  </r>
  <r>
    <x v="1234"/>
    <x v="54"/>
    <n v="33349949"/>
    <x v="1984"/>
    <x v="0"/>
    <s v="USA"/>
    <n v="2500000"/>
    <x v="33"/>
    <x v="10"/>
    <m/>
    <m/>
    <m/>
    <m/>
    <m/>
    <m/>
    <m/>
  </r>
  <r>
    <x v="136"/>
    <x v="64"/>
    <n v="33328051"/>
    <x v="1985"/>
    <x v="0"/>
    <s v="USA"/>
    <n v="65000000"/>
    <x v="15"/>
    <x v="4"/>
    <s v="Crime"/>
    <s v="Drama"/>
    <s v="Mystery"/>
    <s v="Thriller"/>
    <m/>
    <m/>
    <m/>
  </r>
  <r>
    <x v="199"/>
    <x v="7"/>
    <n v="33313582"/>
    <x v="1986"/>
    <x v="0"/>
    <s v="USA"/>
    <n v="21000000"/>
    <x v="20"/>
    <x v="0"/>
    <s v="Crime"/>
    <s v="Drama"/>
    <s v="Thriller"/>
    <m/>
    <m/>
    <m/>
    <m/>
  </r>
  <r>
    <x v="1235"/>
    <x v="17"/>
    <n v="33305037"/>
    <x v="1987"/>
    <x v="0"/>
    <s v="UK"/>
    <n v="11000000"/>
    <x v="4"/>
    <x v="6"/>
    <s v="Drama"/>
    <s v="History"/>
    <m/>
    <m/>
    <m/>
    <m/>
    <m/>
  </r>
  <r>
    <x v="1236"/>
    <x v="54"/>
    <n v="33244684"/>
    <x v="1988"/>
    <x v="0"/>
    <s v="USA"/>
    <n v="9000000"/>
    <x v="20"/>
    <x v="8"/>
    <s v="Horror"/>
    <m/>
    <m/>
    <m/>
    <m/>
    <m/>
    <m/>
  </r>
  <r>
    <x v="1070"/>
    <x v="57"/>
    <n v="33201661"/>
    <x v="1989"/>
    <x v="1"/>
    <s v="France"/>
    <n v="77000000"/>
    <x v="39"/>
    <x v="0"/>
    <s v="Romance"/>
    <m/>
    <m/>
    <m/>
    <m/>
    <m/>
    <m/>
  </r>
  <r>
    <x v="1225"/>
    <x v="6"/>
    <n v="33200000"/>
    <x v="1990"/>
    <x v="0"/>
    <s v="USA"/>
    <n v="26000000"/>
    <x v="11"/>
    <x v="4"/>
    <s v="Crime"/>
    <s v="Drama"/>
    <s v="Western"/>
    <m/>
    <m/>
    <m/>
    <m/>
  </r>
  <r>
    <x v="1183"/>
    <x v="0"/>
    <n v="33105600"/>
    <x v="1991"/>
    <x v="0"/>
    <s v="USA"/>
    <n v="70000000"/>
    <x v="18"/>
    <x v="4"/>
    <s v="Adventure"/>
    <s v="Comedy"/>
    <s v="Thriller"/>
    <m/>
    <m/>
    <m/>
    <m/>
  </r>
  <r>
    <x v="65"/>
    <x v="57"/>
    <n v="33071558"/>
    <x v="1992"/>
    <x v="0"/>
    <s v="UK"/>
    <n v="10000000"/>
    <x v="24"/>
    <x v="0"/>
    <s v="Drama"/>
    <m/>
    <m/>
    <m/>
    <m/>
    <m/>
    <m/>
  </r>
  <r>
    <x v="42"/>
    <x v="72"/>
    <n v="33048353"/>
    <x v="1993"/>
    <x v="0"/>
    <s v="USA"/>
    <n v="65000000"/>
    <x v="5"/>
    <x v="5"/>
    <s v="Drama"/>
    <s v="History"/>
    <s v="Mystery"/>
    <s v="Thriller"/>
    <m/>
    <m/>
    <m/>
  </r>
  <r>
    <x v="229"/>
    <x v="58"/>
    <n v="33037754"/>
    <x v="1994"/>
    <x v="0"/>
    <s v="USA"/>
    <n v="37000000"/>
    <x v="27"/>
    <x v="3"/>
    <s v="Horror"/>
    <s v="Mystery"/>
    <s v="Thriller"/>
    <m/>
    <m/>
    <m/>
    <m/>
  </r>
  <r>
    <x v="399"/>
    <x v="4"/>
    <n v="33000377"/>
    <x v="1995"/>
    <x v="0"/>
    <s v="USA"/>
    <n v="28000000"/>
    <x v="35"/>
    <x v="4"/>
    <s v="Fantasy"/>
    <s v="Horror"/>
    <s v="Thriller"/>
    <m/>
    <m/>
    <m/>
    <m/>
  </r>
  <r>
    <x v="803"/>
    <x v="17"/>
    <n v="33000000"/>
    <x v="1996"/>
    <x v="0"/>
    <s v="USA"/>
    <n v="10000000"/>
    <x v="26"/>
    <x v="4"/>
    <s v="Comedy"/>
    <s v="Drama"/>
    <s v="Music"/>
    <m/>
    <m/>
    <m/>
    <m/>
  </r>
  <r>
    <x v="477"/>
    <x v="63"/>
    <n v="32983713"/>
    <x v="1997"/>
    <x v="0"/>
    <s v="USA"/>
    <n v="20000000"/>
    <x v="19"/>
    <x v="0"/>
    <s v="Drama"/>
    <m/>
    <m/>
    <m/>
    <m/>
    <m/>
    <m/>
  </r>
  <r>
    <x v="322"/>
    <x v="11"/>
    <n v="32940507"/>
    <x v="1998"/>
    <x v="0"/>
    <s v="USA"/>
    <n v="60000000"/>
    <x v="0"/>
    <x v="4"/>
    <s v="Crime"/>
    <s v="Drama"/>
    <s v="Thriller"/>
    <m/>
    <m/>
    <m/>
    <m/>
  </r>
  <r>
    <x v="322"/>
    <x v="11"/>
    <n v="32940507"/>
    <x v="1998"/>
    <x v="0"/>
    <s v="USA"/>
    <n v="60000000"/>
    <x v="0"/>
    <x v="4"/>
    <s v="Crime"/>
    <s v="Drama"/>
    <s v="Thriller"/>
    <m/>
    <m/>
    <m/>
    <m/>
  </r>
  <r>
    <x v="403"/>
    <x v="58"/>
    <n v="32885565"/>
    <x v="1999"/>
    <x v="0"/>
    <s v="USA"/>
    <n v="80000000"/>
    <x v="19"/>
    <x v="4"/>
    <s v="Adventure"/>
    <s v="Drama"/>
    <s v="Thriller"/>
    <m/>
    <m/>
    <m/>
    <m/>
  </r>
  <r>
    <x v="326"/>
    <x v="30"/>
    <n v="32853640"/>
    <x v="2000"/>
    <x v="0"/>
    <s v="USA"/>
    <n v="40000000"/>
    <x v="21"/>
    <x v="0"/>
    <s v="Drama"/>
    <m/>
    <m/>
    <m/>
    <m/>
    <m/>
    <m/>
  </r>
  <r>
    <x v="1237"/>
    <x v="24"/>
    <n v="32800000"/>
    <x v="2001"/>
    <x v="0"/>
    <s v="USA"/>
    <n v="40000000"/>
    <x v="49"/>
    <x v="0"/>
    <s v="Crime"/>
    <s v="Drama"/>
    <s v="Thriller"/>
    <m/>
    <m/>
    <m/>
    <m/>
  </r>
  <r>
    <x v="390"/>
    <x v="1"/>
    <n v="32774834"/>
    <x v="2002"/>
    <x v="0"/>
    <s v="USA"/>
    <n v="30000000"/>
    <x v="11"/>
    <x v="4"/>
    <s v="Comedy"/>
    <m/>
    <m/>
    <m/>
    <m/>
    <m/>
    <m/>
  </r>
  <r>
    <x v="54"/>
    <x v="2"/>
    <n v="32741596"/>
    <x v="2003"/>
    <x v="0"/>
    <s v="USA"/>
    <n v="50000000"/>
    <x v="20"/>
    <x v="3"/>
    <s v="Fantasy"/>
    <m/>
    <m/>
    <m/>
    <m/>
    <m/>
    <m/>
  </r>
  <r>
    <x v="1238"/>
    <x v="58"/>
    <n v="32721635"/>
    <x v="2004"/>
    <x v="0"/>
    <s v="USA"/>
    <n v="15000000"/>
    <x v="24"/>
    <x v="5"/>
    <s v="Horror"/>
    <s v="Thriller"/>
    <m/>
    <m/>
    <m/>
    <m/>
    <m/>
  </r>
  <r>
    <x v="1238"/>
    <x v="58"/>
    <n v="32721635"/>
    <x v="2004"/>
    <x v="0"/>
    <s v="USA"/>
    <n v="15000000"/>
    <x v="24"/>
    <x v="5"/>
    <s v="Horror"/>
    <s v="Thriller"/>
    <m/>
    <m/>
    <m/>
    <m/>
    <m/>
  </r>
  <r>
    <x v="1239"/>
    <x v="1"/>
    <n v="32701088"/>
    <x v="2005"/>
    <x v="0"/>
    <s v="USA"/>
    <n v="32000000"/>
    <x v="26"/>
    <x v="3"/>
    <s v="Family"/>
    <s v="Sport"/>
    <m/>
    <m/>
    <m/>
    <m/>
    <m/>
  </r>
  <r>
    <x v="66"/>
    <x v="30"/>
    <n v="32694788"/>
    <x v="2006"/>
    <x v="0"/>
    <s v="USA"/>
    <n v="85000000"/>
    <x v="24"/>
    <x v="4"/>
    <s v="Adventure"/>
    <s v="History"/>
    <m/>
    <m/>
    <m/>
    <m/>
    <m/>
  </r>
  <r>
    <x v="1240"/>
    <x v="61"/>
    <n v="32662299"/>
    <x v="2007"/>
    <x v="0"/>
    <s v="USA"/>
    <n v="24000000"/>
    <x v="26"/>
    <x v="0"/>
    <s v="Drama"/>
    <s v="Romance"/>
    <m/>
    <m/>
    <m/>
    <m/>
    <m/>
  </r>
  <r>
    <x v="84"/>
    <x v="40"/>
    <n v="32645546"/>
    <x v="2008"/>
    <x v="0"/>
    <s v="USA"/>
    <n v="14000000"/>
    <x v="16"/>
    <x v="0"/>
    <s v="Drama"/>
    <s v="Family"/>
    <m/>
    <m/>
    <m/>
    <m/>
    <m/>
  </r>
  <r>
    <x v="136"/>
    <x v="12"/>
    <n v="32616869"/>
    <x v="2009"/>
    <x v="0"/>
    <s v="USA"/>
    <n v="72000000"/>
    <x v="36"/>
    <x v="4"/>
    <s v="Drama"/>
    <s v="Sport"/>
    <m/>
    <m/>
    <m/>
    <m/>
    <m/>
  </r>
  <r>
    <x v="671"/>
    <x v="0"/>
    <n v="32600000"/>
    <x v="2010"/>
    <x v="0"/>
    <s v="USA"/>
    <n v="1800000"/>
    <x v="1"/>
    <x v="1"/>
    <s v="Thriller"/>
    <m/>
    <m/>
    <m/>
    <m/>
    <m/>
    <m/>
  </r>
  <r>
    <x v="208"/>
    <x v="74"/>
    <n v="32598931"/>
    <x v="2011"/>
    <x v="0"/>
    <s v="USA"/>
    <n v="65000000"/>
    <x v="8"/>
    <x v="4"/>
    <s v="Drama"/>
    <s v="Thriller"/>
    <m/>
    <m/>
    <m/>
    <m/>
    <m/>
  </r>
  <r>
    <x v="1241"/>
    <x v="10"/>
    <n v="32553210"/>
    <x v="2012"/>
    <x v="0"/>
    <s v="UK"/>
    <n v="25000000"/>
    <x v="2"/>
    <x v="0"/>
    <s v="Family"/>
    <m/>
    <m/>
    <m/>
    <m/>
    <m/>
    <m/>
  </r>
  <r>
    <x v="679"/>
    <x v="48"/>
    <n v="32541719"/>
    <x v="2013"/>
    <x v="0"/>
    <s v="UK"/>
    <n v="3500159"/>
    <x v="15"/>
    <x v="0"/>
    <s v="Drama"/>
    <s v="Romance"/>
    <s v="Sport"/>
    <m/>
    <m/>
    <m/>
    <m/>
  </r>
  <r>
    <x v="59"/>
    <x v="142"/>
    <n v="32522352"/>
    <x v="2014"/>
    <x v="0"/>
    <s v="USA"/>
    <n v="60000000"/>
    <x v="12"/>
    <x v="2"/>
    <s v="Comedy"/>
    <s v="Drama"/>
    <s v="Music"/>
    <m/>
    <m/>
    <m/>
    <m/>
  </r>
  <r>
    <x v="590"/>
    <x v="37"/>
    <n v="32519322"/>
    <x v="2015"/>
    <x v="0"/>
    <s v="France"/>
    <n v="35000000"/>
    <x v="42"/>
    <x v="6"/>
    <s v="Drama"/>
    <s v="War"/>
    <m/>
    <m/>
    <m/>
    <m/>
    <m/>
  </r>
  <r>
    <x v="1242"/>
    <x v="43"/>
    <n v="32453345"/>
    <x v="2016"/>
    <x v="0"/>
    <s v="USA"/>
    <n v="5000000"/>
    <x v="38"/>
    <x v="8"/>
    <s v="Horror"/>
    <s v="Thriller"/>
    <m/>
    <m/>
    <m/>
    <m/>
    <m/>
  </r>
  <r>
    <x v="1243"/>
    <x v="20"/>
    <n v="32416109"/>
    <x v="2017"/>
    <x v="0"/>
    <s v="USA"/>
    <n v="25000000"/>
    <x v="8"/>
    <x v="0"/>
    <s v="War"/>
    <m/>
    <m/>
    <m/>
    <m/>
    <m/>
    <m/>
  </r>
  <r>
    <x v="1244"/>
    <x v="13"/>
    <n v="32391374"/>
    <x v="2018"/>
    <x v="0"/>
    <s v="USA"/>
    <n v="7500000"/>
    <x v="5"/>
    <x v="0"/>
    <s v="Drama"/>
    <s v="Romance"/>
    <m/>
    <m/>
    <m/>
    <m/>
    <m/>
  </r>
  <r>
    <x v="156"/>
    <x v="56"/>
    <n v="32368960"/>
    <x v="2019"/>
    <x v="0"/>
    <s v="Canada"/>
    <n v="25000000"/>
    <x v="48"/>
    <x v="0"/>
    <s v="Fantasy"/>
    <s v="Horror"/>
    <s v="Romance"/>
    <m/>
    <m/>
    <m/>
    <m/>
  </r>
  <r>
    <x v="265"/>
    <x v="48"/>
    <n v="32357532"/>
    <x v="2020"/>
    <x v="0"/>
    <s v="USA"/>
    <n v="30000000"/>
    <x v="15"/>
    <x v="0"/>
    <s v="Drama"/>
    <s v="Romance"/>
    <m/>
    <m/>
    <m/>
    <m/>
    <m/>
  </r>
  <r>
    <x v="1245"/>
    <x v="56"/>
    <n v="32333860"/>
    <x v="2021"/>
    <x v="21"/>
    <s v="Hong Kong"/>
    <n v="7500000"/>
    <x v="15"/>
    <x v="4"/>
    <s v="Comedy"/>
    <m/>
    <m/>
    <m/>
    <m/>
    <m/>
    <m/>
  </r>
  <r>
    <x v="1246"/>
    <x v="24"/>
    <n v="32279955"/>
    <x v="2022"/>
    <x v="0"/>
    <s v="USA"/>
    <n v="8500000"/>
    <x v="12"/>
    <x v="5"/>
    <s v="Drama"/>
    <s v="Thriller"/>
    <m/>
    <m/>
    <m/>
    <m/>
    <m/>
  </r>
  <r>
    <x v="1247"/>
    <x v="86"/>
    <n v="32230907"/>
    <x v="2023"/>
    <x v="0"/>
    <s v="USA"/>
    <n v="2500000"/>
    <x v="15"/>
    <x v="0"/>
    <s v="Documentary"/>
    <m/>
    <m/>
    <m/>
    <m/>
    <m/>
    <m/>
  </r>
  <r>
    <x v="9"/>
    <x v="0"/>
    <n v="32222567"/>
    <x v="2024"/>
    <x v="0"/>
    <s v="USA"/>
    <n v="39751583.5"/>
    <x v="11"/>
    <x v="0"/>
    <s v="Fantasy"/>
    <s v="Horror"/>
    <m/>
    <m/>
    <m/>
    <m/>
    <m/>
  </r>
  <r>
    <x v="1248"/>
    <x v="54"/>
    <n v="32178777"/>
    <x v="2025"/>
    <x v="0"/>
    <s v="USA"/>
    <n v="62000000"/>
    <x v="61"/>
    <x v="0"/>
    <s v="Romance"/>
    <s v="Sport"/>
    <m/>
    <m/>
    <m/>
    <m/>
    <m/>
  </r>
  <r>
    <x v="199"/>
    <x v="40"/>
    <n v="32154410"/>
    <x v="2026"/>
    <x v="0"/>
    <s v="USA"/>
    <n v="30000000"/>
    <x v="6"/>
    <x v="5"/>
    <s v="Drama"/>
    <s v="Thriller"/>
    <m/>
    <m/>
    <m/>
    <m/>
    <m/>
  </r>
  <r>
    <x v="199"/>
    <x v="40"/>
    <n v="32154410"/>
    <x v="2026"/>
    <x v="0"/>
    <s v="USA"/>
    <n v="30000000"/>
    <x v="6"/>
    <x v="5"/>
    <s v="Drama"/>
    <s v="Thriller"/>
    <m/>
    <m/>
    <m/>
    <m/>
    <m/>
  </r>
  <r>
    <x v="140"/>
    <x v="49"/>
    <n v="32131483"/>
    <x v="2027"/>
    <x v="0"/>
    <s v="USA"/>
    <n v="11000000"/>
    <x v="35"/>
    <x v="1"/>
    <s v="Mystery"/>
    <s v="Thriller"/>
    <m/>
    <m/>
    <m/>
    <m/>
    <m/>
  </r>
  <r>
    <x v="22"/>
    <x v="49"/>
    <n v="32122249"/>
    <x v="2028"/>
    <x v="0"/>
    <s v="USA"/>
    <n v="60000000"/>
    <x v="1"/>
    <x v="0"/>
    <s v="Crime"/>
    <m/>
    <m/>
    <m/>
    <m/>
    <m/>
    <m/>
  </r>
  <r>
    <x v="1249"/>
    <x v="69"/>
    <n v="32101000"/>
    <x v="2029"/>
    <x v="0"/>
    <s v="UK"/>
    <n v="10000000"/>
    <x v="18"/>
    <x v="1"/>
    <s v="Sci-Fi"/>
    <m/>
    <m/>
    <m/>
    <m/>
    <m/>
    <m/>
  </r>
  <r>
    <x v="29"/>
    <x v="20"/>
    <n v="32095318"/>
    <x v="2030"/>
    <x v="0"/>
    <s v="USA"/>
    <n v="45000000"/>
    <x v="3"/>
    <x v="0"/>
    <s v="Crime"/>
    <m/>
    <m/>
    <m/>
    <m/>
    <m/>
    <m/>
  </r>
  <r>
    <x v="419"/>
    <x v="31"/>
    <n v="32055248"/>
    <x v="2031"/>
    <x v="0"/>
    <s v="USA"/>
    <n v="25000000"/>
    <x v="27"/>
    <x v="4"/>
    <s v="Adventure"/>
    <s v="Crime"/>
    <s v="Fantasy"/>
    <s v="Mystery"/>
    <s v="Thriller"/>
    <m/>
    <m/>
  </r>
  <r>
    <x v="119"/>
    <x v="21"/>
    <n v="32051917"/>
    <x v="2032"/>
    <x v="0"/>
    <s v="USA"/>
    <n v="20000000"/>
    <x v="24"/>
    <x v="5"/>
    <s v="Drama"/>
    <s v="Mystery"/>
    <s v="Thriller"/>
    <m/>
    <m/>
    <m/>
    <m/>
  </r>
  <r>
    <x v="97"/>
    <x v="7"/>
    <n v="32048809"/>
    <x v="2033"/>
    <x v="0"/>
    <s v="Australia"/>
    <n v="30000000"/>
    <x v="48"/>
    <x v="1"/>
    <m/>
    <m/>
    <m/>
    <m/>
    <m/>
    <m/>
    <m/>
  </r>
  <r>
    <x v="97"/>
    <x v="7"/>
    <n v="32048809"/>
    <x v="2033"/>
    <x v="0"/>
    <s v="Australia"/>
    <n v="30000000"/>
    <x v="48"/>
    <x v="1"/>
    <m/>
    <m/>
    <m/>
    <m/>
    <m/>
    <m/>
    <m/>
  </r>
  <r>
    <x v="237"/>
    <x v="60"/>
    <n v="32014289"/>
    <x v="2034"/>
    <x v="0"/>
    <s v="USA"/>
    <n v="20000000"/>
    <x v="55"/>
    <x v="0"/>
    <m/>
    <m/>
    <m/>
    <m/>
    <m/>
    <m/>
    <m/>
  </r>
  <r>
    <x v="267"/>
    <x v="20"/>
    <n v="32003620"/>
    <x v="2035"/>
    <x v="0"/>
    <s v="USA"/>
    <n v="25000000"/>
    <x v="20"/>
    <x v="4"/>
    <s v="Crime"/>
    <s v="Thriller"/>
    <m/>
    <m/>
    <m/>
    <m/>
    <m/>
  </r>
  <r>
    <x v="180"/>
    <x v="29"/>
    <n v="32000000"/>
    <x v="2036"/>
    <x v="0"/>
    <s v="USA"/>
    <n v="30000000"/>
    <x v="11"/>
    <x v="3"/>
    <s v="Romance"/>
    <m/>
    <m/>
    <m/>
    <m/>
    <m/>
    <m/>
  </r>
  <r>
    <x v="736"/>
    <x v="7"/>
    <n v="32000000"/>
    <x v="2037"/>
    <x v="0"/>
    <s v="USA"/>
    <n v="806947"/>
    <x v="42"/>
    <x v="1"/>
    <s v="Mystery"/>
    <s v="Thriller"/>
    <m/>
    <m/>
    <m/>
    <m/>
    <m/>
  </r>
  <r>
    <x v="1250"/>
    <x v="17"/>
    <n v="31990064"/>
    <x v="2038"/>
    <x v="0"/>
    <s v="USA"/>
    <n v="12000000"/>
    <x v="16"/>
    <x v="3"/>
    <s v="Mystery"/>
    <s v="Romance"/>
    <m/>
    <m/>
    <m/>
    <m/>
    <m/>
  </r>
  <r>
    <x v="1251"/>
    <x v="48"/>
    <n v="31973840"/>
    <x v="2039"/>
    <x v="0"/>
    <s v="Germany"/>
    <n v="39751583.5"/>
    <x v="11"/>
    <x v="0"/>
    <s v="Drama"/>
    <s v="Romance"/>
    <m/>
    <m/>
    <m/>
    <m/>
    <m/>
  </r>
  <r>
    <x v="1252"/>
    <x v="11"/>
    <n v="31968347"/>
    <x v="2040"/>
    <x v="0"/>
    <s v="USA"/>
    <n v="3600000"/>
    <x v="17"/>
    <x v="3"/>
    <s v="Romance"/>
    <m/>
    <m/>
    <m/>
    <m/>
    <m/>
    <m/>
  </r>
  <r>
    <x v="193"/>
    <x v="44"/>
    <n v="31899000"/>
    <x v="2041"/>
    <x v="0"/>
    <s v="USA"/>
    <n v="6500000"/>
    <x v="6"/>
    <x v="12"/>
    <s v="Romance"/>
    <s v="Thriller"/>
    <m/>
    <m/>
    <m/>
    <m/>
    <m/>
  </r>
  <r>
    <x v="1253"/>
    <x v="61"/>
    <n v="31874869"/>
    <x v="2042"/>
    <x v="0"/>
    <s v="USA"/>
    <n v="50000000"/>
    <x v="0"/>
    <x v="5"/>
    <s v="Mystery"/>
    <s v="Thriller"/>
    <m/>
    <m/>
    <m/>
    <m/>
    <m/>
  </r>
  <r>
    <x v="1253"/>
    <x v="61"/>
    <n v="31874869"/>
    <x v="2042"/>
    <x v="0"/>
    <s v="USA"/>
    <n v="50000000"/>
    <x v="0"/>
    <x v="5"/>
    <s v="Mystery"/>
    <s v="Thriller"/>
    <m/>
    <m/>
    <m/>
    <m/>
    <m/>
  </r>
  <r>
    <x v="395"/>
    <x v="15"/>
    <n v="31838002"/>
    <x v="2043"/>
    <x v="0"/>
    <s v="USA"/>
    <n v="20000000"/>
    <x v="17"/>
    <x v="6"/>
    <s v="Drama"/>
    <s v="History"/>
    <m/>
    <m/>
    <m/>
    <m/>
    <m/>
  </r>
  <r>
    <x v="1130"/>
    <x v="2"/>
    <n v="31836745"/>
    <x v="2044"/>
    <x v="0"/>
    <s v="USA"/>
    <n v="40000000"/>
    <x v="26"/>
    <x v="2"/>
    <s v="Drama"/>
    <s v="Mystery"/>
    <m/>
    <m/>
    <m/>
    <m/>
    <m/>
  </r>
  <r>
    <x v="1191"/>
    <x v="68"/>
    <n v="31768374"/>
    <x v="2045"/>
    <x v="0"/>
    <s v="USA"/>
    <n v="27000000"/>
    <x v="37"/>
    <x v="4"/>
    <s v="Comedy"/>
    <s v="Horror"/>
    <m/>
    <m/>
    <m/>
    <m/>
    <m/>
  </r>
  <r>
    <x v="1254"/>
    <x v="124"/>
    <n v="31743332"/>
    <x v="2046"/>
    <x v="0"/>
    <s v="USA"/>
    <n v="30000000"/>
    <x v="6"/>
    <x v="4"/>
    <s v="Adventure"/>
    <s v="Animation"/>
    <s v="Drama"/>
    <s v="Mystery"/>
    <s v="Sci-Fi"/>
    <s v="Thriller"/>
    <m/>
  </r>
  <r>
    <x v="1228"/>
    <x v="56"/>
    <n v="31691811"/>
    <x v="2047"/>
    <x v="0"/>
    <s v="USA"/>
    <n v="12000000"/>
    <x v="27"/>
    <x v="1"/>
    <s v="Sci-Fi"/>
    <s v="Thriller"/>
    <m/>
    <m/>
    <m/>
    <m/>
    <m/>
  </r>
  <r>
    <x v="410"/>
    <x v="24"/>
    <n v="31670931"/>
    <x v="2048"/>
    <x v="0"/>
    <s v="UK"/>
    <n v="60000000"/>
    <x v="15"/>
    <x v="6"/>
    <s v="Drama"/>
    <s v="Music"/>
    <m/>
    <m/>
    <m/>
    <m/>
    <m/>
  </r>
  <r>
    <x v="1255"/>
    <x v="58"/>
    <n v="31655091"/>
    <x v="2049"/>
    <x v="0"/>
    <s v="USA"/>
    <n v="30000000"/>
    <x v="31"/>
    <x v="3"/>
    <s v="Music"/>
    <m/>
    <m/>
    <m/>
    <m/>
    <m/>
    <m/>
  </r>
  <r>
    <x v="1256"/>
    <x v="43"/>
    <n v="31607598"/>
    <x v="2050"/>
    <x v="0"/>
    <s v="Canada"/>
    <n v="6900000"/>
    <x v="37"/>
    <x v="3"/>
    <s v="Horror"/>
    <s v="Thriller"/>
    <m/>
    <m/>
    <m/>
    <m/>
    <m/>
  </r>
  <r>
    <x v="361"/>
    <x v="29"/>
    <n v="31600000"/>
    <x v="2051"/>
    <x v="0"/>
    <s v="USA"/>
    <n v="28000000"/>
    <x v="26"/>
    <x v="2"/>
    <s v="Biography"/>
    <m/>
    <m/>
    <m/>
    <m/>
    <m/>
    <m/>
  </r>
  <r>
    <x v="80"/>
    <x v="57"/>
    <n v="31598308"/>
    <x v="2052"/>
    <x v="0"/>
    <s v="USA"/>
    <n v="35000000"/>
    <x v="9"/>
    <x v="1"/>
    <s v="Mystery"/>
    <s v="Thriller"/>
    <m/>
    <m/>
    <m/>
    <m/>
    <m/>
  </r>
  <r>
    <x v="1257"/>
    <x v="49"/>
    <n v="31597131"/>
    <x v="2053"/>
    <x v="0"/>
    <s v="USA"/>
    <n v="12000000"/>
    <x v="9"/>
    <x v="3"/>
    <s v="Thriller"/>
    <m/>
    <m/>
    <m/>
    <m/>
    <m/>
    <m/>
  </r>
  <r>
    <x v="1258"/>
    <x v="10"/>
    <n v="31585300"/>
    <x v="2054"/>
    <x v="0"/>
    <s v="USA"/>
    <n v="15000000"/>
    <x v="0"/>
    <x v="0"/>
    <s v="Romance"/>
    <m/>
    <m/>
    <m/>
    <m/>
    <m/>
    <m/>
  </r>
  <r>
    <x v="1259"/>
    <x v="44"/>
    <n v="31584722"/>
    <x v="2055"/>
    <x v="0"/>
    <s v="USA"/>
    <n v="20000000"/>
    <x v="16"/>
    <x v="0"/>
    <s v="Romance"/>
    <m/>
    <m/>
    <m/>
    <m/>
    <m/>
    <m/>
  </r>
  <r>
    <x v="1260"/>
    <x v="35"/>
    <n v="31569268"/>
    <x v="2056"/>
    <x v="0"/>
    <s v="USA"/>
    <n v="49000000"/>
    <x v="26"/>
    <x v="4"/>
    <s v="Crime"/>
    <s v="Drama"/>
    <s v="Sci-Fi"/>
    <s v="Thriller"/>
    <m/>
    <m/>
    <m/>
  </r>
  <r>
    <x v="1261"/>
    <x v="39"/>
    <n v="31537320"/>
    <x v="2057"/>
    <x v="0"/>
    <s v="USA"/>
    <n v="1000000"/>
    <x v="21"/>
    <x v="1"/>
    <s v="Mystery"/>
    <s v="Thriller"/>
    <m/>
    <m/>
    <m/>
    <m/>
    <m/>
  </r>
  <r>
    <x v="1262"/>
    <x v="0"/>
    <n v="31526393"/>
    <x v="2058"/>
    <x v="0"/>
    <s v="USA"/>
    <n v="25000000"/>
    <x v="28"/>
    <x v="4"/>
    <s v="Adventure"/>
    <s v="Horror"/>
    <s v="Thriller"/>
    <m/>
    <m/>
    <m/>
    <m/>
  </r>
  <r>
    <x v="185"/>
    <x v="31"/>
    <n v="31501218"/>
    <x v="2059"/>
    <x v="0"/>
    <s v="USA"/>
    <n v="7500000"/>
    <x v="31"/>
    <x v="6"/>
    <s v="Drama"/>
    <s v="History"/>
    <m/>
    <m/>
    <m/>
    <m/>
    <m/>
  </r>
  <r>
    <x v="1263"/>
    <x v="48"/>
    <n v="31494270"/>
    <x v="2060"/>
    <x v="0"/>
    <s v="USA"/>
    <n v="60000000"/>
    <x v="31"/>
    <x v="4"/>
    <s v="Comedy"/>
    <s v="Fantasy"/>
    <s v="Romance"/>
    <m/>
    <m/>
    <m/>
    <m/>
  </r>
  <r>
    <x v="670"/>
    <x v="49"/>
    <n v="31493782"/>
    <x v="2061"/>
    <x v="0"/>
    <s v="USA"/>
    <n v="32000000"/>
    <x v="31"/>
    <x v="5"/>
    <s v="Drama"/>
    <s v="Thriller"/>
    <m/>
    <m/>
    <m/>
    <m/>
    <m/>
  </r>
  <r>
    <x v="1264"/>
    <x v="10"/>
    <n v="31487293"/>
    <x v="2062"/>
    <x v="0"/>
    <s v="USA"/>
    <n v="9000000"/>
    <x v="15"/>
    <x v="0"/>
    <s v="Drama"/>
    <s v="Music"/>
    <s v="Romance"/>
    <m/>
    <m/>
    <m/>
    <m/>
  </r>
  <r>
    <x v="18"/>
    <x v="11"/>
    <n v="31471430"/>
    <x v="2063"/>
    <x v="0"/>
    <s v="USA"/>
    <n v="15000000"/>
    <x v="17"/>
    <x v="3"/>
    <s v="History"/>
    <s v="Thriller"/>
    <m/>
    <m/>
    <m/>
    <m/>
    <m/>
  </r>
  <r>
    <x v="754"/>
    <x v="43"/>
    <n v="31452765"/>
    <x v="2064"/>
    <x v="0"/>
    <s v="USA"/>
    <n v="24000000"/>
    <x v="24"/>
    <x v="0"/>
    <s v="Romance"/>
    <m/>
    <m/>
    <m/>
    <m/>
    <m/>
    <m/>
  </r>
  <r>
    <x v="1265"/>
    <x v="22"/>
    <n v="31397498"/>
    <x v="2065"/>
    <x v="0"/>
    <s v="USA"/>
    <n v="12000000"/>
    <x v="18"/>
    <x v="1"/>
    <s v="Mystery"/>
    <m/>
    <m/>
    <m/>
    <m/>
    <m/>
    <m/>
  </r>
  <r>
    <x v="396"/>
    <x v="48"/>
    <n v="31252964"/>
    <x v="2066"/>
    <x v="0"/>
    <s v="USA"/>
    <n v="4000000"/>
    <x v="6"/>
    <x v="3"/>
    <s v="Romance"/>
    <m/>
    <m/>
    <m/>
    <m/>
    <m/>
    <m/>
  </r>
  <r>
    <x v="185"/>
    <x v="58"/>
    <n v="31199215"/>
    <x v="2067"/>
    <x v="0"/>
    <s v="USA"/>
    <n v="58000000"/>
    <x v="27"/>
    <x v="0"/>
    <s v="Drama"/>
    <s v="Romance"/>
    <s v="Sport"/>
    <m/>
    <m/>
    <m/>
    <m/>
  </r>
  <r>
    <x v="1266"/>
    <x v="0"/>
    <n v="31179516"/>
    <x v="2068"/>
    <x v="0"/>
    <s v="USA"/>
    <n v="12000000"/>
    <x v="49"/>
    <x v="0"/>
    <m/>
    <m/>
    <m/>
    <m/>
    <m/>
    <m/>
    <m/>
  </r>
  <r>
    <x v="1075"/>
    <x v="19"/>
    <n v="31165421"/>
    <x v="2069"/>
    <x v="0"/>
    <s v="USA"/>
    <n v="60000000"/>
    <x v="27"/>
    <x v="8"/>
    <s v="Horror"/>
    <s v="Mystery"/>
    <s v="Romance"/>
    <m/>
    <m/>
    <m/>
    <m/>
  </r>
  <r>
    <x v="31"/>
    <x v="31"/>
    <n v="31155435"/>
    <x v="2070"/>
    <x v="0"/>
    <s v="USA"/>
    <n v="12000000"/>
    <x v="8"/>
    <x v="0"/>
    <s v="Fantasy"/>
    <m/>
    <m/>
    <m/>
    <m/>
    <m/>
    <m/>
  </r>
  <r>
    <x v="65"/>
    <x v="8"/>
    <n v="31146570"/>
    <x v="2071"/>
    <x v="0"/>
    <s v="USA"/>
    <n v="20000000"/>
    <x v="26"/>
    <x v="3"/>
    <s v="Thriller"/>
    <m/>
    <m/>
    <m/>
    <m/>
    <m/>
    <m/>
  </r>
  <r>
    <x v="281"/>
    <x v="4"/>
    <n v="31136950"/>
    <x v="2072"/>
    <x v="0"/>
    <s v="USA"/>
    <n v="44000000"/>
    <x v="20"/>
    <x v="3"/>
    <s v="Fantasy"/>
    <s v="Romance"/>
    <m/>
    <m/>
    <m/>
    <m/>
    <m/>
  </r>
  <r>
    <x v="119"/>
    <x v="74"/>
    <n v="31111260"/>
    <x v="2073"/>
    <x v="0"/>
    <s v="USA"/>
    <n v="60000000"/>
    <x v="18"/>
    <x v="4"/>
    <s v="Adventure"/>
    <s v="Sci-Fi"/>
    <s v="Thriller"/>
    <m/>
    <m/>
    <m/>
    <m/>
  </r>
  <r>
    <x v="121"/>
    <x v="6"/>
    <n v="31054924"/>
    <x v="2074"/>
    <x v="0"/>
    <s v="USA"/>
    <n v="64000000"/>
    <x v="33"/>
    <x v="3"/>
    <s v="Mystery"/>
    <s v="Romance"/>
    <m/>
    <m/>
    <m/>
    <m/>
    <m/>
  </r>
  <r>
    <x v="21"/>
    <x v="60"/>
    <n v="31051126"/>
    <x v="2075"/>
    <x v="0"/>
    <s v="UK"/>
    <n v="55000000"/>
    <x v="15"/>
    <x v="2"/>
    <s v="Animation"/>
    <s v="Comedy"/>
    <s v="Family"/>
    <m/>
    <m/>
    <m/>
    <m/>
  </r>
  <r>
    <x v="261"/>
    <x v="34"/>
    <n v="30993544"/>
    <x v="2076"/>
    <x v="0"/>
    <s v="USA"/>
    <n v="40000000"/>
    <x v="20"/>
    <x v="0"/>
    <s v="Drama"/>
    <s v="Romance"/>
    <m/>
    <m/>
    <m/>
    <m/>
    <m/>
  </r>
  <r>
    <x v="1267"/>
    <x v="24"/>
    <n v="30981850"/>
    <x v="2077"/>
    <x v="0"/>
    <s v="USA"/>
    <n v="40000000"/>
    <x v="38"/>
    <x v="6"/>
    <s v="Crime"/>
    <s v="Drama"/>
    <s v="Music"/>
    <m/>
    <m/>
    <m/>
    <m/>
  </r>
  <r>
    <x v="1268"/>
    <x v="36"/>
    <n v="30920167"/>
    <x v="2078"/>
    <x v="0"/>
    <s v="USA"/>
    <n v="25000000"/>
    <x v="21"/>
    <x v="0"/>
    <s v="Music"/>
    <m/>
    <m/>
    <m/>
    <m/>
    <m/>
    <m/>
  </r>
  <r>
    <x v="191"/>
    <x v="60"/>
    <n v="30859000"/>
    <x v="2079"/>
    <x v="0"/>
    <s v="USA"/>
    <n v="83532"/>
    <x v="31"/>
    <x v="1"/>
    <s v="Thriller"/>
    <m/>
    <m/>
    <m/>
    <m/>
    <m/>
    <m/>
  </r>
  <r>
    <x v="191"/>
    <x v="60"/>
    <n v="30859000"/>
    <x v="2079"/>
    <x v="0"/>
    <s v="USA"/>
    <n v="83532"/>
    <x v="31"/>
    <x v="1"/>
    <s v="Thriller"/>
    <m/>
    <m/>
    <m/>
    <m/>
    <m/>
    <m/>
  </r>
  <r>
    <x v="87"/>
    <x v="1"/>
    <n v="30857814"/>
    <x v="2080"/>
    <x v="0"/>
    <s v="USA"/>
    <n v="16000000"/>
    <x v="23"/>
    <x v="2"/>
    <s v="Family"/>
    <s v="Fantasy"/>
    <s v="Romance"/>
    <m/>
    <m/>
    <m/>
    <m/>
  </r>
  <r>
    <x v="206"/>
    <x v="59"/>
    <n v="30695227"/>
    <x v="2081"/>
    <x v="0"/>
    <s v="USA"/>
    <n v="60000000"/>
    <x v="15"/>
    <x v="3"/>
    <s v="Fantasy"/>
    <s v="Sport"/>
    <m/>
    <m/>
    <m/>
    <m/>
    <m/>
  </r>
  <r>
    <x v="1129"/>
    <x v="48"/>
    <n v="30691439"/>
    <x v="2082"/>
    <x v="0"/>
    <s v="USA"/>
    <n v="35000000"/>
    <x v="8"/>
    <x v="1"/>
    <s v="Mystery"/>
    <m/>
    <m/>
    <m/>
    <m/>
    <m/>
    <m/>
  </r>
  <r>
    <x v="362"/>
    <x v="21"/>
    <n v="30688364"/>
    <x v="2083"/>
    <x v="0"/>
    <s v="USA"/>
    <n v="28000000"/>
    <x v="8"/>
    <x v="4"/>
    <s v="Drama"/>
    <s v="Thriller"/>
    <m/>
    <m/>
    <m/>
    <m/>
    <m/>
  </r>
  <r>
    <x v="249"/>
    <x v="18"/>
    <n v="30669413"/>
    <x v="2084"/>
    <x v="0"/>
    <s v="USA"/>
    <n v="35000000"/>
    <x v="8"/>
    <x v="4"/>
    <s v="Horror"/>
    <s v="Sci-Fi"/>
    <m/>
    <m/>
    <m/>
    <m/>
    <m/>
  </r>
  <r>
    <x v="1269"/>
    <x v="51"/>
    <n v="30659817"/>
    <x v="2085"/>
    <x v="0"/>
    <s v="USA"/>
    <n v="26000000"/>
    <x v="16"/>
    <x v="0"/>
    <s v="Drama"/>
    <m/>
    <m/>
    <m/>
    <m/>
    <m/>
    <m/>
  </r>
  <r>
    <x v="754"/>
    <x v="19"/>
    <n v="30651422"/>
    <x v="2086"/>
    <x v="0"/>
    <s v="USA"/>
    <n v="10000000"/>
    <x v="7"/>
    <x v="2"/>
    <s v="Comedy"/>
    <s v="Drama"/>
    <s v="Fantasy"/>
    <m/>
    <m/>
    <m/>
    <m/>
  </r>
  <r>
    <x v="1270"/>
    <x v="81"/>
    <n v="30628981"/>
    <x v="2087"/>
    <x v="0"/>
    <s v="USA"/>
    <n v="14000000"/>
    <x v="38"/>
    <x v="0"/>
    <s v="Romance"/>
    <m/>
    <m/>
    <m/>
    <m/>
    <m/>
    <m/>
  </r>
  <r>
    <x v="120"/>
    <x v="54"/>
    <n v="30538669"/>
    <x v="2088"/>
    <x v="0"/>
    <s v="USA"/>
    <n v="39751583.5"/>
    <x v="21"/>
    <x v="0"/>
    <m/>
    <m/>
    <m/>
    <m/>
    <m/>
    <m/>
    <m/>
  </r>
  <r>
    <x v="179"/>
    <x v="36"/>
    <n v="30523568"/>
    <x v="2089"/>
    <x v="0"/>
    <s v="USA"/>
    <n v="30000000"/>
    <x v="8"/>
    <x v="1"/>
    <s v="Mystery"/>
    <s v="Thriller"/>
    <m/>
    <m/>
    <m/>
    <m/>
    <m/>
  </r>
  <r>
    <x v="1271"/>
    <x v="29"/>
    <n v="30513940"/>
    <x v="2090"/>
    <x v="0"/>
    <s v="USA"/>
    <n v="30000000"/>
    <x v="26"/>
    <x v="6"/>
    <s v="Drama"/>
    <s v="Music"/>
    <m/>
    <m/>
    <m/>
    <m/>
    <m/>
  </r>
  <r>
    <x v="1272"/>
    <x v="124"/>
    <n v="30500882"/>
    <x v="2091"/>
    <x v="0"/>
    <s v="USA"/>
    <n v="500000"/>
    <x v="21"/>
    <x v="2"/>
    <s v="Biography"/>
    <s v="Drama"/>
    <s v="Horror"/>
    <s v="Thriller"/>
    <m/>
    <m/>
    <m/>
  </r>
  <r>
    <x v="332"/>
    <x v="31"/>
    <n v="30400000"/>
    <x v="2092"/>
    <x v="0"/>
    <s v="USA"/>
    <n v="39000000"/>
    <x v="21"/>
    <x v="0"/>
    <m/>
    <m/>
    <m/>
    <m/>
    <m/>
    <m/>
    <m/>
  </r>
  <r>
    <x v="211"/>
    <x v="33"/>
    <n v="30400000"/>
    <x v="2093"/>
    <x v="0"/>
    <s v="UK"/>
    <n v="12000000"/>
    <x v="24"/>
    <x v="3"/>
    <s v="Musical"/>
    <s v="Romance"/>
    <m/>
    <m/>
    <m/>
    <m/>
    <m/>
  </r>
  <r>
    <x v="1273"/>
    <x v="68"/>
    <n v="30324946"/>
    <x v="2094"/>
    <x v="0"/>
    <s v="USA"/>
    <n v="17000000"/>
    <x v="8"/>
    <x v="0"/>
    <s v="Music"/>
    <s v="Romance"/>
    <m/>
    <m/>
    <m/>
    <m/>
    <m/>
  </r>
  <r>
    <x v="1274"/>
    <x v="43"/>
    <n v="30307804"/>
    <x v="2095"/>
    <x v="0"/>
    <s v="USA"/>
    <n v="35000000"/>
    <x v="34"/>
    <x v="3"/>
    <s v="Fantasy"/>
    <s v="Horror"/>
    <m/>
    <m/>
    <m/>
    <m/>
    <m/>
  </r>
  <r>
    <x v="1275"/>
    <x v="1"/>
    <n v="30306281"/>
    <x v="2096"/>
    <x v="0"/>
    <s v="USA"/>
    <n v="10000000"/>
    <x v="37"/>
    <x v="0"/>
    <s v="Drama"/>
    <m/>
    <m/>
    <m/>
    <m/>
    <m/>
    <m/>
  </r>
  <r>
    <x v="195"/>
    <x v="33"/>
    <n v="30306268"/>
    <x v="2097"/>
    <x v="0"/>
    <s v="France"/>
    <n v="50000000"/>
    <x v="2"/>
    <x v="4"/>
    <s v="Crime"/>
    <s v="Thriller"/>
    <m/>
    <m/>
    <m/>
    <m/>
    <m/>
  </r>
  <r>
    <x v="1276"/>
    <x v="20"/>
    <n v="30259652"/>
    <x v="2098"/>
    <x v="0"/>
    <s v="USA"/>
    <n v="15000000"/>
    <x v="30"/>
    <x v="0"/>
    <s v="Horror"/>
    <s v="Thriller"/>
    <m/>
    <m/>
    <m/>
    <m/>
    <m/>
  </r>
  <r>
    <x v="1277"/>
    <x v="59"/>
    <n v="30226144"/>
    <x v="2099"/>
    <x v="0"/>
    <s v="USA"/>
    <n v="15000000"/>
    <x v="17"/>
    <x v="6"/>
    <s v="Drama"/>
    <m/>
    <m/>
    <m/>
    <m/>
    <m/>
    <m/>
  </r>
  <r>
    <x v="1189"/>
    <x v="20"/>
    <n v="30222640"/>
    <x v="2100"/>
    <x v="0"/>
    <s v="USA"/>
    <n v="25000000"/>
    <x v="48"/>
    <x v="3"/>
    <s v="Music"/>
    <s v="Romance"/>
    <m/>
    <m/>
    <m/>
    <m/>
    <m/>
  </r>
  <r>
    <x v="1278"/>
    <x v="12"/>
    <n v="30199105"/>
    <x v="2101"/>
    <x v="0"/>
    <s v="USA"/>
    <n v="40000000"/>
    <x v="21"/>
    <x v="4"/>
    <s v="Adventure"/>
    <s v="Crime"/>
    <s v="Thriller"/>
    <m/>
    <m/>
    <m/>
    <m/>
  </r>
  <r>
    <x v="9"/>
    <x v="12"/>
    <n v="30157016"/>
    <x v="2102"/>
    <x v="0"/>
    <s v="USA"/>
    <n v="70000000"/>
    <x v="37"/>
    <x v="4"/>
    <s v="Adventure"/>
    <s v="Comedy"/>
    <s v="Thriller"/>
    <m/>
    <m/>
    <m/>
    <m/>
  </r>
  <r>
    <x v="101"/>
    <x v="61"/>
    <n v="30127963"/>
    <x v="2103"/>
    <x v="0"/>
    <s v="USA"/>
    <n v="15000000"/>
    <x v="15"/>
    <x v="3"/>
    <s v="Family"/>
    <s v="Sport"/>
    <m/>
    <m/>
    <m/>
    <m/>
    <m/>
  </r>
  <r>
    <x v="1279"/>
    <x v="81"/>
    <n v="30105968"/>
    <x v="2104"/>
    <x v="0"/>
    <s v="USA"/>
    <n v="37000000"/>
    <x v="36"/>
    <x v="2"/>
    <s v="Animation"/>
    <s v="Comedy"/>
    <s v="Family"/>
    <s v="Sci-Fi"/>
    <m/>
    <m/>
    <m/>
  </r>
  <r>
    <x v="1280"/>
    <x v="28"/>
    <n v="30102717"/>
    <x v="2105"/>
    <x v="0"/>
    <s v="USA"/>
    <n v="15000000"/>
    <x v="3"/>
    <x v="4"/>
    <s v="Crime"/>
    <m/>
    <m/>
    <m/>
    <m/>
    <m/>
    <m/>
  </r>
  <r>
    <x v="1090"/>
    <x v="44"/>
    <n v="30093107"/>
    <x v="2106"/>
    <x v="0"/>
    <s v="UK"/>
    <n v="6000000"/>
    <x v="25"/>
    <x v="0"/>
    <s v="Crime"/>
    <m/>
    <m/>
    <m/>
    <m/>
    <m/>
    <m/>
  </r>
  <r>
    <x v="1127"/>
    <x v="50"/>
    <n v="30079316"/>
    <x v="2107"/>
    <x v="0"/>
    <s v="USA"/>
    <n v="35000000"/>
    <x v="3"/>
    <x v="1"/>
    <m/>
    <m/>
    <m/>
    <m/>
    <m/>
    <m/>
    <m/>
  </r>
  <r>
    <x v="226"/>
    <x v="44"/>
    <n v="30063805"/>
    <x v="2108"/>
    <x v="0"/>
    <s v="USA"/>
    <n v="60000000"/>
    <x v="0"/>
    <x v="3"/>
    <s v="Fantasy"/>
    <s v="Mystery"/>
    <s v="Romance"/>
    <s v="Thriller"/>
    <m/>
    <m/>
    <m/>
  </r>
  <r>
    <x v="754"/>
    <x v="44"/>
    <n v="30059386"/>
    <x v="2109"/>
    <x v="0"/>
    <s v="USA"/>
    <n v="22000000"/>
    <x v="26"/>
    <x v="0"/>
    <m/>
    <m/>
    <m/>
    <m/>
    <m/>
    <m/>
    <m/>
  </r>
  <r>
    <x v="1281"/>
    <x v="58"/>
    <n v="30050028"/>
    <x v="2110"/>
    <x v="0"/>
    <s v="USA"/>
    <n v="17000000"/>
    <x v="20"/>
    <x v="4"/>
    <s v="Thriller"/>
    <m/>
    <m/>
    <m/>
    <m/>
    <m/>
    <m/>
  </r>
  <r>
    <x v="307"/>
    <x v="11"/>
    <n v="30028592"/>
    <x v="2111"/>
    <x v="0"/>
    <s v="UK"/>
    <n v="20000000"/>
    <x v="4"/>
    <x v="5"/>
    <s v="Drama"/>
    <s v="Romance"/>
    <s v="Thriller"/>
    <m/>
    <m/>
    <m/>
    <m/>
  </r>
  <r>
    <x v="375"/>
    <x v="12"/>
    <n v="30013346"/>
    <x v="2112"/>
    <x v="0"/>
    <s v="USA"/>
    <n v="75000000"/>
    <x v="48"/>
    <x v="4"/>
    <s v="Comedy"/>
    <s v="Crime"/>
    <s v="Thriller"/>
    <m/>
    <m/>
    <m/>
    <m/>
  </r>
  <r>
    <x v="1282"/>
    <x v="55"/>
    <n v="30012990"/>
    <x v="2113"/>
    <x v="0"/>
    <s v="UK"/>
    <n v="25000000"/>
    <x v="31"/>
    <x v="6"/>
    <s v="Drama"/>
    <s v="History"/>
    <m/>
    <m/>
    <m/>
    <m/>
    <m/>
  </r>
  <r>
    <x v="1283"/>
    <x v="54"/>
    <n v="30000000"/>
    <x v="2114"/>
    <x v="0"/>
    <s v="USA"/>
    <n v="2200000"/>
    <x v="18"/>
    <x v="8"/>
    <s v="Horror"/>
    <m/>
    <m/>
    <m/>
    <m/>
    <m/>
    <m/>
  </r>
  <r>
    <x v="214"/>
    <x v="40"/>
    <n v="29997095"/>
    <x v="2115"/>
    <x v="0"/>
    <s v="UK"/>
    <n v="22000000"/>
    <x v="16"/>
    <x v="0"/>
    <s v="Mystery"/>
    <m/>
    <m/>
    <m/>
    <m/>
    <m/>
    <m/>
  </r>
  <r>
    <x v="1284"/>
    <x v="1"/>
    <n v="29975979"/>
    <x v="2116"/>
    <x v="0"/>
    <s v="Australia"/>
    <n v="20000000"/>
    <x v="20"/>
    <x v="4"/>
    <s v="Horror"/>
    <s v="Sci-Fi"/>
    <s v="Thriller"/>
    <m/>
    <m/>
    <m/>
    <m/>
  </r>
  <r>
    <x v="1285"/>
    <x v="51"/>
    <n v="29959436"/>
    <x v="2117"/>
    <x v="0"/>
    <s v="UK"/>
    <n v="13000000"/>
    <x v="16"/>
    <x v="6"/>
    <s v="Drama"/>
    <s v="History"/>
    <m/>
    <m/>
    <m/>
    <m/>
    <m/>
  </r>
  <r>
    <x v="404"/>
    <x v="8"/>
    <n v="29802761"/>
    <x v="2118"/>
    <x v="0"/>
    <s v="USA"/>
    <n v="40000000"/>
    <x v="16"/>
    <x v="0"/>
    <s v="Sport"/>
    <m/>
    <m/>
    <m/>
    <m/>
    <m/>
    <m/>
  </r>
  <r>
    <x v="16"/>
    <x v="33"/>
    <n v="29781453"/>
    <x v="2119"/>
    <x v="0"/>
    <s v="USA"/>
    <n v="48000000"/>
    <x v="16"/>
    <x v="6"/>
    <s v="Comedy"/>
    <s v="Drama"/>
    <m/>
    <m/>
    <m/>
    <m/>
    <m/>
  </r>
  <r>
    <x v="1286"/>
    <x v="61"/>
    <n v="29753944"/>
    <x v="2120"/>
    <x v="0"/>
    <s v="USA"/>
    <n v="20000000"/>
    <x v="20"/>
    <x v="5"/>
    <s v="Drama"/>
    <s v="Mystery"/>
    <s v="Thriller"/>
    <m/>
    <m/>
    <m/>
    <m/>
  </r>
  <r>
    <x v="1287"/>
    <x v="64"/>
    <n v="29655590"/>
    <x v="2121"/>
    <x v="0"/>
    <s v="USA"/>
    <n v="65000000"/>
    <x v="27"/>
    <x v="4"/>
    <s v="Comedy"/>
    <s v="Fantasy"/>
    <s v="Sci-Fi"/>
    <m/>
    <m/>
    <m/>
    <m/>
  </r>
  <r>
    <x v="89"/>
    <x v="18"/>
    <n v="29580087"/>
    <x v="2122"/>
    <x v="0"/>
    <s v="USA"/>
    <n v="58000000"/>
    <x v="47"/>
    <x v="0"/>
    <s v="Drama"/>
    <s v="Romance"/>
    <m/>
    <m/>
    <m/>
    <m/>
    <m/>
  </r>
  <r>
    <x v="374"/>
    <x v="43"/>
    <n v="29500000"/>
    <x v="2123"/>
    <x v="0"/>
    <s v="USA"/>
    <n v="10000000"/>
    <x v="20"/>
    <x v="8"/>
    <s v="Horror"/>
    <s v="Sci-Fi"/>
    <m/>
    <m/>
    <m/>
    <m/>
    <m/>
  </r>
  <r>
    <x v="234"/>
    <x v="41"/>
    <n v="29392418"/>
    <x v="2124"/>
    <x v="0"/>
    <s v="USA"/>
    <n v="10000000"/>
    <x v="19"/>
    <x v="4"/>
    <s v="Comedy"/>
    <s v="Crime"/>
    <m/>
    <m/>
    <m/>
    <m/>
    <m/>
  </r>
  <r>
    <x v="112"/>
    <x v="34"/>
    <n v="29374178"/>
    <x v="2125"/>
    <x v="0"/>
    <s v="USA"/>
    <n v="40000000"/>
    <x v="33"/>
    <x v="5"/>
    <s v="Drama"/>
    <s v="Horror"/>
    <s v="Thriller"/>
    <m/>
    <m/>
    <m/>
    <m/>
  </r>
  <r>
    <x v="1288"/>
    <x v="56"/>
    <n v="29302097"/>
    <x v="2126"/>
    <x v="0"/>
    <s v="Germany"/>
    <n v="15000000"/>
    <x v="28"/>
    <x v="0"/>
    <s v="Family"/>
    <s v="Music"/>
    <s v="Romance"/>
    <m/>
    <m/>
    <m/>
    <m/>
  </r>
  <r>
    <x v="1289"/>
    <x v="31"/>
    <n v="29247405"/>
    <x v="2127"/>
    <x v="0"/>
    <s v="UK"/>
    <n v="25000000"/>
    <x v="68"/>
    <x v="0"/>
    <s v="Family"/>
    <s v="Music"/>
    <m/>
    <m/>
    <m/>
    <m/>
    <m/>
  </r>
  <r>
    <x v="1290"/>
    <x v="65"/>
    <n v="29200000"/>
    <x v="2128"/>
    <x v="0"/>
    <s v="USA"/>
    <n v="8500000"/>
    <x v="26"/>
    <x v="3"/>
    <s v="Music"/>
    <s v="Romance"/>
    <m/>
    <m/>
    <m/>
    <m/>
    <m/>
  </r>
  <r>
    <x v="1143"/>
    <x v="54"/>
    <n v="29136626"/>
    <x v="2129"/>
    <x v="0"/>
    <s v="USA"/>
    <n v="60000000"/>
    <x v="21"/>
    <x v="4"/>
    <s v="Fantasy"/>
    <s v="Horror"/>
    <s v="Sci-Fi"/>
    <s v="Thriller"/>
    <m/>
    <m/>
    <m/>
  </r>
  <r>
    <x v="56"/>
    <x v="31"/>
    <n v="29113588"/>
    <x v="2130"/>
    <x v="0"/>
    <s v="USA"/>
    <n v="40000000"/>
    <x v="24"/>
    <x v="4"/>
    <s v="Crime"/>
    <s v="Thriller"/>
    <m/>
    <m/>
    <m/>
    <m/>
    <m/>
  </r>
  <r>
    <x v="1291"/>
    <x v="11"/>
    <n v="29106737"/>
    <x v="2131"/>
    <x v="0"/>
    <s v="USA"/>
    <n v="15000000"/>
    <x v="27"/>
    <x v="0"/>
    <s v="Drama"/>
    <s v="Romance"/>
    <m/>
    <m/>
    <m/>
    <m/>
    <m/>
  </r>
  <r>
    <x v="102"/>
    <x v="74"/>
    <n v="29077547"/>
    <x v="2132"/>
    <x v="0"/>
    <s v="USA"/>
    <n v="40000000"/>
    <x v="14"/>
    <x v="3"/>
    <s v="Musical"/>
    <s v="Romance"/>
    <m/>
    <m/>
    <m/>
    <m/>
    <m/>
  </r>
  <r>
    <x v="1107"/>
    <x v="43"/>
    <n v="29062561"/>
    <x v="2133"/>
    <x v="0"/>
    <s v="USA"/>
    <n v="39751583.5"/>
    <x v="37"/>
    <x v="5"/>
    <s v="Thriller"/>
    <m/>
    <m/>
    <m/>
    <m/>
    <m/>
    <m/>
  </r>
  <r>
    <x v="1292"/>
    <x v="17"/>
    <n v="28995450"/>
    <x v="2134"/>
    <x v="0"/>
    <s v="UK"/>
    <n v="35000000"/>
    <x v="0"/>
    <x v="0"/>
    <s v="Family"/>
    <s v="Fantasy"/>
    <m/>
    <m/>
    <m/>
    <m/>
    <m/>
  </r>
  <r>
    <x v="1293"/>
    <x v="22"/>
    <n v="28972187"/>
    <x v="2135"/>
    <x v="0"/>
    <s v="USA"/>
    <n v="13000000"/>
    <x v="1"/>
    <x v="0"/>
    <m/>
    <m/>
    <m/>
    <m/>
    <m/>
    <m/>
    <m/>
  </r>
  <r>
    <x v="67"/>
    <x v="46"/>
    <n v="28965197"/>
    <x v="2136"/>
    <x v="0"/>
    <s v="USA"/>
    <n v="68000000"/>
    <x v="12"/>
    <x v="6"/>
    <s v="Drama"/>
    <s v="Thriller"/>
    <m/>
    <m/>
    <m/>
    <m/>
    <m/>
  </r>
  <r>
    <x v="1294"/>
    <x v="0"/>
    <n v="28927720"/>
    <x v="2137"/>
    <x v="0"/>
    <s v="USA"/>
    <n v="33000000"/>
    <x v="48"/>
    <x v="5"/>
    <s v="Horror"/>
    <s v="Mystery"/>
    <s v="Thriller"/>
    <m/>
    <m/>
    <m/>
    <m/>
  </r>
  <r>
    <x v="34"/>
    <x v="49"/>
    <n v="28876924"/>
    <x v="2138"/>
    <x v="0"/>
    <s v="USA"/>
    <n v="20000000"/>
    <x v="6"/>
    <x v="2"/>
    <s v="Crime"/>
    <s v="Mystery"/>
    <s v="Sci-Fi"/>
    <s v="Thriller"/>
    <m/>
    <m/>
    <m/>
  </r>
  <r>
    <x v="1295"/>
    <x v="40"/>
    <n v="28873374"/>
    <x v="2139"/>
    <x v="0"/>
    <s v="USA"/>
    <n v="10000000"/>
    <x v="30"/>
    <x v="10"/>
    <s v="Music"/>
    <m/>
    <m/>
    <m/>
    <m/>
    <m/>
    <m/>
  </r>
  <r>
    <x v="378"/>
    <x v="32"/>
    <n v="28871190"/>
    <x v="2140"/>
    <x v="0"/>
    <s v="USA"/>
    <n v="24000000"/>
    <x v="4"/>
    <x v="6"/>
    <s v="Drama"/>
    <m/>
    <m/>
    <m/>
    <m/>
    <m/>
    <m/>
  </r>
  <r>
    <x v="305"/>
    <x v="30"/>
    <n v="28837115"/>
    <x v="2141"/>
    <x v="0"/>
    <s v="USA"/>
    <n v="50000000"/>
    <x v="46"/>
    <x v="0"/>
    <m/>
    <m/>
    <m/>
    <m/>
    <m/>
    <m/>
    <m/>
  </r>
  <r>
    <x v="95"/>
    <x v="28"/>
    <n v="28831145"/>
    <x v="2142"/>
    <x v="0"/>
    <s v="USA"/>
    <n v="25000000"/>
    <x v="9"/>
    <x v="3"/>
    <s v="Sport"/>
    <m/>
    <m/>
    <m/>
    <m/>
    <m/>
    <m/>
  </r>
  <r>
    <x v="1296"/>
    <x v="18"/>
    <n v="28751715"/>
    <x v="2143"/>
    <x v="0"/>
    <s v="USA"/>
    <n v="28000000"/>
    <x v="24"/>
    <x v="4"/>
    <s v="Comedy"/>
    <s v="Crime"/>
    <m/>
    <m/>
    <m/>
    <m/>
    <m/>
  </r>
  <r>
    <x v="200"/>
    <x v="28"/>
    <n v="28747570"/>
    <x v="2144"/>
    <x v="0"/>
    <s v="Canada"/>
    <n v="7000000"/>
    <x v="7"/>
    <x v="6"/>
    <s v="Crime"/>
    <s v="Drama"/>
    <m/>
    <m/>
    <m/>
    <m/>
    <m/>
  </r>
  <r>
    <x v="213"/>
    <x v="19"/>
    <n v="28734552"/>
    <x v="2145"/>
    <x v="0"/>
    <s v="USA"/>
    <n v="16000000"/>
    <x v="16"/>
    <x v="5"/>
    <s v="Drama"/>
    <s v="Romance"/>
    <s v="Thriller"/>
    <m/>
    <m/>
    <m/>
    <m/>
  </r>
  <r>
    <x v="1093"/>
    <x v="43"/>
    <n v="28687835"/>
    <x v="2146"/>
    <x v="0"/>
    <s v="USA"/>
    <n v="35000000"/>
    <x v="8"/>
    <x v="5"/>
    <s v="Drama"/>
    <s v="Thriller"/>
    <m/>
    <m/>
    <m/>
    <m/>
    <m/>
  </r>
  <r>
    <x v="289"/>
    <x v="25"/>
    <n v="28644770"/>
    <x v="2147"/>
    <x v="0"/>
    <s v="USA"/>
    <n v="30000000"/>
    <x v="8"/>
    <x v="0"/>
    <s v="Romance"/>
    <m/>
    <m/>
    <m/>
    <m/>
    <m/>
    <m/>
  </r>
  <r>
    <x v="1297"/>
    <x v="41"/>
    <n v="28637507"/>
    <x v="2148"/>
    <x v="0"/>
    <s v="UK"/>
    <n v="15000000"/>
    <x v="14"/>
    <x v="3"/>
    <s v="Horror"/>
    <s v="Sci-Fi"/>
    <m/>
    <m/>
    <m/>
    <m/>
    <m/>
  </r>
  <r>
    <x v="406"/>
    <x v="63"/>
    <n v="28563926"/>
    <x v="2149"/>
    <x v="0"/>
    <s v="USA"/>
    <n v="8500000"/>
    <x v="38"/>
    <x v="3"/>
    <s v="Thriller"/>
    <m/>
    <m/>
    <m/>
    <m/>
    <m/>
    <m/>
  </r>
  <r>
    <x v="1298"/>
    <x v="24"/>
    <n v="28563179"/>
    <x v="2150"/>
    <x v="0"/>
    <s v="USA"/>
    <n v="21000000"/>
    <x v="26"/>
    <x v="5"/>
    <s v="Drama"/>
    <s v="Thriller"/>
    <m/>
    <m/>
    <m/>
    <m/>
    <m/>
  </r>
  <r>
    <x v="29"/>
    <x v="10"/>
    <n v="28535768"/>
    <x v="2151"/>
    <x v="0"/>
    <s v="USA"/>
    <n v="40000000"/>
    <x v="48"/>
    <x v="0"/>
    <m/>
    <m/>
    <m/>
    <m/>
    <m/>
    <m/>
    <m/>
  </r>
  <r>
    <x v="1267"/>
    <x v="51"/>
    <n v="28501651"/>
    <x v="2152"/>
    <x v="0"/>
    <s v="USA"/>
    <n v="26000000"/>
    <x v="6"/>
    <x v="3"/>
    <s v="Thriller"/>
    <m/>
    <m/>
    <m/>
    <m/>
    <m/>
    <m/>
  </r>
  <r>
    <x v="1267"/>
    <x v="51"/>
    <n v="28501651"/>
    <x v="2152"/>
    <x v="0"/>
    <s v="USA"/>
    <n v="26000000"/>
    <x v="6"/>
    <x v="3"/>
    <s v="Thriller"/>
    <m/>
    <m/>
    <m/>
    <m/>
    <m/>
    <m/>
  </r>
  <r>
    <x v="1299"/>
    <x v="98"/>
    <n v="28501605"/>
    <x v="2153"/>
    <x v="0"/>
    <s v="USA"/>
    <n v="13000000"/>
    <x v="21"/>
    <x v="8"/>
    <s v="Horror"/>
    <m/>
    <m/>
    <m/>
    <m/>
    <m/>
    <m/>
  </r>
  <r>
    <x v="1300"/>
    <x v="18"/>
    <n v="28435406"/>
    <x v="2154"/>
    <x v="0"/>
    <s v="USA"/>
    <n v="12000000"/>
    <x v="3"/>
    <x v="0"/>
    <s v="Romance"/>
    <m/>
    <m/>
    <m/>
    <m/>
    <m/>
    <m/>
  </r>
  <r>
    <x v="13"/>
    <x v="89"/>
    <n v="28424210"/>
    <x v="2155"/>
    <x v="0"/>
    <s v="UK"/>
    <n v="39751583.5"/>
    <x v="38"/>
    <x v="7"/>
    <s v="Comedy"/>
    <s v="Family"/>
    <s v="Fantasy"/>
    <m/>
    <m/>
    <m/>
    <m/>
  </r>
  <r>
    <x v="1301"/>
    <x v="10"/>
    <n v="28399192"/>
    <x v="2156"/>
    <x v="0"/>
    <s v="Australia"/>
    <n v="13000000"/>
    <x v="18"/>
    <x v="4"/>
    <s v="Adventure"/>
    <s v="Comedy"/>
    <s v="Family"/>
    <m/>
    <m/>
    <m/>
    <m/>
  </r>
  <r>
    <x v="1302"/>
    <x v="78"/>
    <n v="28341469"/>
    <x v="2157"/>
    <x v="0"/>
    <s v="USA"/>
    <n v="25000000"/>
    <x v="74"/>
    <x v="5"/>
    <s v="Drama"/>
    <m/>
    <m/>
    <m/>
    <m/>
    <m/>
    <m/>
  </r>
  <r>
    <x v="91"/>
    <x v="0"/>
    <n v="28328132"/>
    <x v="2158"/>
    <x v="0"/>
    <s v="USA"/>
    <n v="58000000"/>
    <x v="2"/>
    <x v="4"/>
    <s v="Comedy"/>
    <s v="Crime"/>
    <s v="Drama"/>
    <m/>
    <m/>
    <m/>
    <m/>
  </r>
  <r>
    <x v="1303"/>
    <x v="11"/>
    <n v="28165882"/>
    <x v="2159"/>
    <x v="0"/>
    <s v="USA"/>
    <n v="39751583.5"/>
    <x v="1"/>
    <x v="0"/>
    <s v="Family"/>
    <s v="Romance"/>
    <m/>
    <m/>
    <m/>
    <m/>
    <m/>
  </r>
  <r>
    <x v="161"/>
    <x v="60"/>
    <n v="28133159"/>
    <x v="2160"/>
    <x v="0"/>
    <s v="USA"/>
    <n v="50000000"/>
    <x v="1"/>
    <x v="2"/>
    <s v="Animation"/>
    <s v="Comedy"/>
    <s v="Family"/>
    <s v="Fantasy"/>
    <m/>
    <m/>
    <m/>
  </r>
  <r>
    <x v="213"/>
    <x v="40"/>
    <n v="28064226"/>
    <x v="2161"/>
    <x v="0"/>
    <s v="USA"/>
    <n v="35000000"/>
    <x v="38"/>
    <x v="4"/>
    <s v="Mystery"/>
    <s v="Thriller"/>
    <m/>
    <m/>
    <m/>
    <m/>
    <m/>
  </r>
  <r>
    <x v="1304"/>
    <x v="43"/>
    <n v="28045540"/>
    <x v="2162"/>
    <x v="0"/>
    <s v="USA"/>
    <n v="65000000"/>
    <x v="0"/>
    <x v="4"/>
    <s v="Adventure"/>
    <s v="Comedy"/>
    <s v="Family"/>
    <s v="Fantasy"/>
    <s v="Sci-Fi"/>
    <m/>
    <m/>
  </r>
  <r>
    <x v="351"/>
    <x v="8"/>
    <n v="28031250"/>
    <x v="2163"/>
    <x v="0"/>
    <s v="UK"/>
    <n v="60000000"/>
    <x v="34"/>
    <x v="4"/>
    <s v="Adventure"/>
    <s v="Horror"/>
    <s v="Sci-Fi"/>
    <m/>
    <m/>
    <m/>
    <m/>
  </r>
  <r>
    <x v="1305"/>
    <x v="34"/>
    <n v="28014536"/>
    <x v="2164"/>
    <x v="0"/>
    <s v="USA"/>
    <n v="15000000"/>
    <x v="7"/>
    <x v="4"/>
    <s v="Comedy"/>
    <s v="Crime"/>
    <s v="Romance"/>
    <s v="Thriller"/>
    <m/>
    <m/>
    <m/>
  </r>
  <r>
    <x v="1306"/>
    <x v="3"/>
    <n v="27979400"/>
    <x v="2165"/>
    <x v="0"/>
    <s v="USA"/>
    <n v="8200000"/>
    <x v="0"/>
    <x v="4"/>
    <s v="Comedy"/>
    <s v="Crime"/>
    <m/>
    <m/>
    <m/>
    <m/>
    <m/>
  </r>
  <r>
    <x v="1307"/>
    <x v="54"/>
    <n v="27972410"/>
    <x v="2166"/>
    <x v="0"/>
    <s v="UK"/>
    <n v="35000000"/>
    <x v="0"/>
    <x v="4"/>
    <s v="Adventure"/>
    <s v="Comedy"/>
    <m/>
    <m/>
    <m/>
    <m/>
    <m/>
  </r>
  <r>
    <x v="25"/>
    <x v="0"/>
    <n v="27900000"/>
    <x v="2167"/>
    <x v="0"/>
    <s v="USA"/>
    <n v="3500000"/>
    <x v="4"/>
    <x v="0"/>
    <s v="Drama"/>
    <m/>
    <m/>
    <m/>
    <m/>
    <m/>
    <m/>
  </r>
  <r>
    <x v="80"/>
    <x v="0"/>
    <n v="27900000"/>
    <x v="2168"/>
    <x v="0"/>
    <s v="USA"/>
    <n v="3500000"/>
    <x v="31"/>
    <x v="5"/>
    <s v="Drama"/>
    <s v="Thriller"/>
    <m/>
    <m/>
    <m/>
    <m/>
    <m/>
  </r>
  <r>
    <x v="1308"/>
    <x v="89"/>
    <n v="27854896"/>
    <x v="2169"/>
    <x v="0"/>
    <s v="USA"/>
    <n v="17000000"/>
    <x v="37"/>
    <x v="3"/>
    <s v="Fantasy"/>
    <s v="Romance"/>
    <m/>
    <m/>
    <m/>
    <m/>
    <m/>
  </r>
  <r>
    <x v="394"/>
    <x v="31"/>
    <n v="27829874"/>
    <x v="2170"/>
    <x v="0"/>
    <s v="USA"/>
    <n v="12000000"/>
    <x v="14"/>
    <x v="4"/>
    <s v="Crime"/>
    <s v="Thriller"/>
    <m/>
    <m/>
    <m/>
    <m/>
    <m/>
  </r>
  <r>
    <x v="1302"/>
    <x v="142"/>
    <n v="27796042"/>
    <x v="2171"/>
    <x v="0"/>
    <s v="USA"/>
    <n v="72000000"/>
    <x v="26"/>
    <x v="3"/>
    <s v="Romance"/>
    <m/>
    <m/>
    <m/>
    <m/>
    <m/>
    <m/>
  </r>
  <r>
    <x v="216"/>
    <x v="24"/>
    <n v="27779888"/>
    <x v="2172"/>
    <x v="0"/>
    <s v="USA"/>
    <n v="39751583.5"/>
    <x v="26"/>
    <x v="4"/>
    <s v="Adventure"/>
    <s v="Drama"/>
    <s v="Thriller"/>
    <m/>
    <m/>
    <m/>
    <m/>
  </r>
  <r>
    <x v="1309"/>
    <x v="43"/>
    <n v="27758465"/>
    <x v="2173"/>
    <x v="0"/>
    <s v="USA"/>
    <n v="19000000"/>
    <x v="0"/>
    <x v="0"/>
    <s v="Drama"/>
    <s v="Romance"/>
    <m/>
    <m/>
    <m/>
    <m/>
    <m/>
  </r>
  <r>
    <x v="1310"/>
    <x v="0"/>
    <n v="27736779"/>
    <x v="2174"/>
    <x v="0"/>
    <s v="USA"/>
    <n v="10000000"/>
    <x v="34"/>
    <x v="1"/>
    <s v="Mystery"/>
    <s v="Thriller"/>
    <m/>
    <m/>
    <m/>
    <m/>
    <m/>
  </r>
  <r>
    <x v="1040"/>
    <x v="44"/>
    <n v="27689474"/>
    <x v="2175"/>
    <x v="0"/>
    <s v="USA"/>
    <n v="5000000"/>
    <x v="20"/>
    <x v="1"/>
    <s v="Mystery"/>
    <m/>
    <m/>
    <m/>
    <m/>
    <m/>
    <m/>
  </r>
  <r>
    <x v="1087"/>
    <x v="22"/>
    <n v="27669413"/>
    <x v="2176"/>
    <x v="0"/>
    <s v="Canada"/>
    <n v="11000000"/>
    <x v="27"/>
    <x v="1"/>
    <s v="Mystery"/>
    <m/>
    <m/>
    <m/>
    <m/>
    <m/>
    <m/>
  </r>
  <r>
    <x v="1311"/>
    <x v="25"/>
    <n v="27667947"/>
    <x v="2177"/>
    <x v="0"/>
    <s v="UK"/>
    <n v="50000000"/>
    <x v="8"/>
    <x v="5"/>
    <s v="Drama"/>
    <s v="Thriller"/>
    <m/>
    <m/>
    <m/>
    <m/>
    <m/>
  </r>
  <r>
    <x v="651"/>
    <x v="4"/>
    <n v="27663982"/>
    <x v="2178"/>
    <x v="0"/>
    <s v="USA"/>
    <n v="40000000"/>
    <x v="45"/>
    <x v="1"/>
    <s v="Sci-Fi"/>
    <s v="Thriller"/>
    <m/>
    <m/>
    <m/>
    <m/>
    <m/>
  </r>
  <r>
    <x v="1188"/>
    <x v="24"/>
    <n v="27550735"/>
    <x v="2179"/>
    <x v="0"/>
    <s v="USA"/>
    <n v="39751583.5"/>
    <x v="9"/>
    <x v="4"/>
    <s v="Drama"/>
    <s v="History"/>
    <s v="Thriller"/>
    <m/>
    <m/>
    <m/>
    <m/>
  </r>
  <r>
    <x v="117"/>
    <x v="35"/>
    <n v="27545445"/>
    <x v="2180"/>
    <x v="0"/>
    <s v="USA"/>
    <n v="6500000"/>
    <x v="12"/>
    <x v="3"/>
    <m/>
    <m/>
    <m/>
    <m/>
    <m/>
    <m/>
    <m/>
  </r>
  <r>
    <x v="213"/>
    <x v="17"/>
    <n v="27515786"/>
    <x v="2181"/>
    <x v="0"/>
    <s v="USA"/>
    <n v="14000000"/>
    <x v="1"/>
    <x v="3"/>
    <s v="Romance"/>
    <m/>
    <m/>
    <m/>
    <m/>
    <m/>
    <m/>
  </r>
  <r>
    <x v="1312"/>
    <x v="40"/>
    <n v="27457409"/>
    <x v="2182"/>
    <x v="0"/>
    <s v="USA"/>
    <n v="6000000"/>
    <x v="2"/>
    <x v="0"/>
    <s v="Drama"/>
    <m/>
    <m/>
    <m/>
    <m/>
    <m/>
    <m/>
  </r>
  <r>
    <x v="1169"/>
    <x v="55"/>
    <n v="27441122"/>
    <x v="2183"/>
    <x v="0"/>
    <s v="USA"/>
    <n v="15000000"/>
    <x v="11"/>
    <x v="3"/>
    <s v="Romance"/>
    <s v="Sport"/>
    <m/>
    <m/>
    <m/>
    <m/>
    <m/>
  </r>
  <r>
    <x v="740"/>
    <x v="140"/>
    <n v="27400000"/>
    <x v="2184"/>
    <x v="0"/>
    <s v="USA"/>
    <n v="40000000"/>
    <x v="24"/>
    <x v="4"/>
    <s v="Adventure"/>
    <s v="Sci-Fi"/>
    <m/>
    <m/>
    <m/>
    <m/>
    <m/>
  </r>
  <r>
    <x v="1313"/>
    <x v="17"/>
    <n v="27362712"/>
    <x v="2185"/>
    <x v="0"/>
    <s v="USA"/>
    <n v="8000000"/>
    <x v="20"/>
    <x v="0"/>
    <s v="Drama"/>
    <s v="Music"/>
    <s v="Romance"/>
    <m/>
    <m/>
    <m/>
    <m/>
  </r>
  <r>
    <x v="1157"/>
    <x v="40"/>
    <n v="27356090"/>
    <x v="2186"/>
    <x v="0"/>
    <s v="USA"/>
    <n v="90000000"/>
    <x v="27"/>
    <x v="4"/>
    <s v="Adventure"/>
    <s v="Fantasy"/>
    <m/>
    <m/>
    <m/>
    <m/>
    <m/>
  </r>
  <r>
    <x v="1314"/>
    <x v="0"/>
    <n v="27338033"/>
    <x v="2187"/>
    <x v="0"/>
    <s v="USA"/>
    <n v="23000000"/>
    <x v="0"/>
    <x v="0"/>
    <s v="Romance"/>
    <m/>
    <m/>
    <m/>
    <m/>
    <m/>
    <m/>
  </r>
  <r>
    <x v="1167"/>
    <x v="24"/>
    <n v="27296514"/>
    <x v="2188"/>
    <x v="0"/>
    <s v="USA"/>
    <n v="5000000"/>
    <x v="13"/>
    <x v="6"/>
    <s v="Drama"/>
    <m/>
    <m/>
    <m/>
    <m/>
    <m/>
    <m/>
  </r>
  <r>
    <x v="1228"/>
    <x v="18"/>
    <n v="27285953"/>
    <x v="2189"/>
    <x v="0"/>
    <s v="USA"/>
    <n v="5000000"/>
    <x v="9"/>
    <x v="4"/>
    <s v="Thriller"/>
    <m/>
    <m/>
    <m/>
    <m/>
    <m/>
    <m/>
  </r>
  <r>
    <x v="1315"/>
    <x v="56"/>
    <n v="27281507"/>
    <x v="2190"/>
    <x v="0"/>
    <s v="USA"/>
    <n v="12000000"/>
    <x v="5"/>
    <x v="0"/>
    <s v="Drama"/>
    <s v="Family"/>
    <s v="Fantasy"/>
    <s v="Musical"/>
    <m/>
    <m/>
    <m/>
  </r>
  <r>
    <x v="346"/>
    <x v="8"/>
    <n v="27277055"/>
    <x v="2191"/>
    <x v="0"/>
    <s v="UK"/>
    <n v="20000000"/>
    <x v="17"/>
    <x v="0"/>
    <s v="Drama"/>
    <s v="Music"/>
    <s v="Romance"/>
    <m/>
    <m/>
    <m/>
    <m/>
  </r>
  <r>
    <x v="1316"/>
    <x v="62"/>
    <n v="27200000"/>
    <x v="2192"/>
    <x v="0"/>
    <s v="UK"/>
    <n v="3000000"/>
    <x v="40"/>
    <x v="2"/>
    <s v="Drama"/>
    <s v="War"/>
    <m/>
    <m/>
    <m/>
    <m/>
    <m/>
  </r>
  <r>
    <x v="51"/>
    <x v="33"/>
    <n v="27154426"/>
    <x v="2193"/>
    <x v="0"/>
    <s v="USA"/>
    <n v="17000000"/>
    <x v="15"/>
    <x v="5"/>
    <s v="Drama"/>
    <s v="Thriller"/>
    <m/>
    <m/>
    <m/>
    <m/>
    <m/>
  </r>
  <r>
    <x v="26"/>
    <x v="0"/>
    <n v="27141959"/>
    <x v="2194"/>
    <x v="0"/>
    <s v="USA"/>
    <n v="18000000"/>
    <x v="63"/>
    <x v="0"/>
    <s v="Crime"/>
    <s v="Family"/>
    <s v="Sci-Fi"/>
    <m/>
    <m/>
    <m/>
    <m/>
  </r>
  <r>
    <x v="1196"/>
    <x v="50"/>
    <n v="27087695"/>
    <x v="2195"/>
    <x v="0"/>
    <s v="USA"/>
    <n v="17700000"/>
    <x v="1"/>
    <x v="2"/>
    <s v="Comedy"/>
    <s v="Drama"/>
    <m/>
    <m/>
    <m/>
    <m/>
    <m/>
  </r>
  <r>
    <x v="87"/>
    <x v="13"/>
    <n v="27067160"/>
    <x v="2196"/>
    <x v="0"/>
    <s v="USA"/>
    <n v="50000000"/>
    <x v="1"/>
    <x v="0"/>
    <s v="Drama"/>
    <s v="Romance"/>
    <m/>
    <m/>
    <m/>
    <m/>
    <m/>
  </r>
  <r>
    <x v="259"/>
    <x v="44"/>
    <n v="27053815"/>
    <x v="2197"/>
    <x v="0"/>
    <s v="Germany"/>
    <n v="40000000"/>
    <x v="47"/>
    <x v="4"/>
    <s v="Adventure"/>
    <s v="Romance"/>
    <m/>
    <m/>
    <m/>
    <m/>
    <m/>
  </r>
  <r>
    <x v="1317"/>
    <x v="50"/>
    <n v="27052167"/>
    <x v="2198"/>
    <x v="0"/>
    <s v="USA"/>
    <n v="13000000"/>
    <x v="0"/>
    <x v="4"/>
    <s v="Comedy"/>
    <s v="Crime"/>
    <s v="Thriller"/>
    <m/>
    <m/>
    <m/>
    <m/>
  </r>
  <r>
    <x v="182"/>
    <x v="24"/>
    <n v="27000000"/>
    <x v="2199"/>
    <x v="0"/>
    <s v="USA"/>
    <n v="28000000"/>
    <x v="40"/>
    <x v="9"/>
    <s v="Thriller"/>
    <m/>
    <m/>
    <m/>
    <m/>
    <m/>
    <m/>
  </r>
  <r>
    <x v="1318"/>
    <x v="81"/>
    <n v="26906039"/>
    <x v="2200"/>
    <x v="0"/>
    <s v="USA"/>
    <n v="18000000"/>
    <x v="48"/>
    <x v="4"/>
    <s v="Comedy"/>
    <m/>
    <m/>
    <m/>
    <m/>
    <m/>
    <m/>
  </r>
  <r>
    <x v="246"/>
    <x v="21"/>
    <n v="26903709"/>
    <x v="2201"/>
    <x v="0"/>
    <s v="UK"/>
    <n v="38000000"/>
    <x v="23"/>
    <x v="4"/>
    <s v="Biography"/>
    <s v="Drama"/>
    <s v="Sport"/>
    <m/>
    <m/>
    <m/>
    <m/>
  </r>
  <r>
    <x v="1319"/>
    <x v="58"/>
    <n v="26896744"/>
    <x v="2202"/>
    <x v="0"/>
    <s v="USA"/>
    <n v="16500000"/>
    <x v="35"/>
    <x v="0"/>
    <s v="Drama"/>
    <m/>
    <m/>
    <m/>
    <m/>
    <m/>
    <m/>
  </r>
  <r>
    <x v="646"/>
    <x v="54"/>
    <n v="26876529"/>
    <x v="2203"/>
    <x v="0"/>
    <s v="Japan"/>
    <n v="27000000"/>
    <x v="67"/>
    <x v="1"/>
    <s v="Mystery"/>
    <m/>
    <m/>
    <m/>
    <m/>
    <m/>
    <m/>
  </r>
  <r>
    <x v="1320"/>
    <x v="18"/>
    <n v="26870825"/>
    <x v="2204"/>
    <x v="0"/>
    <s v="Germany"/>
    <n v="39751583.5"/>
    <x v="16"/>
    <x v="0"/>
    <s v="Drama"/>
    <s v="Sport"/>
    <m/>
    <m/>
    <m/>
    <m/>
    <m/>
  </r>
  <r>
    <x v="59"/>
    <x v="21"/>
    <n v="26838389"/>
    <x v="2205"/>
    <x v="0"/>
    <s v="USA"/>
    <n v="57000000"/>
    <x v="16"/>
    <x v="0"/>
    <s v="Drama"/>
    <s v="Romance"/>
    <m/>
    <m/>
    <m/>
    <m/>
    <m/>
  </r>
  <r>
    <x v="265"/>
    <x v="57"/>
    <n v="26830000"/>
    <x v="2206"/>
    <x v="0"/>
    <s v="USA"/>
    <n v="18000000"/>
    <x v="12"/>
    <x v="3"/>
    <s v="History"/>
    <s v="War"/>
    <m/>
    <m/>
    <m/>
    <m/>
    <m/>
  </r>
  <r>
    <x v="265"/>
    <x v="57"/>
    <n v="26830000"/>
    <x v="2206"/>
    <x v="0"/>
    <s v="USA"/>
    <n v="18000000"/>
    <x v="12"/>
    <x v="3"/>
    <s v="History"/>
    <s v="War"/>
    <m/>
    <m/>
    <m/>
    <m/>
    <m/>
  </r>
  <r>
    <x v="1321"/>
    <x v="61"/>
    <n v="26814957"/>
    <x v="2207"/>
    <x v="0"/>
    <s v="UK"/>
    <n v="35000000"/>
    <x v="15"/>
    <x v="6"/>
    <s v="Drama"/>
    <s v="History"/>
    <s v="Romance"/>
    <m/>
    <m/>
    <m/>
    <m/>
  </r>
  <r>
    <x v="1322"/>
    <x v="30"/>
    <n v="26781723"/>
    <x v="2208"/>
    <x v="0"/>
    <s v="USA"/>
    <n v="2500000"/>
    <x v="17"/>
    <x v="0"/>
    <s v="Drama"/>
    <s v="Romance"/>
    <m/>
    <m/>
    <m/>
    <m/>
    <m/>
  </r>
  <r>
    <x v="1323"/>
    <x v="36"/>
    <n v="26761283"/>
    <x v="2209"/>
    <x v="0"/>
    <s v="USA"/>
    <n v="26000000"/>
    <x v="15"/>
    <x v="3"/>
    <s v="Romance"/>
    <m/>
    <m/>
    <m/>
    <m/>
    <m/>
    <m/>
  </r>
  <r>
    <x v="1324"/>
    <x v="155"/>
    <n v="26687172"/>
    <x v="2210"/>
    <x v="0"/>
    <s v="USA"/>
    <n v="30000000"/>
    <x v="4"/>
    <x v="2"/>
    <s v="Animation"/>
    <s v="Comedy"/>
    <s v="Family"/>
    <s v="Musical"/>
    <m/>
    <m/>
    <m/>
  </r>
  <r>
    <x v="1175"/>
    <x v="65"/>
    <n v="26616999"/>
    <x v="2211"/>
    <x v="0"/>
    <s v="USA"/>
    <n v="40000000"/>
    <x v="1"/>
    <x v="4"/>
    <s v="Adventure"/>
    <s v="Romance"/>
    <s v="Sci-Fi"/>
    <s v="Thriller"/>
    <m/>
    <m/>
    <m/>
  </r>
  <r>
    <x v="164"/>
    <x v="19"/>
    <n v="26616590"/>
    <x v="2212"/>
    <x v="0"/>
    <s v="UK"/>
    <n v="60000000"/>
    <x v="15"/>
    <x v="1"/>
    <s v="Sci-Fi"/>
    <s v="Thriller"/>
    <m/>
    <m/>
    <m/>
    <m/>
    <m/>
  </r>
  <r>
    <x v="1325"/>
    <x v="51"/>
    <n v="26589953"/>
    <x v="2213"/>
    <x v="0"/>
    <s v="USA"/>
    <n v="10500000"/>
    <x v="15"/>
    <x v="4"/>
    <s v="Crime"/>
    <s v="Thriller"/>
    <m/>
    <m/>
    <m/>
    <m/>
    <m/>
  </r>
  <r>
    <x v="1326"/>
    <x v="31"/>
    <n v="26583369"/>
    <x v="2214"/>
    <x v="0"/>
    <s v="USA"/>
    <n v="10000000"/>
    <x v="46"/>
    <x v="1"/>
    <s v="Mystery"/>
    <s v="Thriller"/>
    <m/>
    <m/>
    <m/>
    <m/>
    <m/>
  </r>
  <r>
    <x v="1327"/>
    <x v="41"/>
    <n v="26539321"/>
    <x v="2215"/>
    <x v="0"/>
    <s v="USA"/>
    <n v="13000000"/>
    <x v="1"/>
    <x v="0"/>
    <s v="Drama"/>
    <s v="Family"/>
    <m/>
    <m/>
    <m/>
    <m/>
    <m/>
  </r>
  <r>
    <x v="66"/>
    <x v="1"/>
    <n v="26536120"/>
    <x v="2216"/>
    <x v="0"/>
    <s v="Germany"/>
    <n v="50000000"/>
    <x v="20"/>
    <x v="4"/>
    <s v="Crime"/>
    <s v="Drama"/>
    <s v="Mystery"/>
    <s v="Thriller"/>
    <m/>
    <m/>
    <m/>
  </r>
  <r>
    <x v="572"/>
    <x v="7"/>
    <n v="26525834"/>
    <x v="2217"/>
    <x v="0"/>
    <s v="USA"/>
    <n v="30000000"/>
    <x v="9"/>
    <x v="0"/>
    <s v="Drama"/>
    <s v="Romance"/>
    <m/>
    <m/>
    <m/>
    <m/>
    <m/>
  </r>
  <r>
    <x v="38"/>
    <x v="43"/>
    <n v="26505000"/>
    <x v="2218"/>
    <x v="0"/>
    <s v="USA"/>
    <n v="1800000"/>
    <x v="31"/>
    <x v="1"/>
    <m/>
    <m/>
    <m/>
    <m/>
    <m/>
    <m/>
    <m/>
  </r>
  <r>
    <x v="38"/>
    <x v="43"/>
    <n v="26505000"/>
    <x v="2218"/>
    <x v="0"/>
    <s v="USA"/>
    <n v="1800000"/>
    <x v="31"/>
    <x v="1"/>
    <m/>
    <m/>
    <m/>
    <m/>
    <m/>
    <m/>
    <m/>
  </r>
  <r>
    <x v="27"/>
    <x v="48"/>
    <n v="26494611"/>
    <x v="2219"/>
    <x v="0"/>
    <s v="USA"/>
    <n v="35000000"/>
    <x v="24"/>
    <x v="0"/>
    <s v="Drama"/>
    <s v="Romance"/>
    <s v="Sci-Fi"/>
    <m/>
    <m/>
    <m/>
    <m/>
  </r>
  <r>
    <x v="97"/>
    <x v="58"/>
    <n v="26442251"/>
    <x v="2220"/>
    <x v="0"/>
    <s v="USA"/>
    <n v="50000000"/>
    <x v="24"/>
    <x v="4"/>
    <s v="Crime"/>
    <s v="Drama"/>
    <s v="Thriller"/>
    <m/>
    <m/>
    <m/>
    <m/>
  </r>
  <r>
    <x v="1328"/>
    <x v="10"/>
    <n v="26421314"/>
    <x v="2221"/>
    <x v="0"/>
    <s v="USA"/>
    <n v="15000000"/>
    <x v="56"/>
    <x v="2"/>
    <s v="Fantasy"/>
    <s v="Horror"/>
    <s v="Mystery"/>
    <s v="Thriller"/>
    <m/>
    <m/>
    <m/>
  </r>
  <r>
    <x v="126"/>
    <x v="17"/>
    <n v="26415649"/>
    <x v="2222"/>
    <x v="0"/>
    <s v="USA"/>
    <n v="20000000"/>
    <x v="9"/>
    <x v="4"/>
    <s v="Crime"/>
    <s v="Drama"/>
    <s v="Thriller"/>
    <m/>
    <m/>
    <m/>
    <m/>
  </r>
  <r>
    <x v="288"/>
    <x v="50"/>
    <n v="26404753"/>
    <x v="2223"/>
    <x v="0"/>
    <s v="USA"/>
    <n v="40000000"/>
    <x v="48"/>
    <x v="4"/>
    <s v="Comedy"/>
    <s v="Crime"/>
    <s v="Romance"/>
    <s v="Thriller"/>
    <m/>
    <m/>
    <m/>
  </r>
  <r>
    <x v="622"/>
    <x v="18"/>
    <n v="26400000"/>
    <x v="2224"/>
    <x v="0"/>
    <s v="USA"/>
    <n v="18000000"/>
    <x v="19"/>
    <x v="4"/>
    <s v="Adventure"/>
    <s v="Fantasy"/>
    <m/>
    <m/>
    <m/>
    <m/>
    <m/>
  </r>
  <r>
    <x v="1316"/>
    <x v="156"/>
    <n v="26400000"/>
    <x v="2225"/>
    <x v="0"/>
    <s v="UK"/>
    <n v="16000000"/>
    <x v="7"/>
    <x v="2"/>
    <s v="Drama"/>
    <s v="History"/>
    <m/>
    <m/>
    <m/>
    <m/>
    <m/>
  </r>
  <r>
    <x v="1141"/>
    <x v="67"/>
    <n v="26384919"/>
    <x v="2226"/>
    <x v="0"/>
    <s v="USA"/>
    <n v="15000000"/>
    <x v="12"/>
    <x v="3"/>
    <m/>
    <m/>
    <m/>
    <m/>
    <m/>
    <m/>
    <m/>
  </r>
  <r>
    <x v="1329"/>
    <x v="63"/>
    <n v="26288320"/>
    <x v="2227"/>
    <x v="0"/>
    <s v="USA"/>
    <n v="60000000"/>
    <x v="15"/>
    <x v="2"/>
    <s v="Animation"/>
    <s v="Comedy"/>
    <s v="Drama"/>
    <s v="Family"/>
    <s v="Fantasy"/>
    <s v="Romance"/>
    <m/>
  </r>
  <r>
    <x v="1140"/>
    <x v="34"/>
    <n v="26284475"/>
    <x v="2228"/>
    <x v="0"/>
    <s v="USA"/>
    <n v="17000000"/>
    <x v="21"/>
    <x v="0"/>
    <m/>
    <m/>
    <m/>
    <m/>
    <m/>
    <m/>
    <m/>
  </r>
  <r>
    <x v="19"/>
    <x v="17"/>
    <n v="26236603"/>
    <x v="2229"/>
    <x v="0"/>
    <s v="USA"/>
    <n v="6000000"/>
    <x v="12"/>
    <x v="3"/>
    <s v="Sport"/>
    <m/>
    <m/>
    <m/>
    <m/>
    <m/>
    <m/>
  </r>
  <r>
    <x v="54"/>
    <x v="28"/>
    <n v="26199517"/>
    <x v="2230"/>
    <x v="0"/>
    <s v="USA"/>
    <n v="50000000"/>
    <x v="16"/>
    <x v="4"/>
    <s v="Crime"/>
    <s v="Drama"/>
    <s v="Mystery"/>
    <s v="Thriller"/>
    <m/>
    <m/>
    <m/>
  </r>
  <r>
    <x v="25"/>
    <x v="17"/>
    <n v="26183197"/>
    <x v="2231"/>
    <x v="0"/>
    <s v="USA"/>
    <n v="36000000"/>
    <x v="0"/>
    <x v="4"/>
    <s v="Crime"/>
    <s v="Drama"/>
    <s v="Thriller"/>
    <m/>
    <m/>
    <m/>
    <m/>
  </r>
  <r>
    <x v="1330"/>
    <x v="18"/>
    <n v="26161406"/>
    <x v="2232"/>
    <x v="0"/>
    <s v="USA"/>
    <n v="15000000"/>
    <x v="15"/>
    <x v="2"/>
    <s v="Comedy"/>
    <s v="Family"/>
    <s v="Fantasy"/>
    <m/>
    <m/>
    <m/>
    <m/>
  </r>
  <r>
    <x v="1331"/>
    <x v="63"/>
    <n v="26096584"/>
    <x v="2233"/>
    <x v="0"/>
    <s v="USA"/>
    <n v="19000000"/>
    <x v="43"/>
    <x v="0"/>
    <m/>
    <m/>
    <m/>
    <m/>
    <m/>
    <m/>
    <m/>
  </r>
  <r>
    <x v="216"/>
    <x v="43"/>
    <n v="26082914"/>
    <x v="2234"/>
    <x v="0"/>
    <s v="USA"/>
    <n v="87000000"/>
    <x v="49"/>
    <x v="4"/>
    <s v="Adventure"/>
    <s v="Crime"/>
    <s v="Thriller"/>
    <m/>
    <m/>
    <m/>
    <m/>
  </r>
  <r>
    <x v="1332"/>
    <x v="20"/>
    <n v="26049082"/>
    <x v="2235"/>
    <x v="0"/>
    <s v="USA"/>
    <n v="8000000"/>
    <x v="0"/>
    <x v="0"/>
    <s v="Romance"/>
    <m/>
    <m/>
    <m/>
    <m/>
    <m/>
    <m/>
  </r>
  <r>
    <x v="1333"/>
    <x v="41"/>
    <n v="26005908"/>
    <x v="2236"/>
    <x v="0"/>
    <s v="UK"/>
    <n v="3500000"/>
    <x v="11"/>
    <x v="2"/>
    <s v="Horror"/>
    <s v="Thriller"/>
    <m/>
    <m/>
    <m/>
    <m/>
    <m/>
  </r>
  <r>
    <x v="1263"/>
    <x v="17"/>
    <n v="26003149"/>
    <x v="2237"/>
    <x v="0"/>
    <s v="UK"/>
    <n v="20000000"/>
    <x v="14"/>
    <x v="4"/>
    <s v="Comedy"/>
    <s v="Sci-Fi"/>
    <m/>
    <m/>
    <m/>
    <m/>
    <m/>
  </r>
  <r>
    <x v="1334"/>
    <x v="22"/>
    <n v="26000610"/>
    <x v="2238"/>
    <x v="0"/>
    <s v="USA"/>
    <n v="76000000"/>
    <x v="30"/>
    <x v="2"/>
    <s v="Animation"/>
    <s v="Comedy"/>
    <s v="Family"/>
    <s v="Fantasy"/>
    <m/>
    <m/>
    <m/>
  </r>
  <r>
    <x v="1335"/>
    <x v="58"/>
    <n v="25977365"/>
    <x v="2239"/>
    <x v="0"/>
    <s v="USA"/>
    <n v="28000000"/>
    <x v="20"/>
    <x v="5"/>
    <s v="Drama"/>
    <s v="Mystery"/>
    <s v="Thriller"/>
    <m/>
    <m/>
    <m/>
    <m/>
  </r>
  <r>
    <x v="704"/>
    <x v="69"/>
    <n v="25967000"/>
    <x v="2240"/>
    <x v="0"/>
    <s v="UK"/>
    <n v="39751583.5"/>
    <x v="31"/>
    <x v="3"/>
    <s v="Romance"/>
    <m/>
    <m/>
    <m/>
    <m/>
    <m/>
    <m/>
  </r>
  <r>
    <x v="1336"/>
    <x v="10"/>
    <n v="25926543"/>
    <x v="2241"/>
    <x v="0"/>
    <s v="USA"/>
    <n v="8000000"/>
    <x v="34"/>
    <x v="1"/>
    <s v="Mystery"/>
    <s v="Thriller"/>
    <m/>
    <m/>
    <m/>
    <m/>
    <m/>
  </r>
  <r>
    <x v="150"/>
    <x v="21"/>
    <n v="25900000"/>
    <x v="2242"/>
    <x v="0"/>
    <s v="USA"/>
    <n v="58000000"/>
    <x v="20"/>
    <x v="5"/>
    <s v="Drama"/>
    <s v="Music"/>
    <m/>
    <m/>
    <m/>
    <m/>
    <m/>
  </r>
  <r>
    <x v="1337"/>
    <x v="68"/>
    <n v="25871834"/>
    <x v="2243"/>
    <x v="0"/>
    <s v="USA"/>
    <n v="35000000"/>
    <x v="36"/>
    <x v="4"/>
    <s v="Comedy"/>
    <s v="Sci-Fi"/>
    <s v="Thriller"/>
    <m/>
    <m/>
    <m/>
    <m/>
  </r>
  <r>
    <x v="403"/>
    <x v="43"/>
    <n v="25863915"/>
    <x v="2244"/>
    <x v="0"/>
    <s v="USA"/>
    <n v="35000000"/>
    <x v="33"/>
    <x v="4"/>
    <s v="Crime"/>
    <s v="Mystery"/>
    <s v="Thriller"/>
    <m/>
    <m/>
    <m/>
    <m/>
  </r>
  <r>
    <x v="1338"/>
    <x v="31"/>
    <n v="25857987"/>
    <x v="2245"/>
    <x v="0"/>
    <s v="USA"/>
    <n v="62000000"/>
    <x v="3"/>
    <x v="4"/>
    <s v="Sci-Fi"/>
    <m/>
    <m/>
    <m/>
    <m/>
    <m/>
    <m/>
  </r>
  <r>
    <x v="415"/>
    <x v="61"/>
    <n v="25842000"/>
    <x v="2246"/>
    <x v="0"/>
    <s v="UK"/>
    <n v="22000000"/>
    <x v="7"/>
    <x v="6"/>
    <s v="Drama"/>
    <s v="Romance"/>
    <m/>
    <m/>
    <m/>
    <m/>
    <m/>
  </r>
  <r>
    <x v="1201"/>
    <x v="9"/>
    <n v="25809813"/>
    <x v="2247"/>
    <x v="0"/>
    <s v="USA"/>
    <n v="26000000"/>
    <x v="26"/>
    <x v="0"/>
    <s v="Drama"/>
    <s v="Music"/>
    <m/>
    <m/>
    <m/>
    <m/>
    <m/>
  </r>
  <r>
    <x v="1339"/>
    <x v="39"/>
    <n v="25799043"/>
    <x v="2248"/>
    <x v="0"/>
    <s v="USA"/>
    <n v="3300000"/>
    <x v="34"/>
    <x v="1"/>
    <s v="Sci-Fi"/>
    <s v="Thriller"/>
    <m/>
    <m/>
    <m/>
    <m/>
    <m/>
  </r>
  <r>
    <x v="1340"/>
    <x v="21"/>
    <n v="25776062"/>
    <x v="2249"/>
    <x v="0"/>
    <s v="USA"/>
    <n v="12000000"/>
    <x v="7"/>
    <x v="6"/>
    <s v="Drama"/>
    <s v="Romance"/>
    <m/>
    <m/>
    <m/>
    <m/>
    <m/>
  </r>
  <r>
    <x v="127"/>
    <x v="7"/>
    <n v="25753840"/>
    <x v="2250"/>
    <x v="0"/>
    <s v="USA"/>
    <n v="19000000"/>
    <x v="4"/>
    <x v="5"/>
    <s v="Fantasy"/>
    <s v="Horror"/>
    <m/>
    <m/>
    <m/>
    <m/>
    <m/>
  </r>
  <r>
    <x v="104"/>
    <x v="51"/>
    <n v="25677801"/>
    <x v="2251"/>
    <x v="0"/>
    <s v="USA"/>
    <n v="20000000"/>
    <x v="19"/>
    <x v="0"/>
    <s v="Family"/>
    <s v="Romance"/>
    <m/>
    <m/>
    <m/>
    <m/>
    <m/>
  </r>
  <r>
    <x v="357"/>
    <x v="31"/>
    <n v="25675765"/>
    <x v="2252"/>
    <x v="0"/>
    <s v="USA"/>
    <n v="13000000"/>
    <x v="1"/>
    <x v="0"/>
    <m/>
    <m/>
    <m/>
    <m/>
    <m/>
    <m/>
    <m/>
  </r>
  <r>
    <x v="127"/>
    <x v="44"/>
    <n v="25625110"/>
    <x v="2253"/>
    <x v="0"/>
    <s v="USA"/>
    <n v="7000000"/>
    <x v="11"/>
    <x v="4"/>
    <s v="Crime"/>
    <s v="Thriller"/>
    <m/>
    <m/>
    <m/>
    <m/>
    <m/>
  </r>
  <r>
    <x v="1341"/>
    <x v="60"/>
    <n v="25615792"/>
    <x v="2254"/>
    <x v="0"/>
    <s v="USA"/>
    <n v="25000000"/>
    <x v="55"/>
    <x v="4"/>
    <s v="Comedy"/>
    <s v="Music"/>
    <m/>
    <m/>
    <m/>
    <m/>
    <m/>
  </r>
  <r>
    <x v="150"/>
    <x v="58"/>
    <n v="25600000"/>
    <x v="2255"/>
    <x v="0"/>
    <s v="USA"/>
    <n v="10000000"/>
    <x v="11"/>
    <x v="5"/>
    <s v="Drama"/>
    <m/>
    <m/>
    <m/>
    <m/>
    <m/>
    <m/>
  </r>
  <r>
    <x v="1302"/>
    <x v="59"/>
    <n v="25592632"/>
    <x v="2256"/>
    <x v="0"/>
    <s v="USA"/>
    <n v="18000000"/>
    <x v="11"/>
    <x v="1"/>
    <m/>
    <m/>
    <m/>
    <m/>
    <m/>
    <m/>
    <m/>
  </r>
  <r>
    <x v="1342"/>
    <x v="22"/>
    <n v="25590119"/>
    <x v="2257"/>
    <x v="0"/>
    <s v="Australia"/>
    <n v="21150000"/>
    <x v="46"/>
    <x v="2"/>
    <s v="Comedy"/>
    <s v="Crime"/>
    <m/>
    <m/>
    <m/>
    <m/>
    <m/>
  </r>
  <r>
    <x v="1343"/>
    <x v="4"/>
    <n v="25584685"/>
    <x v="2258"/>
    <x v="0"/>
    <s v="USA"/>
    <n v="20000000"/>
    <x v="1"/>
    <x v="0"/>
    <s v="Crime"/>
    <s v="Family"/>
    <s v="Mystery"/>
    <s v="Romance"/>
    <s v="Thriller"/>
    <m/>
    <m/>
  </r>
  <r>
    <x v="1344"/>
    <x v="68"/>
    <n v="25571351"/>
    <x v="2259"/>
    <x v="0"/>
    <s v="USA"/>
    <n v="14000000"/>
    <x v="24"/>
    <x v="2"/>
    <s v="Animation"/>
    <s v="Comedy"/>
    <s v="Drama"/>
    <s v="Family"/>
    <s v="Musical"/>
    <m/>
    <m/>
  </r>
  <r>
    <x v="1345"/>
    <x v="59"/>
    <n v="25556065"/>
    <x v="2260"/>
    <x v="0"/>
    <s v="USA"/>
    <n v="23000000"/>
    <x v="13"/>
    <x v="3"/>
    <s v="Romance"/>
    <s v="Sci-Fi"/>
    <m/>
    <m/>
    <m/>
    <m/>
    <m/>
  </r>
  <r>
    <x v="256"/>
    <x v="8"/>
    <n v="25530884"/>
    <x v="2261"/>
    <x v="0"/>
    <s v="USA"/>
    <n v="9000000"/>
    <x v="42"/>
    <x v="12"/>
    <s v="Thriller"/>
    <m/>
    <m/>
    <m/>
    <m/>
    <m/>
    <m/>
  </r>
  <r>
    <x v="65"/>
    <x v="25"/>
    <n v="25528495"/>
    <x v="2262"/>
    <x v="0"/>
    <s v="UK"/>
    <n v="57000000"/>
    <x v="1"/>
    <x v="3"/>
    <s v="Music"/>
    <s v="Romance"/>
    <s v="War"/>
    <m/>
    <m/>
    <m/>
    <m/>
  </r>
  <r>
    <x v="205"/>
    <x v="2"/>
    <n v="25517500"/>
    <x v="2263"/>
    <x v="0"/>
    <s v="USA"/>
    <n v="25100000"/>
    <x v="16"/>
    <x v="6"/>
    <s v="Drama"/>
    <s v="History"/>
    <m/>
    <m/>
    <m/>
    <m/>
    <m/>
  </r>
  <r>
    <x v="1084"/>
    <x v="13"/>
    <n v="25482931"/>
    <x v="2264"/>
    <x v="0"/>
    <s v="USA"/>
    <n v="14000000"/>
    <x v="21"/>
    <x v="4"/>
    <s v="Comedy"/>
    <s v="Crime"/>
    <s v="Thriller"/>
    <m/>
    <m/>
    <m/>
    <m/>
  </r>
  <r>
    <x v="1346"/>
    <x v="18"/>
    <n v="25472967"/>
    <x v="2265"/>
    <x v="0"/>
    <s v="USA"/>
    <n v="30000000"/>
    <x v="37"/>
    <x v="3"/>
    <s v="Horror"/>
    <s v="Thriller"/>
    <m/>
    <m/>
    <m/>
    <m/>
    <m/>
  </r>
  <r>
    <x v="1347"/>
    <x v="1"/>
    <n v="25464480"/>
    <x v="2266"/>
    <x v="0"/>
    <s v="USA"/>
    <n v="10000000"/>
    <x v="1"/>
    <x v="12"/>
    <s v="Sci-Fi"/>
    <s v="Thriller"/>
    <m/>
    <m/>
    <m/>
    <m/>
    <m/>
  </r>
  <r>
    <x v="1348"/>
    <x v="36"/>
    <n v="25450527"/>
    <x v="2267"/>
    <x v="0"/>
    <s v="USA"/>
    <n v="50000000"/>
    <x v="20"/>
    <x v="4"/>
    <s v="Crime"/>
    <s v="Drama"/>
    <s v="Mystery"/>
    <s v="Thriller"/>
    <m/>
    <m/>
    <m/>
  </r>
  <r>
    <x v="1349"/>
    <x v="7"/>
    <n v="25440971"/>
    <x v="2268"/>
    <x v="0"/>
    <s v="UK"/>
    <n v="15000000"/>
    <x v="5"/>
    <x v="3"/>
    <s v="Mystery"/>
    <s v="Sci-Fi"/>
    <s v="Thriller"/>
    <m/>
    <m/>
    <m/>
    <m/>
  </r>
  <r>
    <x v="1077"/>
    <x v="43"/>
    <n v="25407250"/>
    <x v="2269"/>
    <x v="0"/>
    <s v="USA"/>
    <n v="50000000"/>
    <x v="21"/>
    <x v="4"/>
    <s v="Adventure"/>
    <s v="Sci-Fi"/>
    <s v="Thriller"/>
    <m/>
    <m/>
    <m/>
    <m/>
  </r>
  <r>
    <x v="159"/>
    <x v="157"/>
    <n v="25359200"/>
    <x v="2270"/>
    <x v="0"/>
    <s v="USA"/>
    <n v="4000000"/>
    <x v="13"/>
    <x v="3"/>
    <m/>
    <m/>
    <m/>
    <m/>
    <m/>
    <m/>
    <m/>
  </r>
  <r>
    <x v="1350"/>
    <x v="41"/>
    <n v="25339117"/>
    <x v="2271"/>
    <x v="0"/>
    <s v="USA"/>
    <n v="10000000"/>
    <x v="20"/>
    <x v="0"/>
    <s v="Romance"/>
    <m/>
    <m/>
    <m/>
    <m/>
    <m/>
    <m/>
  </r>
  <r>
    <x v="1351"/>
    <x v="5"/>
    <n v="25335935"/>
    <x v="2272"/>
    <x v="0"/>
    <s v="USA"/>
    <n v="40000000"/>
    <x v="13"/>
    <x v="4"/>
    <s v="Adventure"/>
    <s v="Sci-Fi"/>
    <s v="Thriller"/>
    <m/>
    <m/>
    <m/>
    <m/>
  </r>
  <r>
    <x v="1112"/>
    <x v="22"/>
    <n v="25296447"/>
    <x v="2273"/>
    <x v="0"/>
    <s v="France"/>
    <n v="21000000"/>
    <x v="9"/>
    <x v="4"/>
    <s v="Crime"/>
    <s v="Thriller"/>
    <m/>
    <m/>
    <m/>
    <m/>
    <m/>
  </r>
  <r>
    <x v="1168"/>
    <x v="30"/>
    <n v="25277561"/>
    <x v="2274"/>
    <x v="0"/>
    <s v="USA"/>
    <n v="12000000"/>
    <x v="20"/>
    <x v="0"/>
    <s v="Romance"/>
    <m/>
    <m/>
    <m/>
    <m/>
    <m/>
    <m/>
  </r>
  <r>
    <x v="754"/>
    <x v="30"/>
    <n v="25266129"/>
    <x v="2275"/>
    <x v="0"/>
    <s v="USA"/>
    <n v="35000000"/>
    <x v="8"/>
    <x v="0"/>
    <s v="Drama"/>
    <s v="Romance"/>
    <m/>
    <m/>
    <m/>
    <m/>
    <m/>
  </r>
  <r>
    <x v="1077"/>
    <x v="40"/>
    <n v="25244700"/>
    <x v="2276"/>
    <x v="0"/>
    <s v="UK"/>
    <n v="6000000"/>
    <x v="11"/>
    <x v="4"/>
    <s v="Sci-Fi"/>
    <m/>
    <m/>
    <m/>
    <m/>
    <m/>
    <m/>
  </r>
  <r>
    <x v="1352"/>
    <x v="31"/>
    <n v="25240988"/>
    <x v="2277"/>
    <x v="0"/>
    <s v="USA"/>
    <n v="12000000"/>
    <x v="1"/>
    <x v="10"/>
    <s v="Music"/>
    <m/>
    <m/>
    <m/>
    <m/>
    <m/>
    <m/>
  </r>
  <r>
    <x v="400"/>
    <x v="89"/>
    <n v="25200412"/>
    <x v="2278"/>
    <x v="0"/>
    <s v="USA"/>
    <n v="45000000"/>
    <x v="18"/>
    <x v="2"/>
    <s v="Comedy"/>
    <s v="Family"/>
    <s v="Fantasy"/>
    <s v="Sci-Fi"/>
    <m/>
    <m/>
    <m/>
  </r>
  <r>
    <x v="1353"/>
    <x v="5"/>
    <n v="25178165"/>
    <x v="2279"/>
    <x v="0"/>
    <s v="USA"/>
    <n v="40000000"/>
    <x v="15"/>
    <x v="3"/>
    <s v="Romance"/>
    <m/>
    <m/>
    <m/>
    <m/>
    <m/>
    <m/>
  </r>
  <r>
    <x v="1156"/>
    <x v="28"/>
    <n v="25167270"/>
    <x v="2280"/>
    <x v="0"/>
    <s v="Germany"/>
    <n v="24000000"/>
    <x v="2"/>
    <x v="0"/>
    <s v="Crime"/>
    <s v="Drama"/>
    <m/>
    <m/>
    <m/>
    <m/>
    <m/>
  </r>
  <r>
    <x v="1354"/>
    <x v="22"/>
    <n v="25138292"/>
    <x v="2281"/>
    <x v="0"/>
    <s v="USA"/>
    <n v="3500000"/>
    <x v="9"/>
    <x v="1"/>
    <s v="Mystery"/>
    <m/>
    <m/>
    <m/>
    <m/>
    <m/>
    <m/>
  </r>
  <r>
    <x v="229"/>
    <x v="61"/>
    <n v="25121291"/>
    <x v="2282"/>
    <x v="0"/>
    <s v="USA"/>
    <n v="50000000"/>
    <x v="15"/>
    <x v="4"/>
    <s v="Crime"/>
    <s v="Mystery"/>
    <s v="Sci-Fi"/>
    <s v="Thriller"/>
    <m/>
    <m/>
    <m/>
  </r>
  <r>
    <x v="249"/>
    <x v="4"/>
    <n v="25117498"/>
    <x v="2283"/>
    <x v="0"/>
    <s v="USA"/>
    <n v="40000000"/>
    <x v="21"/>
    <x v="1"/>
    <s v="Thriller"/>
    <m/>
    <m/>
    <m/>
    <m/>
    <m/>
    <m/>
  </r>
  <r>
    <x v="1355"/>
    <x v="12"/>
    <n v="25093607"/>
    <x v="2284"/>
    <x v="0"/>
    <s v="UK"/>
    <n v="35000000"/>
    <x v="20"/>
    <x v="4"/>
    <s v="Crime"/>
    <s v="Thriller"/>
    <m/>
    <m/>
    <m/>
    <m/>
    <m/>
  </r>
  <r>
    <x v="54"/>
    <x v="67"/>
    <n v="25078937"/>
    <x v="2285"/>
    <x v="0"/>
    <s v="USA"/>
    <n v="30000000"/>
    <x v="24"/>
    <x v="5"/>
    <s v="Drama"/>
    <s v="Mystery"/>
    <s v="Thriller"/>
    <m/>
    <m/>
    <m/>
    <m/>
  </r>
  <r>
    <x v="1356"/>
    <x v="10"/>
    <n v="25077977"/>
    <x v="2286"/>
    <x v="0"/>
    <s v="USA"/>
    <n v="20000000"/>
    <x v="48"/>
    <x v="2"/>
    <s v="Animation"/>
    <s v="Comedy"/>
    <s v="Family"/>
    <s v="Romance"/>
    <m/>
    <m/>
    <m/>
  </r>
  <r>
    <x v="1225"/>
    <x v="158"/>
    <n v="25052000"/>
    <x v="2287"/>
    <x v="0"/>
    <s v="USA"/>
    <n v="63000000"/>
    <x v="24"/>
    <x v="2"/>
    <s v="Biography"/>
    <s v="Crime"/>
    <s v="Drama"/>
    <s v="Western"/>
    <m/>
    <m/>
    <m/>
  </r>
  <r>
    <x v="1313"/>
    <x v="40"/>
    <n v="25047631"/>
    <x v="2288"/>
    <x v="0"/>
    <s v="USA"/>
    <n v="6000000"/>
    <x v="26"/>
    <x v="0"/>
    <s v="Drama"/>
    <s v="Romance"/>
    <m/>
    <m/>
    <m/>
    <m/>
    <m/>
  </r>
  <r>
    <x v="197"/>
    <x v="44"/>
    <n v="25040293"/>
    <x v="2289"/>
    <x v="0"/>
    <s v="USA"/>
    <n v="55000000"/>
    <x v="24"/>
    <x v="4"/>
    <s v="Adventure"/>
    <s v="Fantasy"/>
    <m/>
    <m/>
    <m/>
    <m/>
    <m/>
  </r>
  <r>
    <x v="127"/>
    <x v="159"/>
    <n v="25031037"/>
    <x v="2290"/>
    <x v="0"/>
    <s v="USA"/>
    <n v="53000000"/>
    <x v="17"/>
    <x v="4"/>
    <s v="Horror"/>
    <s v="Thriller"/>
    <m/>
    <m/>
    <m/>
    <m/>
    <m/>
  </r>
  <r>
    <x v="1129"/>
    <x v="60"/>
    <n v="25003072"/>
    <x v="2291"/>
    <x v="0"/>
    <s v="USA"/>
    <n v="24000000"/>
    <x v="3"/>
    <x v="0"/>
    <s v="Horror"/>
    <m/>
    <m/>
    <m/>
    <m/>
    <m/>
    <m/>
  </r>
  <r>
    <x v="1357"/>
    <x v="5"/>
    <n v="25000000"/>
    <x v="2292"/>
    <x v="0"/>
    <s v="USA"/>
    <n v="9000000"/>
    <x v="9"/>
    <x v="4"/>
    <s v="Adventure"/>
    <s v="Sci-Fi"/>
    <m/>
    <m/>
    <m/>
    <m/>
    <m/>
  </r>
  <r>
    <x v="770"/>
    <x v="35"/>
    <n v="25000000"/>
    <x v="2293"/>
    <x v="0"/>
    <s v="USA"/>
    <n v="2883848"/>
    <x v="25"/>
    <x v="0"/>
    <s v="Music"/>
    <s v="Romance"/>
    <m/>
    <m/>
    <m/>
    <m/>
    <m/>
  </r>
  <r>
    <x v="307"/>
    <x v="7"/>
    <n v="24984868"/>
    <x v="2294"/>
    <x v="0"/>
    <s v="USA"/>
    <n v="15000000"/>
    <x v="2"/>
    <x v="4"/>
    <s v="Crime"/>
    <s v="Thriller"/>
    <m/>
    <m/>
    <m/>
    <m/>
    <m/>
  </r>
  <r>
    <x v="105"/>
    <x v="24"/>
    <n v="24944213"/>
    <x v="2295"/>
    <x v="0"/>
    <s v="USA"/>
    <n v="27000000"/>
    <x v="26"/>
    <x v="0"/>
    <s v="Sport"/>
    <m/>
    <m/>
    <m/>
    <m/>
    <m/>
    <m/>
  </r>
  <r>
    <x v="1343"/>
    <x v="43"/>
    <n v="24881000"/>
    <x v="2296"/>
    <x v="0"/>
    <s v="USA"/>
    <n v="15000000"/>
    <x v="8"/>
    <x v="3"/>
    <s v="Fantasy"/>
    <s v="Horror"/>
    <s v="Thriller"/>
    <m/>
    <m/>
    <m/>
    <m/>
  </r>
  <r>
    <x v="1296"/>
    <x v="28"/>
    <n v="24848292"/>
    <x v="2297"/>
    <x v="0"/>
    <s v="USA"/>
    <n v="20000000"/>
    <x v="24"/>
    <x v="4"/>
    <s v="Drama"/>
    <s v="Sport"/>
    <m/>
    <m/>
    <m/>
    <m/>
    <m/>
  </r>
  <r>
    <x v="1358"/>
    <x v="10"/>
    <n v="24809547"/>
    <x v="2298"/>
    <x v="0"/>
    <s v="USA"/>
    <n v="5000000"/>
    <x v="16"/>
    <x v="0"/>
    <s v="Drama"/>
    <m/>
    <m/>
    <m/>
    <m/>
    <m/>
    <m/>
  </r>
  <r>
    <x v="283"/>
    <x v="61"/>
    <n v="24800000"/>
    <x v="2299"/>
    <x v="0"/>
    <s v="UK"/>
    <n v="2000000"/>
    <x v="31"/>
    <x v="4"/>
    <s v="Adventure"/>
    <s v="Thriller"/>
    <m/>
    <m/>
    <m/>
    <m/>
    <m/>
  </r>
  <r>
    <x v="139"/>
    <x v="22"/>
    <n v="24792061"/>
    <x v="2300"/>
    <x v="0"/>
    <s v="USA"/>
    <n v="6500000"/>
    <x v="17"/>
    <x v="0"/>
    <s v="Drama"/>
    <m/>
    <m/>
    <m/>
    <m/>
    <m/>
    <m/>
  </r>
  <r>
    <x v="314"/>
    <x v="50"/>
    <n v="24788807"/>
    <x v="2301"/>
    <x v="0"/>
    <s v="UK"/>
    <n v="3000000"/>
    <x v="7"/>
    <x v="0"/>
    <m/>
    <m/>
    <m/>
    <m/>
    <m/>
    <m/>
    <m/>
  </r>
  <r>
    <x v="199"/>
    <x v="41"/>
    <n v="24741700"/>
    <x v="2302"/>
    <x v="0"/>
    <s v="USA"/>
    <n v="1200000"/>
    <x v="11"/>
    <x v="3"/>
    <m/>
    <m/>
    <m/>
    <m/>
    <m/>
    <m/>
    <m/>
  </r>
  <r>
    <x v="1359"/>
    <x v="4"/>
    <n v="24708699"/>
    <x v="2303"/>
    <x v="0"/>
    <s v="USA"/>
    <n v="39751583.5"/>
    <x v="35"/>
    <x v="0"/>
    <m/>
    <m/>
    <m/>
    <m/>
    <m/>
    <m/>
    <m/>
  </r>
  <r>
    <x v="223"/>
    <x v="1"/>
    <n v="24629916"/>
    <x v="2304"/>
    <x v="0"/>
    <s v="USA"/>
    <n v="3000000"/>
    <x v="33"/>
    <x v="0"/>
    <s v="Drama"/>
    <s v="Family"/>
    <s v="Sport"/>
    <m/>
    <m/>
    <m/>
    <m/>
  </r>
  <r>
    <x v="861"/>
    <x v="21"/>
    <n v="24530513"/>
    <x v="2305"/>
    <x v="0"/>
    <s v="USA"/>
    <n v="9000000"/>
    <x v="13"/>
    <x v="10"/>
    <s v="Drama"/>
    <m/>
    <m/>
    <m/>
    <m/>
    <m/>
    <m/>
  </r>
  <r>
    <x v="1112"/>
    <x v="18"/>
    <n v="24520892"/>
    <x v="2306"/>
    <x v="0"/>
    <s v="France"/>
    <n v="45000000"/>
    <x v="14"/>
    <x v="4"/>
    <s v="Crime"/>
    <s v="Drama"/>
    <s v="Thriller"/>
    <m/>
    <m/>
    <m/>
    <m/>
  </r>
  <r>
    <x v="1360"/>
    <x v="91"/>
    <n v="24475416"/>
    <x v="2307"/>
    <x v="0"/>
    <s v="USA"/>
    <n v="890000"/>
    <x v="13"/>
    <x v="3"/>
    <m/>
    <m/>
    <m/>
    <m/>
    <m/>
    <m/>
    <m/>
  </r>
  <r>
    <x v="1361"/>
    <x v="10"/>
    <n v="24475193"/>
    <x v="2308"/>
    <x v="0"/>
    <s v="USA"/>
    <n v="3000000"/>
    <x v="24"/>
    <x v="0"/>
    <s v="Drama"/>
    <s v="Romance"/>
    <m/>
    <m/>
    <m/>
    <m/>
    <m/>
  </r>
  <r>
    <x v="1162"/>
    <x v="10"/>
    <n v="24430272"/>
    <x v="2309"/>
    <x v="0"/>
    <s v="USA"/>
    <n v="43000000"/>
    <x v="33"/>
    <x v="0"/>
    <s v="Romance"/>
    <m/>
    <m/>
    <m/>
    <m/>
    <m/>
    <m/>
  </r>
  <r>
    <x v="138"/>
    <x v="41"/>
    <n v="24407944"/>
    <x v="2310"/>
    <x v="0"/>
    <s v="Canada"/>
    <n v="43000000"/>
    <x v="46"/>
    <x v="4"/>
    <s v="Crime"/>
    <s v="Fantasy"/>
    <s v="Thriller"/>
    <m/>
    <m/>
    <m/>
    <m/>
  </r>
  <r>
    <x v="1180"/>
    <x v="12"/>
    <n v="24397469"/>
    <x v="2311"/>
    <x v="0"/>
    <s v="USA"/>
    <n v="17000000"/>
    <x v="21"/>
    <x v="3"/>
    <s v="Music"/>
    <m/>
    <m/>
    <m/>
    <m/>
    <m/>
    <m/>
  </r>
  <r>
    <x v="1362"/>
    <x v="1"/>
    <n v="24381334"/>
    <x v="2312"/>
    <x v="0"/>
    <s v="USA"/>
    <n v="39751583.5"/>
    <x v="27"/>
    <x v="0"/>
    <s v="Drama"/>
    <s v="Family"/>
    <s v="Sport"/>
    <m/>
    <m/>
    <m/>
    <m/>
  </r>
  <r>
    <x v="603"/>
    <x v="35"/>
    <n v="24375436"/>
    <x v="2313"/>
    <x v="0"/>
    <s v="USA"/>
    <n v="42000000"/>
    <x v="0"/>
    <x v="4"/>
    <s v="Crime"/>
    <s v="Drama"/>
    <s v="Thriller"/>
    <m/>
    <m/>
    <m/>
    <m/>
  </r>
  <r>
    <x v="1207"/>
    <x v="24"/>
    <n v="24362501"/>
    <x v="2314"/>
    <x v="0"/>
    <s v="USA"/>
    <n v="21500000"/>
    <x v="11"/>
    <x v="5"/>
    <s v="Drama"/>
    <s v="Thriller"/>
    <m/>
    <m/>
    <m/>
    <m/>
    <m/>
  </r>
  <r>
    <x v="1340"/>
    <x v="6"/>
    <n v="24343673"/>
    <x v="2315"/>
    <x v="0"/>
    <s v="USA"/>
    <n v="45000000"/>
    <x v="7"/>
    <x v="3"/>
    <s v="Fantasy"/>
    <s v="Musical"/>
    <s v="Romance"/>
    <m/>
    <m/>
    <m/>
    <m/>
  </r>
  <r>
    <x v="1340"/>
    <x v="6"/>
    <n v="24343673"/>
    <x v="2315"/>
    <x v="0"/>
    <s v="USA"/>
    <n v="45000000"/>
    <x v="7"/>
    <x v="3"/>
    <s v="Fantasy"/>
    <s v="Musical"/>
    <s v="Romance"/>
    <m/>
    <m/>
    <m/>
    <m/>
  </r>
  <r>
    <x v="16"/>
    <x v="15"/>
    <n v="24332324"/>
    <x v="2316"/>
    <x v="0"/>
    <s v="USA"/>
    <n v="40000000"/>
    <x v="0"/>
    <x v="0"/>
    <s v="Drama"/>
    <m/>
    <m/>
    <m/>
    <m/>
    <m/>
    <m/>
  </r>
  <r>
    <x v="1363"/>
    <x v="69"/>
    <n v="24276500"/>
    <x v="2317"/>
    <x v="0"/>
    <s v="USA"/>
    <n v="35000000"/>
    <x v="24"/>
    <x v="6"/>
    <s v="Crime"/>
    <s v="Drama"/>
    <m/>
    <m/>
    <m/>
    <m/>
    <m/>
  </r>
  <r>
    <x v="153"/>
    <x v="20"/>
    <n v="24268828"/>
    <x v="2318"/>
    <x v="0"/>
    <s v="USA"/>
    <n v="28000000"/>
    <x v="18"/>
    <x v="4"/>
    <s v="Comedy"/>
    <s v="Family"/>
    <m/>
    <m/>
    <m/>
    <m/>
    <m/>
  </r>
  <r>
    <x v="303"/>
    <x v="43"/>
    <n v="24185781"/>
    <x v="2319"/>
    <x v="0"/>
    <s v="USA"/>
    <n v="31000000"/>
    <x v="26"/>
    <x v="3"/>
    <s v="Mystery"/>
    <m/>
    <m/>
    <m/>
    <m/>
    <m/>
    <m/>
  </r>
  <r>
    <x v="754"/>
    <x v="0"/>
    <n v="24138847"/>
    <x v="2320"/>
    <x v="0"/>
    <s v="USA"/>
    <n v="5000000"/>
    <x v="7"/>
    <x v="0"/>
    <m/>
    <m/>
    <m/>
    <m/>
    <m/>
    <m/>
    <m/>
  </r>
  <r>
    <x v="1175"/>
    <x v="57"/>
    <n v="24127895"/>
    <x v="2321"/>
    <x v="0"/>
    <s v="USA"/>
    <n v="50000000"/>
    <x v="17"/>
    <x v="5"/>
    <s v="Drama"/>
    <s v="Thriller"/>
    <m/>
    <m/>
    <m/>
    <m/>
    <m/>
  </r>
  <r>
    <x v="1364"/>
    <x v="32"/>
    <n v="24104113"/>
    <x v="2322"/>
    <x v="0"/>
    <s v="France"/>
    <n v="20000000"/>
    <x v="6"/>
    <x v="3"/>
    <s v="Mystery"/>
    <s v="Thriller"/>
    <m/>
    <m/>
    <m/>
    <m/>
    <m/>
  </r>
  <r>
    <x v="1365"/>
    <x v="7"/>
    <n v="24103594"/>
    <x v="2323"/>
    <x v="0"/>
    <s v="USA"/>
    <n v="6500000"/>
    <x v="8"/>
    <x v="2"/>
    <s v="Comedy"/>
    <s v="Drama"/>
    <s v="Family"/>
    <m/>
    <m/>
    <m/>
    <m/>
  </r>
  <r>
    <x v="1249"/>
    <x v="40"/>
    <n v="24048000"/>
    <x v="2324"/>
    <x v="0"/>
    <s v="USA"/>
    <n v="30000000"/>
    <x v="3"/>
    <x v="4"/>
    <s v="Crime"/>
    <s v="Sci-Fi"/>
    <s v="Thriller"/>
    <m/>
    <m/>
    <m/>
    <m/>
  </r>
  <r>
    <x v="382"/>
    <x v="30"/>
    <n v="24044532"/>
    <x v="2325"/>
    <x v="0"/>
    <s v="USA"/>
    <n v="38000000"/>
    <x v="37"/>
    <x v="3"/>
    <s v="Romance"/>
    <m/>
    <m/>
    <m/>
    <m/>
    <m/>
    <m/>
  </r>
  <r>
    <x v="1366"/>
    <x v="4"/>
    <n v="24042490"/>
    <x v="2326"/>
    <x v="0"/>
    <s v="USA"/>
    <n v="25000000"/>
    <x v="37"/>
    <x v="8"/>
    <s v="Horror"/>
    <s v="Thriller"/>
    <m/>
    <m/>
    <m/>
    <m/>
    <m/>
  </r>
  <r>
    <x v="316"/>
    <x v="5"/>
    <n v="24006726"/>
    <x v="2327"/>
    <x v="0"/>
    <s v="USA"/>
    <n v="50000000"/>
    <x v="4"/>
    <x v="2"/>
    <s v="Comedy"/>
    <s v="Drama"/>
    <m/>
    <m/>
    <m/>
    <m/>
    <m/>
  </r>
  <r>
    <x v="1367"/>
    <x v="89"/>
    <n v="23993605"/>
    <x v="2328"/>
    <x v="0"/>
    <s v="USA"/>
    <n v="18000000"/>
    <x v="19"/>
    <x v="0"/>
    <s v="Crime"/>
    <s v="Drama"/>
    <m/>
    <m/>
    <m/>
    <m/>
    <m/>
  </r>
  <r>
    <x v="1368"/>
    <x v="89"/>
    <n v="23978402"/>
    <x v="2329"/>
    <x v="0"/>
    <s v="USA"/>
    <n v="11000000"/>
    <x v="28"/>
    <x v="0"/>
    <s v="Crime"/>
    <m/>
    <m/>
    <m/>
    <m/>
    <m/>
    <m/>
  </r>
  <r>
    <x v="1369"/>
    <x v="49"/>
    <n v="23808111"/>
    <x v="2330"/>
    <x v="0"/>
    <s v="USA"/>
    <n v="39751583.5"/>
    <x v="31"/>
    <x v="10"/>
    <m/>
    <m/>
    <m/>
    <m/>
    <m/>
    <m/>
    <m/>
  </r>
  <r>
    <x v="1370"/>
    <x v="134"/>
    <n v="23650000"/>
    <x v="2331"/>
    <x v="0"/>
    <s v="USA"/>
    <n v="2100000"/>
    <x v="23"/>
    <x v="3"/>
    <s v="Romance"/>
    <s v="War"/>
    <m/>
    <m/>
    <m/>
    <m/>
    <m/>
  </r>
  <r>
    <x v="1263"/>
    <x v="64"/>
    <n v="23618786"/>
    <x v="2332"/>
    <x v="0"/>
    <s v="UK"/>
    <n v="8000000"/>
    <x v="12"/>
    <x v="4"/>
    <s v="Comedy"/>
    <s v="Mystery"/>
    <m/>
    <m/>
    <m/>
    <m/>
    <m/>
  </r>
  <r>
    <x v="298"/>
    <x v="0"/>
    <n v="23527955"/>
    <x v="2333"/>
    <x v="0"/>
    <s v="USA"/>
    <n v="25000000"/>
    <x v="16"/>
    <x v="4"/>
    <s v="Crime"/>
    <s v="Drama"/>
    <s v="Mystery"/>
    <s v="Thriller"/>
    <m/>
    <m/>
    <m/>
  </r>
  <r>
    <x v="1371"/>
    <x v="64"/>
    <n v="23472900"/>
    <x v="2334"/>
    <x v="0"/>
    <s v="UK"/>
    <n v="17500000"/>
    <x v="23"/>
    <x v="3"/>
    <s v="History"/>
    <s v="War"/>
    <m/>
    <m/>
    <m/>
    <m/>
    <m/>
  </r>
  <r>
    <x v="1372"/>
    <x v="44"/>
    <n v="23393765"/>
    <x v="2335"/>
    <x v="0"/>
    <s v="USA"/>
    <n v="20000000"/>
    <x v="2"/>
    <x v="3"/>
    <s v="Romance"/>
    <m/>
    <m/>
    <m/>
    <m/>
    <m/>
    <m/>
  </r>
  <r>
    <x v="651"/>
    <x v="55"/>
    <n v="23360779"/>
    <x v="2336"/>
    <x v="0"/>
    <s v="USA"/>
    <n v="34000000"/>
    <x v="21"/>
    <x v="4"/>
    <s v="Adventure"/>
    <s v="Crime"/>
    <s v="Drama"/>
    <s v="Family"/>
    <s v="Fantasy"/>
    <s v="Romance"/>
    <m/>
  </r>
  <r>
    <x v="1373"/>
    <x v="22"/>
    <n v="23324666"/>
    <x v="2337"/>
    <x v="0"/>
    <s v="France"/>
    <n v="52000000"/>
    <x v="20"/>
    <x v="4"/>
    <s v="Thriller"/>
    <m/>
    <m/>
    <m/>
    <m/>
    <m/>
    <m/>
  </r>
  <r>
    <x v="136"/>
    <x v="0"/>
    <n v="23292105"/>
    <x v="2338"/>
    <x v="0"/>
    <s v="USA"/>
    <n v="20000000"/>
    <x v="48"/>
    <x v="4"/>
    <s v="Fantasy"/>
    <s v="Horror"/>
    <s v="Thriller"/>
    <m/>
    <m/>
    <m/>
    <m/>
  </r>
  <r>
    <x v="145"/>
    <x v="40"/>
    <n v="23272306"/>
    <x v="2339"/>
    <x v="0"/>
    <s v="USA"/>
    <n v="6000000"/>
    <x v="29"/>
    <x v="5"/>
    <s v="Drama"/>
    <s v="Mystery"/>
    <s v="Thriller"/>
    <m/>
    <m/>
    <m/>
    <m/>
  </r>
  <r>
    <x v="438"/>
    <x v="1"/>
    <n v="23225911"/>
    <x v="2340"/>
    <x v="0"/>
    <s v="USA"/>
    <n v="24000000"/>
    <x v="20"/>
    <x v="4"/>
    <s v="Crime"/>
    <s v="Drama"/>
    <s v="Thriller"/>
    <m/>
    <m/>
    <m/>
    <m/>
  </r>
  <r>
    <x v="1374"/>
    <x v="41"/>
    <n v="23222861"/>
    <x v="2341"/>
    <x v="0"/>
    <s v="USA"/>
    <n v="26000000"/>
    <x v="36"/>
    <x v="4"/>
    <s v="Adventure"/>
    <s v="Comedy"/>
    <s v="Family"/>
    <s v="Romance"/>
    <s v="Sci-Fi"/>
    <m/>
    <m/>
  </r>
  <r>
    <x v="164"/>
    <x v="51"/>
    <n v="23219748"/>
    <x v="2342"/>
    <x v="0"/>
    <s v="Canada"/>
    <n v="80000000"/>
    <x v="37"/>
    <x v="4"/>
    <s v="Adventure"/>
    <s v="Drama"/>
    <s v="History"/>
    <s v="Romance"/>
    <m/>
    <m/>
    <m/>
  </r>
  <r>
    <x v="335"/>
    <x v="49"/>
    <n v="23213577"/>
    <x v="2343"/>
    <x v="0"/>
    <s v="Spain"/>
    <n v="15500000"/>
    <x v="11"/>
    <x v="3"/>
    <s v="Romance"/>
    <m/>
    <m/>
    <m/>
    <m/>
    <m/>
    <m/>
  </r>
  <r>
    <x v="1131"/>
    <x v="32"/>
    <n v="23209440"/>
    <x v="2344"/>
    <x v="0"/>
    <s v="USA"/>
    <n v="30000000"/>
    <x v="14"/>
    <x v="3"/>
    <m/>
    <m/>
    <m/>
    <m/>
    <m/>
    <m/>
    <m/>
  </r>
  <r>
    <x v="1375"/>
    <x v="17"/>
    <n v="23179303"/>
    <x v="2345"/>
    <x v="0"/>
    <s v="Hungary"/>
    <n v="20000000"/>
    <x v="19"/>
    <x v="2"/>
    <s v="Comedy"/>
    <s v="Family"/>
    <s v="Romance"/>
    <m/>
    <m/>
    <m/>
    <m/>
  </r>
  <r>
    <x v="1376"/>
    <x v="10"/>
    <n v="23159305"/>
    <x v="2346"/>
    <x v="0"/>
    <s v="USA"/>
    <n v="70000000"/>
    <x v="13"/>
    <x v="4"/>
    <s v="Adventure"/>
    <s v="Animation"/>
    <s v="Comedy"/>
    <s v="Drama"/>
    <s v="Family"/>
    <s v="Sci-Fi"/>
    <m/>
  </r>
  <r>
    <x v="335"/>
    <x v="5"/>
    <n v="23089926"/>
    <x v="2347"/>
    <x v="0"/>
    <s v="UK"/>
    <n v="15000000"/>
    <x v="5"/>
    <x v="3"/>
    <s v="Romance"/>
    <s v="Thriller"/>
    <m/>
    <m/>
    <m/>
    <m/>
    <m/>
  </r>
  <r>
    <x v="379"/>
    <x v="86"/>
    <n v="23078294"/>
    <x v="2348"/>
    <x v="0"/>
    <s v="USA"/>
    <n v="9000000"/>
    <x v="33"/>
    <x v="1"/>
    <s v="Thriller"/>
    <m/>
    <m/>
    <m/>
    <m/>
    <m/>
    <m/>
  </r>
  <r>
    <x v="1377"/>
    <x v="7"/>
    <n v="23070045"/>
    <x v="2349"/>
    <x v="0"/>
    <s v="USA"/>
    <n v="30000000"/>
    <x v="1"/>
    <x v="2"/>
    <s v="Drama"/>
    <s v="Thriller"/>
    <m/>
    <m/>
    <m/>
    <m/>
    <m/>
  </r>
  <r>
    <x v="1378"/>
    <x v="44"/>
    <n v="23031390"/>
    <x v="2350"/>
    <x v="0"/>
    <s v="USA"/>
    <n v="4500000"/>
    <x v="37"/>
    <x v="0"/>
    <s v="Drama"/>
    <m/>
    <m/>
    <m/>
    <m/>
    <m/>
    <m/>
  </r>
  <r>
    <x v="1379"/>
    <x v="44"/>
    <n v="23020488"/>
    <x v="2351"/>
    <x v="0"/>
    <s v="USA"/>
    <n v="52000000"/>
    <x v="3"/>
    <x v="4"/>
    <s v="Comedy"/>
    <s v="Fantasy"/>
    <m/>
    <m/>
    <m/>
    <m/>
    <m/>
  </r>
  <r>
    <x v="704"/>
    <x v="16"/>
    <n v="22954968"/>
    <x v="2352"/>
    <x v="0"/>
    <s v="UK"/>
    <n v="11500000"/>
    <x v="12"/>
    <x v="3"/>
    <s v="Romance"/>
    <m/>
    <m/>
    <m/>
    <m/>
    <m/>
    <m/>
  </r>
  <r>
    <x v="1380"/>
    <x v="17"/>
    <n v="22927390"/>
    <x v="2353"/>
    <x v="0"/>
    <s v="USA"/>
    <n v="18000000"/>
    <x v="37"/>
    <x v="3"/>
    <s v="Romance"/>
    <m/>
    <m/>
    <m/>
    <m/>
    <m/>
    <m/>
  </r>
  <r>
    <x v="1381"/>
    <x v="49"/>
    <n v="22913677"/>
    <x v="2354"/>
    <x v="0"/>
    <s v="USA"/>
    <n v="35000000"/>
    <x v="2"/>
    <x v="0"/>
    <s v="Family"/>
    <s v="Fantasy"/>
    <s v="Romance"/>
    <m/>
    <m/>
    <m/>
    <m/>
  </r>
  <r>
    <x v="1382"/>
    <x v="64"/>
    <n v="22905674"/>
    <x v="2355"/>
    <x v="0"/>
    <s v="USA"/>
    <n v="12000000"/>
    <x v="7"/>
    <x v="5"/>
    <s v="Drama"/>
    <m/>
    <m/>
    <m/>
    <m/>
    <m/>
    <m/>
  </r>
  <r>
    <x v="33"/>
    <x v="5"/>
    <n v="22877808"/>
    <x v="2356"/>
    <x v="0"/>
    <s v="USA"/>
    <n v="35000000"/>
    <x v="4"/>
    <x v="3"/>
    <s v="Romance"/>
    <m/>
    <m/>
    <m/>
    <m/>
    <m/>
    <m/>
  </r>
  <r>
    <x v="1345"/>
    <x v="48"/>
    <n v="22858926"/>
    <x v="2357"/>
    <x v="0"/>
    <s v="USA"/>
    <n v="13000000"/>
    <x v="22"/>
    <x v="0"/>
    <s v="Drama"/>
    <s v="Fantasy"/>
    <m/>
    <m/>
    <m/>
    <m/>
    <m/>
  </r>
  <r>
    <x v="187"/>
    <x v="134"/>
    <n v="22843047"/>
    <x v="2358"/>
    <x v="0"/>
    <s v="USA"/>
    <n v="55000000"/>
    <x v="1"/>
    <x v="3"/>
    <s v="History"/>
    <s v="Horror"/>
    <m/>
    <m/>
    <m/>
    <m/>
    <m/>
  </r>
  <r>
    <x v="1383"/>
    <x v="78"/>
    <n v="22800000"/>
    <x v="2359"/>
    <x v="0"/>
    <s v="UK"/>
    <n v="7000000"/>
    <x v="9"/>
    <x v="4"/>
    <s v="Adventure"/>
    <s v="Thriller"/>
    <m/>
    <m/>
    <m/>
    <m/>
    <m/>
  </r>
  <r>
    <x v="441"/>
    <x v="1"/>
    <n v="22770864"/>
    <x v="2360"/>
    <x v="0"/>
    <s v="USA"/>
    <n v="38000000"/>
    <x v="3"/>
    <x v="0"/>
    <s v="Drama"/>
    <m/>
    <m/>
    <m/>
    <m/>
    <m/>
    <m/>
  </r>
  <r>
    <x v="1384"/>
    <x v="81"/>
    <n v="22757819"/>
    <x v="2361"/>
    <x v="0"/>
    <s v="USA"/>
    <n v="100000"/>
    <x v="41"/>
    <x v="1"/>
    <s v="Thriller"/>
    <m/>
    <m/>
    <m/>
    <m/>
    <m/>
    <m/>
  </r>
  <r>
    <x v="325"/>
    <x v="20"/>
    <n v="22751979"/>
    <x v="2362"/>
    <x v="0"/>
    <s v="USA"/>
    <n v="75000000"/>
    <x v="24"/>
    <x v="4"/>
    <s v="Adventure"/>
    <s v="Animation"/>
    <s v="Family"/>
    <s v="Sci-Fi"/>
    <m/>
    <m/>
    <m/>
  </r>
  <r>
    <x v="29"/>
    <x v="1"/>
    <n v="22734486"/>
    <x v="2363"/>
    <x v="0"/>
    <s v="USA"/>
    <n v="17000000"/>
    <x v="37"/>
    <x v="0"/>
    <m/>
    <m/>
    <m/>
    <m/>
    <m/>
    <m/>
    <m/>
  </r>
  <r>
    <x v="434"/>
    <x v="89"/>
    <n v="22717758"/>
    <x v="2364"/>
    <x v="0"/>
    <s v="USA"/>
    <n v="40000000"/>
    <x v="8"/>
    <x v="2"/>
    <s v="Animation"/>
    <s v="Comedy"/>
    <s v="Drama"/>
    <s v="Family"/>
    <s v="Fantasy"/>
    <s v="Musical"/>
    <m/>
  </r>
  <r>
    <x v="421"/>
    <x v="11"/>
    <n v="22551000"/>
    <x v="2365"/>
    <x v="0"/>
    <s v="UK"/>
    <n v="8000000"/>
    <x v="7"/>
    <x v="0"/>
    <s v="Drama"/>
    <s v="Romance"/>
    <m/>
    <m/>
    <m/>
    <m/>
    <m/>
  </r>
  <r>
    <x v="313"/>
    <x v="43"/>
    <n v="22531698"/>
    <x v="2366"/>
    <x v="0"/>
    <s v="France"/>
    <n v="70000000"/>
    <x v="37"/>
    <x v="4"/>
    <s v="Adventure"/>
    <s v="Sci-Fi"/>
    <s v="Thriller"/>
    <m/>
    <m/>
    <m/>
    <m/>
  </r>
  <r>
    <x v="95"/>
    <x v="13"/>
    <n v="22526144"/>
    <x v="2367"/>
    <x v="0"/>
    <s v="USA"/>
    <n v="30000000"/>
    <x v="33"/>
    <x v="0"/>
    <s v="Romance"/>
    <s v="Sci-Fi"/>
    <m/>
    <m/>
    <m/>
    <m/>
    <m/>
  </r>
  <r>
    <x v="1385"/>
    <x v="41"/>
    <n v="22525921"/>
    <x v="2368"/>
    <x v="0"/>
    <s v="USA"/>
    <n v="30000000"/>
    <x v="1"/>
    <x v="0"/>
    <m/>
    <m/>
    <m/>
    <m/>
    <m/>
    <m/>
    <m/>
  </r>
  <r>
    <x v="193"/>
    <x v="64"/>
    <n v="22518325"/>
    <x v="2369"/>
    <x v="0"/>
    <s v="Germany"/>
    <n v="50000000"/>
    <x v="37"/>
    <x v="5"/>
    <s v="Drama"/>
    <s v="Mystery"/>
    <s v="Thriller"/>
    <m/>
    <m/>
    <m/>
    <m/>
  </r>
  <r>
    <x v="1386"/>
    <x v="28"/>
    <n v="22494487"/>
    <x v="2370"/>
    <x v="0"/>
    <s v="Germany"/>
    <n v="27000000"/>
    <x v="22"/>
    <x v="5"/>
    <s v="Drama"/>
    <s v="Mystery"/>
    <s v="Thriller"/>
    <m/>
    <m/>
    <m/>
    <m/>
  </r>
  <r>
    <x v="1386"/>
    <x v="28"/>
    <n v="22494487"/>
    <x v="2370"/>
    <x v="0"/>
    <s v="Germany"/>
    <n v="27000000"/>
    <x v="22"/>
    <x v="5"/>
    <s v="Drama"/>
    <s v="Mystery"/>
    <s v="Thriller"/>
    <m/>
    <m/>
    <m/>
    <m/>
  </r>
  <r>
    <x v="1387"/>
    <x v="18"/>
    <n v="22466994"/>
    <x v="2371"/>
    <x v="0"/>
    <s v="USA"/>
    <n v="25000000"/>
    <x v="2"/>
    <x v="4"/>
    <s v="Crime"/>
    <s v="Thriller"/>
    <m/>
    <m/>
    <m/>
    <m/>
    <m/>
  </r>
  <r>
    <x v="1388"/>
    <x v="21"/>
    <n v="22452209"/>
    <x v="2372"/>
    <x v="0"/>
    <s v="USA"/>
    <n v="18000000"/>
    <x v="38"/>
    <x v="0"/>
    <s v="Drama"/>
    <s v="Musical"/>
    <s v="Romance"/>
    <m/>
    <m/>
    <m/>
    <m/>
  </r>
  <r>
    <x v="1141"/>
    <x v="160"/>
    <n v="22450975"/>
    <x v="2373"/>
    <x v="0"/>
    <s v="USA"/>
    <n v="37000000"/>
    <x v="13"/>
    <x v="3"/>
    <m/>
    <m/>
    <m/>
    <m/>
    <m/>
    <m/>
    <m/>
  </r>
  <r>
    <x v="361"/>
    <x v="7"/>
    <n v="22433915"/>
    <x v="2374"/>
    <x v="0"/>
    <s v="USA"/>
    <n v="60000000"/>
    <x v="8"/>
    <x v="5"/>
    <s v="Drama"/>
    <s v="Mystery"/>
    <s v="Thriller"/>
    <m/>
    <m/>
    <m/>
    <m/>
  </r>
  <r>
    <x v="246"/>
    <x v="57"/>
    <n v="22362500"/>
    <x v="2375"/>
    <x v="0"/>
    <s v="USA"/>
    <n v="55000000"/>
    <x v="0"/>
    <x v="0"/>
    <s v="Drama"/>
    <m/>
    <m/>
    <m/>
    <m/>
    <m/>
    <m/>
  </r>
  <r>
    <x v="207"/>
    <x v="56"/>
    <n v="22359293"/>
    <x v="2376"/>
    <x v="0"/>
    <s v="UK"/>
    <n v="29000000"/>
    <x v="19"/>
    <x v="2"/>
    <s v="Comedy"/>
    <s v="Family"/>
    <s v="Fantasy"/>
    <m/>
    <m/>
    <m/>
    <m/>
  </r>
  <r>
    <x v="1389"/>
    <x v="40"/>
    <n v="22331028"/>
    <x v="2377"/>
    <x v="0"/>
    <s v="USA"/>
    <n v="12000000"/>
    <x v="16"/>
    <x v="9"/>
    <s v="Thriller"/>
    <m/>
    <m/>
    <m/>
    <m/>
    <m/>
    <m/>
  </r>
  <r>
    <x v="417"/>
    <x v="15"/>
    <n v="22326247"/>
    <x v="2378"/>
    <x v="0"/>
    <s v="USA"/>
    <n v="60000000"/>
    <x v="1"/>
    <x v="3"/>
    <s v="Romance"/>
    <m/>
    <m/>
    <m/>
    <m/>
    <m/>
    <m/>
  </r>
  <r>
    <x v="404"/>
    <x v="43"/>
    <n v="22294341"/>
    <x v="2379"/>
    <x v="0"/>
    <s v="USA"/>
    <n v="21500000"/>
    <x v="20"/>
    <x v="2"/>
    <s v="Comedy"/>
    <m/>
    <m/>
    <m/>
    <m/>
    <m/>
    <m/>
  </r>
  <r>
    <x v="1390"/>
    <x v="39"/>
    <n v="22264487"/>
    <x v="2380"/>
    <x v="0"/>
    <s v="USA"/>
    <n v="22000000"/>
    <x v="28"/>
    <x v="0"/>
    <m/>
    <m/>
    <m/>
    <m/>
    <m/>
    <m/>
    <m/>
  </r>
  <r>
    <x v="1345"/>
    <x v="81"/>
    <n v="22245861"/>
    <x v="2381"/>
    <x v="0"/>
    <s v="USA"/>
    <n v="19000000"/>
    <x v="5"/>
    <x v="0"/>
    <s v="Drama"/>
    <m/>
    <m/>
    <m/>
    <m/>
    <m/>
    <m/>
  </r>
  <r>
    <x v="1391"/>
    <x v="10"/>
    <n v="22235901"/>
    <x v="2382"/>
    <x v="0"/>
    <s v="USA"/>
    <n v="6000000"/>
    <x v="0"/>
    <x v="0"/>
    <s v="Romance"/>
    <m/>
    <m/>
    <m/>
    <m/>
    <m/>
    <m/>
  </r>
  <r>
    <x v="827"/>
    <x v="30"/>
    <n v="22202612"/>
    <x v="2383"/>
    <x v="0"/>
    <s v="USA"/>
    <n v="2800000"/>
    <x v="23"/>
    <x v="2"/>
    <s v="Family"/>
    <s v="Fantasy"/>
    <s v="Musical"/>
    <m/>
    <m/>
    <m/>
    <m/>
  </r>
  <r>
    <x v="1392"/>
    <x v="12"/>
    <n v="22201636"/>
    <x v="2384"/>
    <x v="0"/>
    <s v="USA"/>
    <n v="8000000"/>
    <x v="7"/>
    <x v="5"/>
    <s v="Drama"/>
    <s v="Music"/>
    <m/>
    <m/>
    <m/>
    <m/>
    <m/>
  </r>
  <r>
    <x v="1393"/>
    <x v="0"/>
    <n v="22200000"/>
    <x v="2385"/>
    <x v="0"/>
    <s v="USA"/>
    <n v="25000000"/>
    <x v="9"/>
    <x v="0"/>
    <s v="Drama"/>
    <s v="Romance"/>
    <m/>
    <m/>
    <m/>
    <m/>
    <m/>
  </r>
  <r>
    <x v="1394"/>
    <x v="20"/>
    <n v="22189039"/>
    <x v="2386"/>
    <x v="0"/>
    <s v="USA"/>
    <n v="15000000"/>
    <x v="3"/>
    <x v="4"/>
    <s v="Crime"/>
    <s v="Drama"/>
    <s v="Romance"/>
    <s v="Thriller"/>
    <m/>
    <m/>
    <m/>
  </r>
  <r>
    <x v="249"/>
    <x v="56"/>
    <n v="22168359"/>
    <x v="2387"/>
    <x v="0"/>
    <s v="USA"/>
    <n v="8000000"/>
    <x v="33"/>
    <x v="8"/>
    <s v="Horror"/>
    <s v="Romance"/>
    <s v="Thriller"/>
    <m/>
    <m/>
    <m/>
    <m/>
  </r>
  <r>
    <x v="749"/>
    <x v="18"/>
    <n v="22160085"/>
    <x v="2388"/>
    <x v="0"/>
    <s v="USA"/>
    <n v="10600000"/>
    <x v="18"/>
    <x v="1"/>
    <m/>
    <m/>
    <m/>
    <m/>
    <m/>
    <m/>
    <m/>
  </r>
  <r>
    <x v="1395"/>
    <x v="7"/>
    <n v="22108977"/>
    <x v="2389"/>
    <x v="0"/>
    <s v="Hong Kong"/>
    <n v="41000000"/>
    <x v="34"/>
    <x v="4"/>
    <s v="Comedy"/>
    <s v="Fantasy"/>
    <m/>
    <m/>
    <m/>
    <m/>
    <m/>
  </r>
  <r>
    <x v="1130"/>
    <x v="28"/>
    <n v="21994911"/>
    <x v="2390"/>
    <x v="0"/>
    <s v="UK"/>
    <n v="5000000"/>
    <x v="5"/>
    <x v="3"/>
    <s v="Music"/>
    <m/>
    <m/>
    <m/>
    <m/>
    <m/>
    <m/>
  </r>
  <r>
    <x v="1382"/>
    <x v="0"/>
    <n v="21973182"/>
    <x v="2391"/>
    <x v="0"/>
    <s v="USA"/>
    <n v="23000000"/>
    <x v="24"/>
    <x v="12"/>
    <s v="Thriller"/>
    <m/>
    <m/>
    <m/>
    <m/>
    <m/>
    <m/>
  </r>
  <r>
    <x v="1396"/>
    <x v="34"/>
    <n v="21835784"/>
    <x v="2392"/>
    <x v="0"/>
    <s v="USA"/>
    <n v="30000000"/>
    <x v="24"/>
    <x v="0"/>
    <s v="Drama"/>
    <s v="Romance"/>
    <m/>
    <m/>
    <m/>
    <m/>
    <m/>
  </r>
  <r>
    <x v="347"/>
    <x v="44"/>
    <n v="21800302"/>
    <x v="2393"/>
    <x v="0"/>
    <s v="USA"/>
    <n v="30000000"/>
    <x v="3"/>
    <x v="0"/>
    <s v="Drama"/>
    <s v="Romance"/>
    <s v="Sport"/>
    <m/>
    <m/>
    <m/>
    <m/>
  </r>
  <r>
    <x v="1397"/>
    <x v="56"/>
    <n v="21784432"/>
    <x v="2394"/>
    <x v="0"/>
    <s v="USA"/>
    <n v="35000000"/>
    <x v="37"/>
    <x v="0"/>
    <m/>
    <m/>
    <m/>
    <m/>
    <m/>
    <m/>
    <m/>
  </r>
  <r>
    <x v="1398"/>
    <x v="19"/>
    <n v="21589307"/>
    <x v="2395"/>
    <x v="0"/>
    <s v="USA"/>
    <n v="10000000"/>
    <x v="7"/>
    <x v="3"/>
    <m/>
    <m/>
    <m/>
    <m/>
    <m/>
    <m/>
    <m/>
  </r>
  <r>
    <x v="1399"/>
    <x v="64"/>
    <n v="21569041"/>
    <x v="2396"/>
    <x v="0"/>
    <s v="USA"/>
    <n v="9000000"/>
    <x v="24"/>
    <x v="3"/>
    <m/>
    <m/>
    <m/>
    <m/>
    <m/>
    <m/>
    <m/>
  </r>
  <r>
    <x v="1400"/>
    <x v="49"/>
    <n v="21564616"/>
    <x v="2397"/>
    <x v="0"/>
    <s v="USA"/>
    <n v="8500000"/>
    <x v="38"/>
    <x v="0"/>
    <m/>
    <m/>
    <m/>
    <m/>
    <m/>
    <m/>
    <m/>
  </r>
  <r>
    <x v="120"/>
    <x v="30"/>
    <n v="21557240"/>
    <x v="2398"/>
    <x v="0"/>
    <s v="USA"/>
    <n v="49900000"/>
    <x v="37"/>
    <x v="2"/>
    <s v="Comedy"/>
    <s v="Fantasy"/>
    <m/>
    <m/>
    <m/>
    <m/>
    <m/>
  </r>
  <r>
    <x v="117"/>
    <x v="52"/>
    <n v="21554585"/>
    <x v="2399"/>
    <x v="0"/>
    <s v="USA"/>
    <n v="25000000"/>
    <x v="26"/>
    <x v="3"/>
    <s v="Sport"/>
    <m/>
    <m/>
    <m/>
    <m/>
    <m/>
    <m/>
  </r>
  <r>
    <x v="1103"/>
    <x v="41"/>
    <n v="21520719"/>
    <x v="2400"/>
    <x v="0"/>
    <s v="USA"/>
    <n v="39751583.5"/>
    <x v="19"/>
    <x v="0"/>
    <s v="Romance"/>
    <s v="Sport"/>
    <m/>
    <m/>
    <m/>
    <m/>
    <m/>
  </r>
  <r>
    <x v="1401"/>
    <x v="18"/>
    <n v="21501098"/>
    <x v="2401"/>
    <x v="0"/>
    <s v="USA"/>
    <n v="5000000"/>
    <x v="7"/>
    <x v="0"/>
    <s v="Drama"/>
    <m/>
    <m/>
    <m/>
    <m/>
    <m/>
    <m/>
  </r>
  <r>
    <x v="1402"/>
    <x v="161"/>
    <n v="21500000"/>
    <x v="2402"/>
    <x v="0"/>
    <s v="USA"/>
    <n v="27000000"/>
    <x v="12"/>
    <x v="2"/>
    <s v="Drama"/>
    <s v="History"/>
    <m/>
    <m/>
    <m/>
    <m/>
    <m/>
  </r>
  <r>
    <x v="1403"/>
    <x v="25"/>
    <n v="21483154"/>
    <x v="2403"/>
    <x v="0"/>
    <s v="USA"/>
    <n v="19000000"/>
    <x v="17"/>
    <x v="3"/>
    <s v="War"/>
    <m/>
    <m/>
    <m/>
    <m/>
    <m/>
    <m/>
  </r>
  <r>
    <x v="1404"/>
    <x v="5"/>
    <n v="21471685"/>
    <x v="2404"/>
    <x v="0"/>
    <s v="USA"/>
    <n v="44000000"/>
    <x v="75"/>
    <x v="4"/>
    <s v="Adventure"/>
    <s v="Sci-Fi"/>
    <m/>
    <m/>
    <m/>
    <m/>
    <m/>
  </r>
  <r>
    <x v="1405"/>
    <x v="0"/>
    <n v="21468807"/>
    <x v="2405"/>
    <x v="0"/>
    <s v="USA"/>
    <n v="14000000"/>
    <x v="30"/>
    <x v="1"/>
    <s v="Mystery"/>
    <s v="Thriller"/>
    <m/>
    <m/>
    <m/>
    <m/>
    <m/>
  </r>
  <r>
    <x v="1406"/>
    <x v="56"/>
    <n v="21426805"/>
    <x v="2406"/>
    <x v="0"/>
    <s v="USA"/>
    <n v="30000000"/>
    <x v="35"/>
    <x v="4"/>
    <s v="Adventure"/>
    <s v="Horror"/>
    <s v="Sci-Fi"/>
    <s v="Thriller"/>
    <m/>
    <m/>
    <m/>
  </r>
  <r>
    <x v="136"/>
    <x v="44"/>
    <n v="21413502"/>
    <x v="2407"/>
    <x v="0"/>
    <s v="USA"/>
    <n v="40000000"/>
    <x v="2"/>
    <x v="4"/>
    <s v="Adventure"/>
    <s v="Comedy"/>
    <s v="Crime"/>
    <s v="Music"/>
    <s v="Mystery"/>
    <m/>
    <m/>
  </r>
  <r>
    <x v="1342"/>
    <x v="5"/>
    <n v="21413105"/>
    <x v="2408"/>
    <x v="0"/>
    <s v="Australia"/>
    <n v="20000000"/>
    <x v="9"/>
    <x v="4"/>
    <s v="Adventure"/>
    <s v="Drama"/>
    <s v="Romance"/>
    <s v="Western"/>
    <m/>
    <m/>
    <m/>
  </r>
  <r>
    <x v="1407"/>
    <x v="69"/>
    <n v="21383298"/>
    <x v="2409"/>
    <x v="0"/>
    <s v="USA"/>
    <n v="15000000"/>
    <x v="4"/>
    <x v="5"/>
    <s v="Drama"/>
    <s v="Thriller"/>
    <m/>
    <m/>
    <m/>
    <m/>
    <m/>
  </r>
  <r>
    <x v="1077"/>
    <x v="56"/>
    <n v="21378000"/>
    <x v="2410"/>
    <x v="0"/>
    <s v="USA"/>
    <n v="1000000"/>
    <x v="9"/>
    <x v="8"/>
    <s v="Horror"/>
    <m/>
    <m/>
    <m/>
    <m/>
    <m/>
    <m/>
  </r>
  <r>
    <x v="1077"/>
    <x v="56"/>
    <n v="21378000"/>
    <x v="2410"/>
    <x v="0"/>
    <s v="USA"/>
    <n v="1000000"/>
    <x v="9"/>
    <x v="8"/>
    <s v="Horror"/>
    <m/>
    <m/>
    <m/>
    <m/>
    <m/>
    <m/>
  </r>
  <r>
    <x v="1128"/>
    <x v="0"/>
    <n v="21371425"/>
    <x v="2411"/>
    <x v="0"/>
    <s v="USA"/>
    <n v="10000000"/>
    <x v="45"/>
    <x v="4"/>
    <s v="Sci-Fi"/>
    <s v="Thriller"/>
    <m/>
    <m/>
    <m/>
    <m/>
    <m/>
  </r>
  <r>
    <x v="193"/>
    <x v="50"/>
    <n v="21370057"/>
    <x v="2412"/>
    <x v="0"/>
    <s v="USA"/>
    <n v="12000000"/>
    <x v="27"/>
    <x v="5"/>
    <s v="Drama"/>
    <s v="Thriller"/>
    <m/>
    <m/>
    <m/>
    <m/>
    <m/>
  </r>
  <r>
    <x v="1408"/>
    <x v="22"/>
    <n v="21300000"/>
    <x v="2413"/>
    <x v="0"/>
    <s v="USA"/>
    <n v="2200000"/>
    <x v="47"/>
    <x v="1"/>
    <s v="Mystery"/>
    <s v="Thriller"/>
    <m/>
    <m/>
    <m/>
    <m/>
    <m/>
  </r>
  <r>
    <x v="1267"/>
    <x v="3"/>
    <n v="21283440"/>
    <x v="2414"/>
    <x v="0"/>
    <s v="USA"/>
    <n v="55000000"/>
    <x v="27"/>
    <x v="3"/>
    <s v="Mystery"/>
    <s v="Thriller"/>
    <m/>
    <m/>
    <m/>
    <m/>
    <m/>
  </r>
  <r>
    <x v="861"/>
    <x v="35"/>
    <n v="21244913"/>
    <x v="2415"/>
    <x v="0"/>
    <s v="Germany"/>
    <n v="4000000"/>
    <x v="13"/>
    <x v="5"/>
    <s v="Documentary"/>
    <s v="Drama"/>
    <m/>
    <m/>
    <m/>
    <m/>
    <m/>
  </r>
  <r>
    <x v="395"/>
    <x v="40"/>
    <n v="21200000"/>
    <x v="2416"/>
    <x v="0"/>
    <s v="USA"/>
    <n v="20000000"/>
    <x v="9"/>
    <x v="0"/>
    <s v="Crime"/>
    <s v="Drama"/>
    <m/>
    <m/>
    <m/>
    <m/>
    <m/>
  </r>
  <r>
    <x v="1228"/>
    <x v="31"/>
    <n v="21197315"/>
    <x v="2417"/>
    <x v="0"/>
    <s v="USA"/>
    <n v="5000000"/>
    <x v="0"/>
    <x v="1"/>
    <s v="Mystery"/>
    <s v="Thriller"/>
    <m/>
    <m/>
    <m/>
    <m/>
    <m/>
  </r>
  <r>
    <x v="687"/>
    <x v="3"/>
    <n v="21176322"/>
    <x v="2418"/>
    <x v="0"/>
    <s v="USA"/>
    <n v="40000000"/>
    <x v="56"/>
    <x v="4"/>
    <s v="Comedy"/>
    <s v="Crime"/>
    <m/>
    <m/>
    <m/>
    <m/>
    <m/>
  </r>
  <r>
    <x v="1409"/>
    <x v="51"/>
    <n v="21160089"/>
    <x v="2419"/>
    <x v="0"/>
    <s v="USA"/>
    <n v="39751583.5"/>
    <x v="27"/>
    <x v="0"/>
    <s v="Crime"/>
    <s v="Drama"/>
    <s v="Music"/>
    <s v="Romance"/>
    <m/>
    <m/>
    <m/>
  </r>
  <r>
    <x v="1069"/>
    <x v="4"/>
    <n v="21133087"/>
    <x v="2420"/>
    <x v="0"/>
    <s v="USA"/>
    <n v="12000000"/>
    <x v="14"/>
    <x v="1"/>
    <s v="Mystery"/>
    <s v="Thriller"/>
    <m/>
    <m/>
    <m/>
    <m/>
    <m/>
  </r>
  <r>
    <x v="365"/>
    <x v="6"/>
    <n v="21129348"/>
    <x v="2421"/>
    <x v="0"/>
    <s v="USA"/>
    <n v="35000000"/>
    <x v="7"/>
    <x v="5"/>
    <s v="Drama"/>
    <s v="Romance"/>
    <s v="Thriller"/>
    <m/>
    <m/>
    <m/>
    <m/>
  </r>
  <r>
    <x v="1410"/>
    <x v="22"/>
    <n v="21088568"/>
    <x v="2422"/>
    <x v="0"/>
    <s v="USA"/>
    <n v="13000000"/>
    <x v="15"/>
    <x v="4"/>
    <s v="Fantasy"/>
    <s v="Horror"/>
    <s v="Thriller"/>
    <m/>
    <m/>
    <m/>
    <m/>
  </r>
  <r>
    <x v="1277"/>
    <x v="24"/>
    <n v="21078145"/>
    <x v="2423"/>
    <x v="0"/>
    <s v="USA"/>
    <n v="12500000"/>
    <x v="4"/>
    <x v="6"/>
    <s v="Drama"/>
    <m/>
    <m/>
    <m/>
    <m/>
    <m/>
    <m/>
  </r>
  <r>
    <x v="317"/>
    <x v="8"/>
    <n v="21009180"/>
    <x v="2424"/>
    <x v="0"/>
    <s v="USA"/>
    <n v="45000000"/>
    <x v="0"/>
    <x v="4"/>
    <s v="Adventure"/>
    <s v="Drama"/>
    <s v="Thriller"/>
    <m/>
    <m/>
    <m/>
    <m/>
  </r>
  <r>
    <x v="125"/>
    <x v="20"/>
    <n v="21005329"/>
    <x v="2425"/>
    <x v="0"/>
    <s v="Germany"/>
    <n v="6000000"/>
    <x v="16"/>
    <x v="0"/>
    <s v="Romance"/>
    <m/>
    <m/>
    <m/>
    <m/>
    <m/>
    <m/>
  </r>
  <r>
    <x v="405"/>
    <x v="65"/>
    <n v="21000000"/>
    <x v="2426"/>
    <x v="0"/>
    <s v="UK"/>
    <n v="13000000"/>
    <x v="9"/>
    <x v="4"/>
    <s v="Adventure"/>
    <s v="Thriller"/>
    <m/>
    <m/>
    <m/>
    <m/>
    <m/>
  </r>
  <r>
    <x v="316"/>
    <x v="54"/>
    <n v="20999103"/>
    <x v="2427"/>
    <x v="0"/>
    <s v="USA"/>
    <n v="40000000"/>
    <x v="22"/>
    <x v="2"/>
    <s v="Animation"/>
    <s v="Comedy"/>
    <s v="Crime"/>
    <s v="Family"/>
    <m/>
    <m/>
    <m/>
  </r>
  <r>
    <x v="1411"/>
    <x v="13"/>
    <n v="20998709"/>
    <x v="2428"/>
    <x v="0"/>
    <s v="USA"/>
    <n v="15000000"/>
    <x v="8"/>
    <x v="2"/>
    <s v="Drama"/>
    <s v="Family"/>
    <m/>
    <m/>
    <m/>
    <m/>
    <m/>
  </r>
  <r>
    <x v="59"/>
    <x v="51"/>
    <n v="20991497"/>
    <x v="2429"/>
    <x v="0"/>
    <s v="USA"/>
    <n v="37000000"/>
    <x v="18"/>
    <x v="0"/>
    <s v="Drama"/>
    <s v="Romance"/>
    <m/>
    <m/>
    <m/>
    <m/>
    <m/>
  </r>
  <r>
    <x v="59"/>
    <x v="51"/>
    <n v="20991497"/>
    <x v="2429"/>
    <x v="0"/>
    <s v="USA"/>
    <n v="37000000"/>
    <x v="18"/>
    <x v="0"/>
    <s v="Drama"/>
    <s v="Romance"/>
    <m/>
    <m/>
    <m/>
    <m/>
    <m/>
  </r>
  <r>
    <x v="1412"/>
    <x v="7"/>
    <n v="20981633"/>
    <x v="2430"/>
    <x v="0"/>
    <s v="USA"/>
    <n v="30000000"/>
    <x v="1"/>
    <x v="3"/>
    <s v="Mystery"/>
    <s v="Sci-Fi"/>
    <s v="Thriller"/>
    <m/>
    <m/>
    <m/>
    <m/>
  </r>
  <r>
    <x v="704"/>
    <x v="24"/>
    <n v="20966644"/>
    <x v="2431"/>
    <x v="0"/>
    <s v="UK"/>
    <n v="3000000"/>
    <x v="7"/>
    <x v="3"/>
    <s v="Romance"/>
    <m/>
    <m/>
    <m/>
    <m/>
    <m/>
    <m/>
  </r>
  <r>
    <x v="374"/>
    <x v="50"/>
    <n v="20950820"/>
    <x v="2432"/>
    <x v="0"/>
    <s v="Germany"/>
    <n v="80000000"/>
    <x v="21"/>
    <x v="2"/>
    <s v="Animation"/>
    <s v="Comedy"/>
    <s v="Family"/>
    <s v="Fantasy"/>
    <s v="Sci-Fi"/>
    <m/>
    <m/>
  </r>
  <r>
    <x v="127"/>
    <x v="56"/>
    <n v="20916309"/>
    <x v="2433"/>
    <x v="0"/>
    <s v="USA"/>
    <n v="40000000"/>
    <x v="35"/>
    <x v="0"/>
    <s v="Family"/>
    <s v="Fantasy"/>
    <m/>
    <m/>
    <m/>
    <m/>
    <m/>
  </r>
  <r>
    <x v="1413"/>
    <x v="44"/>
    <n v="20915465"/>
    <x v="2434"/>
    <x v="0"/>
    <s v="UK"/>
    <n v="42000000"/>
    <x v="56"/>
    <x v="2"/>
    <s v="Comedy"/>
    <s v="Family"/>
    <s v="Fantasy"/>
    <s v="Sci-Fi"/>
    <m/>
    <m/>
    <m/>
  </r>
  <r>
    <x v="32"/>
    <x v="50"/>
    <n v="20819129"/>
    <x v="2435"/>
    <x v="0"/>
    <s v="USA"/>
    <n v="26000000"/>
    <x v="34"/>
    <x v="4"/>
    <s v="Comedy"/>
    <s v="Crime"/>
    <m/>
    <m/>
    <m/>
    <m/>
    <m/>
  </r>
  <r>
    <x v="1414"/>
    <x v="40"/>
    <n v="20803237"/>
    <x v="2436"/>
    <x v="0"/>
    <s v="USA"/>
    <n v="3500000"/>
    <x v="6"/>
    <x v="0"/>
    <s v="Drama"/>
    <m/>
    <m/>
    <m/>
    <m/>
    <m/>
    <m/>
  </r>
  <r>
    <x v="1415"/>
    <x v="56"/>
    <n v="20801344"/>
    <x v="2437"/>
    <x v="0"/>
    <s v="USA"/>
    <n v="15000000"/>
    <x v="33"/>
    <x v="1"/>
    <m/>
    <m/>
    <m/>
    <m/>
    <m/>
    <m/>
    <m/>
  </r>
  <r>
    <x v="1416"/>
    <x v="35"/>
    <n v="20773070"/>
    <x v="2438"/>
    <x v="0"/>
    <s v="USA"/>
    <n v="5000000"/>
    <x v="43"/>
    <x v="3"/>
    <m/>
    <m/>
    <m/>
    <m/>
    <m/>
    <m/>
    <m/>
  </r>
  <r>
    <x v="1100"/>
    <x v="43"/>
    <n v="20772796"/>
    <x v="2439"/>
    <x v="0"/>
    <s v="New Zealand"/>
    <n v="6000000"/>
    <x v="17"/>
    <x v="3"/>
    <s v="Family"/>
    <m/>
    <m/>
    <m/>
    <m/>
    <m/>
    <m/>
  </r>
  <r>
    <x v="1417"/>
    <x v="22"/>
    <n v="20763013"/>
    <x v="2440"/>
    <x v="0"/>
    <s v="USA"/>
    <n v="23000000"/>
    <x v="60"/>
    <x v="2"/>
    <s v="Horror"/>
    <s v="Thriller"/>
    <m/>
    <m/>
    <m/>
    <m/>
    <m/>
  </r>
  <r>
    <x v="1418"/>
    <x v="16"/>
    <n v="20733485"/>
    <x v="2441"/>
    <x v="0"/>
    <s v="USA"/>
    <n v="5000000"/>
    <x v="11"/>
    <x v="3"/>
    <m/>
    <m/>
    <m/>
    <m/>
    <m/>
    <m/>
    <m/>
  </r>
  <r>
    <x v="248"/>
    <x v="44"/>
    <n v="20668843"/>
    <x v="2442"/>
    <x v="0"/>
    <s v="USA"/>
    <n v="22000000"/>
    <x v="19"/>
    <x v="0"/>
    <s v="Crime"/>
    <s v="Thriller"/>
    <m/>
    <m/>
    <m/>
    <m/>
    <m/>
  </r>
  <r>
    <x v="286"/>
    <x v="20"/>
    <n v="20627372"/>
    <x v="2443"/>
    <x v="0"/>
    <s v="USA"/>
    <n v="16000000"/>
    <x v="48"/>
    <x v="0"/>
    <s v="Drama"/>
    <s v="Romance"/>
    <m/>
    <m/>
    <m/>
    <m/>
    <m/>
  </r>
  <r>
    <x v="1419"/>
    <x v="41"/>
    <n v="20566327"/>
    <x v="2444"/>
    <x v="0"/>
    <s v="USA"/>
    <n v="15000000"/>
    <x v="16"/>
    <x v="4"/>
    <s v="Comedy"/>
    <m/>
    <m/>
    <m/>
    <m/>
    <m/>
    <m/>
  </r>
  <r>
    <x v="254"/>
    <x v="34"/>
    <n v="20550712"/>
    <x v="2445"/>
    <x v="0"/>
    <s v="USA"/>
    <n v="50000000"/>
    <x v="37"/>
    <x v="4"/>
    <s v="Drama"/>
    <s v="Sci-Fi"/>
    <s v="Thriller"/>
    <m/>
    <m/>
    <m/>
    <m/>
  </r>
  <r>
    <x v="394"/>
    <x v="13"/>
    <n v="20488579"/>
    <x v="2446"/>
    <x v="0"/>
    <s v="USA"/>
    <n v="50000000"/>
    <x v="19"/>
    <x v="4"/>
    <s v="Sci-Fi"/>
    <s v="Thriller"/>
    <m/>
    <m/>
    <m/>
    <m/>
    <m/>
  </r>
  <r>
    <x v="705"/>
    <x v="0"/>
    <n v="20433940"/>
    <x v="2447"/>
    <x v="0"/>
    <s v="Canada"/>
    <n v="15000000"/>
    <x v="8"/>
    <x v="1"/>
    <m/>
    <m/>
    <m/>
    <m/>
    <m/>
    <m/>
    <m/>
  </r>
  <r>
    <x v="1420"/>
    <x v="51"/>
    <n v="20422207"/>
    <x v="2448"/>
    <x v="0"/>
    <s v="USA"/>
    <n v="35000000"/>
    <x v="34"/>
    <x v="0"/>
    <s v="Drama"/>
    <s v="Romance"/>
    <m/>
    <m/>
    <m/>
    <m/>
    <m/>
  </r>
  <r>
    <x v="1421"/>
    <x v="50"/>
    <n v="20400913"/>
    <x v="2449"/>
    <x v="0"/>
    <s v="USA"/>
    <n v="45000000"/>
    <x v="48"/>
    <x v="4"/>
    <s v="Comedy"/>
    <s v="Crime"/>
    <s v="Drama"/>
    <s v="Thriller"/>
    <m/>
    <m/>
    <m/>
  </r>
  <r>
    <x v="744"/>
    <x v="83"/>
    <n v="20400000"/>
    <x v="2450"/>
    <x v="0"/>
    <s v="USA"/>
    <n v="8000000"/>
    <x v="26"/>
    <x v="3"/>
    <s v="Romance"/>
    <s v="Western"/>
    <m/>
    <m/>
    <m/>
    <m/>
    <m/>
  </r>
  <r>
    <x v="1422"/>
    <x v="29"/>
    <n v="20389967"/>
    <x v="2451"/>
    <x v="0"/>
    <s v="USA"/>
    <n v="50000000"/>
    <x v="15"/>
    <x v="4"/>
    <s v="Biography"/>
    <s v="Drama"/>
    <s v="History"/>
    <s v="War"/>
    <m/>
    <m/>
    <m/>
  </r>
  <r>
    <x v="1165"/>
    <x v="49"/>
    <n v="20384136"/>
    <x v="2452"/>
    <x v="0"/>
    <s v="USA"/>
    <n v="10000000"/>
    <x v="47"/>
    <x v="1"/>
    <s v="Mystery"/>
    <s v="Thriller"/>
    <m/>
    <m/>
    <m/>
    <m/>
    <m/>
  </r>
  <r>
    <x v="1423"/>
    <x v="3"/>
    <n v="20339754"/>
    <x v="2453"/>
    <x v="0"/>
    <s v="USA"/>
    <n v="10000000"/>
    <x v="1"/>
    <x v="0"/>
    <s v="Crime"/>
    <m/>
    <m/>
    <m/>
    <m/>
    <m/>
    <m/>
  </r>
  <r>
    <x v="1133"/>
    <x v="51"/>
    <n v="20338609"/>
    <x v="2454"/>
    <x v="0"/>
    <s v="USA"/>
    <n v="10000000"/>
    <x v="9"/>
    <x v="0"/>
    <s v="Drama"/>
    <s v="Music"/>
    <m/>
    <m/>
    <m/>
    <m/>
    <m/>
  </r>
  <r>
    <x v="164"/>
    <x v="28"/>
    <n v="20315324"/>
    <x v="2455"/>
    <x v="0"/>
    <s v="Germany"/>
    <n v="75000000"/>
    <x v="19"/>
    <x v="4"/>
    <s v="Adventure"/>
    <s v="Romance"/>
    <m/>
    <m/>
    <m/>
    <m/>
    <m/>
  </r>
  <r>
    <x v="1424"/>
    <x v="25"/>
    <n v="20302961"/>
    <x v="2456"/>
    <x v="0"/>
    <s v="France"/>
    <n v="45000000"/>
    <x v="28"/>
    <x v="3"/>
    <m/>
    <m/>
    <m/>
    <m/>
    <m/>
    <m/>
    <m/>
  </r>
  <r>
    <x v="322"/>
    <x v="11"/>
    <n v="20300000"/>
    <x v="2457"/>
    <x v="0"/>
    <s v="USA"/>
    <n v="40000000"/>
    <x v="8"/>
    <x v="3"/>
    <s v="Thriller"/>
    <m/>
    <m/>
    <m/>
    <m/>
    <m/>
    <m/>
  </r>
  <r>
    <x v="1425"/>
    <x v="41"/>
    <n v="20285518"/>
    <x v="2458"/>
    <x v="0"/>
    <s v="France"/>
    <n v="28000000"/>
    <x v="21"/>
    <x v="4"/>
    <s v="Crime"/>
    <s v="Drama"/>
    <s v="Thriller"/>
    <m/>
    <m/>
    <m/>
    <m/>
  </r>
  <r>
    <x v="1069"/>
    <x v="50"/>
    <n v="20275446"/>
    <x v="2459"/>
    <x v="0"/>
    <s v="USA"/>
    <n v="35000000"/>
    <x v="20"/>
    <x v="4"/>
    <s v="Crime"/>
    <s v="Thriller"/>
    <m/>
    <m/>
    <m/>
    <m/>
    <m/>
  </r>
  <r>
    <x v="1426"/>
    <x v="10"/>
    <n v="20259297"/>
    <x v="2460"/>
    <x v="0"/>
    <s v="USA"/>
    <n v="20000000"/>
    <x v="47"/>
    <x v="3"/>
    <s v="Horror"/>
    <s v="Sci-Fi"/>
    <s v="Thriller"/>
    <m/>
    <m/>
    <m/>
    <m/>
  </r>
  <r>
    <x v="1427"/>
    <x v="49"/>
    <n v="20257000"/>
    <x v="2461"/>
    <x v="0"/>
    <s v="USA"/>
    <n v="7000000"/>
    <x v="34"/>
    <x v="4"/>
    <s v="Comedy"/>
    <s v="Crime"/>
    <s v="Thriller"/>
    <m/>
    <m/>
    <m/>
    <m/>
  </r>
  <r>
    <x v="1313"/>
    <x v="18"/>
    <n v="20246959"/>
    <x v="2462"/>
    <x v="0"/>
    <s v="USA"/>
    <n v="14000000"/>
    <x v="35"/>
    <x v="0"/>
    <s v="Romance"/>
    <m/>
    <m/>
    <m/>
    <m/>
    <m/>
    <m/>
  </r>
  <r>
    <x v="1077"/>
    <x v="44"/>
    <n v="20241395"/>
    <x v="2463"/>
    <x v="0"/>
    <s v="USA"/>
    <n v="20000000"/>
    <x v="0"/>
    <x v="4"/>
    <s v="Horror"/>
    <s v="Thriller"/>
    <m/>
    <m/>
    <m/>
    <m/>
    <m/>
  </r>
  <r>
    <x v="1372"/>
    <x v="24"/>
    <n v="20218921"/>
    <x v="2464"/>
    <x v="0"/>
    <s v="Official site"/>
    <n v="15000000"/>
    <x v="2"/>
    <x v="3"/>
    <s v="Music"/>
    <m/>
    <m/>
    <m/>
    <m/>
    <m/>
    <m/>
  </r>
  <r>
    <x v="1428"/>
    <x v="61"/>
    <n v="20207003"/>
    <x v="2465"/>
    <x v="0"/>
    <s v="USA"/>
    <n v="39751583.5"/>
    <x v="9"/>
    <x v="5"/>
    <s v="Drama"/>
    <s v="Western"/>
    <m/>
    <m/>
    <m/>
    <m/>
    <m/>
  </r>
  <r>
    <x v="602"/>
    <x v="2"/>
    <n v="20167424"/>
    <x v="2466"/>
    <x v="16"/>
    <s v="Argentina"/>
    <n v="2000000"/>
    <x v="40"/>
    <x v="3"/>
    <s v="Mystery"/>
    <s v="Thriller"/>
    <m/>
    <m/>
    <m/>
    <m/>
    <m/>
  </r>
  <r>
    <x v="83"/>
    <x v="34"/>
    <n v="20113965"/>
    <x v="2467"/>
    <x v="0"/>
    <s v="USA"/>
    <n v="40000000"/>
    <x v="20"/>
    <x v="6"/>
    <s v="Drama"/>
    <s v="Romance"/>
    <m/>
    <m/>
    <m/>
    <m/>
    <m/>
  </r>
  <r>
    <x v="22"/>
    <x v="24"/>
    <n v="20101861"/>
    <x v="2468"/>
    <x v="0"/>
    <s v="USA"/>
    <n v="45000000"/>
    <x v="27"/>
    <x v="0"/>
    <s v="Romance"/>
    <s v="Sci-Fi"/>
    <m/>
    <m/>
    <m/>
    <m/>
    <m/>
  </r>
  <r>
    <x v="1429"/>
    <x v="13"/>
    <n v="20047715"/>
    <x v="2469"/>
    <x v="0"/>
    <s v="USA"/>
    <n v="25530000"/>
    <x v="34"/>
    <x v="2"/>
    <s v="Family"/>
    <m/>
    <m/>
    <m/>
    <m/>
    <m/>
    <m/>
  </r>
  <r>
    <x v="1430"/>
    <x v="50"/>
    <n v="20035310"/>
    <x v="2470"/>
    <x v="0"/>
    <s v="USA"/>
    <n v="9000000"/>
    <x v="35"/>
    <x v="0"/>
    <s v="Drama"/>
    <s v="Romance"/>
    <m/>
    <m/>
    <m/>
    <m/>
    <m/>
  </r>
  <r>
    <x v="1431"/>
    <x v="17"/>
    <n v="19976073"/>
    <x v="2471"/>
    <x v="0"/>
    <s v="USA"/>
    <n v="20000000"/>
    <x v="2"/>
    <x v="4"/>
    <s v="Crime"/>
    <s v="Drama"/>
    <s v="Thriller"/>
    <m/>
    <m/>
    <m/>
    <m/>
  </r>
  <r>
    <x v="38"/>
    <x v="41"/>
    <n v="19900000"/>
    <x v="2472"/>
    <x v="0"/>
    <s v="USA"/>
    <n v="20000000"/>
    <x v="36"/>
    <x v="0"/>
    <s v="Fantasy"/>
    <s v="Horror"/>
    <s v="Romance"/>
    <m/>
    <m/>
    <m/>
    <m/>
  </r>
  <r>
    <x v="1432"/>
    <x v="0"/>
    <n v="19819494"/>
    <x v="2473"/>
    <x v="0"/>
    <s v="USA"/>
    <n v="70000000"/>
    <x v="19"/>
    <x v="4"/>
    <s v="Crime"/>
    <s v="Drama"/>
    <s v="Thriller"/>
    <m/>
    <m/>
    <m/>
    <m/>
  </r>
  <r>
    <x v="301"/>
    <x v="41"/>
    <n v="19783777"/>
    <x v="2474"/>
    <x v="0"/>
    <s v="USA"/>
    <n v="22000000"/>
    <x v="20"/>
    <x v="4"/>
    <s v="Crime"/>
    <s v="Drama"/>
    <s v="Thriller"/>
    <m/>
    <m/>
    <m/>
    <m/>
  </r>
  <r>
    <x v="215"/>
    <x v="18"/>
    <n v="19781879"/>
    <x v="2475"/>
    <x v="0"/>
    <s v="USA"/>
    <n v="60000000"/>
    <x v="46"/>
    <x v="4"/>
    <s v="Crime"/>
    <s v="Fantasy"/>
    <s v="Thriller"/>
    <m/>
    <m/>
    <m/>
    <m/>
  </r>
  <r>
    <x v="1433"/>
    <x v="55"/>
    <n v="19719930"/>
    <x v="2476"/>
    <x v="0"/>
    <s v="USA"/>
    <n v="45000000"/>
    <x v="9"/>
    <x v="5"/>
    <s v="Drama"/>
    <s v="Mystery"/>
    <s v="Thriller"/>
    <m/>
    <m/>
    <m/>
    <m/>
  </r>
  <r>
    <x v="387"/>
    <x v="7"/>
    <n v="19693891"/>
    <x v="2477"/>
    <x v="0"/>
    <s v="USA"/>
    <n v="34000000"/>
    <x v="35"/>
    <x v="0"/>
    <s v="Drama"/>
    <s v="Romance"/>
    <s v="Sport"/>
    <m/>
    <m/>
    <m/>
    <m/>
  </r>
  <r>
    <x v="1434"/>
    <x v="17"/>
    <n v="19692608"/>
    <x v="2478"/>
    <x v="0"/>
    <s v="USA"/>
    <n v="35000000"/>
    <x v="8"/>
    <x v="5"/>
    <s v="Drama"/>
    <s v="Thriller"/>
    <m/>
    <m/>
    <m/>
    <m/>
    <m/>
  </r>
  <r>
    <x v="334"/>
    <x v="36"/>
    <n v="19673424"/>
    <x v="2479"/>
    <x v="0"/>
    <s v="USA"/>
    <n v="80000000"/>
    <x v="19"/>
    <x v="3"/>
    <s v="Musical"/>
    <s v="Romance"/>
    <m/>
    <m/>
    <m/>
    <m/>
    <m/>
  </r>
  <r>
    <x v="1399"/>
    <x v="55"/>
    <n v="19661987"/>
    <x v="2480"/>
    <x v="0"/>
    <s v="USA"/>
    <n v="20000000"/>
    <x v="31"/>
    <x v="3"/>
    <m/>
    <m/>
    <m/>
    <m/>
    <m/>
    <m/>
    <m/>
  </r>
  <r>
    <x v="431"/>
    <x v="19"/>
    <n v="19593740"/>
    <x v="2481"/>
    <x v="0"/>
    <s v="USA"/>
    <n v="50000000"/>
    <x v="31"/>
    <x v="5"/>
    <s v="Drama"/>
    <s v="Thriller"/>
    <m/>
    <m/>
    <m/>
    <m/>
    <m/>
  </r>
  <r>
    <x v="383"/>
    <x v="20"/>
    <n v="19548064"/>
    <x v="2482"/>
    <x v="0"/>
    <s v="Hong Kong"/>
    <n v="65000000"/>
    <x v="2"/>
    <x v="4"/>
    <s v="Animation"/>
    <s v="Comedy"/>
    <s v="Family"/>
    <s v="Sci-Fi"/>
    <m/>
    <m/>
    <m/>
  </r>
  <r>
    <x v="195"/>
    <x v="12"/>
    <n v="19480739"/>
    <x v="2483"/>
    <x v="0"/>
    <s v="USA"/>
    <n v="80000000"/>
    <x v="37"/>
    <x v="4"/>
    <s v="Adventure"/>
    <s v="Sci-Fi"/>
    <m/>
    <m/>
    <m/>
    <m/>
    <m/>
  </r>
  <r>
    <x v="1435"/>
    <x v="89"/>
    <n v="19472057"/>
    <x v="2484"/>
    <x v="0"/>
    <s v="USA"/>
    <n v="3000000"/>
    <x v="1"/>
    <x v="1"/>
    <s v="Thriller"/>
    <m/>
    <m/>
    <m/>
    <m/>
    <m/>
    <m/>
  </r>
  <r>
    <x v="1436"/>
    <x v="120"/>
    <n v="19447478"/>
    <x v="2485"/>
    <x v="0"/>
    <s v="UK"/>
    <n v="35000000"/>
    <x v="37"/>
    <x v="2"/>
    <s v="Animation"/>
    <s v="Comedy"/>
    <s v="Family"/>
    <s v="War"/>
    <m/>
    <m/>
    <m/>
  </r>
  <r>
    <x v="377"/>
    <x v="55"/>
    <n v="19445217"/>
    <x v="2486"/>
    <x v="0"/>
    <s v="USA"/>
    <n v="60000000"/>
    <x v="8"/>
    <x v="3"/>
    <s v="Fantasy"/>
    <s v="Romance"/>
    <m/>
    <m/>
    <m/>
    <m/>
    <m/>
  </r>
  <r>
    <x v="1437"/>
    <x v="94"/>
    <n v="19421271"/>
    <x v="2487"/>
    <x v="0"/>
    <s v="USA"/>
    <n v="5000000"/>
    <x v="38"/>
    <x v="7"/>
    <s v="Comedy"/>
    <s v="Family"/>
    <m/>
    <m/>
    <m/>
    <m/>
    <m/>
  </r>
  <r>
    <x v="1438"/>
    <x v="44"/>
    <n v="19406406"/>
    <x v="2488"/>
    <x v="1"/>
    <s v="France"/>
    <n v="40000000"/>
    <x v="22"/>
    <x v="10"/>
    <s v="Drama"/>
    <m/>
    <m/>
    <m/>
    <m/>
    <m/>
    <m/>
  </r>
  <r>
    <x v="275"/>
    <x v="34"/>
    <n v="19389454"/>
    <x v="2489"/>
    <x v="0"/>
    <s v="USA"/>
    <n v="55000000"/>
    <x v="7"/>
    <x v="0"/>
    <s v="Drama"/>
    <m/>
    <m/>
    <m/>
    <m/>
    <m/>
    <m/>
  </r>
  <r>
    <x v="1439"/>
    <x v="16"/>
    <n v="19377727"/>
    <x v="2490"/>
    <x v="0"/>
    <s v="USA"/>
    <n v="45000000"/>
    <x v="16"/>
    <x v="0"/>
    <s v="Musical"/>
    <m/>
    <m/>
    <m/>
    <m/>
    <m/>
    <m/>
  </r>
  <r>
    <x v="37"/>
    <x v="49"/>
    <n v="19351569"/>
    <x v="2491"/>
    <x v="0"/>
    <s v="USA"/>
    <n v="22000000"/>
    <x v="1"/>
    <x v="0"/>
    <s v="Crime"/>
    <s v="Romance"/>
    <m/>
    <m/>
    <m/>
    <m/>
    <m/>
  </r>
  <r>
    <x v="327"/>
    <x v="60"/>
    <n v="19316646"/>
    <x v="2492"/>
    <x v="0"/>
    <s v="USA"/>
    <n v="30000000"/>
    <x v="37"/>
    <x v="5"/>
    <s v="Thriller"/>
    <m/>
    <m/>
    <m/>
    <m/>
    <m/>
    <m/>
  </r>
  <r>
    <x v="38"/>
    <x v="4"/>
    <n v="19294901"/>
    <x v="2493"/>
    <x v="0"/>
    <s v="USA"/>
    <n v="35000000"/>
    <x v="38"/>
    <x v="0"/>
    <s v="Horror"/>
    <m/>
    <m/>
    <m/>
    <m/>
    <m/>
    <m/>
  </r>
  <r>
    <x v="117"/>
    <x v="78"/>
    <n v="19283782"/>
    <x v="2494"/>
    <x v="0"/>
    <s v="USA"/>
    <n v="22000000"/>
    <x v="24"/>
    <x v="5"/>
    <s v="Drama"/>
    <s v="Romance"/>
    <s v="Thriller"/>
    <m/>
    <m/>
    <m/>
    <m/>
  </r>
  <r>
    <x v="1440"/>
    <x v="20"/>
    <n v="19281235"/>
    <x v="2495"/>
    <x v="0"/>
    <s v="USA"/>
    <n v="5000000"/>
    <x v="33"/>
    <x v="0"/>
    <s v="Drama"/>
    <s v="Music"/>
    <s v="Romance"/>
    <m/>
    <m/>
    <m/>
    <m/>
  </r>
  <r>
    <x v="1441"/>
    <x v="8"/>
    <n v="19184015"/>
    <x v="2496"/>
    <x v="0"/>
    <s v="USA"/>
    <n v="3000000"/>
    <x v="18"/>
    <x v="6"/>
    <s v="Comedy"/>
    <s v="Documentary"/>
    <m/>
    <m/>
    <m/>
    <m/>
    <m/>
  </r>
  <r>
    <x v="166"/>
    <x v="28"/>
    <n v="19179969"/>
    <x v="2497"/>
    <x v="0"/>
    <s v="USA"/>
    <n v="17500000"/>
    <x v="2"/>
    <x v="0"/>
    <m/>
    <m/>
    <m/>
    <m/>
    <m/>
    <m/>
    <m/>
  </r>
  <r>
    <x v="1442"/>
    <x v="60"/>
    <n v="19170001"/>
    <x v="2498"/>
    <x v="0"/>
    <s v="USA"/>
    <n v="2800000"/>
    <x v="48"/>
    <x v="1"/>
    <m/>
    <m/>
    <m/>
    <m/>
    <m/>
    <m/>
    <m/>
  </r>
  <r>
    <x v="212"/>
    <x v="10"/>
    <n v="19158074"/>
    <x v="2499"/>
    <x v="0"/>
    <s v="USA"/>
    <n v="15000000"/>
    <x v="15"/>
    <x v="3"/>
    <s v="Family"/>
    <s v="Fantasy"/>
    <s v="Romance"/>
    <m/>
    <m/>
    <m/>
    <m/>
  </r>
  <r>
    <x v="1095"/>
    <x v="48"/>
    <n v="19151864"/>
    <x v="2500"/>
    <x v="0"/>
    <s v="USA"/>
    <n v="40000000"/>
    <x v="1"/>
    <x v="0"/>
    <s v="Romance"/>
    <m/>
    <m/>
    <m/>
    <m/>
    <m/>
    <m/>
  </r>
  <r>
    <x v="149"/>
    <x v="41"/>
    <n v="19118247"/>
    <x v="2501"/>
    <x v="0"/>
    <s v="USA"/>
    <n v="40000000"/>
    <x v="18"/>
    <x v="4"/>
    <s v="Comedy"/>
    <m/>
    <m/>
    <m/>
    <m/>
    <m/>
    <m/>
  </r>
  <r>
    <x v="1191"/>
    <x v="54"/>
    <n v="19100000"/>
    <x v="2502"/>
    <x v="0"/>
    <s v="USA"/>
    <n v="1250000"/>
    <x v="0"/>
    <x v="1"/>
    <s v="Mystery"/>
    <s v="Thriller"/>
    <m/>
    <m/>
    <m/>
    <m/>
    <m/>
  </r>
  <r>
    <x v="249"/>
    <x v="16"/>
    <n v="19097994"/>
    <x v="2503"/>
    <x v="0"/>
    <s v="Canada"/>
    <n v="39751583.5"/>
    <x v="6"/>
    <x v="6"/>
    <s v="Drama"/>
    <s v="Sport"/>
    <m/>
    <m/>
    <m/>
    <m/>
    <m/>
  </r>
  <r>
    <x v="1093"/>
    <x v="65"/>
    <n v="19076815"/>
    <x v="2504"/>
    <x v="0"/>
    <s v="USA"/>
    <n v="60000000"/>
    <x v="2"/>
    <x v="3"/>
    <s v="War"/>
    <m/>
    <m/>
    <m/>
    <m/>
    <m/>
    <m/>
  </r>
  <r>
    <x v="1443"/>
    <x v="7"/>
    <n v="19067631"/>
    <x v="2505"/>
    <x v="0"/>
    <s v="USA"/>
    <n v="2000000"/>
    <x v="6"/>
    <x v="0"/>
    <s v="Drama"/>
    <s v="Romance"/>
    <m/>
    <m/>
    <m/>
    <m/>
    <m/>
  </r>
  <r>
    <x v="1444"/>
    <x v="22"/>
    <n v="19059018"/>
    <x v="2506"/>
    <x v="0"/>
    <s v="Australia"/>
    <n v="65000000"/>
    <x v="33"/>
    <x v="4"/>
    <s v="Fantasy"/>
    <s v="Sci-Fi"/>
    <s v="Thriller"/>
    <m/>
    <m/>
    <m/>
    <m/>
  </r>
  <r>
    <x v="1445"/>
    <x v="8"/>
    <n v="19057024"/>
    <x v="2507"/>
    <x v="0"/>
    <s v="USA"/>
    <n v="16000000"/>
    <x v="11"/>
    <x v="3"/>
    <s v="Romance"/>
    <m/>
    <m/>
    <m/>
    <m/>
    <m/>
    <m/>
  </r>
  <r>
    <x v="1446"/>
    <x v="58"/>
    <n v="18996755"/>
    <x v="2508"/>
    <x v="0"/>
    <s v="Spain"/>
    <n v="45000000"/>
    <x v="17"/>
    <x v="3"/>
    <s v="Thriller"/>
    <m/>
    <m/>
    <m/>
    <m/>
    <m/>
    <m/>
  </r>
  <r>
    <x v="66"/>
    <x v="1"/>
    <n v="18990542"/>
    <x v="2509"/>
    <x v="0"/>
    <s v="USA"/>
    <n v="70000000"/>
    <x v="71"/>
    <x v="4"/>
    <s v="Sci-Fi"/>
    <s v="Sport"/>
    <m/>
    <m/>
    <m/>
    <m/>
    <m/>
  </r>
  <r>
    <x v="51"/>
    <x v="49"/>
    <n v="18967571"/>
    <x v="2510"/>
    <x v="0"/>
    <s v="USA"/>
    <n v="30000000"/>
    <x v="0"/>
    <x v="4"/>
    <s v="Crime"/>
    <s v="Thriller"/>
    <m/>
    <m/>
    <m/>
    <m/>
    <m/>
  </r>
  <r>
    <x v="402"/>
    <x v="17"/>
    <n v="18947630"/>
    <x v="2511"/>
    <x v="0"/>
    <s v="France"/>
    <n v="59660000"/>
    <x v="6"/>
    <x v="2"/>
    <s v="Drama"/>
    <s v="Family"/>
    <m/>
    <m/>
    <m/>
    <m/>
    <m/>
  </r>
  <r>
    <x v="199"/>
    <x v="31"/>
    <n v="18934858"/>
    <x v="2512"/>
    <x v="0"/>
    <s v="Ireland"/>
    <n v="23000000"/>
    <x v="19"/>
    <x v="4"/>
    <s v="Thriller"/>
    <m/>
    <m/>
    <m/>
    <m/>
    <m/>
    <m/>
  </r>
  <r>
    <x v="11"/>
    <x v="8"/>
    <n v="18882880"/>
    <x v="2513"/>
    <x v="0"/>
    <s v="USA"/>
    <n v="20000000"/>
    <x v="1"/>
    <x v="0"/>
    <s v="Drama"/>
    <m/>
    <m/>
    <m/>
    <m/>
    <m/>
    <m/>
  </r>
  <r>
    <x v="267"/>
    <x v="10"/>
    <n v="18860403"/>
    <x v="2514"/>
    <x v="0"/>
    <s v="USA"/>
    <n v="25000000"/>
    <x v="56"/>
    <x v="1"/>
    <s v="Thriller"/>
    <m/>
    <m/>
    <m/>
    <m/>
    <m/>
    <m/>
  </r>
  <r>
    <x v="1447"/>
    <x v="22"/>
    <n v="18843314"/>
    <x v="2515"/>
    <x v="0"/>
    <s v="USA"/>
    <n v="20000000"/>
    <x v="47"/>
    <x v="4"/>
    <s v="Drama"/>
    <s v="Thriller"/>
    <m/>
    <m/>
    <m/>
    <m/>
    <m/>
  </r>
  <r>
    <x v="136"/>
    <x v="4"/>
    <n v="18821279"/>
    <x v="2516"/>
    <x v="0"/>
    <s v="USA"/>
    <n v="70000000"/>
    <x v="41"/>
    <x v="4"/>
    <s v="Adventure"/>
    <s v="Fantasy"/>
    <m/>
    <m/>
    <m/>
    <m/>
    <m/>
  </r>
  <r>
    <x v="1448"/>
    <x v="48"/>
    <n v="18811135"/>
    <x v="2517"/>
    <x v="0"/>
    <s v="USA"/>
    <n v="39751583.5"/>
    <x v="31"/>
    <x v="3"/>
    <m/>
    <m/>
    <m/>
    <m/>
    <m/>
    <m/>
    <m/>
  </r>
  <r>
    <x v="1399"/>
    <x v="36"/>
    <n v="18761993"/>
    <x v="2518"/>
    <x v="0"/>
    <s v="USA"/>
    <n v="9000000"/>
    <x v="26"/>
    <x v="0"/>
    <s v="Drama"/>
    <m/>
    <m/>
    <m/>
    <m/>
    <m/>
    <m/>
  </r>
  <r>
    <x v="481"/>
    <x v="35"/>
    <n v="18663911"/>
    <x v="2519"/>
    <x v="0"/>
    <s v="UK"/>
    <n v="16500000"/>
    <x v="6"/>
    <x v="6"/>
    <s v="Drama"/>
    <s v="Romance"/>
    <m/>
    <m/>
    <m/>
    <m/>
    <m/>
  </r>
  <r>
    <x v="1449"/>
    <x v="43"/>
    <n v="18656400"/>
    <x v="2520"/>
    <x v="0"/>
    <s v="USA"/>
    <n v="5000000"/>
    <x v="31"/>
    <x v="3"/>
    <m/>
    <m/>
    <m/>
    <m/>
    <m/>
    <m/>
    <m/>
  </r>
  <r>
    <x v="590"/>
    <x v="6"/>
    <n v="18653746"/>
    <x v="2521"/>
    <x v="0"/>
    <s v="Spain"/>
    <n v="38000000"/>
    <x v="15"/>
    <x v="12"/>
    <s v="Thriller"/>
    <m/>
    <m/>
    <m/>
    <m/>
    <m/>
    <m/>
  </r>
  <r>
    <x v="84"/>
    <x v="58"/>
    <n v="18653615"/>
    <x v="2522"/>
    <x v="0"/>
    <s v="USA"/>
    <n v="23000000"/>
    <x v="0"/>
    <x v="0"/>
    <s v="Drama"/>
    <m/>
    <m/>
    <m/>
    <m/>
    <m/>
    <m/>
  </r>
  <r>
    <x v="1450"/>
    <x v="162"/>
    <n v="18642318"/>
    <x v="2523"/>
    <x v="0"/>
    <s v="USA"/>
    <n v="39751583.5"/>
    <x v="31"/>
    <x v="10"/>
    <s v="Sport"/>
    <m/>
    <m/>
    <m/>
    <m/>
    <m/>
    <m/>
  </r>
  <r>
    <x v="987"/>
    <x v="34"/>
    <n v="18636537"/>
    <x v="2524"/>
    <x v="0"/>
    <s v="Japan"/>
    <n v="32000000"/>
    <x v="16"/>
    <x v="4"/>
    <s v="Thriller"/>
    <s v="Western"/>
    <m/>
    <m/>
    <m/>
    <m/>
    <m/>
  </r>
  <r>
    <x v="1451"/>
    <x v="10"/>
    <n v="18621249"/>
    <x v="2525"/>
    <x v="0"/>
    <s v="USA"/>
    <n v="6000000"/>
    <x v="31"/>
    <x v="0"/>
    <m/>
    <m/>
    <m/>
    <m/>
    <m/>
    <m/>
    <m/>
  </r>
  <r>
    <x v="1452"/>
    <x v="30"/>
    <n v="18600911"/>
    <x v="2526"/>
    <x v="0"/>
    <s v="USA"/>
    <n v="42000000"/>
    <x v="24"/>
    <x v="4"/>
    <s v="Crime"/>
    <s v="Thriller"/>
    <m/>
    <m/>
    <m/>
    <m/>
    <m/>
  </r>
  <r>
    <x v="1330"/>
    <x v="44"/>
    <n v="18595716"/>
    <x v="2527"/>
    <x v="0"/>
    <s v="USA"/>
    <n v="12000000"/>
    <x v="48"/>
    <x v="0"/>
    <s v="Family"/>
    <s v="Fantasy"/>
    <s v="Romance"/>
    <m/>
    <m/>
    <m/>
    <m/>
  </r>
  <r>
    <x v="246"/>
    <x v="57"/>
    <n v="18593156"/>
    <x v="2528"/>
    <x v="0"/>
    <s v="USA"/>
    <n v="35000000"/>
    <x v="5"/>
    <x v="3"/>
    <m/>
    <m/>
    <m/>
    <m/>
    <m/>
    <m/>
    <m/>
  </r>
  <r>
    <x v="98"/>
    <x v="12"/>
    <n v="18573791"/>
    <x v="2529"/>
    <x v="0"/>
    <s v="USA"/>
    <n v="55000000"/>
    <x v="19"/>
    <x v="4"/>
    <s v="Drama"/>
    <s v="Sport"/>
    <s v="Thriller"/>
    <m/>
    <m/>
    <m/>
    <m/>
  </r>
  <r>
    <x v="645"/>
    <x v="0"/>
    <n v="18535191"/>
    <x v="2530"/>
    <x v="0"/>
    <s v="UK"/>
    <n v="14000000"/>
    <x v="26"/>
    <x v="0"/>
    <s v="Romance"/>
    <m/>
    <m/>
    <m/>
    <m/>
    <m/>
    <m/>
  </r>
  <r>
    <x v="1453"/>
    <x v="20"/>
    <n v="18500966"/>
    <x v="2531"/>
    <x v="0"/>
    <s v="USA"/>
    <n v="30000000"/>
    <x v="45"/>
    <x v="4"/>
    <s v="Horror"/>
    <s v="Sci-Fi"/>
    <s v="Thriller"/>
    <m/>
    <m/>
    <m/>
    <m/>
  </r>
  <r>
    <x v="166"/>
    <x v="41"/>
    <n v="18488314"/>
    <x v="2532"/>
    <x v="0"/>
    <s v="USA"/>
    <n v="1200000"/>
    <x v="6"/>
    <x v="0"/>
    <s v="Crime"/>
    <s v="Mystery"/>
    <m/>
    <m/>
    <m/>
    <m/>
    <m/>
  </r>
  <r>
    <x v="626"/>
    <x v="28"/>
    <n v="18472363"/>
    <x v="2533"/>
    <x v="0"/>
    <s v="USA"/>
    <n v="50000000"/>
    <x v="19"/>
    <x v="4"/>
    <s v="Adventure"/>
    <s v="Crime"/>
    <s v="Thriller"/>
    <m/>
    <m/>
    <m/>
    <m/>
  </r>
  <r>
    <x v="1454"/>
    <x v="41"/>
    <n v="18439082"/>
    <x v="2534"/>
    <x v="0"/>
    <s v="USA"/>
    <n v="18500000"/>
    <x v="16"/>
    <x v="0"/>
    <s v="Fantasy"/>
    <s v="Romance"/>
    <m/>
    <m/>
    <m/>
    <m/>
    <m/>
  </r>
  <r>
    <x v="299"/>
    <x v="50"/>
    <n v="18438149"/>
    <x v="2535"/>
    <x v="0"/>
    <s v="USA"/>
    <n v="40000000"/>
    <x v="1"/>
    <x v="0"/>
    <s v="Drama"/>
    <m/>
    <m/>
    <m/>
    <m/>
    <m/>
    <m/>
  </r>
  <r>
    <x v="1455"/>
    <x v="1"/>
    <n v="18381787"/>
    <x v="2536"/>
    <x v="0"/>
    <s v="UK"/>
    <n v="11000000"/>
    <x v="9"/>
    <x v="0"/>
    <s v="Drama"/>
    <m/>
    <m/>
    <m/>
    <m/>
    <m/>
    <m/>
  </r>
  <r>
    <x v="1433"/>
    <x v="91"/>
    <n v="18352454"/>
    <x v="2537"/>
    <x v="0"/>
    <s v="USA"/>
    <n v="15000000"/>
    <x v="40"/>
    <x v="2"/>
    <s v="Biography"/>
    <s v="Drama"/>
    <m/>
    <m/>
    <m/>
    <m/>
    <m/>
  </r>
  <r>
    <x v="1091"/>
    <x v="20"/>
    <n v="18329466"/>
    <x v="2538"/>
    <x v="0"/>
    <s v="USA"/>
    <n v="18000000"/>
    <x v="17"/>
    <x v="2"/>
    <s v="Biography"/>
    <s v="Drama"/>
    <s v="Thriller"/>
    <m/>
    <m/>
    <m/>
    <m/>
  </r>
  <r>
    <x v="1100"/>
    <x v="59"/>
    <n v="18324242"/>
    <x v="2539"/>
    <x v="0"/>
    <s v="USA"/>
    <n v="35000000"/>
    <x v="4"/>
    <x v="3"/>
    <m/>
    <m/>
    <m/>
    <m/>
    <m/>
    <m/>
    <m/>
  </r>
  <r>
    <x v="785"/>
    <x v="0"/>
    <n v="18318000"/>
    <x v="2540"/>
    <x v="0"/>
    <s v="Australia"/>
    <n v="80000000"/>
    <x v="19"/>
    <x v="2"/>
    <s v="Comedy"/>
    <s v="Drama"/>
    <s v="Family"/>
    <s v="Fantasy"/>
    <m/>
    <m/>
    <m/>
  </r>
  <r>
    <x v="64"/>
    <x v="35"/>
    <n v="18317151"/>
    <x v="2541"/>
    <x v="0"/>
    <s v="USA"/>
    <n v="35000000"/>
    <x v="15"/>
    <x v="0"/>
    <s v="Music"/>
    <m/>
    <m/>
    <m/>
    <m/>
    <m/>
    <m/>
  </r>
  <r>
    <x v="1282"/>
    <x v="65"/>
    <n v="18306166"/>
    <x v="2542"/>
    <x v="0"/>
    <s v="UK"/>
    <n v="35000000"/>
    <x v="20"/>
    <x v="2"/>
    <s v="Drama"/>
    <s v="Romance"/>
    <s v="War"/>
    <m/>
    <m/>
    <m/>
    <m/>
  </r>
  <r>
    <x v="1188"/>
    <x v="40"/>
    <n v="18298649"/>
    <x v="2543"/>
    <x v="0"/>
    <s v="USA"/>
    <n v="30000000"/>
    <x v="16"/>
    <x v="0"/>
    <s v="Horror"/>
    <m/>
    <m/>
    <m/>
    <m/>
    <m/>
    <m/>
  </r>
  <r>
    <x v="1456"/>
    <x v="21"/>
    <n v="18272447"/>
    <x v="2544"/>
    <x v="0"/>
    <s v="USA"/>
    <n v="10000000"/>
    <x v="1"/>
    <x v="3"/>
    <s v="Thriller"/>
    <m/>
    <m/>
    <m/>
    <m/>
    <m/>
    <m/>
  </r>
  <r>
    <x v="1457"/>
    <x v="58"/>
    <n v="18252684"/>
    <x v="2545"/>
    <x v="0"/>
    <s v="USA"/>
    <n v="30000000"/>
    <x v="26"/>
    <x v="0"/>
    <s v="Drama"/>
    <s v="Family"/>
    <m/>
    <m/>
    <m/>
    <m/>
    <m/>
  </r>
  <r>
    <x v="1080"/>
    <x v="60"/>
    <n v="18225165"/>
    <x v="2546"/>
    <x v="0"/>
    <s v="USA"/>
    <n v="9000000"/>
    <x v="6"/>
    <x v="2"/>
    <s v="Comedy"/>
    <m/>
    <m/>
    <m/>
    <m/>
    <m/>
    <m/>
  </r>
  <r>
    <x v="1458"/>
    <x v="25"/>
    <n v="18208078"/>
    <x v="2547"/>
    <x v="0"/>
    <s v="USA"/>
    <n v="60000000"/>
    <x v="26"/>
    <x v="4"/>
    <s v="Drama"/>
    <s v="Thriller"/>
    <m/>
    <m/>
    <m/>
    <m/>
    <m/>
  </r>
  <r>
    <x v="1459"/>
    <x v="89"/>
    <n v="18112929"/>
    <x v="2548"/>
    <x v="0"/>
    <s v="USA"/>
    <n v="1000000"/>
    <x v="38"/>
    <x v="1"/>
    <s v="Mystery"/>
    <s v="Sci-Fi"/>
    <s v="Thriller"/>
    <m/>
    <m/>
    <m/>
    <m/>
  </r>
  <r>
    <x v="38"/>
    <x v="34"/>
    <n v="18090181"/>
    <x v="2549"/>
    <x v="0"/>
    <s v="USA"/>
    <n v="8000000"/>
    <x v="16"/>
    <x v="8"/>
    <s v="Horror"/>
    <s v="Mystery"/>
    <s v="Thriller"/>
    <m/>
    <m/>
    <m/>
    <m/>
  </r>
  <r>
    <x v="1460"/>
    <x v="93"/>
    <n v="18081626"/>
    <x v="2550"/>
    <x v="0"/>
    <s v="USA"/>
    <n v="20000000"/>
    <x v="16"/>
    <x v="7"/>
    <s v="Family"/>
    <s v="Fantasy"/>
    <s v="Mystery"/>
    <m/>
    <m/>
    <m/>
    <m/>
  </r>
  <r>
    <x v="48"/>
    <x v="34"/>
    <n v="18004225"/>
    <x v="2551"/>
    <x v="0"/>
    <s v="USA"/>
    <n v="13000000"/>
    <x v="21"/>
    <x v="0"/>
    <s v="Drama"/>
    <s v="Romance"/>
    <m/>
    <m/>
    <m/>
    <m/>
    <m/>
  </r>
  <r>
    <x v="374"/>
    <x v="50"/>
    <n v="17986000"/>
    <x v="2552"/>
    <x v="0"/>
    <s v="USA"/>
    <n v="1000000"/>
    <x v="24"/>
    <x v="1"/>
    <m/>
    <m/>
    <m/>
    <m/>
    <m/>
    <m/>
    <m/>
  </r>
  <r>
    <x v="1461"/>
    <x v="40"/>
    <n v="17951431"/>
    <x v="2553"/>
    <x v="0"/>
    <s v="USA"/>
    <n v="30000000"/>
    <x v="19"/>
    <x v="5"/>
    <s v="Drama"/>
    <s v="Mystery"/>
    <s v="Thriller"/>
    <m/>
    <m/>
    <m/>
    <m/>
  </r>
  <r>
    <x v="1307"/>
    <x v="10"/>
    <n v="17848322"/>
    <x v="2554"/>
    <x v="0"/>
    <s v="Ireland"/>
    <n v="28000000"/>
    <x v="1"/>
    <x v="0"/>
    <s v="Romance"/>
    <m/>
    <m/>
    <m/>
    <m/>
    <m/>
    <m/>
  </r>
  <r>
    <x v="400"/>
    <x v="50"/>
    <n v="17843379"/>
    <x v="2555"/>
    <x v="0"/>
    <s v="USA"/>
    <n v="8000000"/>
    <x v="21"/>
    <x v="0"/>
    <s v="Drama"/>
    <s v="Romance"/>
    <m/>
    <m/>
    <m/>
    <m/>
    <m/>
  </r>
  <r>
    <x v="1458"/>
    <x v="59"/>
    <n v="17804273"/>
    <x v="2556"/>
    <x v="0"/>
    <s v="USA"/>
    <n v="20000000"/>
    <x v="14"/>
    <x v="3"/>
    <s v="Thriller"/>
    <m/>
    <m/>
    <m/>
    <m/>
    <m/>
    <m/>
  </r>
  <r>
    <x v="62"/>
    <x v="7"/>
    <n v="17803796"/>
    <x v="2557"/>
    <x v="0"/>
    <s v="USA"/>
    <n v="20000000"/>
    <x v="1"/>
    <x v="0"/>
    <m/>
    <m/>
    <m/>
    <m/>
    <m/>
    <m/>
    <m/>
  </r>
  <r>
    <x v="1462"/>
    <x v="30"/>
    <n v="17797316"/>
    <x v="2558"/>
    <x v="0"/>
    <s v="USA"/>
    <n v="32000000"/>
    <x v="2"/>
    <x v="0"/>
    <s v="Romance"/>
    <m/>
    <m/>
    <m/>
    <m/>
    <m/>
    <m/>
  </r>
  <r>
    <x v="1141"/>
    <x v="13"/>
    <n v="17791031"/>
    <x v="2559"/>
    <x v="0"/>
    <s v="USA"/>
    <n v="25000000"/>
    <x v="4"/>
    <x v="0"/>
    <s v="Drama"/>
    <s v="Romance"/>
    <s v="Thriller"/>
    <m/>
    <m/>
    <m/>
    <m/>
  </r>
  <r>
    <x v="1262"/>
    <x v="60"/>
    <n v="17768000"/>
    <x v="2560"/>
    <x v="0"/>
    <s v="USA"/>
    <n v="5000000"/>
    <x v="1"/>
    <x v="1"/>
    <s v="Thriller"/>
    <m/>
    <m/>
    <m/>
    <m/>
    <m/>
    <m/>
  </r>
  <r>
    <x v="1463"/>
    <x v="44"/>
    <n v="17757087"/>
    <x v="2561"/>
    <x v="0"/>
    <s v="USA"/>
    <n v="21000000"/>
    <x v="28"/>
    <x v="1"/>
    <s v="Sci-Fi"/>
    <s v="Thriller"/>
    <m/>
    <m/>
    <m/>
    <m/>
    <m/>
  </r>
  <r>
    <x v="1091"/>
    <x v="57"/>
    <n v="17750583"/>
    <x v="2562"/>
    <x v="0"/>
    <s v="UK"/>
    <n v="30000000"/>
    <x v="11"/>
    <x v="6"/>
    <s v="Drama"/>
    <m/>
    <m/>
    <m/>
    <m/>
    <m/>
    <m/>
  </r>
  <r>
    <x v="1464"/>
    <x v="30"/>
    <n v="17738570"/>
    <x v="2563"/>
    <x v="0"/>
    <s v="USA"/>
    <n v="13000000"/>
    <x v="13"/>
    <x v="3"/>
    <s v="Romance"/>
    <m/>
    <m/>
    <m/>
    <m/>
    <m/>
    <m/>
  </r>
  <r>
    <x v="1465"/>
    <x v="31"/>
    <n v="17718223"/>
    <x v="2564"/>
    <x v="0"/>
    <s v="USA"/>
    <n v="25000000"/>
    <x v="24"/>
    <x v="0"/>
    <m/>
    <m/>
    <m/>
    <m/>
    <m/>
    <m/>
    <m/>
  </r>
  <r>
    <x v="1466"/>
    <x v="89"/>
    <n v="17683670"/>
    <x v="2565"/>
    <x v="0"/>
    <s v="USA"/>
    <n v="5000000"/>
    <x v="34"/>
    <x v="1"/>
    <s v="Mystery"/>
    <s v="Sci-Fi"/>
    <s v="Thriller"/>
    <m/>
    <m/>
    <m/>
    <m/>
  </r>
  <r>
    <x v="1467"/>
    <x v="43"/>
    <n v="17655201"/>
    <x v="2566"/>
    <x v="0"/>
    <s v="USA"/>
    <n v="10000000"/>
    <x v="15"/>
    <x v="3"/>
    <s v="Family"/>
    <m/>
    <m/>
    <m/>
    <m/>
    <m/>
    <m/>
  </r>
  <r>
    <x v="148"/>
    <x v="61"/>
    <n v="17613460"/>
    <x v="2567"/>
    <x v="0"/>
    <s v="USA"/>
    <n v="12000000"/>
    <x v="22"/>
    <x v="2"/>
    <s v="Comedy"/>
    <s v="Drama"/>
    <m/>
    <m/>
    <m/>
    <m/>
    <m/>
  </r>
  <r>
    <x v="208"/>
    <x v="36"/>
    <n v="17609982"/>
    <x v="2568"/>
    <x v="0"/>
    <s v="USA"/>
    <n v="35000000"/>
    <x v="8"/>
    <x v="4"/>
    <s v="Crime"/>
    <s v="Romance"/>
    <s v="Thriller"/>
    <m/>
    <m/>
    <m/>
    <m/>
  </r>
  <r>
    <x v="1184"/>
    <x v="64"/>
    <n v="17605861"/>
    <x v="2569"/>
    <x v="0"/>
    <s v="UK"/>
    <n v="6000000"/>
    <x v="5"/>
    <x v="6"/>
    <s v="Drama"/>
    <s v="History"/>
    <s v="Thriller"/>
    <m/>
    <m/>
    <m/>
    <m/>
  </r>
  <r>
    <x v="1162"/>
    <x v="22"/>
    <n v="17596256"/>
    <x v="2570"/>
    <x v="0"/>
    <s v="USA"/>
    <n v="35000000"/>
    <x v="61"/>
    <x v="0"/>
    <s v="Family"/>
    <m/>
    <m/>
    <m/>
    <m/>
    <m/>
    <m/>
  </r>
  <r>
    <x v="324"/>
    <x v="140"/>
    <n v="17593391"/>
    <x v="2571"/>
    <x v="0"/>
    <s v="USA"/>
    <n v="80000000"/>
    <x v="27"/>
    <x v="4"/>
    <s v="Adventure"/>
    <s v="Drama"/>
    <s v="Sci-Fi"/>
    <m/>
    <m/>
    <m/>
    <m/>
  </r>
  <r>
    <x v="1076"/>
    <x v="20"/>
    <n v="17544812"/>
    <x v="2572"/>
    <x v="0"/>
    <s v="USA"/>
    <n v="10000000"/>
    <x v="18"/>
    <x v="1"/>
    <m/>
    <m/>
    <m/>
    <m/>
    <m/>
    <m/>
    <m/>
  </r>
  <r>
    <x v="1468"/>
    <x v="31"/>
    <n v="17536788"/>
    <x v="2573"/>
    <x v="0"/>
    <s v="USA"/>
    <n v="8000000"/>
    <x v="6"/>
    <x v="0"/>
    <s v="Drama"/>
    <s v="Romance"/>
    <m/>
    <m/>
    <m/>
    <m/>
    <m/>
  </r>
  <r>
    <x v="1469"/>
    <x v="13"/>
    <n v="17529157"/>
    <x v="2574"/>
    <x v="0"/>
    <s v="France"/>
    <n v="20000000"/>
    <x v="38"/>
    <x v="2"/>
    <s v="Drama"/>
    <s v="Horror"/>
    <s v="Mystery"/>
    <s v="Thriller"/>
    <m/>
    <m/>
    <m/>
  </r>
  <r>
    <x v="1135"/>
    <x v="18"/>
    <n v="17518220"/>
    <x v="2575"/>
    <x v="0"/>
    <s v="USA"/>
    <n v="20000000"/>
    <x v="24"/>
    <x v="0"/>
    <s v="Drama"/>
    <s v="Romance"/>
    <m/>
    <m/>
    <m/>
    <m/>
    <m/>
  </r>
  <r>
    <x v="1451"/>
    <x v="50"/>
    <n v="17508936"/>
    <x v="2576"/>
    <x v="0"/>
    <s v="USA"/>
    <n v="39751583.5"/>
    <x v="4"/>
    <x v="0"/>
    <s v="Music"/>
    <m/>
    <m/>
    <m/>
    <m/>
    <m/>
    <m/>
  </r>
  <r>
    <x v="1470"/>
    <x v="22"/>
    <n v="17508670"/>
    <x v="2577"/>
    <x v="0"/>
    <s v="UK"/>
    <n v="15000000"/>
    <x v="7"/>
    <x v="5"/>
    <s v="Drama"/>
    <s v="Romance"/>
    <s v="Thriller"/>
    <m/>
    <m/>
    <m/>
    <m/>
  </r>
  <r>
    <x v="1313"/>
    <x v="18"/>
    <n v="17474107"/>
    <x v="2578"/>
    <x v="0"/>
    <s v="USA"/>
    <n v="7000000"/>
    <x v="4"/>
    <x v="0"/>
    <s v="Crime"/>
    <s v="Drama"/>
    <m/>
    <m/>
    <m/>
    <m/>
    <m/>
  </r>
  <r>
    <x v="1471"/>
    <x v="40"/>
    <n v="17473245"/>
    <x v="2579"/>
    <x v="0"/>
    <s v="USA"/>
    <n v="70000000"/>
    <x v="21"/>
    <x v="4"/>
    <s v="Sci-Fi"/>
    <s v="Thriller"/>
    <m/>
    <m/>
    <m/>
    <m/>
    <m/>
  </r>
  <r>
    <x v="1089"/>
    <x v="24"/>
    <n v="17439163"/>
    <x v="2580"/>
    <x v="0"/>
    <s v="USA"/>
    <n v="15000000"/>
    <x v="40"/>
    <x v="0"/>
    <s v="Crime"/>
    <m/>
    <m/>
    <m/>
    <m/>
    <m/>
    <m/>
  </r>
  <r>
    <x v="1472"/>
    <x v="31"/>
    <n v="17427926"/>
    <x v="2581"/>
    <x v="0"/>
    <s v="USA"/>
    <n v="8000000"/>
    <x v="1"/>
    <x v="1"/>
    <m/>
    <m/>
    <m/>
    <m/>
    <m/>
    <m/>
    <m/>
  </r>
  <r>
    <x v="1473"/>
    <x v="3"/>
    <n v="17411331"/>
    <x v="2582"/>
    <x v="0"/>
    <s v="Australia"/>
    <n v="15000000"/>
    <x v="3"/>
    <x v="1"/>
    <s v="Mystery"/>
    <s v="Sci-Fi"/>
    <s v="Thriller"/>
    <m/>
    <m/>
    <m/>
    <m/>
  </r>
  <r>
    <x v="1189"/>
    <x v="40"/>
    <n v="17382982"/>
    <x v="2583"/>
    <x v="16"/>
    <s v="USA"/>
    <n v="5000000"/>
    <x v="34"/>
    <x v="3"/>
    <s v="Thriller"/>
    <m/>
    <m/>
    <m/>
    <m/>
    <m/>
    <m/>
  </r>
  <r>
    <x v="237"/>
    <x v="48"/>
    <n v="17378977"/>
    <x v="2584"/>
    <x v="0"/>
    <s v="USA"/>
    <n v="39751583.5"/>
    <x v="27"/>
    <x v="0"/>
    <s v="Drama"/>
    <s v="Music"/>
    <s v="Romance"/>
    <m/>
    <m/>
    <m/>
    <m/>
  </r>
  <r>
    <x v="20"/>
    <x v="18"/>
    <n v="17324744"/>
    <x v="2585"/>
    <x v="0"/>
    <s v="USA"/>
    <n v="28000000"/>
    <x v="48"/>
    <x v="0"/>
    <s v="Fantasy"/>
    <s v="Romance"/>
    <m/>
    <m/>
    <m/>
    <m/>
    <m/>
  </r>
  <r>
    <x v="1474"/>
    <x v="89"/>
    <n v="17321573"/>
    <x v="2586"/>
    <x v="0"/>
    <s v="USA"/>
    <n v="39751583.5"/>
    <x v="36"/>
    <x v="0"/>
    <m/>
    <m/>
    <m/>
    <m/>
    <m/>
    <m/>
    <m/>
  </r>
  <r>
    <x v="1145"/>
    <x v="89"/>
    <n v="17314483"/>
    <x v="2587"/>
    <x v="0"/>
    <s v="USA"/>
    <n v="4000000"/>
    <x v="47"/>
    <x v="0"/>
    <s v="Fantasy"/>
    <m/>
    <m/>
    <m/>
    <m/>
    <m/>
    <m/>
  </r>
  <r>
    <x v="175"/>
    <x v="36"/>
    <n v="17305211"/>
    <x v="2588"/>
    <x v="0"/>
    <s v="USA"/>
    <n v="38000000"/>
    <x v="0"/>
    <x v="5"/>
    <s v="Drama"/>
    <s v="Mystery"/>
    <s v="Thriller"/>
    <m/>
    <m/>
    <m/>
    <m/>
  </r>
  <r>
    <x v="1342"/>
    <x v="41"/>
    <n v="17300889"/>
    <x v="2589"/>
    <x v="0"/>
    <s v="Australia"/>
    <n v="45000000"/>
    <x v="35"/>
    <x v="4"/>
    <s v="Adventure"/>
    <s v="Comedy"/>
    <s v="Fantasy"/>
    <m/>
    <m/>
    <m/>
    <m/>
  </r>
  <r>
    <x v="13"/>
    <x v="50"/>
    <n v="17292381"/>
    <x v="2590"/>
    <x v="0"/>
    <s v="USA"/>
    <n v="12000000"/>
    <x v="48"/>
    <x v="0"/>
    <s v="Crime"/>
    <s v="Family"/>
    <m/>
    <m/>
    <m/>
    <m/>
    <m/>
  </r>
  <r>
    <x v="426"/>
    <x v="40"/>
    <n v="17281832"/>
    <x v="2591"/>
    <x v="0"/>
    <s v="Germany"/>
    <n v="60000000"/>
    <x v="0"/>
    <x v="2"/>
    <s v="Family"/>
    <s v="Fantasy"/>
    <m/>
    <m/>
    <m/>
    <m/>
    <m/>
  </r>
  <r>
    <x v="1181"/>
    <x v="68"/>
    <n v="17278980"/>
    <x v="2592"/>
    <x v="0"/>
    <s v="USA"/>
    <n v="8000000"/>
    <x v="15"/>
    <x v="0"/>
    <s v="Crime"/>
    <m/>
    <m/>
    <m/>
    <m/>
    <m/>
    <m/>
  </r>
  <r>
    <x v="1475"/>
    <x v="4"/>
    <n v="17266505"/>
    <x v="2593"/>
    <x v="0"/>
    <s v="USA"/>
    <n v="30000000"/>
    <x v="18"/>
    <x v="4"/>
    <s v="Comedy"/>
    <s v="Horror"/>
    <m/>
    <m/>
    <m/>
    <m/>
    <m/>
  </r>
  <r>
    <x v="1200"/>
    <x v="57"/>
    <n v="17237244"/>
    <x v="2594"/>
    <x v="0"/>
    <s v="UK"/>
    <n v="15000000"/>
    <x v="9"/>
    <x v="5"/>
    <s v="Drama"/>
    <s v="Thriller"/>
    <m/>
    <m/>
    <m/>
    <m/>
    <m/>
  </r>
  <r>
    <x v="255"/>
    <x v="1"/>
    <n v="17225675"/>
    <x v="2595"/>
    <x v="0"/>
    <s v="USA"/>
    <n v="39751583.5"/>
    <x v="37"/>
    <x v="0"/>
    <m/>
    <m/>
    <m/>
    <m/>
    <m/>
    <m/>
    <m/>
  </r>
  <r>
    <x v="1118"/>
    <x v="41"/>
    <n v="17218080"/>
    <x v="2596"/>
    <x v="0"/>
    <s v="USA"/>
    <n v="70000000"/>
    <x v="21"/>
    <x v="4"/>
    <s v="Adventure"/>
    <s v="Comedy"/>
    <m/>
    <m/>
    <m/>
    <m/>
    <m/>
  </r>
  <r>
    <x v="1291"/>
    <x v="61"/>
    <n v="17174870"/>
    <x v="2597"/>
    <x v="0"/>
    <s v="USA"/>
    <n v="18000000"/>
    <x v="15"/>
    <x v="3"/>
    <s v="Music"/>
    <s v="Romance"/>
    <m/>
    <m/>
    <m/>
    <m/>
    <m/>
  </r>
  <r>
    <x v="1116"/>
    <x v="20"/>
    <n v="17120019"/>
    <x v="2598"/>
    <x v="0"/>
    <s v="USA"/>
    <n v="30000000"/>
    <x v="20"/>
    <x v="4"/>
    <s v="Crime"/>
    <s v="Thriller"/>
    <m/>
    <m/>
    <m/>
    <m/>
    <m/>
  </r>
  <r>
    <x v="670"/>
    <x v="49"/>
    <n v="17114882"/>
    <x v="2599"/>
    <x v="0"/>
    <s v="USA"/>
    <n v="25000000"/>
    <x v="5"/>
    <x v="5"/>
    <s v="Mystery"/>
    <s v="Thriller"/>
    <m/>
    <m/>
    <m/>
    <m/>
    <m/>
  </r>
  <r>
    <x v="1476"/>
    <x v="4"/>
    <n v="17104669"/>
    <x v="2600"/>
    <x v="21"/>
    <s v="Hong Kong"/>
    <n v="20000000"/>
    <x v="22"/>
    <x v="4"/>
    <s v="Comedy"/>
    <s v="Crime"/>
    <s v="Fantasy"/>
    <m/>
    <m/>
    <m/>
    <m/>
  </r>
  <r>
    <x v="1477"/>
    <x v="51"/>
    <n v="17100000"/>
    <x v="2601"/>
    <x v="0"/>
    <s v="USA"/>
    <n v="25000000"/>
    <x v="48"/>
    <x v="4"/>
    <s v="Adventure"/>
    <s v="Crime"/>
    <s v="Drama"/>
    <s v="Romance"/>
    <m/>
    <m/>
    <m/>
  </r>
  <r>
    <x v="316"/>
    <x v="31"/>
    <n v="17096053"/>
    <x v="2602"/>
    <x v="0"/>
    <s v="USA"/>
    <n v="9000000"/>
    <x v="5"/>
    <x v="0"/>
    <s v="Drama"/>
    <m/>
    <m/>
    <m/>
    <m/>
    <m/>
    <m/>
  </r>
  <r>
    <x v="335"/>
    <x v="20"/>
    <n v="17071230"/>
    <x v="2603"/>
    <x v="0"/>
    <s v="USA"/>
    <n v="18000000"/>
    <x v="15"/>
    <x v="0"/>
    <s v="Crime"/>
    <m/>
    <m/>
    <m/>
    <m/>
    <m/>
    <m/>
  </r>
  <r>
    <x v="1478"/>
    <x v="60"/>
    <n v="17016190"/>
    <x v="2604"/>
    <x v="0"/>
    <s v="Romania"/>
    <n v="12000000"/>
    <x v="35"/>
    <x v="0"/>
    <s v="Fantasy"/>
    <s v="Horror"/>
    <s v="Thriller"/>
    <m/>
    <m/>
    <m/>
    <m/>
  </r>
  <r>
    <x v="88"/>
    <x v="20"/>
    <n v="17010646"/>
    <x v="2605"/>
    <x v="0"/>
    <s v="USA"/>
    <n v="84000000"/>
    <x v="62"/>
    <x v="0"/>
    <s v="Family"/>
    <s v="Fantasy"/>
    <m/>
    <m/>
    <m/>
    <m/>
    <m/>
  </r>
  <r>
    <x v="1479"/>
    <x v="0"/>
    <n v="17000000"/>
    <x v="2606"/>
    <x v="0"/>
    <s v="USA"/>
    <n v="500000"/>
    <x v="1"/>
    <x v="1"/>
    <s v="Sci-Fi"/>
    <m/>
    <m/>
    <m/>
    <m/>
    <m/>
    <m/>
  </r>
  <r>
    <x v="501"/>
    <x v="44"/>
    <n v="16999046"/>
    <x v="2607"/>
    <x v="0"/>
    <s v="Canada"/>
    <n v="26000000"/>
    <x v="19"/>
    <x v="3"/>
    <s v="Horror"/>
    <s v="Sci-Fi"/>
    <m/>
    <m/>
    <m/>
    <m/>
    <m/>
  </r>
  <r>
    <x v="149"/>
    <x v="51"/>
    <n v="16991902"/>
    <x v="2608"/>
    <x v="0"/>
    <s v="USA"/>
    <n v="57000000"/>
    <x v="8"/>
    <x v="3"/>
    <s v="Music"/>
    <m/>
    <m/>
    <m/>
    <m/>
    <m/>
    <m/>
  </r>
  <r>
    <x v="1480"/>
    <x v="60"/>
    <n v="16988996"/>
    <x v="2609"/>
    <x v="0"/>
    <s v="USA"/>
    <n v="35000000"/>
    <x v="56"/>
    <x v="0"/>
    <s v="Family"/>
    <s v="Music"/>
    <s v="Musical"/>
    <m/>
    <m/>
    <m/>
    <m/>
  </r>
  <r>
    <x v="182"/>
    <x v="53"/>
    <n v="16969390"/>
    <x v="2610"/>
    <x v="0"/>
    <s v="USA"/>
    <n v="25000000"/>
    <x v="48"/>
    <x v="5"/>
    <s v="Drama"/>
    <s v="Thriller"/>
    <m/>
    <m/>
    <m/>
    <m/>
    <m/>
  </r>
  <r>
    <x v="76"/>
    <x v="13"/>
    <n v="16964743"/>
    <x v="2611"/>
    <x v="0"/>
    <s v="USA"/>
    <n v="24000000"/>
    <x v="37"/>
    <x v="0"/>
    <s v="Romance"/>
    <m/>
    <m/>
    <m/>
    <m/>
    <m/>
    <m/>
  </r>
  <r>
    <x v="1481"/>
    <x v="35"/>
    <n v="16938179"/>
    <x v="2612"/>
    <x v="0"/>
    <s v="USA"/>
    <n v="8000000"/>
    <x v="14"/>
    <x v="5"/>
    <s v="Drama"/>
    <s v="Thriller"/>
    <m/>
    <m/>
    <m/>
    <m/>
    <m/>
  </r>
  <r>
    <x v="408"/>
    <x v="7"/>
    <n v="16930884"/>
    <x v="2613"/>
    <x v="0"/>
    <s v="USA"/>
    <n v="30000000"/>
    <x v="1"/>
    <x v="5"/>
    <s v="Drama"/>
    <s v="Mystery"/>
    <s v="Thriller"/>
    <m/>
    <m/>
    <m/>
    <m/>
  </r>
  <r>
    <x v="241"/>
    <x v="4"/>
    <n v="16930185"/>
    <x v="2614"/>
    <x v="0"/>
    <s v="Germany"/>
    <n v="29000000"/>
    <x v="48"/>
    <x v="0"/>
    <s v="Romance"/>
    <m/>
    <m/>
    <m/>
    <m/>
    <m/>
    <m/>
  </r>
  <r>
    <x v="626"/>
    <x v="74"/>
    <n v="16929123"/>
    <x v="2615"/>
    <x v="0"/>
    <s v="USA"/>
    <n v="14000000"/>
    <x v="20"/>
    <x v="3"/>
    <s v="Romance"/>
    <m/>
    <m/>
    <m/>
    <m/>
    <m/>
    <m/>
  </r>
  <r>
    <x v="1233"/>
    <x v="17"/>
    <n v="16901126"/>
    <x v="2616"/>
    <x v="0"/>
    <s v="USA"/>
    <n v="7000000"/>
    <x v="26"/>
    <x v="5"/>
    <s v="Horror"/>
    <m/>
    <m/>
    <m/>
    <m/>
    <m/>
    <m/>
  </r>
  <r>
    <x v="168"/>
    <x v="30"/>
    <n v="16842303"/>
    <x v="2617"/>
    <x v="0"/>
    <s v="USA"/>
    <n v="6500000"/>
    <x v="4"/>
    <x v="0"/>
    <s v="Crime"/>
    <m/>
    <m/>
    <m/>
    <m/>
    <m/>
    <m/>
  </r>
  <r>
    <x v="439"/>
    <x v="1"/>
    <n v="16831505"/>
    <x v="2618"/>
    <x v="0"/>
    <s v="UK"/>
    <n v="31000000"/>
    <x v="2"/>
    <x v="0"/>
    <s v="Romance"/>
    <s v="Sport"/>
    <m/>
    <m/>
    <m/>
    <m/>
    <m/>
  </r>
  <r>
    <x v="771"/>
    <x v="84"/>
    <n v="16800000"/>
    <x v="2619"/>
    <x v="0"/>
    <s v="UK"/>
    <n v="10000000"/>
    <x v="31"/>
    <x v="3"/>
    <s v="Family"/>
    <s v="Musical"/>
    <m/>
    <m/>
    <m/>
    <m/>
    <m/>
  </r>
  <r>
    <x v="1482"/>
    <x v="0"/>
    <n v="16779636"/>
    <x v="2620"/>
    <x v="0"/>
    <s v="USA"/>
    <n v="28000000"/>
    <x v="46"/>
    <x v="3"/>
    <s v="Horror"/>
    <s v="Thriller"/>
    <m/>
    <m/>
    <m/>
    <m/>
    <m/>
  </r>
  <r>
    <x v="1483"/>
    <x v="50"/>
    <n v="16702864"/>
    <x v="2621"/>
    <x v="0"/>
    <s v="USA"/>
    <n v="18000000"/>
    <x v="34"/>
    <x v="0"/>
    <s v="Crime"/>
    <m/>
    <m/>
    <m/>
    <m/>
    <m/>
    <m/>
  </r>
  <r>
    <x v="1484"/>
    <x v="0"/>
    <n v="16699684"/>
    <x v="2622"/>
    <x v="0"/>
    <s v="USA"/>
    <n v="8000000"/>
    <x v="37"/>
    <x v="0"/>
    <s v="Romance"/>
    <m/>
    <m/>
    <m/>
    <m/>
    <m/>
    <m/>
  </r>
  <r>
    <x v="335"/>
    <x v="48"/>
    <n v="16684352"/>
    <x v="2623"/>
    <x v="0"/>
    <s v="USA"/>
    <n v="17000000"/>
    <x v="2"/>
    <x v="0"/>
    <s v="Romance"/>
    <m/>
    <m/>
    <m/>
    <m/>
    <m/>
    <m/>
  </r>
  <r>
    <x v="1485"/>
    <x v="4"/>
    <n v="16671505"/>
    <x v="2624"/>
    <x v="0"/>
    <s v="USA"/>
    <n v="50000000"/>
    <x v="1"/>
    <x v="2"/>
    <s v="Comedy"/>
    <s v="Crime"/>
    <s v="Drama"/>
    <s v="Family"/>
    <m/>
    <m/>
    <m/>
  </r>
  <r>
    <x v="420"/>
    <x v="49"/>
    <n v="16667084"/>
    <x v="2625"/>
    <x v="0"/>
    <s v="USA"/>
    <n v="11000000"/>
    <x v="6"/>
    <x v="0"/>
    <s v="Horror"/>
    <s v="Sci-Fi"/>
    <m/>
    <m/>
    <m/>
    <m/>
    <m/>
  </r>
  <r>
    <x v="1486"/>
    <x v="10"/>
    <n v="16647384"/>
    <x v="2626"/>
    <x v="0"/>
    <s v="USA"/>
    <n v="26000000"/>
    <x v="33"/>
    <x v="2"/>
    <s v="Comedy"/>
    <s v="Family"/>
    <s v="Romance"/>
    <m/>
    <m/>
    <m/>
    <m/>
  </r>
  <r>
    <x v="180"/>
    <x v="64"/>
    <n v="16640210"/>
    <x v="2627"/>
    <x v="0"/>
    <s v="USA"/>
    <n v="55000000"/>
    <x v="9"/>
    <x v="3"/>
    <s v="Thriller"/>
    <m/>
    <m/>
    <m/>
    <m/>
    <m/>
    <m/>
  </r>
  <r>
    <x v="1487"/>
    <x v="64"/>
    <n v="16574731"/>
    <x v="2628"/>
    <x v="0"/>
    <s v="USA"/>
    <n v="13000000"/>
    <x v="19"/>
    <x v="3"/>
    <s v="Music"/>
    <m/>
    <m/>
    <m/>
    <m/>
    <m/>
    <m/>
  </r>
  <r>
    <x v="1091"/>
    <x v="20"/>
    <n v="16501785"/>
    <x v="2629"/>
    <x v="0"/>
    <s v="UK"/>
    <n v="3500000"/>
    <x v="40"/>
    <x v="3"/>
    <m/>
    <m/>
    <m/>
    <m/>
    <m/>
    <m/>
    <m/>
  </r>
  <r>
    <x v="1488"/>
    <x v="17"/>
    <n v="16459004"/>
    <x v="2630"/>
    <x v="0"/>
    <s v="Canada"/>
    <n v="15000000"/>
    <x v="35"/>
    <x v="3"/>
    <s v="Mystery"/>
    <s v="Thriller"/>
    <m/>
    <m/>
    <m/>
    <m/>
    <m/>
  </r>
  <r>
    <x v="1141"/>
    <x v="83"/>
    <n v="16377274"/>
    <x v="2631"/>
    <x v="0"/>
    <s v="USA"/>
    <n v="32000000"/>
    <x v="6"/>
    <x v="3"/>
    <m/>
    <m/>
    <m/>
    <m/>
    <m/>
    <m/>
    <s v="Thriller"/>
  </r>
  <r>
    <x v="1489"/>
    <x v="17"/>
    <n v="16346122"/>
    <x v="2632"/>
    <x v="0"/>
    <s v="USA"/>
    <n v="16000000"/>
    <x v="11"/>
    <x v="3"/>
    <m/>
    <m/>
    <m/>
    <m/>
    <m/>
    <m/>
    <m/>
  </r>
  <r>
    <x v="1095"/>
    <x v="1"/>
    <n v="16323969"/>
    <x v="2633"/>
    <x v="0"/>
    <s v="USA"/>
    <n v="40000000"/>
    <x v="3"/>
    <x v="0"/>
    <s v="Crime"/>
    <s v="Thriller"/>
    <m/>
    <m/>
    <m/>
    <m/>
    <m/>
  </r>
  <r>
    <x v="987"/>
    <x v="64"/>
    <n v="16311763"/>
    <x v="2634"/>
    <x v="0"/>
    <s v="UK"/>
    <n v="17000000"/>
    <x v="31"/>
    <x v="5"/>
    <s v="Drama"/>
    <s v="Thriller"/>
    <m/>
    <m/>
    <m/>
    <m/>
    <m/>
  </r>
  <r>
    <x v="139"/>
    <x v="20"/>
    <n v="16300302"/>
    <x v="2635"/>
    <x v="0"/>
    <s v="USA"/>
    <n v="12000000"/>
    <x v="2"/>
    <x v="0"/>
    <s v="Drama"/>
    <m/>
    <m/>
    <m/>
    <m/>
    <m/>
    <m/>
  </r>
  <r>
    <x v="1490"/>
    <x v="50"/>
    <n v="16298046"/>
    <x v="2636"/>
    <x v="0"/>
    <s v="UK"/>
    <n v="14000000"/>
    <x v="38"/>
    <x v="1"/>
    <s v="Mystery"/>
    <s v="Thriller"/>
    <m/>
    <m/>
    <m/>
    <m/>
    <m/>
  </r>
  <r>
    <x v="1491"/>
    <x v="28"/>
    <n v="16295774"/>
    <x v="2637"/>
    <x v="0"/>
    <s v="USA"/>
    <n v="35000000"/>
    <x v="28"/>
    <x v="4"/>
    <s v="Adventure"/>
    <s v="Comedy"/>
    <s v="Romance"/>
    <s v="Sci-Fi"/>
    <m/>
    <m/>
    <m/>
  </r>
  <r>
    <x v="13"/>
    <x v="54"/>
    <n v="16290976"/>
    <x v="2638"/>
    <x v="0"/>
    <s v="USA"/>
    <n v="24000000"/>
    <x v="8"/>
    <x v="2"/>
    <s v="Comedy"/>
    <s v="Family"/>
    <s v="Fantasy"/>
    <s v="Music"/>
    <s v="Sci-Fi"/>
    <m/>
    <m/>
  </r>
  <r>
    <x v="1492"/>
    <x v="35"/>
    <n v="16284360"/>
    <x v="2639"/>
    <x v="0"/>
    <s v="USA"/>
    <n v="21000000"/>
    <x v="0"/>
    <x v="0"/>
    <s v="Drama"/>
    <m/>
    <m/>
    <m/>
    <m/>
    <m/>
    <m/>
  </r>
  <r>
    <x v="1282"/>
    <x v="58"/>
    <n v="16264475"/>
    <x v="2640"/>
    <x v="0"/>
    <s v="UK"/>
    <n v="55000000"/>
    <x v="26"/>
    <x v="6"/>
    <s v="Drama"/>
    <s v="History"/>
    <s v="War"/>
    <m/>
    <m/>
    <m/>
    <m/>
  </r>
  <r>
    <x v="1493"/>
    <x v="36"/>
    <n v="16252765"/>
    <x v="2641"/>
    <x v="0"/>
    <s v="France"/>
    <n v="42000000"/>
    <x v="27"/>
    <x v="3"/>
    <s v="Mystery"/>
    <s v="Romance"/>
    <s v="Thriller"/>
    <m/>
    <m/>
    <m/>
    <m/>
  </r>
  <r>
    <x v="1122"/>
    <x v="55"/>
    <n v="16248701"/>
    <x v="2642"/>
    <x v="0"/>
    <s v="USA"/>
    <n v="20000000"/>
    <x v="5"/>
    <x v="3"/>
    <m/>
    <m/>
    <m/>
    <m/>
    <m/>
    <m/>
    <m/>
  </r>
  <r>
    <x v="401"/>
    <x v="41"/>
    <n v="16247775"/>
    <x v="2643"/>
    <x v="0"/>
    <s v="USA"/>
    <n v="25000000"/>
    <x v="3"/>
    <x v="0"/>
    <s v="Family"/>
    <s v="Romance"/>
    <m/>
    <m/>
    <m/>
    <m/>
    <m/>
  </r>
  <r>
    <x v="1494"/>
    <x v="20"/>
    <n v="16235293"/>
    <x v="2644"/>
    <x v="0"/>
    <s v="USA"/>
    <n v="9000000"/>
    <x v="36"/>
    <x v="1"/>
    <m/>
    <m/>
    <m/>
    <m/>
    <m/>
    <m/>
    <m/>
  </r>
  <r>
    <x v="1338"/>
    <x v="34"/>
    <n v="16204793"/>
    <x v="2645"/>
    <x v="0"/>
    <s v="USA"/>
    <n v="16000000"/>
    <x v="33"/>
    <x v="0"/>
    <s v="Fantasy"/>
    <s v="Horror"/>
    <m/>
    <m/>
    <m/>
    <m/>
    <m/>
  </r>
  <r>
    <x v="1495"/>
    <x v="44"/>
    <n v="16168741"/>
    <x v="2646"/>
    <x v="0"/>
    <s v="USA"/>
    <n v="8000000"/>
    <x v="7"/>
    <x v="3"/>
    <s v="Music"/>
    <m/>
    <m/>
    <m/>
    <m/>
    <m/>
    <m/>
  </r>
  <r>
    <x v="117"/>
    <x v="2"/>
    <n v="16153600"/>
    <x v="2647"/>
    <x v="0"/>
    <s v="USA"/>
    <n v="10000000"/>
    <x v="20"/>
    <x v="3"/>
    <s v="Music"/>
    <s v="Romance"/>
    <m/>
    <m/>
    <m/>
    <m/>
    <m/>
  </r>
  <r>
    <x v="1496"/>
    <x v="38"/>
    <n v="16123851"/>
    <x v="2648"/>
    <x v="0"/>
    <s v="USA"/>
    <n v="23000000"/>
    <x v="8"/>
    <x v="3"/>
    <m/>
    <m/>
    <m/>
    <m/>
    <m/>
    <m/>
    <m/>
  </r>
  <r>
    <x v="1497"/>
    <x v="34"/>
    <n v="16118077"/>
    <x v="2649"/>
    <x v="0"/>
    <s v="USA"/>
    <n v="25000000"/>
    <x v="37"/>
    <x v="3"/>
    <m/>
    <m/>
    <m/>
    <m/>
    <m/>
    <m/>
    <m/>
  </r>
  <r>
    <x v="1498"/>
    <x v="1"/>
    <n v="16115878"/>
    <x v="2650"/>
    <x v="0"/>
    <s v="USA"/>
    <n v="8000000"/>
    <x v="24"/>
    <x v="4"/>
    <s v="Fantasy"/>
    <s v="Horror"/>
    <s v="Mystery"/>
    <s v="Thriller"/>
    <m/>
    <m/>
    <m/>
  </r>
  <r>
    <x v="1499"/>
    <x v="20"/>
    <n v="16101109"/>
    <x v="2651"/>
    <x v="0"/>
    <s v="USA"/>
    <n v="3000000"/>
    <x v="9"/>
    <x v="0"/>
    <m/>
    <m/>
    <m/>
    <m/>
    <m/>
    <m/>
    <m/>
  </r>
  <r>
    <x v="6"/>
    <x v="63"/>
    <n v="16097842"/>
    <x v="2652"/>
    <x v="0"/>
    <s v="USA"/>
    <n v="900000"/>
    <x v="31"/>
    <x v="6"/>
    <s v="Drama"/>
    <s v="Romance"/>
    <m/>
    <m/>
    <m/>
    <m/>
    <m/>
  </r>
  <r>
    <x v="1500"/>
    <x v="34"/>
    <n v="16088610"/>
    <x v="2653"/>
    <x v="0"/>
    <s v="USA"/>
    <n v="55000000"/>
    <x v="37"/>
    <x v="0"/>
    <s v="Drama"/>
    <s v="Family"/>
    <s v="Fantasy"/>
    <m/>
    <m/>
    <m/>
    <m/>
  </r>
  <r>
    <x v="283"/>
    <x v="28"/>
    <n v="16067035"/>
    <x v="2654"/>
    <x v="0"/>
    <s v="UK"/>
    <n v="1100000"/>
    <x v="4"/>
    <x v="4"/>
    <s v="Adventure"/>
    <s v="Thriller"/>
    <m/>
    <m/>
    <m/>
    <m/>
    <m/>
  </r>
  <r>
    <x v="10"/>
    <x v="81"/>
    <n v="16033556"/>
    <x v="2655"/>
    <x v="0"/>
    <s v="USA"/>
    <n v="10000000"/>
    <x v="8"/>
    <x v="4"/>
    <s v="Comedy"/>
    <m/>
    <m/>
    <m/>
    <m/>
    <m/>
    <m/>
  </r>
  <r>
    <x v="1425"/>
    <x v="49"/>
    <n v="16027866"/>
    <x v="2656"/>
    <x v="0"/>
    <s v="France"/>
    <n v="25000000"/>
    <x v="33"/>
    <x v="4"/>
    <s v="Crime"/>
    <s v="Thriller"/>
    <m/>
    <m/>
    <m/>
    <m/>
    <m/>
  </r>
  <r>
    <x v="1178"/>
    <x v="34"/>
    <n v="16025394"/>
    <x v="2657"/>
    <x v="0"/>
    <s v="USA"/>
    <n v="39751583.5"/>
    <x v="9"/>
    <x v="0"/>
    <s v="Drama"/>
    <s v="Romance"/>
    <m/>
    <m/>
    <m/>
    <m/>
    <m/>
  </r>
  <r>
    <x v="1501"/>
    <x v="13"/>
    <n v="16017403"/>
    <x v="2658"/>
    <x v="0"/>
    <s v="USA"/>
    <n v="5000000"/>
    <x v="8"/>
    <x v="3"/>
    <s v="Romance"/>
    <s v="Thriller"/>
    <m/>
    <m/>
    <m/>
    <m/>
    <m/>
  </r>
  <r>
    <x v="236"/>
    <x v="28"/>
    <n v="16005978"/>
    <x v="2659"/>
    <x v="0"/>
    <s v="USA"/>
    <n v="26000000"/>
    <x v="16"/>
    <x v="5"/>
    <s v="Mystery"/>
    <s v="Thriller"/>
    <m/>
    <m/>
    <m/>
    <m/>
    <m/>
  </r>
  <r>
    <x v="391"/>
    <x v="60"/>
    <n v="15988876"/>
    <x v="2660"/>
    <x v="0"/>
    <s v="USA"/>
    <n v="27000000"/>
    <x v="21"/>
    <x v="4"/>
    <s v="Crime"/>
    <s v="Thriller"/>
    <m/>
    <m/>
    <m/>
    <m/>
    <m/>
  </r>
  <r>
    <x v="1099"/>
    <x v="21"/>
    <n v="15962471"/>
    <x v="2661"/>
    <x v="0"/>
    <s v="USA"/>
    <n v="40000000"/>
    <x v="16"/>
    <x v="6"/>
    <s v="Drama"/>
    <s v="History"/>
    <s v="Romance"/>
    <m/>
    <m/>
    <m/>
    <m/>
  </r>
  <r>
    <x v="1502"/>
    <x v="50"/>
    <n v="15935068"/>
    <x v="2662"/>
    <x v="0"/>
    <s v="USA"/>
    <n v="2500000"/>
    <x v="49"/>
    <x v="8"/>
    <s v="Horror"/>
    <s v="Thriller"/>
    <m/>
    <m/>
    <m/>
    <m/>
    <m/>
  </r>
  <r>
    <x v="1503"/>
    <x v="63"/>
    <n v="15911333"/>
    <x v="2663"/>
    <x v="0"/>
    <s v="UK"/>
    <n v="19000000"/>
    <x v="58"/>
    <x v="2"/>
    <s v="Comedy"/>
    <s v="Drama"/>
    <s v="Family"/>
    <s v="Fantasy"/>
    <m/>
    <m/>
    <m/>
  </r>
  <r>
    <x v="1504"/>
    <x v="34"/>
    <n v="15854988"/>
    <x v="2664"/>
    <x v="0"/>
    <s v="USA"/>
    <n v="13500000"/>
    <x v="7"/>
    <x v="3"/>
    <s v="Romance"/>
    <m/>
    <m/>
    <m/>
    <m/>
    <m/>
    <m/>
  </r>
  <r>
    <x v="1505"/>
    <x v="56"/>
    <n v="15818967"/>
    <x v="2665"/>
    <x v="0"/>
    <s v="USA"/>
    <n v="7000000"/>
    <x v="56"/>
    <x v="1"/>
    <s v="Mystery"/>
    <m/>
    <m/>
    <m/>
    <m/>
    <m/>
    <m/>
  </r>
  <r>
    <x v="396"/>
    <x v="15"/>
    <n v="15797907"/>
    <x v="2666"/>
    <x v="28"/>
    <s v="USA"/>
    <n v="20000000"/>
    <x v="17"/>
    <x v="3"/>
    <m/>
    <m/>
    <m/>
    <m/>
    <m/>
    <m/>
    <m/>
  </r>
  <r>
    <x v="1506"/>
    <x v="40"/>
    <n v="15785632"/>
    <x v="2667"/>
    <x v="0"/>
    <s v="UK"/>
    <n v="23000000"/>
    <x v="31"/>
    <x v="6"/>
    <s v="Comedy"/>
    <s v="Drama"/>
    <s v="Sport"/>
    <m/>
    <m/>
    <m/>
    <m/>
  </r>
  <r>
    <x v="1506"/>
    <x v="40"/>
    <n v="15785632"/>
    <x v="2667"/>
    <x v="0"/>
    <s v="UK"/>
    <n v="23000000"/>
    <x v="31"/>
    <x v="6"/>
    <s v="Comedy"/>
    <s v="Drama"/>
    <s v="Sport"/>
    <m/>
    <m/>
    <m/>
    <m/>
  </r>
  <r>
    <x v="1507"/>
    <x v="65"/>
    <n v="15738632"/>
    <x v="2668"/>
    <x v="0"/>
    <s v="USA"/>
    <n v="42000000"/>
    <x v="1"/>
    <x v="4"/>
    <s v="Comedy"/>
    <s v="Crime"/>
    <s v="Thriller"/>
    <m/>
    <m/>
    <m/>
    <m/>
  </r>
  <r>
    <x v="1508"/>
    <x v="3"/>
    <n v="15712072"/>
    <x v="2669"/>
    <x v="0"/>
    <s v="USA"/>
    <n v="20000000"/>
    <x v="19"/>
    <x v="4"/>
    <s v="Crime"/>
    <s v="Drama"/>
    <s v="Thriller"/>
    <m/>
    <m/>
    <m/>
    <m/>
  </r>
  <r>
    <x v="277"/>
    <x v="19"/>
    <n v="15709385"/>
    <x v="2670"/>
    <x v="0"/>
    <s v="USA"/>
    <n v="30000000"/>
    <x v="15"/>
    <x v="5"/>
    <s v="Drama"/>
    <s v="Thriller"/>
    <m/>
    <m/>
    <m/>
    <m/>
    <m/>
  </r>
  <r>
    <x v="74"/>
    <x v="25"/>
    <n v="15700000"/>
    <x v="2671"/>
    <x v="0"/>
    <s v="USA"/>
    <n v="15000000"/>
    <x v="17"/>
    <x v="3"/>
    <s v="History"/>
    <s v="Thriller"/>
    <s v="War"/>
    <m/>
    <m/>
    <m/>
    <m/>
  </r>
  <r>
    <x v="1509"/>
    <x v="16"/>
    <n v="15681020"/>
    <x v="2672"/>
    <x v="0"/>
    <s v="UK"/>
    <n v="17000000"/>
    <x v="58"/>
    <x v="4"/>
    <s v="Adventure"/>
    <s v="Family"/>
    <s v="Sci-Fi"/>
    <m/>
    <m/>
    <m/>
    <m/>
  </r>
  <r>
    <x v="1510"/>
    <x v="56"/>
    <n v="15655665"/>
    <x v="2673"/>
    <x v="0"/>
    <s v="USA"/>
    <n v="4000000"/>
    <x v="69"/>
    <x v="0"/>
    <s v="Romance"/>
    <m/>
    <m/>
    <m/>
    <m/>
    <m/>
    <m/>
  </r>
  <r>
    <x v="1511"/>
    <x v="34"/>
    <n v="15608545"/>
    <x v="2674"/>
    <x v="0"/>
    <s v="USA"/>
    <n v="15000000"/>
    <x v="18"/>
    <x v="4"/>
    <m/>
    <m/>
    <m/>
    <m/>
    <m/>
    <m/>
    <m/>
  </r>
  <r>
    <x v="417"/>
    <x v="65"/>
    <n v="15561627"/>
    <x v="2675"/>
    <x v="0"/>
    <s v="USA"/>
    <n v="18000000"/>
    <x v="31"/>
    <x v="3"/>
    <m/>
    <m/>
    <m/>
    <m/>
    <m/>
    <m/>
    <m/>
  </r>
  <r>
    <x v="3"/>
    <x v="10"/>
    <n v="15549702"/>
    <x v="2676"/>
    <x v="0"/>
    <s v="USA"/>
    <n v="14000000"/>
    <x v="28"/>
    <x v="0"/>
    <s v="Romance"/>
    <m/>
    <m/>
    <m/>
    <m/>
    <m/>
    <m/>
  </r>
  <r>
    <x v="1360"/>
    <x v="87"/>
    <n v="15527125"/>
    <x v="2677"/>
    <x v="0"/>
    <s v="USA"/>
    <n v="57000000"/>
    <x v="19"/>
    <x v="3"/>
    <s v="Romance"/>
    <s v="Western"/>
    <m/>
    <m/>
    <m/>
    <m/>
    <m/>
  </r>
  <r>
    <x v="590"/>
    <x v="15"/>
    <n v="15523168"/>
    <x v="2678"/>
    <x v="0"/>
    <s v="France"/>
    <n v="45000000"/>
    <x v="11"/>
    <x v="12"/>
    <s v="Thriller"/>
    <m/>
    <m/>
    <m/>
    <m/>
    <m/>
    <m/>
  </r>
  <r>
    <x v="1512"/>
    <x v="86"/>
    <n v="15519841"/>
    <x v="2679"/>
    <x v="0"/>
    <s v="USA"/>
    <n v="47000000"/>
    <x v="36"/>
    <x v="2"/>
    <s v="Animation"/>
    <s v="Comedy"/>
    <s v="Family"/>
    <s v="Fantasy"/>
    <m/>
    <m/>
    <m/>
  </r>
  <r>
    <x v="1513"/>
    <x v="41"/>
    <n v="15500000"/>
    <x v="2680"/>
    <x v="0"/>
    <s v="Germany"/>
    <n v="16000000"/>
    <x v="14"/>
    <x v="12"/>
    <s v="Sci-Fi"/>
    <s v="Thriller"/>
    <m/>
    <m/>
    <m/>
    <m/>
    <m/>
  </r>
  <r>
    <x v="1126"/>
    <x v="7"/>
    <n v="15483540"/>
    <x v="2681"/>
    <x v="0"/>
    <s v="USA"/>
    <n v="14000000"/>
    <x v="20"/>
    <x v="2"/>
    <s v="Mystery"/>
    <s v="Thriller"/>
    <m/>
    <m/>
    <m/>
    <m/>
    <m/>
  </r>
  <r>
    <x v="342"/>
    <x v="1"/>
    <n v="15464026"/>
    <x v="2682"/>
    <x v="0"/>
    <s v="USA"/>
    <n v="20000000"/>
    <x v="48"/>
    <x v="0"/>
    <s v="Romance"/>
    <m/>
    <m/>
    <m/>
    <m/>
    <m/>
    <m/>
  </r>
  <r>
    <x v="1514"/>
    <x v="49"/>
    <n v="15427192"/>
    <x v="2683"/>
    <x v="0"/>
    <s v="USA"/>
    <n v="16000000"/>
    <x v="37"/>
    <x v="0"/>
    <s v="Crime"/>
    <s v="Mystery"/>
    <m/>
    <m/>
    <m/>
    <m/>
    <m/>
  </r>
  <r>
    <x v="1515"/>
    <x v="3"/>
    <n v="15417771"/>
    <x v="2684"/>
    <x v="0"/>
    <s v="USA"/>
    <n v="12600000"/>
    <x v="0"/>
    <x v="1"/>
    <s v="Thriller"/>
    <m/>
    <m/>
    <m/>
    <m/>
    <m/>
    <m/>
  </r>
  <r>
    <x v="309"/>
    <x v="43"/>
    <n v="15408822"/>
    <x v="2685"/>
    <x v="0"/>
    <s v="USA"/>
    <n v="20000000"/>
    <x v="37"/>
    <x v="0"/>
    <s v="Romance"/>
    <m/>
    <m/>
    <m/>
    <m/>
    <m/>
    <m/>
  </r>
  <r>
    <x v="1485"/>
    <x v="41"/>
    <n v="15369573"/>
    <x v="2686"/>
    <x v="0"/>
    <s v="USA"/>
    <n v="3000000"/>
    <x v="48"/>
    <x v="2"/>
    <s v="Comedy"/>
    <s v="Sci-Fi"/>
    <m/>
    <m/>
    <m/>
    <m/>
    <m/>
  </r>
  <r>
    <x v="1516"/>
    <x v="1"/>
    <n v="15361537"/>
    <x v="2687"/>
    <x v="0"/>
    <s v="Germany"/>
    <n v="13000000"/>
    <x v="28"/>
    <x v="4"/>
    <s v="Crime"/>
    <s v="Thriller"/>
    <m/>
    <m/>
    <m/>
    <m/>
    <m/>
  </r>
  <r>
    <x v="1517"/>
    <x v="35"/>
    <n v="15331289"/>
    <x v="2688"/>
    <x v="0"/>
    <s v="USA"/>
    <n v="39751583.5"/>
    <x v="31"/>
    <x v="3"/>
    <s v="History"/>
    <s v="Sport"/>
    <m/>
    <m/>
    <m/>
    <m/>
    <m/>
  </r>
  <r>
    <x v="315"/>
    <x v="21"/>
    <n v="15294553"/>
    <x v="2689"/>
    <x v="0"/>
    <s v="UK"/>
    <n v="12000000"/>
    <x v="22"/>
    <x v="3"/>
    <s v="Fantasy"/>
    <s v="Romance"/>
    <m/>
    <m/>
    <m/>
    <m/>
    <m/>
  </r>
  <r>
    <x v="257"/>
    <x v="10"/>
    <n v="15281286"/>
    <x v="2690"/>
    <x v="0"/>
    <s v="USA"/>
    <n v="18000000"/>
    <x v="20"/>
    <x v="0"/>
    <s v="Drama"/>
    <s v="Romance"/>
    <m/>
    <m/>
    <m/>
    <m/>
    <m/>
  </r>
  <r>
    <x v="465"/>
    <x v="4"/>
    <n v="15279680"/>
    <x v="2691"/>
    <x v="0"/>
    <s v="USA"/>
    <n v="40000000"/>
    <x v="18"/>
    <x v="4"/>
    <s v="Crime"/>
    <s v="Thriller"/>
    <m/>
    <m/>
    <m/>
    <m/>
    <m/>
  </r>
  <r>
    <x v="1518"/>
    <x v="0"/>
    <n v="15180000"/>
    <x v="2692"/>
    <x v="0"/>
    <s v="USA"/>
    <n v="500000"/>
    <x v="3"/>
    <x v="5"/>
    <s v="Drama"/>
    <s v="Thriller"/>
    <m/>
    <m/>
    <m/>
    <m/>
    <m/>
  </r>
  <r>
    <x v="1236"/>
    <x v="31"/>
    <n v="15171475"/>
    <x v="2693"/>
    <x v="0"/>
    <s v="USA"/>
    <n v="8500000"/>
    <x v="21"/>
    <x v="8"/>
    <s v="Horror"/>
    <m/>
    <m/>
    <m/>
    <m/>
    <m/>
    <m/>
  </r>
  <r>
    <x v="1519"/>
    <x v="28"/>
    <n v="15156200"/>
    <x v="2694"/>
    <x v="0"/>
    <s v="USA"/>
    <n v="30000000"/>
    <x v="27"/>
    <x v="4"/>
    <s v="Crime"/>
    <s v="Drama"/>
    <s v="Mystery"/>
    <s v="Thriller"/>
    <m/>
    <m/>
    <m/>
  </r>
  <r>
    <x v="87"/>
    <x v="20"/>
    <n v="15155772"/>
    <x v="2695"/>
    <x v="0"/>
    <s v="USA"/>
    <n v="18000000"/>
    <x v="21"/>
    <x v="0"/>
    <s v="Drama"/>
    <s v="Romance"/>
    <m/>
    <m/>
    <m/>
    <m/>
    <m/>
  </r>
  <r>
    <x v="1520"/>
    <x v="31"/>
    <n v="15152879"/>
    <x v="2696"/>
    <x v="0"/>
    <s v="France"/>
    <n v="5000000"/>
    <x v="56"/>
    <x v="3"/>
    <s v="Horror"/>
    <s v="Thriller"/>
    <m/>
    <m/>
    <m/>
    <m/>
    <m/>
  </r>
  <r>
    <x v="625"/>
    <x v="20"/>
    <n v="15131330"/>
    <x v="2697"/>
    <x v="0"/>
    <s v="France"/>
    <n v="86000000"/>
    <x v="27"/>
    <x v="2"/>
    <s v="Animation"/>
    <s v="Family"/>
    <s v="Fantasy"/>
    <m/>
    <m/>
    <m/>
    <m/>
  </r>
  <r>
    <x v="1521"/>
    <x v="31"/>
    <n v="15126948"/>
    <x v="2698"/>
    <x v="0"/>
    <s v="USA"/>
    <n v="5000000"/>
    <x v="35"/>
    <x v="1"/>
    <s v="Thriller"/>
    <m/>
    <m/>
    <m/>
    <m/>
    <m/>
    <m/>
  </r>
  <r>
    <x v="1522"/>
    <x v="56"/>
    <n v="15102127"/>
    <x v="2699"/>
    <x v="0"/>
    <s v="USA"/>
    <n v="39751583.5"/>
    <x v="19"/>
    <x v="0"/>
    <m/>
    <m/>
    <m/>
    <m/>
    <m/>
    <m/>
    <m/>
  </r>
  <r>
    <x v="669"/>
    <x v="58"/>
    <n v="15100000"/>
    <x v="2700"/>
    <x v="0"/>
    <s v="USA"/>
    <n v="15000000"/>
    <x v="27"/>
    <x v="4"/>
    <s v="Horror"/>
    <s v="Sci-Fi"/>
    <s v="Thriller"/>
    <m/>
    <m/>
    <m/>
    <m/>
  </r>
  <r>
    <x v="1523"/>
    <x v="10"/>
    <n v="15091542"/>
    <x v="2701"/>
    <x v="12"/>
    <s v="UK"/>
    <n v="25000000"/>
    <x v="48"/>
    <x v="2"/>
    <s v="Family"/>
    <s v="Fantasy"/>
    <s v="Musical"/>
    <m/>
    <m/>
    <m/>
    <m/>
  </r>
  <r>
    <x v="1524"/>
    <x v="43"/>
    <n v="15081783"/>
    <x v="2702"/>
    <x v="4"/>
    <s v="Japan"/>
    <n v="34000000"/>
    <x v="5"/>
    <x v="2"/>
    <s v="Animation"/>
    <s v="Family"/>
    <s v="Fantasy"/>
    <m/>
    <m/>
    <m/>
    <m/>
  </r>
  <r>
    <x v="1525"/>
    <x v="4"/>
    <n v="15071514"/>
    <x v="2703"/>
    <x v="0"/>
    <s v="USA"/>
    <n v="80000000"/>
    <x v="1"/>
    <x v="9"/>
    <s v="Thriller"/>
    <m/>
    <m/>
    <m/>
    <m/>
    <m/>
    <m/>
  </r>
  <r>
    <x v="1526"/>
    <x v="49"/>
    <n v="15062898"/>
    <x v="2704"/>
    <x v="0"/>
    <s v="USA"/>
    <n v="14000000"/>
    <x v="27"/>
    <x v="0"/>
    <m/>
    <m/>
    <m/>
    <m/>
    <m/>
    <m/>
    <m/>
  </r>
  <r>
    <x v="1527"/>
    <x v="30"/>
    <n v="15047419"/>
    <x v="2705"/>
    <x v="0"/>
    <s v="USA"/>
    <n v="7000000"/>
    <x v="17"/>
    <x v="5"/>
    <s v="Drama"/>
    <m/>
    <m/>
    <m/>
    <m/>
    <m/>
    <m/>
  </r>
  <r>
    <x v="1528"/>
    <x v="61"/>
    <n v="15045676"/>
    <x v="2706"/>
    <x v="0"/>
    <s v="USA"/>
    <n v="16000000"/>
    <x v="37"/>
    <x v="3"/>
    <s v="Fantasy"/>
    <s v="Mystery"/>
    <s v="Thriller"/>
    <m/>
    <m/>
    <m/>
    <m/>
  </r>
  <r>
    <x v="206"/>
    <x v="22"/>
    <n v="14998070"/>
    <x v="2707"/>
    <x v="0"/>
    <s v="USA"/>
    <n v="35000000"/>
    <x v="8"/>
    <x v="3"/>
    <s v="Thriller"/>
    <s v="War"/>
    <m/>
    <m/>
    <m/>
    <m/>
    <m/>
  </r>
  <r>
    <x v="1529"/>
    <x v="28"/>
    <n v="14989761"/>
    <x v="2708"/>
    <x v="0"/>
    <s v="UK"/>
    <n v="15000000"/>
    <x v="11"/>
    <x v="0"/>
    <s v="Crime"/>
    <m/>
    <m/>
    <m/>
    <m/>
    <m/>
    <m/>
  </r>
  <r>
    <x v="380"/>
    <x v="4"/>
    <n v="14983572"/>
    <x v="2709"/>
    <x v="0"/>
    <s v="USA"/>
    <n v="25000000"/>
    <x v="47"/>
    <x v="0"/>
    <s v="Drama"/>
    <s v="Romance"/>
    <m/>
    <m/>
    <m/>
    <m/>
    <m/>
  </r>
  <r>
    <x v="1082"/>
    <x v="30"/>
    <n v="14967182"/>
    <x v="2710"/>
    <x v="0"/>
    <s v="USA"/>
    <n v="40000000"/>
    <x v="33"/>
    <x v="4"/>
    <s v="Crime"/>
    <s v="Drama"/>
    <s v="Thriller"/>
    <m/>
    <m/>
    <m/>
    <m/>
  </r>
  <r>
    <x v="327"/>
    <x v="32"/>
    <n v="14946229"/>
    <x v="2711"/>
    <x v="0"/>
    <s v="UK"/>
    <n v="25000000"/>
    <x v="4"/>
    <x v="6"/>
    <s v="Crime"/>
    <s v="Drama"/>
    <s v="Thriller"/>
    <m/>
    <m/>
    <m/>
    <m/>
  </r>
  <r>
    <x v="1253"/>
    <x v="43"/>
    <n v="14942422"/>
    <x v="2712"/>
    <x v="0"/>
    <s v="USA"/>
    <n v="40000000"/>
    <x v="1"/>
    <x v="4"/>
    <s v="Crime"/>
    <s v="Thriller"/>
    <m/>
    <m/>
    <m/>
    <m/>
    <m/>
  </r>
  <r>
    <x v="1530"/>
    <x v="0"/>
    <n v="14938570"/>
    <x v="2713"/>
    <x v="0"/>
    <s v="USA"/>
    <n v="15000000"/>
    <x v="8"/>
    <x v="5"/>
    <s v="Thriller"/>
    <m/>
    <m/>
    <m/>
    <m/>
    <m/>
    <m/>
  </r>
  <r>
    <x v="86"/>
    <x v="22"/>
    <n v="14891000"/>
    <x v="2714"/>
    <x v="0"/>
    <s v="USA"/>
    <n v="7000000"/>
    <x v="9"/>
    <x v="0"/>
    <m/>
    <m/>
    <m/>
    <m/>
    <m/>
    <m/>
    <m/>
  </r>
  <r>
    <x v="1531"/>
    <x v="31"/>
    <n v="14888028"/>
    <x v="2715"/>
    <x v="0"/>
    <s v="USA"/>
    <n v="30000000"/>
    <x v="33"/>
    <x v="2"/>
    <s v="Horror"/>
    <s v="Thriller"/>
    <m/>
    <m/>
    <m/>
    <m/>
    <m/>
  </r>
  <r>
    <x v="148"/>
    <x v="18"/>
    <n v="14879556"/>
    <x v="2716"/>
    <x v="0"/>
    <s v="USA"/>
    <n v="8000000"/>
    <x v="4"/>
    <x v="0"/>
    <s v="Drama"/>
    <m/>
    <m/>
    <m/>
    <m/>
    <m/>
    <m/>
  </r>
  <r>
    <x v="1532"/>
    <x v="17"/>
    <n v="14821531"/>
    <x v="2717"/>
    <x v="0"/>
    <s v="USA"/>
    <n v="6000000"/>
    <x v="4"/>
    <x v="3"/>
    <m/>
    <m/>
    <m/>
    <m/>
    <m/>
    <m/>
    <m/>
  </r>
  <r>
    <x v="102"/>
    <x v="30"/>
    <n v="14793904"/>
    <x v="2718"/>
    <x v="0"/>
    <s v="Canada"/>
    <n v="18000000"/>
    <x v="48"/>
    <x v="0"/>
    <s v="Romance"/>
    <m/>
    <m/>
    <m/>
    <m/>
    <m/>
    <m/>
  </r>
  <r>
    <x v="335"/>
    <x v="60"/>
    <n v="14792779"/>
    <x v="2719"/>
    <x v="0"/>
    <s v="USA"/>
    <n v="16000000"/>
    <x v="17"/>
    <x v="0"/>
    <m/>
    <m/>
    <m/>
    <m/>
    <m/>
    <m/>
    <m/>
  </r>
  <r>
    <x v="1533"/>
    <x v="36"/>
    <n v="14677654"/>
    <x v="2720"/>
    <x v="0"/>
    <s v="Ireland"/>
    <n v="13000000"/>
    <x v="25"/>
    <x v="3"/>
    <m/>
    <m/>
    <m/>
    <m/>
    <m/>
    <m/>
    <m/>
  </r>
  <r>
    <x v="1534"/>
    <x v="41"/>
    <n v="14673301"/>
    <x v="2721"/>
    <x v="0"/>
    <s v="USA"/>
    <n v="2000000"/>
    <x v="26"/>
    <x v="1"/>
    <s v="Mystery"/>
    <m/>
    <m/>
    <m/>
    <m/>
    <m/>
    <m/>
  </r>
  <r>
    <x v="38"/>
    <x v="34"/>
    <n v="14637490"/>
    <x v="2722"/>
    <x v="0"/>
    <s v="USA"/>
    <n v="25000000"/>
    <x v="46"/>
    <x v="1"/>
    <s v="Mystery"/>
    <s v="Thriller"/>
    <m/>
    <m/>
    <m/>
    <m/>
    <m/>
  </r>
  <r>
    <x v="1169"/>
    <x v="12"/>
    <n v="14612840"/>
    <x v="2723"/>
    <x v="0"/>
    <s v="USA"/>
    <n v="7000000"/>
    <x v="26"/>
    <x v="3"/>
    <s v="Music"/>
    <m/>
    <m/>
    <m/>
    <m/>
    <m/>
    <m/>
  </r>
  <r>
    <x v="1235"/>
    <x v="4"/>
    <n v="14597405"/>
    <x v="2724"/>
    <x v="0"/>
    <s v="UK"/>
    <n v="6400000"/>
    <x v="14"/>
    <x v="6"/>
    <s v="Drama"/>
    <m/>
    <m/>
    <m/>
    <m/>
    <m/>
    <m/>
  </r>
  <r>
    <x v="152"/>
    <x v="28"/>
    <n v="14589444"/>
    <x v="2725"/>
    <x v="0"/>
    <s v="USA"/>
    <n v="25000000"/>
    <x v="9"/>
    <x v="0"/>
    <s v="Drama"/>
    <s v="Romance"/>
    <m/>
    <m/>
    <m/>
    <m/>
    <m/>
  </r>
  <r>
    <x v="627"/>
    <x v="61"/>
    <n v="14587732"/>
    <x v="2726"/>
    <x v="0"/>
    <s v="USA"/>
    <n v="35000000"/>
    <x v="21"/>
    <x v="4"/>
    <s v="Drama"/>
    <s v="Thriller"/>
    <s v="War"/>
    <m/>
    <m/>
    <m/>
    <m/>
  </r>
  <r>
    <x v="164"/>
    <x v="4"/>
    <n v="14567883"/>
    <x v="2727"/>
    <x v="0"/>
    <s v="UK"/>
    <n v="75000000"/>
    <x v="27"/>
    <x v="4"/>
    <s v="Drama"/>
    <s v="Sci-Fi"/>
    <m/>
    <m/>
    <m/>
    <m/>
    <m/>
  </r>
  <r>
    <x v="1535"/>
    <x v="89"/>
    <n v="14564027"/>
    <x v="2728"/>
    <x v="0"/>
    <s v="UK"/>
    <n v="1000000"/>
    <x v="14"/>
    <x v="8"/>
    <s v="Horror"/>
    <m/>
    <m/>
    <m/>
    <m/>
    <m/>
    <m/>
  </r>
  <r>
    <x v="117"/>
    <x v="64"/>
    <n v="14545844"/>
    <x v="2729"/>
    <x v="0"/>
    <s v="USA"/>
    <n v="6500000"/>
    <x v="19"/>
    <x v="0"/>
    <s v="Drama"/>
    <s v="Musical"/>
    <m/>
    <m/>
    <m/>
    <m/>
    <m/>
  </r>
  <r>
    <x v="622"/>
    <x v="163"/>
    <n v="14500000"/>
    <x v="2730"/>
    <x v="0"/>
    <s v="Japan"/>
    <n v="25000000"/>
    <x v="31"/>
    <x v="4"/>
    <s v="Drama"/>
    <s v="History"/>
    <s v="War"/>
    <m/>
    <m/>
    <m/>
    <m/>
  </r>
  <r>
    <x v="218"/>
    <x v="40"/>
    <n v="14479776"/>
    <x v="2731"/>
    <x v="0"/>
    <s v="USA"/>
    <n v="10000000"/>
    <x v="14"/>
    <x v="6"/>
    <s v="Crime"/>
    <s v="Drama"/>
    <s v="Romance"/>
    <m/>
    <m/>
    <m/>
    <m/>
  </r>
  <r>
    <x v="20"/>
    <x v="28"/>
    <n v="14469428"/>
    <x v="2732"/>
    <x v="0"/>
    <s v="USA"/>
    <n v="26000000"/>
    <x v="34"/>
    <x v="0"/>
    <s v="Romance"/>
    <m/>
    <m/>
    <m/>
    <m/>
    <m/>
    <m/>
  </r>
  <r>
    <x v="149"/>
    <x v="18"/>
    <n v="14448589"/>
    <x v="2733"/>
    <x v="0"/>
    <s v="USA"/>
    <n v="40000000"/>
    <x v="19"/>
    <x v="0"/>
    <s v="Romance"/>
    <m/>
    <m/>
    <m/>
    <m/>
    <m/>
    <m/>
  </r>
  <r>
    <x v="1536"/>
    <x v="1"/>
    <n v="14400000"/>
    <x v="2734"/>
    <x v="0"/>
    <s v="USA"/>
    <n v="2500000"/>
    <x v="28"/>
    <x v="1"/>
    <s v="Mystery"/>
    <s v="Sci-Fi"/>
    <m/>
    <m/>
    <m/>
    <m/>
    <m/>
  </r>
  <r>
    <x v="303"/>
    <x v="32"/>
    <n v="14378353"/>
    <x v="2735"/>
    <x v="0"/>
    <s v="USA"/>
    <n v="36000000"/>
    <x v="9"/>
    <x v="3"/>
    <s v="Mystery"/>
    <s v="Romance"/>
    <s v="Thriller"/>
    <m/>
    <m/>
    <m/>
    <m/>
  </r>
  <r>
    <x v="1537"/>
    <x v="34"/>
    <n v="14375181"/>
    <x v="2736"/>
    <x v="0"/>
    <s v="USA"/>
    <n v="51000000"/>
    <x v="41"/>
    <x v="4"/>
    <s v="Adventure"/>
    <s v="Comedy"/>
    <s v="Music"/>
    <s v="Thriller"/>
    <m/>
    <m/>
    <m/>
  </r>
  <r>
    <x v="1538"/>
    <x v="3"/>
    <n v="14373825"/>
    <x v="2737"/>
    <x v="0"/>
    <s v="USA"/>
    <n v="8600000"/>
    <x v="20"/>
    <x v="5"/>
    <s v="Mystery"/>
    <s v="Thriller"/>
    <m/>
    <m/>
    <m/>
    <m/>
    <m/>
  </r>
  <r>
    <x v="861"/>
    <x v="51"/>
    <n v="14359793"/>
    <x v="2738"/>
    <x v="0"/>
    <s v="USA"/>
    <n v="39751583.5"/>
    <x v="7"/>
    <x v="5"/>
    <s v="Documentary"/>
    <s v="News"/>
    <m/>
    <m/>
    <m/>
    <m/>
    <m/>
  </r>
  <r>
    <x v="1077"/>
    <x v="4"/>
    <n v="14358033"/>
    <x v="2739"/>
    <x v="0"/>
    <s v="USA"/>
    <n v="40000000"/>
    <x v="1"/>
    <x v="0"/>
    <s v="Romance"/>
    <s v="Sci-Fi"/>
    <s v="Thriller"/>
    <m/>
    <m/>
    <m/>
    <m/>
  </r>
  <r>
    <x v="1539"/>
    <x v="24"/>
    <n v="14348123"/>
    <x v="2740"/>
    <x v="0"/>
    <s v="Italy"/>
    <n v="12000000"/>
    <x v="26"/>
    <x v="0"/>
    <s v="Drama"/>
    <s v="War"/>
    <m/>
    <m/>
    <m/>
    <m/>
    <m/>
  </r>
  <r>
    <x v="1540"/>
    <x v="41"/>
    <n v="14343976"/>
    <x v="2741"/>
    <x v="0"/>
    <s v="USA"/>
    <n v="5000000"/>
    <x v="36"/>
    <x v="2"/>
    <s v="Horror"/>
    <m/>
    <m/>
    <m/>
    <m/>
    <m/>
    <m/>
  </r>
  <r>
    <x v="174"/>
    <x v="11"/>
    <n v="14337579"/>
    <x v="2742"/>
    <x v="0"/>
    <s v="Australia"/>
    <n v="27000000"/>
    <x v="5"/>
    <x v="4"/>
    <s v="Drama"/>
    <s v="Fantasy"/>
    <s v="Mystery"/>
    <s v="Sci-Fi"/>
    <s v="Thriller"/>
    <m/>
    <m/>
  </r>
  <r>
    <x v="1541"/>
    <x v="30"/>
    <n v="14334645"/>
    <x v="2743"/>
    <x v="0"/>
    <s v="USA"/>
    <n v="25000000"/>
    <x v="46"/>
    <x v="3"/>
    <s v="Horror"/>
    <s v="Sci-Fi"/>
    <s v="Thriller"/>
    <m/>
    <m/>
    <m/>
    <m/>
  </r>
  <r>
    <x v="1542"/>
    <x v="50"/>
    <n v="14294842"/>
    <x v="2744"/>
    <x v="0"/>
    <s v="USA"/>
    <n v="70000000"/>
    <x v="58"/>
    <x v="4"/>
    <s v="Crime"/>
    <s v="Sci-Fi"/>
    <s v="Thriller"/>
    <m/>
    <m/>
    <m/>
    <m/>
  </r>
  <r>
    <x v="1543"/>
    <x v="13"/>
    <n v="14291570"/>
    <x v="2745"/>
    <x v="0"/>
    <s v="France"/>
    <n v="20000000"/>
    <x v="0"/>
    <x v="4"/>
    <s v="Adventure"/>
    <s v="Sci-Fi"/>
    <s v="Thriller"/>
    <m/>
    <m/>
    <m/>
    <m/>
  </r>
  <r>
    <x v="1544"/>
    <x v="8"/>
    <n v="14268533"/>
    <x v="2746"/>
    <x v="0"/>
    <s v="UK"/>
    <n v="31500000"/>
    <x v="2"/>
    <x v="4"/>
    <s v="Crime"/>
    <s v="Drama"/>
    <s v="Mystery"/>
    <s v="Sci-Fi"/>
    <s v="Thriller"/>
    <m/>
    <m/>
  </r>
  <r>
    <x v="1350"/>
    <x v="1"/>
    <n v="14252830"/>
    <x v="2747"/>
    <x v="0"/>
    <s v="Canada"/>
    <n v="22000000"/>
    <x v="48"/>
    <x v="0"/>
    <s v="Music"/>
    <m/>
    <m/>
    <m/>
    <m/>
    <m/>
    <m/>
  </r>
  <r>
    <x v="1545"/>
    <x v="54"/>
    <n v="14249005"/>
    <x v="2748"/>
    <x v="0"/>
    <s v="USA"/>
    <n v="15000000"/>
    <x v="36"/>
    <x v="0"/>
    <m/>
    <m/>
    <m/>
    <m/>
    <m/>
    <m/>
    <m/>
  </r>
  <r>
    <x v="672"/>
    <x v="50"/>
    <n v="14218868"/>
    <x v="2749"/>
    <x v="0"/>
    <s v="USA"/>
    <n v="65000000"/>
    <x v="46"/>
    <x v="1"/>
    <s v="Sci-Fi"/>
    <s v="Thriller"/>
    <m/>
    <m/>
    <m/>
    <m/>
    <m/>
  </r>
  <r>
    <x v="87"/>
    <x v="49"/>
    <n v="14208384"/>
    <x v="2750"/>
    <x v="0"/>
    <s v="USA"/>
    <n v="30000000"/>
    <x v="37"/>
    <x v="0"/>
    <s v="Romance"/>
    <m/>
    <m/>
    <m/>
    <m/>
    <m/>
    <m/>
  </r>
  <r>
    <x v="1149"/>
    <x v="60"/>
    <n v="14174654"/>
    <x v="2751"/>
    <x v="0"/>
    <s v="USA"/>
    <n v="25000000"/>
    <x v="72"/>
    <x v="0"/>
    <m/>
    <m/>
    <m/>
    <m/>
    <m/>
    <m/>
    <m/>
  </r>
  <r>
    <x v="1546"/>
    <x v="20"/>
    <n v="14123773"/>
    <x v="2752"/>
    <x v="0"/>
    <s v="USA"/>
    <n v="5000000"/>
    <x v="48"/>
    <x v="5"/>
    <s v="Drama"/>
    <m/>
    <m/>
    <m/>
    <m/>
    <m/>
    <m/>
  </r>
  <r>
    <x v="1547"/>
    <x v="1"/>
    <n v="14114488"/>
    <x v="2753"/>
    <x v="0"/>
    <s v="USA"/>
    <n v="10500000"/>
    <x v="36"/>
    <x v="1"/>
    <s v="Thriller"/>
    <m/>
    <m/>
    <m/>
    <m/>
    <m/>
    <m/>
  </r>
  <r>
    <x v="1258"/>
    <x v="43"/>
    <n v="14108518"/>
    <x v="2754"/>
    <x v="0"/>
    <s v="USA"/>
    <n v="16000000"/>
    <x v="21"/>
    <x v="0"/>
    <s v="Drama"/>
    <s v="Romance"/>
    <m/>
    <m/>
    <m/>
    <m/>
    <m/>
  </r>
  <r>
    <x v="147"/>
    <x v="28"/>
    <n v="14100000"/>
    <x v="2755"/>
    <x v="0"/>
    <s v="USA"/>
    <n v="5000000"/>
    <x v="11"/>
    <x v="0"/>
    <s v="Drama"/>
    <m/>
    <m/>
    <m/>
    <m/>
    <m/>
    <m/>
  </r>
  <r>
    <x v="1548"/>
    <x v="43"/>
    <n v="14095303"/>
    <x v="2756"/>
    <x v="0"/>
    <s v="USA"/>
    <n v="25000000"/>
    <x v="18"/>
    <x v="4"/>
    <s v="Crime"/>
    <s v="Mystery"/>
    <s v="Romance"/>
    <s v="Thriller"/>
    <m/>
    <m/>
    <m/>
  </r>
  <r>
    <x v="1323"/>
    <x v="17"/>
    <n v="14060950"/>
    <x v="2757"/>
    <x v="0"/>
    <s v="USA"/>
    <n v="12500000"/>
    <x v="26"/>
    <x v="3"/>
    <m/>
    <m/>
    <m/>
    <m/>
    <m/>
    <m/>
    <m/>
  </r>
  <r>
    <x v="1196"/>
    <x v="50"/>
    <n v="14018364"/>
    <x v="2758"/>
    <x v="0"/>
    <s v="USA"/>
    <n v="30000000"/>
    <x v="46"/>
    <x v="0"/>
    <s v="Crime"/>
    <s v="Family"/>
    <s v="Romance"/>
    <m/>
    <m/>
    <m/>
    <m/>
  </r>
  <r>
    <x v="257"/>
    <x v="31"/>
    <n v="14015786"/>
    <x v="2759"/>
    <x v="0"/>
    <s v="USA"/>
    <n v="5000000"/>
    <x v="20"/>
    <x v="3"/>
    <s v="Romance"/>
    <m/>
    <m/>
    <m/>
    <m/>
    <m/>
    <m/>
  </r>
  <r>
    <x v="1274"/>
    <x v="13"/>
    <n v="14003141"/>
    <x v="2760"/>
    <x v="0"/>
    <s v="USA"/>
    <n v="7000000"/>
    <x v="0"/>
    <x v="5"/>
    <s v="Drama"/>
    <s v="Thriller"/>
    <m/>
    <m/>
    <m/>
    <m/>
    <m/>
  </r>
  <r>
    <x v="1549"/>
    <x v="63"/>
    <n v="14000000"/>
    <x v="2761"/>
    <x v="0"/>
    <s v="USA"/>
    <n v="3500000"/>
    <x v="27"/>
    <x v="0"/>
    <s v="Fantasy"/>
    <s v="Horror"/>
    <s v="Thriller"/>
    <m/>
    <m/>
    <m/>
    <m/>
  </r>
  <r>
    <x v="1550"/>
    <x v="28"/>
    <n v="13998282"/>
    <x v="2762"/>
    <x v="0"/>
    <s v="USA"/>
    <n v="16000000"/>
    <x v="69"/>
    <x v="4"/>
    <s v="Drama"/>
    <s v="Fantasy"/>
    <s v="Mystery"/>
    <s v="Thriller"/>
    <m/>
    <m/>
    <m/>
  </r>
  <r>
    <x v="1551"/>
    <x v="24"/>
    <n v="13987482"/>
    <x v="2763"/>
    <x v="0"/>
    <s v="USA"/>
    <n v="20000000"/>
    <x v="27"/>
    <x v="0"/>
    <s v="Romance"/>
    <m/>
    <m/>
    <m/>
    <m/>
    <m/>
    <m/>
  </r>
  <r>
    <x v="1270"/>
    <x v="63"/>
    <n v="13973532"/>
    <x v="2764"/>
    <x v="0"/>
    <s v="USA"/>
    <n v="25000000"/>
    <x v="33"/>
    <x v="0"/>
    <s v="Crime"/>
    <m/>
    <m/>
    <m/>
    <m/>
    <m/>
    <m/>
  </r>
  <r>
    <x v="1552"/>
    <x v="31"/>
    <n v="13960203"/>
    <x v="2765"/>
    <x v="0"/>
    <s v="USA"/>
    <n v="39751583.5"/>
    <x v="48"/>
    <x v="0"/>
    <m/>
    <m/>
    <m/>
    <m/>
    <m/>
    <m/>
    <m/>
  </r>
  <r>
    <x v="1553"/>
    <x v="22"/>
    <n v="13922211"/>
    <x v="2766"/>
    <x v="0"/>
    <s v="USA"/>
    <n v="16000000"/>
    <x v="45"/>
    <x v="0"/>
    <m/>
    <m/>
    <m/>
    <m/>
    <m/>
    <m/>
    <m/>
  </r>
  <r>
    <x v="1219"/>
    <x v="60"/>
    <n v="13920741"/>
    <x v="2767"/>
    <x v="0"/>
    <s v="USA"/>
    <n v="39751583.5"/>
    <x v="15"/>
    <x v="0"/>
    <m/>
    <m/>
    <m/>
    <m/>
    <m/>
    <m/>
    <m/>
  </r>
  <r>
    <x v="1554"/>
    <x v="56"/>
    <n v="13903262"/>
    <x v="2768"/>
    <x v="0"/>
    <s v="USA"/>
    <n v="11000000"/>
    <x v="2"/>
    <x v="0"/>
    <s v="Sport"/>
    <m/>
    <m/>
    <m/>
    <m/>
    <m/>
    <m/>
  </r>
  <r>
    <x v="1496"/>
    <x v="58"/>
    <n v="13876974"/>
    <x v="2769"/>
    <x v="14"/>
    <s v="India"/>
    <n v="7000000"/>
    <x v="7"/>
    <x v="0"/>
    <s v="Drama"/>
    <s v="Romance"/>
    <m/>
    <m/>
    <m/>
    <m/>
    <m/>
  </r>
  <r>
    <x v="1555"/>
    <x v="51"/>
    <n v="13854000"/>
    <x v="2770"/>
    <x v="0"/>
    <s v="USA"/>
    <n v="20000000"/>
    <x v="34"/>
    <x v="0"/>
    <s v="Romance"/>
    <s v="Sci-Fi"/>
    <m/>
    <m/>
    <m/>
    <m/>
    <m/>
  </r>
  <r>
    <x v="48"/>
    <x v="17"/>
    <n v="13838130"/>
    <x v="2771"/>
    <x v="0"/>
    <s v="USA"/>
    <n v="40000000"/>
    <x v="1"/>
    <x v="4"/>
    <s v="Adventure"/>
    <s v="Fantasy"/>
    <s v="Thriller"/>
    <m/>
    <m/>
    <m/>
    <m/>
  </r>
  <r>
    <x v="1556"/>
    <x v="4"/>
    <n v="13829734"/>
    <x v="2772"/>
    <x v="0"/>
    <s v="Canada"/>
    <n v="26000000"/>
    <x v="49"/>
    <x v="4"/>
    <s v="Fantasy"/>
    <s v="Romance"/>
    <s v="Sci-Fi"/>
    <m/>
    <m/>
    <m/>
    <m/>
  </r>
  <r>
    <x v="1557"/>
    <x v="28"/>
    <n v="13823741"/>
    <x v="2773"/>
    <x v="0"/>
    <s v="UK"/>
    <n v="13500000"/>
    <x v="26"/>
    <x v="6"/>
    <s v="Drama"/>
    <s v="History"/>
    <s v="Romance"/>
    <m/>
    <m/>
    <m/>
    <m/>
  </r>
  <r>
    <x v="119"/>
    <x v="20"/>
    <n v="13801755"/>
    <x v="2774"/>
    <x v="0"/>
    <s v="USA"/>
    <n v="20000000"/>
    <x v="24"/>
    <x v="4"/>
    <s v="Comedy"/>
    <s v="Crime"/>
    <s v="Thriller"/>
    <m/>
    <m/>
    <m/>
    <m/>
  </r>
  <r>
    <x v="1077"/>
    <x v="17"/>
    <n v="13782838"/>
    <x v="2775"/>
    <x v="0"/>
    <s v="USA"/>
    <n v="15000000"/>
    <x v="40"/>
    <x v="1"/>
    <s v="Mystery"/>
    <s v="Sci-Fi"/>
    <m/>
    <m/>
    <m/>
    <m/>
    <m/>
  </r>
  <r>
    <x v="1558"/>
    <x v="34"/>
    <n v="13766014"/>
    <x v="2776"/>
    <x v="0"/>
    <s v="USA"/>
    <n v="15000000"/>
    <x v="14"/>
    <x v="3"/>
    <s v="Romance"/>
    <m/>
    <m/>
    <m/>
    <m/>
    <m/>
    <m/>
  </r>
  <r>
    <x v="1559"/>
    <x v="5"/>
    <n v="13763130"/>
    <x v="2777"/>
    <x v="0"/>
    <s v="USA"/>
    <n v="32000000"/>
    <x v="2"/>
    <x v="4"/>
    <s v="Crime"/>
    <s v="Sci-Fi"/>
    <s v="Thriller"/>
    <m/>
    <m/>
    <m/>
    <m/>
  </r>
  <r>
    <x v="54"/>
    <x v="38"/>
    <n v="13753931"/>
    <x v="2778"/>
    <x v="4"/>
    <s v="USA"/>
    <n v="19000000"/>
    <x v="12"/>
    <x v="3"/>
    <s v="History"/>
    <s v="War"/>
    <m/>
    <m/>
    <m/>
    <m/>
    <m/>
  </r>
  <r>
    <x v="215"/>
    <x v="30"/>
    <n v="13750556"/>
    <x v="2779"/>
    <x v="0"/>
    <s v="USA"/>
    <n v="65000000"/>
    <x v="20"/>
    <x v="4"/>
    <s v="Crime"/>
    <s v="Thriller"/>
    <m/>
    <m/>
    <m/>
    <m/>
    <m/>
  </r>
  <r>
    <x v="1560"/>
    <x v="41"/>
    <n v="13746550"/>
    <x v="2780"/>
    <x v="0"/>
    <s v="USA"/>
    <n v="2000000"/>
    <x v="0"/>
    <x v="4"/>
    <s v="Comedy"/>
    <s v="Romance"/>
    <m/>
    <m/>
    <m/>
    <m/>
    <m/>
  </r>
  <r>
    <x v="1561"/>
    <x v="120"/>
    <n v="13684949"/>
    <x v="2781"/>
    <x v="0"/>
    <s v="USA"/>
    <n v="3000000"/>
    <x v="1"/>
    <x v="2"/>
    <s v="Animation"/>
    <s v="Comedy"/>
    <s v="Family"/>
    <m/>
    <m/>
    <m/>
    <m/>
  </r>
  <r>
    <x v="277"/>
    <x v="69"/>
    <n v="13651662"/>
    <x v="2782"/>
    <x v="0"/>
    <s v="USA"/>
    <n v="25000000"/>
    <x v="40"/>
    <x v="3"/>
    <s v="Sport"/>
    <m/>
    <m/>
    <m/>
    <m/>
    <m/>
    <m/>
  </r>
  <r>
    <x v="1172"/>
    <x v="43"/>
    <n v="13650738"/>
    <x v="2783"/>
    <x v="0"/>
    <s v="USA"/>
    <n v="20000000"/>
    <x v="24"/>
    <x v="0"/>
    <s v="Drama"/>
    <m/>
    <m/>
    <m/>
    <m/>
    <m/>
    <m/>
  </r>
  <r>
    <x v="117"/>
    <x v="61"/>
    <n v="13640000"/>
    <x v="2784"/>
    <x v="0"/>
    <s v="USA"/>
    <n v="14000000"/>
    <x v="26"/>
    <x v="0"/>
    <s v="Drama"/>
    <m/>
    <m/>
    <m/>
    <m/>
    <m/>
    <m/>
  </r>
  <r>
    <x v="394"/>
    <x v="49"/>
    <n v="13630226"/>
    <x v="2785"/>
    <x v="0"/>
    <s v="USA"/>
    <n v="20000000"/>
    <x v="8"/>
    <x v="4"/>
    <s v="Crime"/>
    <s v="Sci-Fi"/>
    <s v="Thriller"/>
    <m/>
    <m/>
    <m/>
    <m/>
  </r>
  <r>
    <x v="1205"/>
    <x v="40"/>
    <n v="13622333"/>
    <x v="2786"/>
    <x v="16"/>
    <s v="Mexico"/>
    <n v="2000000"/>
    <x v="5"/>
    <x v="2"/>
    <s v="Comedy"/>
    <s v="Drama"/>
    <s v="Romance"/>
    <m/>
    <m/>
    <m/>
    <m/>
  </r>
  <r>
    <x v="105"/>
    <x v="13"/>
    <n v="13596911"/>
    <x v="2787"/>
    <x v="0"/>
    <s v="USA"/>
    <n v="70000000"/>
    <x v="8"/>
    <x v="4"/>
    <s v="Adventure"/>
    <s v="Animation"/>
    <s v="Comedy"/>
    <s v="Crime"/>
    <s v="Family"/>
    <s v="Fantasy"/>
    <m/>
  </r>
  <r>
    <x v="241"/>
    <x v="3"/>
    <n v="13592872"/>
    <x v="2788"/>
    <x v="0"/>
    <s v="USA"/>
    <n v="11000000"/>
    <x v="33"/>
    <x v="0"/>
    <m/>
    <m/>
    <m/>
    <m/>
    <m/>
    <m/>
    <m/>
  </r>
  <r>
    <x v="1562"/>
    <x v="50"/>
    <n v="13571817"/>
    <x v="2789"/>
    <x v="0"/>
    <s v="USA"/>
    <n v="15600000"/>
    <x v="36"/>
    <x v="0"/>
    <s v="Drama"/>
    <s v="Romance"/>
    <s v="Sport"/>
    <m/>
    <m/>
    <m/>
    <m/>
  </r>
  <r>
    <x v="1496"/>
    <x v="57"/>
    <n v="13569248"/>
    <x v="2790"/>
    <x v="0"/>
    <s v="USA"/>
    <n v="39751583.5"/>
    <x v="17"/>
    <x v="3"/>
    <m/>
    <m/>
    <m/>
    <m/>
    <m/>
    <m/>
    <m/>
  </r>
  <r>
    <x v="205"/>
    <x v="158"/>
    <n v="13560960"/>
    <x v="2791"/>
    <x v="0"/>
    <s v="USA"/>
    <n v="50000000"/>
    <x v="6"/>
    <x v="6"/>
    <s v="Drama"/>
    <s v="History"/>
    <m/>
    <m/>
    <m/>
    <m/>
    <m/>
  </r>
  <r>
    <x v="1563"/>
    <x v="13"/>
    <n v="13558739"/>
    <x v="2792"/>
    <x v="0"/>
    <s v="USA"/>
    <n v="11000000"/>
    <x v="48"/>
    <x v="0"/>
    <m/>
    <m/>
    <m/>
    <m/>
    <m/>
    <m/>
    <m/>
  </r>
  <r>
    <x v="1564"/>
    <x v="13"/>
    <n v="13555988"/>
    <x v="2793"/>
    <x v="0"/>
    <s v="Germany"/>
    <n v="22000000"/>
    <x v="21"/>
    <x v="2"/>
    <s v="Comedy"/>
    <s v="Family"/>
    <s v="Fantasy"/>
    <m/>
    <m/>
    <m/>
    <m/>
  </r>
  <r>
    <x v="643"/>
    <x v="17"/>
    <n v="13491653"/>
    <x v="2794"/>
    <x v="0"/>
    <s v="USA"/>
    <n v="18000000"/>
    <x v="0"/>
    <x v="3"/>
    <s v="Thriller"/>
    <m/>
    <m/>
    <m/>
    <m/>
    <m/>
    <m/>
  </r>
  <r>
    <x v="1263"/>
    <x v="4"/>
    <n v="13464388"/>
    <x v="2795"/>
    <x v="0"/>
    <s v="UK"/>
    <n v="4000000"/>
    <x v="13"/>
    <x v="0"/>
    <s v="Horror"/>
    <m/>
    <m/>
    <m/>
    <m/>
    <m/>
    <m/>
  </r>
  <r>
    <x v="224"/>
    <x v="13"/>
    <n v="13401683"/>
    <x v="2796"/>
    <x v="0"/>
    <s v="UK"/>
    <n v="35000000"/>
    <x v="6"/>
    <x v="4"/>
    <s v="Sci-Fi"/>
    <m/>
    <m/>
    <m/>
    <m/>
    <m/>
    <m/>
  </r>
  <r>
    <x v="224"/>
    <x v="13"/>
    <n v="13401683"/>
    <x v="2796"/>
    <x v="0"/>
    <s v="UK"/>
    <n v="35000000"/>
    <x v="6"/>
    <x v="4"/>
    <s v="Sci-Fi"/>
    <m/>
    <m/>
    <m/>
    <m/>
    <m/>
    <m/>
  </r>
  <r>
    <x v="1565"/>
    <x v="18"/>
    <n v="13395939"/>
    <x v="2797"/>
    <x v="0"/>
    <s v="UK"/>
    <n v="60000000"/>
    <x v="8"/>
    <x v="0"/>
    <s v="Drama"/>
    <s v="Romance"/>
    <m/>
    <m/>
    <m/>
    <m/>
    <m/>
  </r>
  <r>
    <x v="1566"/>
    <x v="21"/>
    <n v="13391174"/>
    <x v="2798"/>
    <x v="0"/>
    <s v="USA"/>
    <n v="20000000"/>
    <x v="2"/>
    <x v="6"/>
    <s v="Drama"/>
    <s v="History"/>
    <m/>
    <m/>
    <m/>
    <m/>
    <m/>
  </r>
  <r>
    <x v="335"/>
    <x v="1"/>
    <n v="13383737"/>
    <x v="2799"/>
    <x v="0"/>
    <s v="USA"/>
    <n v="20000000"/>
    <x v="31"/>
    <x v="0"/>
    <s v="Crime"/>
    <m/>
    <m/>
    <m/>
    <m/>
    <m/>
    <m/>
  </r>
  <r>
    <x v="1567"/>
    <x v="40"/>
    <n v="13376506"/>
    <x v="2800"/>
    <x v="0"/>
    <s v="USA"/>
    <n v="40000000"/>
    <x v="2"/>
    <x v="3"/>
    <m/>
    <m/>
    <m/>
    <m/>
    <m/>
    <m/>
    <m/>
  </r>
  <r>
    <x v="1468"/>
    <x v="60"/>
    <n v="13367101"/>
    <x v="2801"/>
    <x v="0"/>
    <s v="USA"/>
    <n v="6500000"/>
    <x v="1"/>
    <x v="0"/>
    <s v="Drama"/>
    <s v="Romance"/>
    <m/>
    <m/>
    <m/>
    <m/>
    <m/>
  </r>
  <r>
    <x v="139"/>
    <x v="11"/>
    <n v="13362308"/>
    <x v="2802"/>
    <x v="0"/>
    <s v="USA"/>
    <n v="18000000"/>
    <x v="26"/>
    <x v="3"/>
    <m/>
    <m/>
    <m/>
    <m/>
    <m/>
    <m/>
    <m/>
  </r>
  <r>
    <x v="1568"/>
    <x v="68"/>
    <n v="13350177"/>
    <x v="2803"/>
    <x v="0"/>
    <s v="USA"/>
    <n v="5000000"/>
    <x v="61"/>
    <x v="3"/>
    <s v="Horror"/>
    <s v="Thriller"/>
    <m/>
    <m/>
    <m/>
    <m/>
    <m/>
  </r>
  <r>
    <x v="417"/>
    <x v="65"/>
    <n v="13337299"/>
    <x v="2804"/>
    <x v="0"/>
    <s v="USA"/>
    <n v="20000000"/>
    <x v="24"/>
    <x v="6"/>
    <s v="Drama"/>
    <s v="Music"/>
    <s v="Musical"/>
    <m/>
    <m/>
    <m/>
    <m/>
  </r>
  <r>
    <x v="807"/>
    <x v="29"/>
    <n v="13303319"/>
    <x v="2805"/>
    <x v="0"/>
    <s v="USA"/>
    <n v="32000000"/>
    <x v="15"/>
    <x v="3"/>
    <s v="Fantasy"/>
    <m/>
    <m/>
    <m/>
    <m/>
    <m/>
    <m/>
  </r>
  <r>
    <x v="1569"/>
    <x v="154"/>
    <n v="13300000"/>
    <x v="2806"/>
    <x v="0"/>
    <s v="USA"/>
    <n v="600000"/>
    <x v="23"/>
    <x v="10"/>
    <s v="History"/>
    <s v="Music"/>
    <m/>
    <m/>
    <m/>
    <m/>
    <m/>
  </r>
  <r>
    <x v="1570"/>
    <x v="74"/>
    <n v="13269963"/>
    <x v="2807"/>
    <x v="0"/>
    <s v="USA"/>
    <n v="5000000"/>
    <x v="17"/>
    <x v="3"/>
    <s v="Mystery"/>
    <m/>
    <m/>
    <m/>
    <m/>
    <m/>
    <m/>
  </r>
  <r>
    <x v="90"/>
    <x v="20"/>
    <n v="13264986"/>
    <x v="2808"/>
    <x v="0"/>
    <s v="USA"/>
    <n v="35000000"/>
    <x v="27"/>
    <x v="4"/>
    <s v="Western"/>
    <m/>
    <m/>
    <m/>
    <m/>
    <m/>
    <m/>
  </r>
  <r>
    <x v="1571"/>
    <x v="17"/>
    <n v="13248477"/>
    <x v="2809"/>
    <x v="0"/>
    <s v="USA"/>
    <n v="27000000"/>
    <x v="8"/>
    <x v="1"/>
    <s v="Mystery"/>
    <s v="Thriller"/>
    <m/>
    <m/>
    <m/>
    <m/>
    <m/>
  </r>
  <r>
    <x v="1572"/>
    <x v="56"/>
    <n v="13235267"/>
    <x v="2810"/>
    <x v="0"/>
    <s v="USA"/>
    <n v="6000000"/>
    <x v="64"/>
    <x v="0"/>
    <s v="Family"/>
    <m/>
    <m/>
    <m/>
    <m/>
    <m/>
    <m/>
  </r>
  <r>
    <x v="214"/>
    <x v="44"/>
    <n v="13214255"/>
    <x v="2811"/>
    <x v="0"/>
    <s v="USA"/>
    <n v="11000000"/>
    <x v="7"/>
    <x v="3"/>
    <s v="Music"/>
    <m/>
    <m/>
    <m/>
    <m/>
    <m/>
    <m/>
  </r>
  <r>
    <x v="1069"/>
    <x v="30"/>
    <n v="13214030"/>
    <x v="2812"/>
    <x v="0"/>
    <s v="USA"/>
    <n v="20000000"/>
    <x v="15"/>
    <x v="0"/>
    <s v="Drama"/>
    <s v="Fantasy"/>
    <s v="Romance"/>
    <m/>
    <m/>
    <m/>
    <m/>
  </r>
  <r>
    <x v="1137"/>
    <x v="43"/>
    <n v="13208023"/>
    <x v="2813"/>
    <x v="0"/>
    <s v="UK"/>
    <n v="42000000"/>
    <x v="68"/>
    <x v="5"/>
    <s v="Horror"/>
    <s v="Thriller"/>
    <m/>
    <m/>
    <m/>
    <m/>
    <m/>
  </r>
  <r>
    <x v="1517"/>
    <x v="41"/>
    <n v="13103828"/>
    <x v="2814"/>
    <x v="0"/>
    <s v="USA"/>
    <n v="11000000"/>
    <x v="4"/>
    <x v="5"/>
    <s v="Drama"/>
    <s v="Thriller"/>
    <m/>
    <m/>
    <m/>
    <m/>
    <m/>
  </r>
  <r>
    <x v="244"/>
    <x v="51"/>
    <n v="13101142"/>
    <x v="2815"/>
    <x v="0"/>
    <s v="USA"/>
    <n v="35000000"/>
    <x v="21"/>
    <x v="0"/>
    <s v="Romance"/>
    <s v="Sport"/>
    <m/>
    <m/>
    <m/>
    <m/>
    <m/>
  </r>
  <r>
    <x v="1573"/>
    <x v="34"/>
    <n v="13092000"/>
    <x v="2816"/>
    <x v="0"/>
    <s v="USA"/>
    <n v="3300000"/>
    <x v="42"/>
    <x v="3"/>
    <s v="Music"/>
    <m/>
    <m/>
    <m/>
    <m/>
    <m/>
    <m/>
  </r>
  <r>
    <x v="1574"/>
    <x v="69"/>
    <n v="13082288"/>
    <x v="2817"/>
    <x v="0"/>
    <s v="UK"/>
    <n v="60000000"/>
    <x v="24"/>
    <x v="4"/>
    <s v="Adventure"/>
    <s v="Drama"/>
    <s v="History"/>
    <s v="Romance"/>
    <s v="War"/>
    <m/>
    <m/>
  </r>
  <r>
    <x v="117"/>
    <x v="7"/>
    <n v="13060843"/>
    <x v="2818"/>
    <x v="0"/>
    <s v="USA"/>
    <n v="15000000"/>
    <x v="5"/>
    <x v="3"/>
    <m/>
    <m/>
    <m/>
    <m/>
    <m/>
    <m/>
    <m/>
  </r>
  <r>
    <x v="87"/>
    <x v="19"/>
    <n v="13052741"/>
    <x v="2819"/>
    <x v="0"/>
    <s v="USA"/>
    <n v="36000000"/>
    <x v="15"/>
    <x v="3"/>
    <s v="History"/>
    <m/>
    <m/>
    <m/>
    <m/>
    <m/>
    <m/>
  </r>
  <r>
    <x v="431"/>
    <x v="80"/>
    <n v="13038660"/>
    <x v="2820"/>
    <x v="0"/>
    <s v="USA"/>
    <n v="25000000"/>
    <x v="4"/>
    <x v="3"/>
    <m/>
    <m/>
    <m/>
    <m/>
    <m/>
    <m/>
    <m/>
  </r>
  <r>
    <x v="1575"/>
    <x v="11"/>
    <n v="13034417"/>
    <x v="2821"/>
    <x v="0"/>
    <s v="USA"/>
    <n v="15000000"/>
    <x v="26"/>
    <x v="3"/>
    <s v="Sport"/>
    <m/>
    <m/>
    <m/>
    <m/>
    <m/>
    <m/>
  </r>
  <r>
    <x v="1576"/>
    <x v="60"/>
    <n v="13019253"/>
    <x v="2822"/>
    <x v="0"/>
    <s v="USA"/>
    <n v="23000000"/>
    <x v="37"/>
    <x v="0"/>
    <s v="Crime"/>
    <m/>
    <m/>
    <m/>
    <m/>
    <m/>
    <m/>
  </r>
  <r>
    <x v="1077"/>
    <x v="31"/>
    <n v="13008928"/>
    <x v="2823"/>
    <x v="0"/>
    <s v="USA"/>
    <n v="4000000"/>
    <x v="4"/>
    <x v="1"/>
    <s v="Sci-Fi"/>
    <s v="Thriller"/>
    <m/>
    <m/>
    <m/>
    <m/>
    <m/>
  </r>
  <r>
    <x v="1577"/>
    <x v="59"/>
    <n v="13005485"/>
    <x v="2824"/>
    <x v="0"/>
    <s v="USA"/>
    <n v="15000000"/>
    <x v="17"/>
    <x v="3"/>
    <m/>
    <m/>
    <m/>
    <m/>
    <m/>
    <m/>
    <m/>
  </r>
  <r>
    <x v="373"/>
    <x v="36"/>
    <n v="13000000"/>
    <x v="2825"/>
    <x v="0"/>
    <s v="USA"/>
    <n v="24000000"/>
    <x v="34"/>
    <x v="2"/>
    <s v="Family"/>
    <s v="Fantasy"/>
    <s v="Music"/>
    <s v="Musical"/>
    <m/>
    <m/>
    <m/>
  </r>
  <r>
    <x v="310"/>
    <x v="43"/>
    <n v="12995673"/>
    <x v="2826"/>
    <x v="0"/>
    <s v="USA"/>
    <n v="2500000"/>
    <x v="5"/>
    <x v="0"/>
    <s v="Documentary"/>
    <s v="War"/>
    <m/>
    <m/>
    <m/>
    <m/>
    <m/>
  </r>
  <r>
    <x v="144"/>
    <x v="43"/>
    <n v="12987647"/>
    <x v="2827"/>
    <x v="0"/>
    <s v="UK"/>
    <n v="30000000"/>
    <x v="6"/>
    <x v="3"/>
    <s v="Mystery"/>
    <s v="Romance"/>
    <s v="Thriller"/>
    <s v="War"/>
    <m/>
    <m/>
    <m/>
  </r>
  <r>
    <x v="1578"/>
    <x v="35"/>
    <n v="12985267"/>
    <x v="2828"/>
    <x v="0"/>
    <s v="USA"/>
    <n v="2300000"/>
    <x v="1"/>
    <x v="3"/>
    <m/>
    <m/>
    <m/>
    <m/>
    <m/>
    <m/>
    <m/>
  </r>
  <r>
    <x v="1579"/>
    <x v="56"/>
    <n v="12947763"/>
    <x v="2829"/>
    <x v="0"/>
    <s v="USA"/>
    <n v="5000000"/>
    <x v="8"/>
    <x v="1"/>
    <s v="Mystery"/>
    <m/>
    <m/>
    <m/>
    <m/>
    <m/>
    <m/>
  </r>
  <r>
    <x v="377"/>
    <x v="41"/>
    <n v="12902790"/>
    <x v="2830"/>
    <x v="0"/>
    <s v="USA"/>
    <n v="12000000"/>
    <x v="24"/>
    <x v="0"/>
    <s v="Drama"/>
    <s v="Romance"/>
    <m/>
    <m/>
    <m/>
    <m/>
    <m/>
  </r>
  <r>
    <x v="1580"/>
    <x v="64"/>
    <n v="12899702"/>
    <x v="2831"/>
    <x v="16"/>
    <s v="Spain"/>
    <n v="39751583.5"/>
    <x v="17"/>
    <x v="0"/>
    <s v="Crime"/>
    <s v="Drama"/>
    <s v="Mystery"/>
    <m/>
    <m/>
    <m/>
    <m/>
  </r>
  <r>
    <x v="1581"/>
    <x v="164"/>
    <n v="12870569"/>
    <x v="2832"/>
    <x v="0"/>
    <s v="USA"/>
    <n v="56000000"/>
    <x v="2"/>
    <x v="3"/>
    <s v="History"/>
    <s v="War"/>
    <m/>
    <m/>
    <m/>
    <m/>
    <m/>
  </r>
  <r>
    <x v="1386"/>
    <x v="58"/>
    <n v="12831121"/>
    <x v="2833"/>
    <x v="0"/>
    <s v="USA"/>
    <n v="30000000"/>
    <x v="14"/>
    <x v="3"/>
    <s v="Mystery"/>
    <s v="Romance"/>
    <s v="Thriller"/>
    <m/>
    <m/>
    <m/>
    <m/>
  </r>
  <r>
    <x v="410"/>
    <x v="2"/>
    <n v="12802907"/>
    <x v="2834"/>
    <x v="0"/>
    <s v="UK"/>
    <n v="39751583.5"/>
    <x v="24"/>
    <x v="3"/>
    <s v="Romance"/>
    <m/>
    <m/>
    <m/>
    <m/>
    <m/>
    <m/>
  </r>
  <r>
    <x v="683"/>
    <x v="43"/>
    <n v="12801190"/>
    <x v="2835"/>
    <x v="0"/>
    <s v="USA"/>
    <n v="15000000"/>
    <x v="28"/>
    <x v="4"/>
    <s v="Adventure"/>
    <s v="Fantasy"/>
    <s v="Sci-Fi"/>
    <m/>
    <m/>
    <m/>
    <m/>
  </r>
  <r>
    <x v="187"/>
    <x v="8"/>
    <n v="12796277"/>
    <x v="2836"/>
    <x v="0"/>
    <s v="USA"/>
    <n v="39751583.5"/>
    <x v="15"/>
    <x v="3"/>
    <s v="Romance"/>
    <m/>
    <m/>
    <m/>
    <m/>
    <m/>
    <m/>
  </r>
  <r>
    <x v="20"/>
    <x v="44"/>
    <n v="12793213"/>
    <x v="2837"/>
    <x v="0"/>
    <s v="USA"/>
    <n v="6000000"/>
    <x v="8"/>
    <x v="0"/>
    <s v="Drama"/>
    <s v="Romance"/>
    <m/>
    <m/>
    <m/>
    <m/>
    <m/>
  </r>
  <r>
    <x v="86"/>
    <x v="34"/>
    <n v="12784713"/>
    <x v="2838"/>
    <x v="0"/>
    <s v="USA"/>
    <n v="22000000"/>
    <x v="15"/>
    <x v="0"/>
    <m/>
    <m/>
    <m/>
    <m/>
    <m/>
    <m/>
    <m/>
  </r>
  <r>
    <x v="1582"/>
    <x v="31"/>
    <n v="12784397"/>
    <x v="2839"/>
    <x v="0"/>
    <s v="USA"/>
    <n v="1800000"/>
    <x v="4"/>
    <x v="3"/>
    <s v="Fantasy"/>
    <m/>
    <m/>
    <m/>
    <m/>
    <m/>
    <m/>
  </r>
  <r>
    <x v="1583"/>
    <x v="1"/>
    <n v="12782508"/>
    <x v="2840"/>
    <x v="0"/>
    <s v="USA"/>
    <n v="23000000"/>
    <x v="15"/>
    <x v="3"/>
    <m/>
    <m/>
    <m/>
    <m/>
    <m/>
    <m/>
    <m/>
  </r>
  <r>
    <x v="807"/>
    <x v="37"/>
    <n v="12712093"/>
    <x v="2841"/>
    <x v="0"/>
    <s v="USA"/>
    <n v="30000000"/>
    <x v="15"/>
    <x v="6"/>
    <s v="Drama"/>
    <s v="History"/>
    <s v="Romance"/>
    <m/>
    <m/>
    <m/>
    <m/>
  </r>
  <r>
    <x v="1344"/>
    <x v="63"/>
    <n v="12701880"/>
    <x v="2842"/>
    <x v="0"/>
    <s v="USA"/>
    <n v="15000000"/>
    <x v="21"/>
    <x v="2"/>
    <s v="Animation"/>
    <s v="Comedy"/>
    <s v="Family"/>
    <m/>
    <m/>
    <m/>
    <m/>
  </r>
  <r>
    <x v="1394"/>
    <x v="56"/>
    <n v="12693621"/>
    <x v="2843"/>
    <x v="0"/>
    <s v="USA"/>
    <n v="17000000"/>
    <x v="46"/>
    <x v="1"/>
    <s v="Mystery"/>
    <s v="Thriller"/>
    <m/>
    <m/>
    <m/>
    <m/>
    <m/>
  </r>
  <r>
    <x v="1584"/>
    <x v="89"/>
    <n v="12674183"/>
    <x v="2844"/>
    <x v="0"/>
    <s v="Hong Kong"/>
    <n v="39751583.5"/>
    <x v="8"/>
    <x v="4"/>
    <s v="Comedy"/>
    <s v="Crime"/>
    <m/>
    <m/>
    <m/>
    <m/>
    <m/>
  </r>
  <r>
    <x v="1585"/>
    <x v="61"/>
    <n v="12626905"/>
    <x v="2845"/>
    <x v="0"/>
    <s v="USA"/>
    <n v="20000000"/>
    <x v="2"/>
    <x v="4"/>
    <s v="Crime"/>
    <s v="Drama"/>
    <s v="Thriller"/>
    <m/>
    <m/>
    <m/>
    <m/>
  </r>
  <r>
    <x v="1586"/>
    <x v="63"/>
    <n v="12610731"/>
    <x v="2846"/>
    <x v="0"/>
    <s v="USA"/>
    <n v="11000000"/>
    <x v="45"/>
    <x v="4"/>
    <s v="Horror"/>
    <s v="Sci-Fi"/>
    <s v="Thriller"/>
    <m/>
    <m/>
    <m/>
    <m/>
  </r>
  <r>
    <x v="1587"/>
    <x v="41"/>
    <n v="12610552"/>
    <x v="2847"/>
    <x v="0"/>
    <s v="USA"/>
    <n v="7500000"/>
    <x v="55"/>
    <x v="4"/>
    <s v="Adventure"/>
    <s v="Fantasy"/>
    <s v="Sci-Fi"/>
    <s v="Thriller"/>
    <m/>
    <m/>
    <m/>
  </r>
  <r>
    <x v="297"/>
    <x v="40"/>
    <n v="12589108"/>
    <x v="2848"/>
    <x v="16"/>
    <s v="Mexico"/>
    <n v="39751583.5"/>
    <x v="7"/>
    <x v="2"/>
    <s v="Drama"/>
    <m/>
    <m/>
    <m/>
    <m/>
    <m/>
    <m/>
  </r>
  <r>
    <x v="1233"/>
    <x v="51"/>
    <n v="12583510"/>
    <x v="2849"/>
    <x v="0"/>
    <s v="USA"/>
    <n v="7000000"/>
    <x v="27"/>
    <x v="1"/>
    <m/>
    <m/>
    <m/>
    <m/>
    <m/>
    <m/>
    <m/>
  </r>
  <r>
    <x v="1558"/>
    <x v="41"/>
    <n v="12574715"/>
    <x v="2850"/>
    <x v="0"/>
    <s v="UK"/>
    <n v="4500000"/>
    <x v="4"/>
    <x v="3"/>
    <m/>
    <m/>
    <m/>
    <m/>
    <m/>
    <m/>
    <m/>
  </r>
  <r>
    <x v="1588"/>
    <x v="49"/>
    <n v="12570442"/>
    <x v="2851"/>
    <x v="0"/>
    <s v="USA"/>
    <n v="10000000"/>
    <x v="9"/>
    <x v="0"/>
    <s v="Crime"/>
    <s v="Drama"/>
    <s v="Thriller"/>
    <m/>
    <m/>
    <m/>
    <m/>
  </r>
  <r>
    <x v="1272"/>
    <x v="89"/>
    <n v="12555230"/>
    <x v="2852"/>
    <x v="0"/>
    <s v="France"/>
    <n v="2000000"/>
    <x v="48"/>
    <x v="3"/>
    <s v="Horror"/>
    <s v="Mystery"/>
    <s v="Thriller"/>
    <m/>
    <m/>
    <m/>
    <m/>
  </r>
  <r>
    <x v="1168"/>
    <x v="20"/>
    <n v="12550242"/>
    <x v="2853"/>
    <x v="0"/>
    <s v="USA"/>
    <n v="39751583.5"/>
    <x v="3"/>
    <x v="0"/>
    <s v="Drama"/>
    <s v="Romance"/>
    <m/>
    <m/>
    <m/>
    <m/>
    <m/>
  </r>
  <r>
    <x v="1589"/>
    <x v="64"/>
    <n v="12549485"/>
    <x v="2854"/>
    <x v="0"/>
    <s v="USA"/>
    <n v="15000000"/>
    <x v="8"/>
    <x v="5"/>
    <s v="Drama"/>
    <s v="Musical"/>
    <s v="Romance"/>
    <m/>
    <m/>
    <m/>
    <m/>
  </r>
  <r>
    <x v="1590"/>
    <x v="44"/>
    <n v="12514138"/>
    <x v="2855"/>
    <x v="0"/>
    <s v="USA"/>
    <n v="10000000"/>
    <x v="7"/>
    <x v="3"/>
    <s v="Romance"/>
    <m/>
    <m/>
    <m/>
    <m/>
    <m/>
    <m/>
  </r>
  <r>
    <x v="1591"/>
    <x v="50"/>
    <n v="12495865"/>
    <x v="2856"/>
    <x v="0"/>
    <s v="USA"/>
    <n v="39751583.5"/>
    <x v="9"/>
    <x v="8"/>
    <m/>
    <m/>
    <m/>
    <m/>
    <m/>
    <m/>
    <m/>
  </r>
  <r>
    <x v="260"/>
    <x v="30"/>
    <n v="12469811"/>
    <x v="2857"/>
    <x v="0"/>
    <s v="USA"/>
    <n v="22000000"/>
    <x v="24"/>
    <x v="0"/>
    <s v="Drama"/>
    <m/>
    <m/>
    <m/>
    <m/>
    <m/>
    <m/>
  </r>
  <r>
    <x v="672"/>
    <x v="20"/>
    <n v="12398628"/>
    <x v="2858"/>
    <x v="0"/>
    <s v="USA"/>
    <n v="20000000"/>
    <x v="0"/>
    <x v="4"/>
    <s v="Crime"/>
    <s v="Drama"/>
    <s v="Sport"/>
    <m/>
    <m/>
    <m/>
    <m/>
  </r>
  <r>
    <x v="299"/>
    <x v="34"/>
    <n v="12372410"/>
    <x v="2859"/>
    <x v="0"/>
    <s v="USA"/>
    <n v="24000000"/>
    <x v="48"/>
    <x v="0"/>
    <s v="Sport"/>
    <m/>
    <m/>
    <m/>
    <m/>
    <m/>
    <m/>
  </r>
  <r>
    <x v="1175"/>
    <x v="40"/>
    <n v="12339633"/>
    <x v="2860"/>
    <x v="0"/>
    <s v="USA"/>
    <n v="36000000"/>
    <x v="22"/>
    <x v="3"/>
    <s v="Sci-Fi"/>
    <s v="Thriller"/>
    <m/>
    <m/>
    <m/>
    <m/>
    <m/>
  </r>
  <r>
    <x v="424"/>
    <x v="4"/>
    <n v="12282677"/>
    <x v="2861"/>
    <x v="0"/>
    <s v="USA"/>
    <n v="14000000"/>
    <x v="33"/>
    <x v="0"/>
    <s v="Sci-Fi"/>
    <m/>
    <m/>
    <m/>
    <m/>
    <m/>
    <m/>
  </r>
  <r>
    <x v="98"/>
    <x v="64"/>
    <n v="12281500"/>
    <x v="2862"/>
    <x v="0"/>
    <s v="USA"/>
    <n v="13000000"/>
    <x v="13"/>
    <x v="4"/>
    <s v="Crime"/>
    <s v="Drama"/>
    <s v="Romance"/>
    <s v="Thriller"/>
    <m/>
    <m/>
    <m/>
  </r>
  <r>
    <x v="141"/>
    <x v="24"/>
    <n v="12276810"/>
    <x v="2863"/>
    <x v="0"/>
    <s v="USA"/>
    <n v="26000000"/>
    <x v="20"/>
    <x v="4"/>
    <s v="Mystery"/>
    <s v="Sci-Fi"/>
    <s v="Thriller"/>
    <m/>
    <m/>
    <m/>
    <m/>
  </r>
  <r>
    <x v="136"/>
    <x v="7"/>
    <n v="12232937"/>
    <x v="2864"/>
    <x v="0"/>
    <s v="USA"/>
    <n v="22000000"/>
    <x v="37"/>
    <x v="4"/>
    <s v="Crime"/>
    <s v="Thriller"/>
    <m/>
    <m/>
    <m/>
    <m/>
    <m/>
  </r>
  <r>
    <x v="1519"/>
    <x v="0"/>
    <n v="12212417"/>
    <x v="2865"/>
    <x v="0"/>
    <s v="USA"/>
    <n v="15000000"/>
    <x v="15"/>
    <x v="5"/>
    <s v="Thriller"/>
    <m/>
    <m/>
    <m/>
    <m/>
    <m/>
    <m/>
  </r>
  <r>
    <x v="1592"/>
    <x v="34"/>
    <n v="12200000"/>
    <x v="2866"/>
    <x v="0"/>
    <s v="USA"/>
    <n v="5000000"/>
    <x v="2"/>
    <x v="4"/>
    <s v="Crime"/>
    <s v="Drama"/>
    <s v="Thriller"/>
    <s v="Western"/>
    <m/>
    <m/>
    <m/>
  </r>
  <r>
    <x v="1593"/>
    <x v="43"/>
    <n v="12189514"/>
    <x v="2867"/>
    <x v="0"/>
    <s v="USA"/>
    <n v="23000000"/>
    <x v="0"/>
    <x v="0"/>
    <s v="Romance"/>
    <m/>
    <m/>
    <m/>
    <m/>
    <m/>
    <m/>
  </r>
  <r>
    <x v="297"/>
    <x v="32"/>
    <n v="12188642"/>
    <x v="2868"/>
    <x v="0"/>
    <s v="Chile"/>
    <n v="26000000"/>
    <x v="26"/>
    <x v="6"/>
    <s v="Drama"/>
    <s v="History"/>
    <m/>
    <m/>
    <m/>
    <m/>
    <m/>
  </r>
  <r>
    <x v="147"/>
    <x v="4"/>
    <n v="12181484"/>
    <x v="2869"/>
    <x v="0"/>
    <s v="USA"/>
    <n v="40000000"/>
    <x v="46"/>
    <x v="0"/>
    <m/>
    <m/>
    <m/>
    <m/>
    <m/>
    <m/>
    <m/>
  </r>
  <r>
    <x v="169"/>
    <x v="12"/>
    <n v="12134420"/>
    <x v="2870"/>
    <x v="0"/>
    <s v="UK"/>
    <n v="20000000"/>
    <x v="11"/>
    <x v="3"/>
    <s v="Fantasy"/>
    <s v="Horror"/>
    <s v="Mystery"/>
    <m/>
    <m/>
    <m/>
    <m/>
  </r>
  <r>
    <x v="237"/>
    <x v="41"/>
    <n v="12081447"/>
    <x v="2871"/>
    <x v="0"/>
    <s v="USA"/>
    <n v="39751583.5"/>
    <x v="20"/>
    <x v="0"/>
    <s v="Drama"/>
    <s v="Music"/>
    <m/>
    <m/>
    <m/>
    <m/>
    <m/>
  </r>
  <r>
    <x v="149"/>
    <x v="58"/>
    <n v="12065985"/>
    <x v="2872"/>
    <x v="0"/>
    <s v="USA"/>
    <n v="60000000"/>
    <x v="35"/>
    <x v="0"/>
    <s v="Drama"/>
    <m/>
    <m/>
    <m/>
    <m/>
    <m/>
    <m/>
  </r>
  <r>
    <x v="1594"/>
    <x v="50"/>
    <n v="12055108"/>
    <x v="2873"/>
    <x v="0"/>
    <s v="USA"/>
    <n v="8000000"/>
    <x v="26"/>
    <x v="0"/>
    <s v="Drama"/>
    <m/>
    <m/>
    <m/>
    <m/>
    <m/>
    <m/>
  </r>
  <r>
    <x v="1595"/>
    <x v="34"/>
    <n v="12026670"/>
    <x v="2874"/>
    <x v="0"/>
    <s v="USA"/>
    <n v="45000000"/>
    <x v="16"/>
    <x v="4"/>
    <s v="Crime"/>
    <s v="Thriller"/>
    <m/>
    <m/>
    <m/>
    <m/>
    <m/>
  </r>
  <r>
    <x v="754"/>
    <x v="8"/>
    <n v="12006514"/>
    <x v="2875"/>
    <x v="0"/>
    <s v="USA"/>
    <n v="250000"/>
    <x v="4"/>
    <x v="0"/>
    <s v="Drama"/>
    <s v="Romance"/>
    <m/>
    <m/>
    <m/>
    <m/>
    <m/>
  </r>
  <r>
    <x v="1596"/>
    <x v="43"/>
    <n v="11956207"/>
    <x v="2876"/>
    <x v="0"/>
    <s v="USA"/>
    <n v="16000000"/>
    <x v="33"/>
    <x v="1"/>
    <s v="Mystery"/>
    <m/>
    <m/>
    <m/>
    <m/>
    <m/>
    <m/>
  </r>
  <r>
    <x v="28"/>
    <x v="41"/>
    <n v="11900000"/>
    <x v="2877"/>
    <x v="0"/>
    <s v="USA"/>
    <n v="30000000"/>
    <x v="3"/>
    <x v="3"/>
    <s v="Fantasy"/>
    <s v="Thriller"/>
    <m/>
    <m/>
    <m/>
    <m/>
    <m/>
  </r>
  <r>
    <x v="1307"/>
    <x v="4"/>
    <n v="11883495"/>
    <x v="2878"/>
    <x v="0"/>
    <s v="UK"/>
    <n v="9000000"/>
    <x v="9"/>
    <x v="0"/>
    <s v="Drama"/>
    <s v="Fantasy"/>
    <s v="Romance"/>
    <m/>
    <m/>
    <m/>
    <m/>
  </r>
  <r>
    <x v="1388"/>
    <x v="3"/>
    <n v="11860839"/>
    <x v="2879"/>
    <x v="0"/>
    <s v="USA"/>
    <n v="9000000"/>
    <x v="18"/>
    <x v="10"/>
    <s v="Music"/>
    <m/>
    <m/>
    <m/>
    <m/>
    <m/>
    <m/>
  </r>
  <r>
    <x v="165"/>
    <x v="40"/>
    <n v="11854694"/>
    <x v="2880"/>
    <x v="0"/>
    <s v="USA"/>
    <n v="31000000"/>
    <x v="20"/>
    <x v="3"/>
    <m/>
    <m/>
    <m/>
    <m/>
    <m/>
    <m/>
    <m/>
  </r>
  <r>
    <x v="1597"/>
    <x v="63"/>
    <n v="11827301"/>
    <x v="2881"/>
    <x v="0"/>
    <s v="USA"/>
    <n v="39751583.5"/>
    <x v="3"/>
    <x v="0"/>
    <s v="Romance"/>
    <m/>
    <m/>
    <m/>
    <m/>
    <m/>
    <m/>
  </r>
  <r>
    <x v="1598"/>
    <x v="22"/>
    <n v="11806119"/>
    <x v="2882"/>
    <x v="0"/>
    <s v="USA"/>
    <n v="1100000"/>
    <x v="9"/>
    <x v="4"/>
    <s v="Biography"/>
    <s v="Drama"/>
    <s v="Sport"/>
    <m/>
    <m/>
    <m/>
    <m/>
  </r>
  <r>
    <x v="299"/>
    <x v="10"/>
    <n v="11802056"/>
    <x v="2883"/>
    <x v="0"/>
    <s v="USA"/>
    <n v="60000000"/>
    <x v="35"/>
    <x v="2"/>
    <s v="Comedy"/>
    <s v="Family"/>
    <s v="Romance"/>
    <s v="Sci-Fi"/>
    <m/>
    <m/>
    <m/>
  </r>
  <r>
    <x v="1599"/>
    <x v="1"/>
    <n v="11797927"/>
    <x v="2884"/>
    <x v="0"/>
    <s v="USA"/>
    <n v="6000000"/>
    <x v="0"/>
    <x v="0"/>
    <s v="Horror"/>
    <s v="Thriller"/>
    <m/>
    <m/>
    <m/>
    <m/>
    <m/>
  </r>
  <r>
    <x v="1600"/>
    <x v="31"/>
    <n v="11784000"/>
    <x v="2885"/>
    <x v="0"/>
    <s v="USA"/>
    <n v="20000000"/>
    <x v="49"/>
    <x v="4"/>
    <s v="Comedy"/>
    <s v="Family"/>
    <m/>
    <m/>
    <m/>
    <m/>
    <m/>
  </r>
  <r>
    <x v="1601"/>
    <x v="7"/>
    <n v="11703287"/>
    <x v="2886"/>
    <x v="0"/>
    <s v="USA"/>
    <n v="10000000"/>
    <x v="14"/>
    <x v="2"/>
    <s v="Drama"/>
    <m/>
    <m/>
    <m/>
    <m/>
    <m/>
    <m/>
  </r>
  <r>
    <x v="1602"/>
    <x v="7"/>
    <n v="11702090"/>
    <x v="2887"/>
    <x v="0"/>
    <s v="USA"/>
    <n v="16500000"/>
    <x v="2"/>
    <x v="0"/>
    <s v="Romance"/>
    <m/>
    <m/>
    <m/>
    <m/>
    <m/>
    <m/>
  </r>
  <r>
    <x v="1220"/>
    <x v="41"/>
    <n v="11694528"/>
    <x v="2888"/>
    <x v="0"/>
    <s v="USA"/>
    <n v="3000000"/>
    <x v="11"/>
    <x v="0"/>
    <s v="Documentary"/>
    <s v="Music"/>
    <m/>
    <m/>
    <m/>
    <m/>
    <m/>
  </r>
  <r>
    <x v="1145"/>
    <x v="22"/>
    <n v="11675178"/>
    <x v="2889"/>
    <x v="0"/>
    <s v="USA"/>
    <n v="5000000"/>
    <x v="55"/>
    <x v="0"/>
    <m/>
    <m/>
    <m/>
    <m/>
    <m/>
    <m/>
    <m/>
  </r>
  <r>
    <x v="1603"/>
    <x v="49"/>
    <n v="11642254"/>
    <x v="2890"/>
    <x v="0"/>
    <s v="USA"/>
    <n v="3000000"/>
    <x v="34"/>
    <x v="1"/>
    <s v="Thriller"/>
    <m/>
    <m/>
    <m/>
    <m/>
    <m/>
    <m/>
  </r>
  <r>
    <x v="1604"/>
    <x v="165"/>
    <n v="11634458"/>
    <x v="2891"/>
    <x v="0"/>
    <s v="USA"/>
    <n v="17000000"/>
    <x v="19"/>
    <x v="2"/>
    <s v="Comedy"/>
    <s v="Family"/>
    <s v="Fantasy"/>
    <s v="Musical"/>
    <m/>
    <m/>
    <m/>
  </r>
  <r>
    <x v="1311"/>
    <x v="41"/>
    <n v="11634362"/>
    <x v="2892"/>
    <x v="0"/>
    <s v="UK"/>
    <n v="39751583.5"/>
    <x v="14"/>
    <x v="6"/>
    <s v="Drama"/>
    <s v="Romance"/>
    <m/>
    <m/>
    <m/>
    <m/>
    <m/>
  </r>
  <r>
    <x v="1605"/>
    <x v="22"/>
    <n v="11632420"/>
    <x v="2893"/>
    <x v="0"/>
    <s v="USA"/>
    <n v="39751583.5"/>
    <x v="0"/>
    <x v="5"/>
    <s v="Drama"/>
    <s v="Thriller"/>
    <m/>
    <m/>
    <m/>
    <m/>
    <m/>
  </r>
  <r>
    <x v="207"/>
    <x v="39"/>
    <n v="11631245"/>
    <x v="2894"/>
    <x v="0"/>
    <s v="USA"/>
    <n v="35000000"/>
    <x v="41"/>
    <x v="4"/>
    <s v="Adventure"/>
    <s v="Family"/>
    <s v="Sci-Fi"/>
    <m/>
    <m/>
    <m/>
    <m/>
  </r>
  <r>
    <x v="1606"/>
    <x v="0"/>
    <n v="11614236"/>
    <x v="2895"/>
    <x v="0"/>
    <s v="USA"/>
    <n v="15000000"/>
    <x v="37"/>
    <x v="0"/>
    <m/>
    <m/>
    <m/>
    <m/>
    <m/>
    <m/>
    <m/>
  </r>
  <r>
    <x v="1607"/>
    <x v="41"/>
    <n v="11576087"/>
    <x v="2896"/>
    <x v="0"/>
    <s v="USA"/>
    <n v="30000000"/>
    <x v="30"/>
    <x v="4"/>
    <s v="Adventure"/>
    <s v="Sci-Fi"/>
    <m/>
    <m/>
    <m/>
    <m/>
    <m/>
  </r>
  <r>
    <x v="1381"/>
    <x v="54"/>
    <n v="11560259"/>
    <x v="2897"/>
    <x v="0"/>
    <s v="USA"/>
    <n v="22000000"/>
    <x v="19"/>
    <x v="0"/>
    <s v="Romance"/>
    <m/>
    <m/>
    <m/>
    <m/>
    <m/>
    <m/>
  </r>
  <r>
    <x v="1608"/>
    <x v="30"/>
    <n v="11546543"/>
    <x v="2898"/>
    <x v="21"/>
    <s v="Hong Kong"/>
    <n v="2000000"/>
    <x v="17"/>
    <x v="4"/>
    <s v="Comedy"/>
    <m/>
    <m/>
    <m/>
    <m/>
    <m/>
    <m/>
  </r>
  <r>
    <x v="1609"/>
    <x v="0"/>
    <n v="11540112"/>
    <x v="2899"/>
    <x v="0"/>
    <s v="USA"/>
    <n v="39751583.5"/>
    <x v="58"/>
    <x v="0"/>
    <m/>
    <m/>
    <m/>
    <m/>
    <m/>
    <m/>
    <m/>
  </r>
  <r>
    <x v="206"/>
    <x v="57"/>
    <n v="11538204"/>
    <x v="2900"/>
    <x v="0"/>
    <s v="USA"/>
    <n v="25000000"/>
    <x v="14"/>
    <x v="5"/>
    <s v="Drama"/>
    <s v="History"/>
    <m/>
    <m/>
    <m/>
    <m/>
    <m/>
  </r>
  <r>
    <x v="1206"/>
    <x v="36"/>
    <n v="11533945"/>
    <x v="2901"/>
    <x v="0"/>
    <s v="USA"/>
    <n v="2000000"/>
    <x v="17"/>
    <x v="6"/>
    <s v="Crime"/>
    <s v="Drama"/>
    <s v="Romance"/>
    <m/>
    <m/>
    <m/>
    <m/>
  </r>
  <r>
    <x v="1295"/>
    <x v="41"/>
    <n v="11529368"/>
    <x v="2902"/>
    <x v="0"/>
    <s v="USA"/>
    <n v="65000"/>
    <x v="4"/>
    <x v="0"/>
    <s v="Documentary"/>
    <s v="Drama"/>
    <m/>
    <m/>
    <m/>
    <m/>
    <m/>
  </r>
  <r>
    <x v="1610"/>
    <x v="20"/>
    <n v="11508423"/>
    <x v="2903"/>
    <x v="0"/>
    <s v="USA"/>
    <n v="23000000"/>
    <x v="33"/>
    <x v="6"/>
    <s v="Comedy"/>
    <s v="Drama"/>
    <s v="Family"/>
    <s v="Sport"/>
    <m/>
    <m/>
    <m/>
  </r>
  <r>
    <x v="987"/>
    <x v="60"/>
    <n v="11501093"/>
    <x v="2904"/>
    <x v="0"/>
    <s v="USA"/>
    <n v="13000000"/>
    <x v="17"/>
    <x v="0"/>
    <s v="Fantasy"/>
    <s v="Horror"/>
    <m/>
    <m/>
    <m/>
    <m/>
    <m/>
  </r>
  <r>
    <x v="1611"/>
    <x v="41"/>
    <n v="11466088"/>
    <x v="2905"/>
    <x v="0"/>
    <s v="USA"/>
    <n v="71000000"/>
    <x v="47"/>
    <x v="4"/>
    <s v="Thriller"/>
    <m/>
    <m/>
    <m/>
    <m/>
    <m/>
    <m/>
  </r>
  <r>
    <x v="1612"/>
    <x v="30"/>
    <n v="11434867"/>
    <x v="2906"/>
    <x v="0"/>
    <s v="USA"/>
    <n v="6000000"/>
    <x v="6"/>
    <x v="3"/>
    <s v="Mystery"/>
    <s v="Romance"/>
    <s v="Thriller"/>
    <m/>
    <m/>
    <m/>
    <m/>
  </r>
  <r>
    <x v="253"/>
    <x v="166"/>
    <n v="11433134"/>
    <x v="2907"/>
    <x v="6"/>
    <s v="West Germany"/>
    <n v="14000000"/>
    <x v="39"/>
    <x v="2"/>
    <s v="Drama"/>
    <s v="Thriller"/>
    <s v="War"/>
    <m/>
    <m/>
    <m/>
    <m/>
  </r>
  <r>
    <x v="172"/>
    <x v="11"/>
    <n v="11405825"/>
    <x v="2908"/>
    <x v="0"/>
    <s v="USA"/>
    <n v="35000000"/>
    <x v="9"/>
    <x v="3"/>
    <m/>
    <m/>
    <m/>
    <m/>
    <m/>
    <m/>
    <m/>
  </r>
  <r>
    <x v="291"/>
    <x v="12"/>
    <n v="11326836"/>
    <x v="2909"/>
    <x v="0"/>
    <s v="USA"/>
    <n v="22000000"/>
    <x v="9"/>
    <x v="5"/>
    <s v="Drama"/>
    <s v="Thriller"/>
    <m/>
    <m/>
    <m/>
    <m/>
    <m/>
  </r>
  <r>
    <x v="1613"/>
    <x v="82"/>
    <n v="11284657"/>
    <x v="2910"/>
    <x v="6"/>
    <s v="Germany"/>
    <n v="2000000"/>
    <x v="42"/>
    <x v="3"/>
    <s v="Thriller"/>
    <m/>
    <m/>
    <m/>
    <m/>
    <m/>
    <m/>
  </r>
  <r>
    <x v="1614"/>
    <x v="30"/>
    <n v="11227940"/>
    <x v="2911"/>
    <x v="0"/>
    <s v="USA"/>
    <n v="34000000"/>
    <x v="34"/>
    <x v="4"/>
    <s v="Adventure"/>
    <s v="Comedy"/>
    <s v="Drama"/>
    <s v="Thriller"/>
    <m/>
    <m/>
    <m/>
  </r>
  <r>
    <x v="1615"/>
    <x v="48"/>
    <n v="11204499"/>
    <x v="2912"/>
    <x v="0"/>
    <s v="USA"/>
    <n v="14000000"/>
    <x v="14"/>
    <x v="3"/>
    <s v="History"/>
    <m/>
    <m/>
    <m/>
    <m/>
    <m/>
    <m/>
  </r>
  <r>
    <x v="1220"/>
    <x v="30"/>
    <n v="11169531"/>
    <x v="2913"/>
    <x v="0"/>
    <s v="UK"/>
    <n v="20000000"/>
    <x v="16"/>
    <x v="0"/>
    <m/>
    <m/>
    <m/>
    <m/>
    <m/>
    <m/>
    <m/>
  </r>
  <r>
    <x v="1365"/>
    <x v="40"/>
    <n v="11146409"/>
    <x v="2914"/>
    <x v="0"/>
    <s v="USA"/>
    <n v="45000000"/>
    <x v="27"/>
    <x v="4"/>
    <s v="Adventure"/>
    <s v="Horror"/>
    <s v="Sci-Fi"/>
    <m/>
    <m/>
    <m/>
    <m/>
  </r>
  <r>
    <x v="1616"/>
    <x v="120"/>
    <n v="11144518"/>
    <x v="2915"/>
    <x v="0"/>
    <s v="Canada"/>
    <n v="15000000"/>
    <x v="60"/>
    <x v="2"/>
    <s v="Family"/>
    <m/>
    <m/>
    <m/>
    <m/>
    <m/>
    <m/>
  </r>
  <r>
    <x v="1077"/>
    <x v="4"/>
    <n v="11100000"/>
    <x v="2916"/>
    <x v="0"/>
    <s v="USA"/>
    <n v="25000000"/>
    <x v="4"/>
    <x v="4"/>
    <s v="Adventure"/>
    <s v="Comedy"/>
    <s v="Fantasy"/>
    <m/>
    <m/>
    <m/>
    <m/>
  </r>
  <r>
    <x v="1617"/>
    <x v="0"/>
    <n v="11043445"/>
    <x v="2917"/>
    <x v="0"/>
    <s v="USA"/>
    <n v="10000000"/>
    <x v="20"/>
    <x v="0"/>
    <s v="Drama"/>
    <s v="Romance"/>
    <m/>
    <m/>
    <m/>
    <m/>
    <m/>
  </r>
  <r>
    <x v="346"/>
    <x v="18"/>
    <n v="11034436"/>
    <x v="2918"/>
    <x v="0"/>
    <s v="UK"/>
    <n v="20000000"/>
    <x v="6"/>
    <x v="0"/>
    <s v="Drama"/>
    <s v="Music"/>
    <s v="War"/>
    <m/>
    <m/>
    <m/>
    <m/>
  </r>
  <r>
    <x v="28"/>
    <x v="6"/>
    <n v="11030963"/>
    <x v="2919"/>
    <x v="0"/>
    <s v="UK"/>
    <n v="28000000"/>
    <x v="6"/>
    <x v="6"/>
    <s v="Drama"/>
    <s v="Thriller"/>
    <s v="War"/>
    <m/>
    <m/>
    <m/>
    <m/>
  </r>
  <r>
    <x v="1173"/>
    <x v="34"/>
    <n v="11008432"/>
    <x v="2920"/>
    <x v="0"/>
    <s v="USA"/>
    <n v="25000000"/>
    <x v="6"/>
    <x v="6"/>
    <s v="Drama"/>
    <s v="Sport"/>
    <m/>
    <m/>
    <m/>
    <m/>
    <m/>
  </r>
  <r>
    <x v="821"/>
    <x v="44"/>
    <n v="10996440"/>
    <x v="2921"/>
    <x v="0"/>
    <s v="USA"/>
    <n v="13000000"/>
    <x v="2"/>
    <x v="2"/>
    <s v="Drama"/>
    <s v="Sci-Fi"/>
    <m/>
    <m/>
    <m/>
    <m/>
    <m/>
  </r>
  <r>
    <x v="1167"/>
    <x v="41"/>
    <n v="10991381"/>
    <x v="2922"/>
    <x v="0"/>
    <s v="UK"/>
    <n v="35000000"/>
    <x v="4"/>
    <x v="6"/>
    <s v="Drama"/>
    <s v="History"/>
    <s v="Romance"/>
    <m/>
    <m/>
    <m/>
    <m/>
  </r>
  <r>
    <x v="1307"/>
    <x v="17"/>
    <n v="10965209"/>
    <x v="2923"/>
    <x v="0"/>
    <s v="USA"/>
    <n v="30000000"/>
    <x v="0"/>
    <x v="4"/>
    <s v="Crime"/>
    <s v="Drama"/>
    <s v="Thriller"/>
    <m/>
    <m/>
    <m/>
    <m/>
  </r>
  <r>
    <x v="1618"/>
    <x v="34"/>
    <n v="10956379"/>
    <x v="2924"/>
    <x v="0"/>
    <s v="South Korea"/>
    <n v="35000000"/>
    <x v="58"/>
    <x v="4"/>
    <s v="Drama"/>
    <s v="Fantasy"/>
    <s v="Horror"/>
    <s v="Thriller"/>
    <m/>
    <m/>
    <m/>
  </r>
  <r>
    <x v="1333"/>
    <x v="8"/>
    <n v="10955425"/>
    <x v="2925"/>
    <x v="0"/>
    <s v="UK"/>
    <n v="30000000"/>
    <x v="27"/>
    <x v="4"/>
    <s v="Sci-Fi"/>
    <s v="Thriller"/>
    <m/>
    <m/>
    <m/>
    <m/>
    <m/>
  </r>
  <r>
    <x v="1619"/>
    <x v="17"/>
    <n v="10941801"/>
    <x v="2926"/>
    <x v="0"/>
    <s v="USA"/>
    <n v="39751583.5"/>
    <x v="18"/>
    <x v="0"/>
    <s v="Documentary"/>
    <s v="Drama"/>
    <s v="Fantasy"/>
    <s v="Mystery"/>
    <s v="Sci-Fi"/>
    <m/>
    <m/>
  </r>
  <r>
    <x v="1206"/>
    <x v="48"/>
    <n v="10911750"/>
    <x v="2927"/>
    <x v="0"/>
    <s v="USA"/>
    <n v="25000000"/>
    <x v="20"/>
    <x v="3"/>
    <s v="War"/>
    <m/>
    <m/>
    <m/>
    <m/>
    <m/>
    <m/>
  </r>
  <r>
    <x v="281"/>
    <x v="7"/>
    <n v="10907291"/>
    <x v="2928"/>
    <x v="0"/>
    <s v="USA"/>
    <n v="28000000"/>
    <x v="19"/>
    <x v="4"/>
    <s v="Horror"/>
    <s v="Romance"/>
    <m/>
    <m/>
    <m/>
    <m/>
    <m/>
  </r>
  <r>
    <x v="473"/>
    <x v="36"/>
    <n v="10880926"/>
    <x v="2929"/>
    <x v="0"/>
    <s v="USA"/>
    <n v="30000000"/>
    <x v="20"/>
    <x v="4"/>
    <s v="Crime"/>
    <s v="Drama"/>
    <s v="Thriller"/>
    <m/>
    <m/>
    <m/>
    <m/>
  </r>
  <r>
    <x v="287"/>
    <x v="56"/>
    <n v="10824921"/>
    <x v="2930"/>
    <x v="0"/>
    <s v="USA"/>
    <n v="10000000"/>
    <x v="22"/>
    <x v="0"/>
    <m/>
    <m/>
    <m/>
    <m/>
    <m/>
    <m/>
    <m/>
  </r>
  <r>
    <x v="287"/>
    <x v="22"/>
    <n v="10814185"/>
    <x v="2931"/>
    <x v="0"/>
    <s v="USA"/>
    <n v="8000000"/>
    <x v="8"/>
    <x v="0"/>
    <s v="Crime"/>
    <s v="Romance"/>
    <m/>
    <m/>
    <m/>
    <m/>
    <m/>
  </r>
  <r>
    <x v="1581"/>
    <x v="167"/>
    <n v="10769960"/>
    <x v="2932"/>
    <x v="0"/>
    <s v="USA"/>
    <n v="25000000"/>
    <x v="5"/>
    <x v="3"/>
    <s v="History"/>
    <s v="War"/>
    <m/>
    <m/>
    <m/>
    <m/>
    <m/>
  </r>
  <r>
    <x v="335"/>
    <x v="55"/>
    <n v="10763469"/>
    <x v="2933"/>
    <x v="0"/>
    <s v="USA"/>
    <n v="15000000"/>
    <x v="16"/>
    <x v="0"/>
    <s v="Drama"/>
    <s v="Romance"/>
    <m/>
    <m/>
    <m/>
    <m/>
    <m/>
  </r>
  <r>
    <x v="1519"/>
    <x v="41"/>
    <n v="10725228"/>
    <x v="2934"/>
    <x v="0"/>
    <s v="USA"/>
    <n v="12500000"/>
    <x v="22"/>
    <x v="5"/>
    <s v="Drama"/>
    <s v="Mystery"/>
    <m/>
    <m/>
    <m/>
    <m/>
    <m/>
  </r>
  <r>
    <x v="413"/>
    <x v="4"/>
    <n v="10719367"/>
    <x v="2935"/>
    <x v="0"/>
    <s v="USA"/>
    <n v="25000000"/>
    <x v="35"/>
    <x v="3"/>
    <s v="Music"/>
    <s v="Mystery"/>
    <s v="Romance"/>
    <s v="Thriller"/>
    <m/>
    <m/>
    <m/>
  </r>
  <r>
    <x v="399"/>
    <x v="44"/>
    <n v="10706786"/>
    <x v="2936"/>
    <x v="0"/>
    <s v="USA"/>
    <n v="50000000"/>
    <x v="3"/>
    <x v="4"/>
    <s v="Fantasy"/>
    <s v="Thriller"/>
    <m/>
    <m/>
    <m/>
    <m/>
    <m/>
  </r>
  <r>
    <x v="1620"/>
    <x v="44"/>
    <n v="10696210"/>
    <x v="2937"/>
    <x v="0"/>
    <s v="USA"/>
    <n v="23500000"/>
    <x v="67"/>
    <x v="4"/>
    <s v="Crime"/>
    <s v="Sci-Fi"/>
    <s v="Thriller"/>
    <m/>
    <m/>
    <m/>
    <m/>
  </r>
  <r>
    <x v="28"/>
    <x v="30"/>
    <n v="10660147"/>
    <x v="2938"/>
    <x v="0"/>
    <s v="UK"/>
    <n v="23000000"/>
    <x v="11"/>
    <x v="3"/>
    <s v="Romance"/>
    <m/>
    <m/>
    <m/>
    <m/>
    <m/>
    <m/>
  </r>
  <r>
    <x v="1621"/>
    <x v="17"/>
    <n v="10654581"/>
    <x v="2939"/>
    <x v="0"/>
    <s v="USA"/>
    <n v="34000000"/>
    <x v="48"/>
    <x v="3"/>
    <s v="Sci-Fi"/>
    <s v="Thriller"/>
    <m/>
    <m/>
    <m/>
    <m/>
    <m/>
  </r>
  <r>
    <x v="1621"/>
    <x v="17"/>
    <n v="10654581"/>
    <x v="2939"/>
    <x v="0"/>
    <s v="USA"/>
    <n v="34000000"/>
    <x v="48"/>
    <x v="3"/>
    <s v="Sci-Fi"/>
    <s v="Thriller"/>
    <m/>
    <m/>
    <m/>
    <m/>
    <m/>
  </r>
  <r>
    <x v="1373"/>
    <x v="61"/>
    <n v="10640645"/>
    <x v="2940"/>
    <x v="0"/>
    <s v="USA"/>
    <n v="40000000"/>
    <x v="19"/>
    <x v="4"/>
    <s v="Crime"/>
    <s v="Drama"/>
    <s v="Mystery"/>
    <s v="Thriller"/>
    <m/>
    <m/>
    <m/>
  </r>
  <r>
    <x v="1622"/>
    <x v="4"/>
    <n v="10572742"/>
    <x v="2941"/>
    <x v="0"/>
    <s v="USA"/>
    <n v="8000000"/>
    <x v="0"/>
    <x v="3"/>
    <s v="Romance"/>
    <m/>
    <m/>
    <m/>
    <m/>
    <m/>
    <m/>
  </r>
  <r>
    <x v="335"/>
    <x v="49"/>
    <n v="10569071"/>
    <x v="2942"/>
    <x v="0"/>
    <s v="USA"/>
    <n v="20000000"/>
    <x v="7"/>
    <x v="0"/>
    <m/>
    <m/>
    <m/>
    <m/>
    <m/>
    <m/>
    <m/>
  </r>
  <r>
    <x v="1121"/>
    <x v="36"/>
    <n v="10562387"/>
    <x v="2943"/>
    <x v="0"/>
    <s v="USA"/>
    <n v="18500000"/>
    <x v="5"/>
    <x v="2"/>
    <s v="Comedy"/>
    <s v="Drama"/>
    <m/>
    <m/>
    <m/>
    <m/>
    <m/>
  </r>
  <r>
    <x v="1623"/>
    <x v="0"/>
    <n v="10561238"/>
    <x v="2944"/>
    <x v="0"/>
    <s v="Germany"/>
    <n v="10000000"/>
    <x v="20"/>
    <x v="0"/>
    <s v="Romance"/>
    <s v="Thriller"/>
    <m/>
    <m/>
    <m/>
    <m/>
    <m/>
  </r>
  <r>
    <x v="1624"/>
    <x v="61"/>
    <n v="10556196"/>
    <x v="2945"/>
    <x v="0"/>
    <s v="USA"/>
    <n v="50000000"/>
    <x v="8"/>
    <x v="5"/>
    <s v="Drama"/>
    <s v="Thriller"/>
    <m/>
    <m/>
    <m/>
    <m/>
    <m/>
  </r>
  <r>
    <x v="28"/>
    <x v="40"/>
    <n v="10555348"/>
    <x v="2946"/>
    <x v="0"/>
    <s v="USA"/>
    <n v="20000000"/>
    <x v="27"/>
    <x v="0"/>
    <s v="Crime"/>
    <m/>
    <m/>
    <m/>
    <m/>
    <m/>
    <m/>
  </r>
  <r>
    <x v="1625"/>
    <x v="1"/>
    <n v="10544143"/>
    <x v="2947"/>
    <x v="0"/>
    <s v="Australia"/>
    <n v="20000000"/>
    <x v="0"/>
    <x v="0"/>
    <s v="Romance"/>
    <m/>
    <m/>
    <m/>
    <m/>
    <m/>
    <m/>
  </r>
  <r>
    <x v="354"/>
    <x v="81"/>
    <n v="10539414"/>
    <x v="2948"/>
    <x v="0"/>
    <s v="USA"/>
    <n v="47000000"/>
    <x v="47"/>
    <x v="4"/>
    <s v="Drama"/>
    <s v="Fantasy"/>
    <s v="Thriller"/>
    <s v="Western"/>
    <m/>
    <m/>
    <m/>
  </r>
  <r>
    <x v="335"/>
    <x v="49"/>
    <n v="10515579"/>
    <x v="2949"/>
    <x v="0"/>
    <s v="UK"/>
    <n v="4000000"/>
    <x v="15"/>
    <x v="0"/>
    <s v="Crime"/>
    <s v="Mystery"/>
    <m/>
    <m/>
    <m/>
    <m/>
    <m/>
  </r>
  <r>
    <x v="126"/>
    <x v="17"/>
    <n v="10499968"/>
    <x v="2950"/>
    <x v="0"/>
    <s v="USA"/>
    <n v="35000000"/>
    <x v="21"/>
    <x v="4"/>
    <s v="Crime"/>
    <s v="Drama"/>
    <s v="Thriller"/>
    <m/>
    <m/>
    <m/>
    <m/>
  </r>
  <r>
    <x v="126"/>
    <x v="17"/>
    <n v="10499968"/>
    <x v="2950"/>
    <x v="0"/>
    <s v="USA"/>
    <n v="35000000"/>
    <x v="21"/>
    <x v="4"/>
    <s v="Crime"/>
    <s v="Drama"/>
    <s v="Thriller"/>
    <m/>
    <m/>
    <m/>
    <m/>
  </r>
  <r>
    <x v="1490"/>
    <x v="10"/>
    <n v="10494494"/>
    <x v="2951"/>
    <x v="0"/>
    <s v="USA"/>
    <n v="18000000"/>
    <x v="45"/>
    <x v="4"/>
    <s v="Crime"/>
    <s v="Thriller"/>
    <m/>
    <m/>
    <m/>
    <m/>
    <m/>
  </r>
  <r>
    <x v="1626"/>
    <x v="49"/>
    <n v="10494147"/>
    <x v="2952"/>
    <x v="0"/>
    <s v="USA"/>
    <n v="15000000"/>
    <x v="33"/>
    <x v="3"/>
    <s v="Romance"/>
    <m/>
    <m/>
    <m/>
    <m/>
    <m/>
    <m/>
  </r>
  <r>
    <x v="398"/>
    <x v="51"/>
    <n v="10460089"/>
    <x v="2953"/>
    <x v="0"/>
    <s v="USA"/>
    <n v="7500000"/>
    <x v="11"/>
    <x v="5"/>
    <s v="Drama"/>
    <s v="Mystery"/>
    <s v="Thriller"/>
    <m/>
    <m/>
    <m/>
    <m/>
  </r>
  <r>
    <x v="233"/>
    <x v="50"/>
    <n v="10443316"/>
    <x v="2954"/>
    <x v="0"/>
    <s v="USA"/>
    <n v="15000000"/>
    <x v="38"/>
    <x v="0"/>
    <s v="Drama"/>
    <s v="Romance"/>
    <m/>
    <m/>
    <m/>
    <m/>
    <m/>
  </r>
  <r>
    <x v="1627"/>
    <x v="39"/>
    <n v="10431220"/>
    <x v="2955"/>
    <x v="0"/>
    <s v="USA"/>
    <n v="24000000"/>
    <x v="30"/>
    <x v="4"/>
    <s v="Sci-Fi"/>
    <m/>
    <m/>
    <m/>
    <m/>
    <m/>
    <m/>
  </r>
  <r>
    <x v="1628"/>
    <x v="1"/>
    <n v="10429707"/>
    <x v="2956"/>
    <x v="0"/>
    <s v="USA"/>
    <n v="5000000"/>
    <x v="18"/>
    <x v="0"/>
    <m/>
    <m/>
    <m/>
    <m/>
    <m/>
    <m/>
    <m/>
  </r>
  <r>
    <x v="1106"/>
    <x v="18"/>
    <n v="10411980"/>
    <x v="2957"/>
    <x v="0"/>
    <s v="USA"/>
    <n v="15000000"/>
    <x v="1"/>
    <x v="16"/>
    <s v="Music"/>
    <s v="Romance"/>
    <m/>
    <m/>
    <m/>
    <m/>
    <m/>
  </r>
  <r>
    <x v="450"/>
    <x v="74"/>
    <n v="10400000"/>
    <x v="2958"/>
    <x v="0"/>
    <s v="USA"/>
    <n v="50000000"/>
    <x v="33"/>
    <x v="3"/>
    <s v="Romance"/>
    <m/>
    <m/>
    <m/>
    <m/>
    <m/>
    <m/>
  </r>
  <r>
    <x v="0"/>
    <x v="89"/>
    <n v="10397365"/>
    <x v="2959"/>
    <x v="0"/>
    <s v="USA"/>
    <n v="14000000"/>
    <x v="18"/>
    <x v="0"/>
    <s v="Mystery"/>
    <s v="Romance"/>
    <m/>
    <m/>
    <m/>
    <m/>
    <m/>
  </r>
  <r>
    <x v="1629"/>
    <x v="63"/>
    <n v="10353690"/>
    <x v="2960"/>
    <x v="0"/>
    <s v="USA"/>
    <n v="39751583.5"/>
    <x v="39"/>
    <x v="10"/>
    <s v="Music"/>
    <m/>
    <m/>
    <m/>
    <m/>
    <m/>
    <m/>
  </r>
  <r>
    <x v="1571"/>
    <x v="7"/>
    <n v="10326062"/>
    <x v="2961"/>
    <x v="0"/>
    <s v="Germany"/>
    <n v="33000000"/>
    <x v="9"/>
    <x v="4"/>
    <s v="Horror"/>
    <s v="Mystery"/>
    <s v="Sci-Fi"/>
    <s v="Thriller"/>
    <m/>
    <m/>
    <m/>
  </r>
  <r>
    <x v="1458"/>
    <x v="28"/>
    <n v="10324441"/>
    <x v="2962"/>
    <x v="0"/>
    <s v="USA"/>
    <n v="25000000"/>
    <x v="19"/>
    <x v="4"/>
    <s v="Drama"/>
    <s v="Thriller"/>
    <m/>
    <m/>
    <m/>
    <m/>
    <m/>
  </r>
  <r>
    <x v="1630"/>
    <x v="31"/>
    <n v="10305534"/>
    <x v="2963"/>
    <x v="0"/>
    <s v="USA"/>
    <n v="3500000"/>
    <x v="67"/>
    <x v="0"/>
    <m/>
    <m/>
    <m/>
    <m/>
    <m/>
    <m/>
    <m/>
  </r>
  <r>
    <x v="182"/>
    <x v="2"/>
    <n v="10300000"/>
    <x v="2964"/>
    <x v="0"/>
    <s v="USA"/>
    <n v="38000000"/>
    <x v="24"/>
    <x v="2"/>
    <s v="Drama"/>
    <m/>
    <m/>
    <m/>
    <m/>
    <m/>
    <m/>
  </r>
  <r>
    <x v="159"/>
    <x v="21"/>
    <n v="10297897"/>
    <x v="2965"/>
    <x v="0"/>
    <s v="USA"/>
    <n v="27000000"/>
    <x v="27"/>
    <x v="4"/>
    <s v="Crime"/>
    <s v="Drama"/>
    <s v="History"/>
    <s v="Western"/>
    <m/>
    <m/>
    <m/>
  </r>
  <r>
    <x v="1631"/>
    <x v="40"/>
    <n v="10281585"/>
    <x v="2966"/>
    <x v="0"/>
    <s v="USA"/>
    <n v="39751583.5"/>
    <x v="16"/>
    <x v="3"/>
    <s v="Romance"/>
    <m/>
    <m/>
    <m/>
    <m/>
    <m/>
    <m/>
  </r>
  <r>
    <x v="724"/>
    <x v="53"/>
    <n v="10269307"/>
    <x v="2967"/>
    <x v="0"/>
    <s v="USA"/>
    <n v="8000000"/>
    <x v="2"/>
    <x v="4"/>
    <s v="Crime"/>
    <s v="Thriller"/>
    <m/>
    <m/>
    <m/>
    <m/>
    <m/>
  </r>
  <r>
    <x v="50"/>
    <x v="43"/>
    <n v="10268846"/>
    <x v="2968"/>
    <x v="0"/>
    <s v="USA"/>
    <n v="35000000"/>
    <x v="3"/>
    <x v="4"/>
    <s v="Crime"/>
    <s v="Mystery"/>
    <s v="Thriller"/>
    <m/>
    <m/>
    <m/>
    <m/>
  </r>
  <r>
    <x v="777"/>
    <x v="1"/>
    <n v="10246600"/>
    <x v="2969"/>
    <x v="0"/>
    <s v="USA"/>
    <n v="25000"/>
    <x v="24"/>
    <x v="0"/>
    <s v="Drama"/>
    <s v="Romance"/>
    <m/>
    <m/>
    <m/>
    <m/>
    <m/>
  </r>
  <r>
    <x v="36"/>
    <x v="36"/>
    <n v="10214647"/>
    <x v="2970"/>
    <x v="0"/>
    <s v="USA"/>
    <n v="11000000"/>
    <x v="6"/>
    <x v="6"/>
    <s v="Drama"/>
    <m/>
    <m/>
    <m/>
    <m/>
    <m/>
    <m/>
  </r>
  <r>
    <x v="1269"/>
    <x v="50"/>
    <n v="10214013"/>
    <x v="2971"/>
    <x v="0"/>
    <s v="USA"/>
    <n v="35000000"/>
    <x v="18"/>
    <x v="0"/>
    <m/>
    <m/>
    <m/>
    <m/>
    <m/>
    <m/>
    <m/>
  </r>
  <r>
    <x v="1632"/>
    <x v="28"/>
    <n v="10200000"/>
    <x v="2972"/>
    <x v="0"/>
    <s v="USA"/>
    <n v="10000000"/>
    <x v="4"/>
    <x v="3"/>
    <s v="Mystery"/>
    <s v="Thriller"/>
    <m/>
    <m/>
    <m/>
    <m/>
    <m/>
  </r>
  <r>
    <x v="1633"/>
    <x v="31"/>
    <n v="10198766"/>
    <x v="2973"/>
    <x v="0"/>
    <s v="USA"/>
    <n v="12000000"/>
    <x v="18"/>
    <x v="0"/>
    <m/>
    <m/>
    <m/>
    <m/>
    <m/>
    <m/>
    <m/>
  </r>
  <r>
    <x v="1055"/>
    <x v="11"/>
    <n v="10174663"/>
    <x v="2974"/>
    <x v="0"/>
    <s v="USA"/>
    <n v="100000"/>
    <x v="15"/>
    <x v="3"/>
    <s v="Sport"/>
    <m/>
    <m/>
    <m/>
    <m/>
    <m/>
    <m/>
  </r>
  <r>
    <x v="1382"/>
    <x v="33"/>
    <n v="10166502"/>
    <x v="2975"/>
    <x v="29"/>
    <s v="USA"/>
    <n v="80000000"/>
    <x v="15"/>
    <x v="4"/>
    <s v="Drama"/>
    <s v="War"/>
    <m/>
    <m/>
    <m/>
    <m/>
    <m/>
  </r>
  <r>
    <x v="421"/>
    <x v="82"/>
    <n v="10161099"/>
    <x v="2976"/>
    <x v="0"/>
    <s v="UK"/>
    <n v="9000000"/>
    <x v="5"/>
    <x v="4"/>
    <s v="Biography"/>
    <s v="Drama"/>
    <s v="History"/>
    <s v="Romance"/>
    <s v="War"/>
    <m/>
    <m/>
  </r>
  <r>
    <x v="1634"/>
    <x v="50"/>
    <n v="10149779"/>
    <x v="2977"/>
    <x v="0"/>
    <s v="USA"/>
    <n v="6500000"/>
    <x v="58"/>
    <x v="1"/>
    <s v="Sci-Fi"/>
    <s v="Thriller"/>
    <m/>
    <m/>
    <m/>
    <m/>
    <m/>
  </r>
  <r>
    <x v="19"/>
    <x v="49"/>
    <n v="10139254"/>
    <x v="2978"/>
    <x v="0"/>
    <s v="USA"/>
    <n v="35000000"/>
    <x v="4"/>
    <x v="3"/>
    <s v="Sci-Fi"/>
    <m/>
    <m/>
    <m/>
    <m/>
    <m/>
    <m/>
  </r>
  <r>
    <x v="57"/>
    <x v="21"/>
    <n v="10137502"/>
    <x v="2979"/>
    <x v="0"/>
    <s v="USA"/>
    <n v="35000000"/>
    <x v="7"/>
    <x v="2"/>
    <s v="Biography"/>
    <s v="Drama"/>
    <s v="Thriller"/>
    <m/>
    <m/>
    <m/>
    <m/>
  </r>
  <r>
    <x v="98"/>
    <x v="32"/>
    <n v="10137232"/>
    <x v="2980"/>
    <x v="0"/>
    <s v="France"/>
    <n v="50000000"/>
    <x v="27"/>
    <x v="4"/>
    <s v="Biography"/>
    <s v="Crime"/>
    <s v="Drama"/>
    <s v="Thriller"/>
    <m/>
    <m/>
    <m/>
  </r>
  <r>
    <x v="1635"/>
    <x v="89"/>
    <n v="10134754"/>
    <x v="2981"/>
    <x v="0"/>
    <s v="USA"/>
    <n v="30000000"/>
    <x v="46"/>
    <x v="7"/>
    <s v="Comedy"/>
    <s v="Family"/>
    <m/>
    <m/>
    <m/>
    <m/>
    <m/>
  </r>
  <r>
    <x v="1636"/>
    <x v="41"/>
    <n v="10114315"/>
    <x v="2982"/>
    <x v="0"/>
    <s v="USA"/>
    <n v="25000000"/>
    <x v="16"/>
    <x v="3"/>
    <s v="Mystery"/>
    <s v="Thriller"/>
    <m/>
    <m/>
    <m/>
    <m/>
    <m/>
  </r>
  <r>
    <x v="1602"/>
    <x v="44"/>
    <n v="10106233"/>
    <x v="2983"/>
    <x v="0"/>
    <s v="USA"/>
    <n v="8000000"/>
    <x v="18"/>
    <x v="0"/>
    <s v="Drama"/>
    <m/>
    <m/>
    <m/>
    <m/>
    <m/>
    <m/>
  </r>
  <r>
    <x v="1637"/>
    <x v="30"/>
    <n v="10105505"/>
    <x v="2984"/>
    <x v="0"/>
    <s v="France"/>
    <n v="39751583.5"/>
    <x v="9"/>
    <x v="5"/>
    <s v="Drama"/>
    <s v="Mystery"/>
    <s v="Thriller"/>
    <m/>
    <m/>
    <m/>
    <m/>
  </r>
  <r>
    <x v="1638"/>
    <x v="31"/>
    <n v="10097096"/>
    <x v="2985"/>
    <x v="0"/>
    <s v="USA"/>
    <n v="4000000"/>
    <x v="28"/>
    <x v="0"/>
    <m/>
    <m/>
    <m/>
    <m/>
    <m/>
    <m/>
    <m/>
  </r>
  <r>
    <x v="1639"/>
    <x v="50"/>
    <n v="10076136"/>
    <x v="2986"/>
    <x v="0"/>
    <s v="Aruba"/>
    <n v="35000000"/>
    <x v="46"/>
    <x v="4"/>
    <s v="Comedy"/>
    <s v="Thriller"/>
    <m/>
    <m/>
    <m/>
    <m/>
    <m/>
  </r>
  <r>
    <x v="1555"/>
    <x v="51"/>
    <n v="10070000"/>
    <x v="2987"/>
    <x v="0"/>
    <s v="USA"/>
    <n v="25000000"/>
    <x v="8"/>
    <x v="0"/>
    <s v="Drama"/>
    <s v="Romance"/>
    <m/>
    <m/>
    <m/>
    <m/>
    <m/>
  </r>
  <r>
    <x v="1524"/>
    <x v="65"/>
    <n v="10049886"/>
    <x v="2988"/>
    <x v="4"/>
    <s v="Japan"/>
    <n v="19000000"/>
    <x v="29"/>
    <x v="2"/>
    <s v="Animation"/>
    <s v="Family"/>
    <s v="Fantasy"/>
    <m/>
    <m/>
    <m/>
    <m/>
  </r>
  <r>
    <x v="1296"/>
    <x v="10"/>
    <n v="10042266"/>
    <x v="2989"/>
    <x v="0"/>
    <s v="USA"/>
    <n v="1000000"/>
    <x v="1"/>
    <x v="3"/>
    <s v="Horror"/>
    <s v="Mystery"/>
    <s v="Thriller"/>
    <m/>
    <m/>
    <m/>
    <m/>
  </r>
  <r>
    <x v="1640"/>
    <x v="3"/>
    <n v="10017041"/>
    <x v="2990"/>
    <x v="0"/>
    <s v="USA"/>
    <n v="3000000"/>
    <x v="1"/>
    <x v="4"/>
    <s v="Comedy"/>
    <s v="Crime"/>
    <m/>
    <m/>
    <m/>
    <m/>
    <m/>
  </r>
  <r>
    <x v="82"/>
    <x v="51"/>
    <n v="10014234"/>
    <x v="2991"/>
    <x v="0"/>
    <s v="France"/>
    <n v="65000000"/>
    <x v="38"/>
    <x v="0"/>
    <s v="Crime"/>
    <m/>
    <m/>
    <m/>
    <m/>
    <m/>
    <m/>
  </r>
  <r>
    <x v="492"/>
    <x v="68"/>
    <n v="9975684"/>
    <x v="2992"/>
    <x v="0"/>
    <s v="Canada"/>
    <n v="13000000"/>
    <x v="16"/>
    <x v="0"/>
    <m/>
    <m/>
    <m/>
    <m/>
    <m/>
    <m/>
    <m/>
  </r>
  <r>
    <x v="1121"/>
    <x v="78"/>
    <n v="9929000"/>
    <x v="2993"/>
    <x v="0"/>
    <s v="UK"/>
    <n v="15000000"/>
    <x v="13"/>
    <x v="3"/>
    <s v="Sci-Fi"/>
    <m/>
    <m/>
    <m/>
    <m/>
    <m/>
    <m/>
  </r>
  <r>
    <x v="1638"/>
    <x v="68"/>
    <n v="9821335"/>
    <x v="2994"/>
    <x v="0"/>
    <s v="USA"/>
    <n v="6000000"/>
    <x v="56"/>
    <x v="0"/>
    <m/>
    <m/>
    <m/>
    <m/>
    <m/>
    <m/>
    <m/>
  </r>
  <r>
    <x v="1071"/>
    <x v="41"/>
    <n v="9801782"/>
    <x v="2995"/>
    <x v="0"/>
    <s v="USA"/>
    <n v="10000000"/>
    <x v="2"/>
    <x v="0"/>
    <s v="Crime"/>
    <s v="Thriller"/>
    <m/>
    <m/>
    <m/>
    <m/>
    <m/>
  </r>
  <r>
    <x v="648"/>
    <x v="34"/>
    <n v="9795017"/>
    <x v="2996"/>
    <x v="0"/>
    <s v="USA"/>
    <n v="50000000"/>
    <x v="33"/>
    <x v="5"/>
    <s v="Drama"/>
    <s v="Thriller"/>
    <m/>
    <m/>
    <m/>
    <m/>
    <m/>
  </r>
  <r>
    <x v="335"/>
    <x v="43"/>
    <n v="9714482"/>
    <x v="2997"/>
    <x v="0"/>
    <s v="USA"/>
    <n v="20000000"/>
    <x v="9"/>
    <x v="0"/>
    <s v="Musical"/>
    <s v="Romance"/>
    <m/>
    <m/>
    <m/>
    <m/>
    <m/>
  </r>
  <r>
    <x v="1407"/>
    <x v="48"/>
    <n v="9701559"/>
    <x v="2998"/>
    <x v="0"/>
    <s v="USA"/>
    <n v="3500000"/>
    <x v="7"/>
    <x v="3"/>
    <s v="Romance"/>
    <m/>
    <m/>
    <m/>
    <m/>
    <m/>
    <m/>
  </r>
  <r>
    <x v="27"/>
    <x v="94"/>
    <n v="9694105"/>
    <x v="2999"/>
    <x v="0"/>
    <s v="USA"/>
    <n v="22000000"/>
    <x v="61"/>
    <x v="0"/>
    <s v="Family"/>
    <s v="Romance"/>
    <m/>
    <m/>
    <m/>
    <m/>
    <m/>
  </r>
  <r>
    <x v="1641"/>
    <x v="57"/>
    <n v="9664316"/>
    <x v="3000"/>
    <x v="0"/>
    <s v="USA"/>
    <n v="27500000"/>
    <x v="9"/>
    <x v="3"/>
    <s v="Thriller"/>
    <m/>
    <m/>
    <m/>
    <m/>
    <m/>
    <m/>
  </r>
  <r>
    <x v="1189"/>
    <x v="49"/>
    <n v="9658370"/>
    <x v="3001"/>
    <x v="0"/>
    <s v="USA"/>
    <n v="5000000"/>
    <x v="36"/>
    <x v="0"/>
    <s v="Romance"/>
    <m/>
    <m/>
    <m/>
    <m/>
    <m/>
    <m/>
  </r>
  <r>
    <x v="1363"/>
    <x v="56"/>
    <n v="9652000"/>
    <x v="3002"/>
    <x v="0"/>
    <s v="USA"/>
    <n v="40000000"/>
    <x v="19"/>
    <x v="0"/>
    <m/>
    <m/>
    <m/>
    <m/>
    <m/>
    <m/>
    <m/>
  </r>
  <r>
    <x v="1642"/>
    <x v="56"/>
    <n v="9639242"/>
    <x v="3003"/>
    <x v="0"/>
    <s v="USA"/>
    <n v="24000000"/>
    <x v="35"/>
    <x v="0"/>
    <s v="Romance"/>
    <m/>
    <m/>
    <m/>
    <m/>
    <m/>
    <m/>
  </r>
  <r>
    <x v="1643"/>
    <x v="68"/>
    <n v="9628751"/>
    <x v="3004"/>
    <x v="0"/>
    <s v="USA"/>
    <n v="5000000"/>
    <x v="1"/>
    <x v="4"/>
    <s v="Adventure"/>
    <s v="Animation"/>
    <s v="Family"/>
    <s v="Sci-Fi"/>
    <m/>
    <m/>
    <m/>
  </r>
  <r>
    <x v="851"/>
    <x v="7"/>
    <n v="9600000"/>
    <x v="3005"/>
    <x v="0"/>
    <s v="USA"/>
    <n v="910000"/>
    <x v="40"/>
    <x v="5"/>
    <s v="Drama"/>
    <s v="Romance"/>
    <m/>
    <m/>
    <m/>
    <m/>
    <m/>
  </r>
  <r>
    <x v="301"/>
    <x v="19"/>
    <n v="9589875"/>
    <x v="3006"/>
    <x v="0"/>
    <s v="USA"/>
    <n v="40000000"/>
    <x v="4"/>
    <x v="6"/>
    <s v="Drama"/>
    <s v="Sport"/>
    <m/>
    <m/>
    <m/>
    <m/>
    <m/>
  </r>
  <r>
    <x v="168"/>
    <x v="7"/>
    <n v="9528092"/>
    <x v="3007"/>
    <x v="0"/>
    <s v="USA"/>
    <n v="22000000"/>
    <x v="9"/>
    <x v="6"/>
    <s v="Drama"/>
    <s v="Thriller"/>
    <m/>
    <m/>
    <m/>
    <m/>
    <m/>
  </r>
  <r>
    <x v="44"/>
    <x v="11"/>
    <n v="9525276"/>
    <x v="3008"/>
    <x v="0"/>
    <s v="USA"/>
    <n v="20000000"/>
    <x v="9"/>
    <x v="4"/>
    <s v="Crime"/>
    <s v="Thriller"/>
    <m/>
    <m/>
    <m/>
    <m/>
    <m/>
  </r>
  <r>
    <x v="672"/>
    <x v="22"/>
    <n v="9483821"/>
    <x v="3009"/>
    <x v="0"/>
    <s v="USA"/>
    <n v="55000000"/>
    <x v="21"/>
    <x v="4"/>
    <s v="Thriller"/>
    <m/>
    <m/>
    <m/>
    <m/>
    <m/>
    <m/>
  </r>
  <r>
    <x v="1644"/>
    <x v="19"/>
    <n v="9473382"/>
    <x v="3010"/>
    <x v="1"/>
    <s v="Canada"/>
    <n v="10000000"/>
    <x v="5"/>
    <x v="3"/>
    <s v="Music"/>
    <s v="Mystery"/>
    <s v="Romance"/>
    <m/>
    <m/>
    <m/>
    <m/>
  </r>
  <r>
    <x v="777"/>
    <x v="49"/>
    <n v="9449219"/>
    <x v="3011"/>
    <x v="0"/>
    <s v="USA"/>
    <n v="3500000"/>
    <x v="0"/>
    <x v="0"/>
    <s v="Drama"/>
    <s v="Romance"/>
    <m/>
    <m/>
    <m/>
    <m/>
    <m/>
  </r>
  <r>
    <x v="1495"/>
    <x v="63"/>
    <n v="9437933"/>
    <x v="3012"/>
    <x v="0"/>
    <s v="Ireland"/>
    <n v="180000"/>
    <x v="12"/>
    <x v="3"/>
    <s v="Music"/>
    <s v="Romance"/>
    <m/>
    <m/>
    <m/>
    <m/>
    <m/>
  </r>
  <r>
    <x v="33"/>
    <x v="1"/>
    <n v="9430988"/>
    <x v="3013"/>
    <x v="0"/>
    <s v="USA"/>
    <n v="17000000"/>
    <x v="6"/>
    <x v="0"/>
    <s v="Drama"/>
    <s v="Romance"/>
    <m/>
    <m/>
    <m/>
    <m/>
    <m/>
  </r>
  <r>
    <x v="1645"/>
    <x v="89"/>
    <n v="9402410"/>
    <x v="3014"/>
    <x v="0"/>
    <s v="USA"/>
    <n v="14000000"/>
    <x v="18"/>
    <x v="2"/>
    <s v="Comedy"/>
    <m/>
    <m/>
    <m/>
    <m/>
    <m/>
    <m/>
  </r>
  <r>
    <x v="1392"/>
    <x v="12"/>
    <n v="9396487"/>
    <x v="3015"/>
    <x v="0"/>
    <s v="USA"/>
    <n v="15000000"/>
    <x v="14"/>
    <x v="3"/>
    <s v="Music"/>
    <m/>
    <m/>
    <m/>
    <m/>
    <m/>
    <m/>
  </r>
  <r>
    <x v="372"/>
    <x v="41"/>
    <n v="9353573"/>
    <x v="3016"/>
    <x v="0"/>
    <s v="USA"/>
    <n v="45000000"/>
    <x v="51"/>
    <x v="4"/>
    <s v="Adventure"/>
    <s v="Fantasy"/>
    <s v="Sci-Fi"/>
    <s v="Thriller"/>
    <m/>
    <m/>
    <m/>
  </r>
  <r>
    <x v="1427"/>
    <x v="60"/>
    <n v="9286314"/>
    <x v="3017"/>
    <x v="0"/>
    <s v="USA"/>
    <n v="17000000"/>
    <x v="1"/>
    <x v="4"/>
    <s v="Crime"/>
    <s v="Drama"/>
    <s v="Thriller"/>
    <m/>
    <m/>
    <m/>
    <m/>
  </r>
  <r>
    <x v="159"/>
    <x v="4"/>
    <n v="9203192"/>
    <x v="3018"/>
    <x v="0"/>
    <s v="USA"/>
    <n v="5000000"/>
    <x v="9"/>
    <x v="0"/>
    <s v="Crime"/>
    <s v="Drama"/>
    <m/>
    <m/>
    <m/>
    <m/>
    <m/>
  </r>
  <r>
    <x v="214"/>
    <x v="40"/>
    <n v="9190525"/>
    <x v="3019"/>
    <x v="0"/>
    <s v="USA"/>
    <n v="7000000"/>
    <x v="14"/>
    <x v="0"/>
    <s v="Drama"/>
    <m/>
    <m/>
    <m/>
    <m/>
    <m/>
    <m/>
  </r>
  <r>
    <x v="1646"/>
    <x v="11"/>
    <n v="9180275"/>
    <x v="3020"/>
    <x v="0"/>
    <s v="USA"/>
    <n v="1200000"/>
    <x v="5"/>
    <x v="3"/>
    <m/>
    <m/>
    <m/>
    <m/>
    <m/>
    <m/>
    <m/>
  </r>
  <r>
    <x v="1647"/>
    <x v="41"/>
    <n v="9176553"/>
    <x v="3021"/>
    <x v="0"/>
    <s v="USA"/>
    <n v="7500000"/>
    <x v="6"/>
    <x v="3"/>
    <s v="Mystery"/>
    <m/>
    <m/>
    <m/>
    <m/>
    <m/>
    <m/>
  </r>
  <r>
    <x v="461"/>
    <x v="7"/>
    <n v="9172810"/>
    <x v="3022"/>
    <x v="0"/>
    <s v="USA"/>
    <n v="16000000"/>
    <x v="15"/>
    <x v="6"/>
    <s v="Drama"/>
    <s v="History"/>
    <s v="Thriller"/>
    <s v="War"/>
    <m/>
    <m/>
    <m/>
  </r>
  <r>
    <x v="172"/>
    <x v="36"/>
    <n v="9170214"/>
    <x v="3023"/>
    <x v="0"/>
    <s v="USA"/>
    <n v="11000000"/>
    <x v="22"/>
    <x v="3"/>
    <s v="Romance"/>
    <m/>
    <m/>
    <m/>
    <m/>
    <m/>
    <m/>
  </r>
  <r>
    <x v="1648"/>
    <x v="4"/>
    <n v="9166863"/>
    <x v="3024"/>
    <x v="0"/>
    <s v="USA"/>
    <n v="7000000"/>
    <x v="17"/>
    <x v="3"/>
    <s v="Romance"/>
    <m/>
    <m/>
    <m/>
    <m/>
    <m/>
    <m/>
  </r>
  <r>
    <x v="1649"/>
    <x v="13"/>
    <n v="9123834"/>
    <x v="3025"/>
    <x v="0"/>
    <s v="USA"/>
    <n v="15000000"/>
    <x v="48"/>
    <x v="0"/>
    <s v="Romance"/>
    <m/>
    <m/>
    <m/>
    <m/>
    <m/>
    <m/>
  </r>
  <r>
    <x v="26"/>
    <x v="60"/>
    <n v="9109322"/>
    <x v="3026"/>
    <x v="0"/>
    <s v="Germany"/>
    <n v="20000000"/>
    <x v="72"/>
    <x v="0"/>
    <s v="Family"/>
    <s v="Sci-Fi"/>
    <m/>
    <m/>
    <m/>
    <m/>
    <m/>
  </r>
  <r>
    <x v="1191"/>
    <x v="18"/>
    <n v="9094451"/>
    <x v="3027"/>
    <x v="0"/>
    <s v="USA"/>
    <n v="7000000"/>
    <x v="8"/>
    <x v="4"/>
    <s v="Fantasy"/>
    <s v="Horror"/>
    <s v="Thriller"/>
    <m/>
    <m/>
    <m/>
    <m/>
  </r>
  <r>
    <x v="375"/>
    <x v="36"/>
    <n v="9059588"/>
    <x v="3028"/>
    <x v="0"/>
    <s v="USA"/>
    <n v="15000000"/>
    <x v="24"/>
    <x v="5"/>
    <s v="Drama"/>
    <s v="Romance"/>
    <s v="Thriller"/>
    <m/>
    <m/>
    <m/>
    <m/>
  </r>
  <r>
    <x v="1650"/>
    <x v="8"/>
    <n v="9054736"/>
    <x v="3029"/>
    <x v="0"/>
    <s v="USA"/>
    <n v="2700000"/>
    <x v="6"/>
    <x v="3"/>
    <m/>
    <m/>
    <m/>
    <m/>
    <m/>
    <m/>
    <m/>
  </r>
  <r>
    <x v="1651"/>
    <x v="20"/>
    <n v="9030581"/>
    <x v="3030"/>
    <x v="0"/>
    <s v="UK"/>
    <n v="12500000"/>
    <x v="22"/>
    <x v="3"/>
    <s v="War"/>
    <m/>
    <m/>
    <m/>
    <m/>
    <m/>
    <m/>
  </r>
  <r>
    <x v="1441"/>
    <x v="20"/>
    <n v="9016377"/>
    <x v="3031"/>
    <x v="0"/>
    <s v="USA"/>
    <n v="39751583.5"/>
    <x v="34"/>
    <x v="0"/>
    <m/>
    <m/>
    <m/>
    <m/>
    <m/>
    <m/>
    <m/>
  </r>
  <r>
    <x v="1652"/>
    <x v="18"/>
    <n v="9013113"/>
    <x v="3032"/>
    <x v="0"/>
    <s v="USA"/>
    <n v="1000000"/>
    <x v="7"/>
    <x v="2"/>
    <s v="Comedy"/>
    <s v="Drama"/>
    <m/>
    <m/>
    <m/>
    <m/>
    <m/>
  </r>
  <r>
    <x v="785"/>
    <x v="54"/>
    <n v="9003011"/>
    <x v="3033"/>
    <x v="0"/>
    <s v="Australia"/>
    <n v="2000000"/>
    <x v="17"/>
    <x v="4"/>
    <s v="Adventure"/>
    <s v="Sci-Fi"/>
    <s v="Thriller"/>
    <m/>
    <m/>
    <m/>
    <m/>
  </r>
  <r>
    <x v="1653"/>
    <x v="17"/>
    <n v="9000000"/>
    <x v="3034"/>
    <x v="0"/>
    <s v="USA"/>
    <n v="900000"/>
    <x v="8"/>
    <x v="0"/>
    <s v="Drama"/>
    <s v="Music"/>
    <m/>
    <m/>
    <m/>
    <m/>
    <m/>
  </r>
  <r>
    <x v="1654"/>
    <x v="28"/>
    <n v="8888355"/>
    <x v="3035"/>
    <x v="0"/>
    <s v="USA"/>
    <n v="20000000"/>
    <x v="38"/>
    <x v="3"/>
    <s v="Music"/>
    <m/>
    <m/>
    <m/>
    <m/>
    <m/>
    <m/>
  </r>
  <r>
    <x v="222"/>
    <x v="5"/>
    <n v="8888143"/>
    <x v="3036"/>
    <x v="0"/>
    <s v="Canada"/>
    <n v="28000000"/>
    <x v="15"/>
    <x v="0"/>
    <s v="Drama"/>
    <s v="Sport"/>
    <m/>
    <m/>
    <m/>
    <m/>
    <m/>
  </r>
  <r>
    <x v="1655"/>
    <x v="28"/>
    <n v="8880705"/>
    <x v="3037"/>
    <x v="0"/>
    <s v="USA"/>
    <n v="39751583.5"/>
    <x v="20"/>
    <x v="0"/>
    <s v="Drama"/>
    <s v="Romance"/>
    <m/>
    <m/>
    <m/>
    <m/>
    <m/>
  </r>
  <r>
    <x v="314"/>
    <x v="4"/>
    <n v="8855646"/>
    <x v="3038"/>
    <x v="0"/>
    <s v="USA"/>
    <n v="21000000"/>
    <x v="11"/>
    <x v="2"/>
    <s v="Drama"/>
    <m/>
    <m/>
    <m/>
    <m/>
    <m/>
    <m/>
  </r>
  <r>
    <x v="1656"/>
    <x v="20"/>
    <n v="8828771"/>
    <x v="3039"/>
    <x v="0"/>
    <s v="USA"/>
    <n v="6000000"/>
    <x v="49"/>
    <x v="0"/>
    <m/>
    <m/>
    <m/>
    <m/>
    <m/>
    <m/>
    <m/>
  </r>
  <r>
    <x v="1657"/>
    <x v="22"/>
    <n v="8786715"/>
    <x v="3040"/>
    <x v="0"/>
    <s v="USA"/>
    <n v="5000000"/>
    <x v="26"/>
    <x v="0"/>
    <s v="Drama"/>
    <m/>
    <m/>
    <m/>
    <m/>
    <m/>
    <m/>
  </r>
  <r>
    <x v="351"/>
    <x v="49"/>
    <n v="8742261"/>
    <x v="3041"/>
    <x v="0"/>
    <s v="Canada"/>
    <n v="18000000"/>
    <x v="32"/>
    <x v="4"/>
    <s v="Crime"/>
    <s v="Drama"/>
    <s v="Mystery"/>
    <s v="Thriller"/>
    <m/>
    <m/>
    <m/>
  </r>
  <r>
    <x v="1441"/>
    <x v="20"/>
    <n v="8735529"/>
    <x v="3042"/>
    <x v="0"/>
    <s v="USA"/>
    <n v="15000000"/>
    <x v="3"/>
    <x v="0"/>
    <s v="Drama"/>
    <s v="Romance"/>
    <m/>
    <m/>
    <m/>
    <m/>
    <m/>
  </r>
  <r>
    <x v="1658"/>
    <x v="4"/>
    <n v="8712564"/>
    <x v="3043"/>
    <x v="0"/>
    <s v="USA"/>
    <n v="27000000"/>
    <x v="1"/>
    <x v="5"/>
    <s v="Drama"/>
    <s v="Mystery"/>
    <s v="Thriller"/>
    <m/>
    <m/>
    <m/>
    <m/>
  </r>
  <r>
    <x v="20"/>
    <x v="1"/>
    <n v="8662318"/>
    <x v="3044"/>
    <x v="0"/>
    <s v="USA"/>
    <n v="17000000"/>
    <x v="1"/>
    <x v="0"/>
    <s v="Romance"/>
    <m/>
    <m/>
    <m/>
    <m/>
    <m/>
    <m/>
  </r>
  <r>
    <x v="307"/>
    <x v="33"/>
    <n v="8600000"/>
    <x v="3045"/>
    <x v="0"/>
    <s v="UK"/>
    <n v="25000000"/>
    <x v="14"/>
    <x v="4"/>
    <s v="Adventure"/>
    <s v="Drama"/>
    <s v="History"/>
    <s v="Romance"/>
    <m/>
    <m/>
    <m/>
  </r>
  <r>
    <x v="1428"/>
    <x v="57"/>
    <n v="8596914"/>
    <x v="3046"/>
    <x v="0"/>
    <s v="USA"/>
    <n v="6000000"/>
    <x v="14"/>
    <x v="6"/>
    <s v="Drama"/>
    <m/>
    <m/>
    <m/>
    <m/>
    <m/>
    <m/>
  </r>
  <r>
    <x v="1659"/>
    <x v="0"/>
    <n v="8586376"/>
    <x v="3047"/>
    <x v="0"/>
    <s v="USA"/>
    <n v="20000000"/>
    <x v="35"/>
    <x v="0"/>
    <m/>
    <m/>
    <m/>
    <m/>
    <m/>
    <m/>
    <m/>
  </r>
  <r>
    <x v="235"/>
    <x v="54"/>
    <n v="8579684"/>
    <x v="3048"/>
    <x v="0"/>
    <s v="USA"/>
    <n v="9000000"/>
    <x v="7"/>
    <x v="0"/>
    <m/>
    <m/>
    <m/>
    <m/>
    <m/>
    <m/>
    <m/>
  </r>
  <r>
    <x v="172"/>
    <x v="7"/>
    <n v="8535575"/>
    <x v="3049"/>
    <x v="0"/>
    <s v="USA"/>
    <n v="30000000"/>
    <x v="14"/>
    <x v="3"/>
    <m/>
    <m/>
    <m/>
    <m/>
    <m/>
    <m/>
    <m/>
  </r>
  <r>
    <x v="1660"/>
    <x v="51"/>
    <n v="8508843"/>
    <x v="3050"/>
    <x v="0"/>
    <s v="USA"/>
    <n v="18000000"/>
    <x v="3"/>
    <x v="2"/>
    <s v="Comedy"/>
    <m/>
    <m/>
    <m/>
    <m/>
    <m/>
    <m/>
  </r>
  <r>
    <x v="1661"/>
    <x v="1"/>
    <n v="8500000"/>
    <x v="3051"/>
    <x v="0"/>
    <s v="USA"/>
    <n v="20000000"/>
    <x v="18"/>
    <x v="0"/>
    <m/>
    <m/>
    <m/>
    <m/>
    <m/>
    <m/>
    <m/>
  </r>
  <r>
    <x v="1662"/>
    <x v="13"/>
    <n v="8460995"/>
    <x v="3052"/>
    <x v="0"/>
    <s v="USA"/>
    <n v="10000000"/>
    <x v="3"/>
    <x v="4"/>
    <s v="Comedy"/>
    <s v="Romance"/>
    <m/>
    <m/>
    <m/>
    <m/>
    <m/>
  </r>
  <r>
    <x v="1663"/>
    <x v="60"/>
    <n v="8460990"/>
    <x v="3053"/>
    <x v="0"/>
    <s v="USA"/>
    <n v="70000000"/>
    <x v="37"/>
    <x v="2"/>
    <s v="Animation"/>
    <s v="Family"/>
    <s v="Fantasy"/>
    <s v="Musical"/>
    <m/>
    <m/>
    <m/>
  </r>
  <r>
    <x v="1077"/>
    <x v="1"/>
    <n v="8434601"/>
    <x v="3054"/>
    <x v="0"/>
    <s v="USA"/>
    <n v="28000000"/>
    <x v="35"/>
    <x v="4"/>
    <s v="Horror"/>
    <s v="Sci-Fi"/>
    <m/>
    <m/>
    <m/>
    <m/>
    <m/>
  </r>
  <r>
    <x v="375"/>
    <x v="55"/>
    <n v="8427204"/>
    <x v="3055"/>
    <x v="0"/>
    <s v="USA"/>
    <n v="24000000"/>
    <x v="18"/>
    <x v="0"/>
    <s v="Drama"/>
    <s v="Sport"/>
    <m/>
    <m/>
    <m/>
    <m/>
    <m/>
  </r>
  <r>
    <x v="282"/>
    <x v="55"/>
    <n v="8406264"/>
    <x v="3056"/>
    <x v="0"/>
    <s v="USA"/>
    <n v="38000000"/>
    <x v="27"/>
    <x v="0"/>
    <s v="Drama"/>
    <s v="Romance"/>
    <m/>
    <m/>
    <m/>
    <m/>
    <m/>
  </r>
  <r>
    <x v="366"/>
    <x v="2"/>
    <n v="8396942"/>
    <x v="3057"/>
    <x v="0"/>
    <s v="USA"/>
    <n v="19000000"/>
    <x v="20"/>
    <x v="2"/>
    <s v="Comedy"/>
    <s v="Romance"/>
    <m/>
    <m/>
    <m/>
    <m/>
    <m/>
  </r>
  <r>
    <x v="645"/>
    <x v="0"/>
    <n v="8378141"/>
    <x v="3058"/>
    <x v="0"/>
    <s v="UK"/>
    <n v="15000000"/>
    <x v="26"/>
    <x v="0"/>
    <s v="Drama"/>
    <s v="Romance"/>
    <m/>
    <m/>
    <m/>
    <m/>
    <m/>
  </r>
  <r>
    <x v="180"/>
    <x v="156"/>
    <n v="8373585"/>
    <x v="3059"/>
    <x v="0"/>
    <s v="USA"/>
    <n v="7000000"/>
    <x v="17"/>
    <x v="3"/>
    <m/>
    <m/>
    <m/>
    <m/>
    <m/>
    <m/>
    <m/>
  </r>
  <r>
    <x v="1363"/>
    <x v="17"/>
    <n v="8355815"/>
    <x v="3060"/>
    <x v="0"/>
    <s v="UK"/>
    <n v="55000000"/>
    <x v="16"/>
    <x v="0"/>
    <s v="Crime"/>
    <s v="Drama"/>
    <s v="Thriller"/>
    <m/>
    <m/>
    <m/>
    <m/>
  </r>
  <r>
    <x v="90"/>
    <x v="39"/>
    <n v="8326035"/>
    <x v="3061"/>
    <x v="0"/>
    <s v="Germany"/>
    <n v="33000000"/>
    <x v="3"/>
    <x v="4"/>
    <s v="Comedy"/>
    <s v="Crime"/>
    <m/>
    <m/>
    <m/>
    <m/>
    <m/>
  </r>
  <r>
    <x v="1321"/>
    <x v="38"/>
    <n v="8324748"/>
    <x v="3062"/>
    <x v="0"/>
    <s v="UK"/>
    <n v="35000000"/>
    <x v="6"/>
    <x v="6"/>
    <s v="Drama"/>
    <s v="History"/>
    <m/>
    <m/>
    <m/>
    <m/>
    <m/>
  </r>
  <r>
    <x v="1658"/>
    <x v="22"/>
    <n v="8279017"/>
    <x v="3063"/>
    <x v="0"/>
    <s v="UK"/>
    <n v="8000000"/>
    <x v="26"/>
    <x v="3"/>
    <s v="Horror"/>
    <m/>
    <m/>
    <m/>
    <m/>
    <m/>
    <m/>
  </r>
  <r>
    <x v="1664"/>
    <x v="43"/>
    <n v="8243880"/>
    <x v="3064"/>
    <x v="0"/>
    <s v="USA"/>
    <n v="3200000"/>
    <x v="14"/>
    <x v="5"/>
    <s v="Drama"/>
    <s v="Fantasy"/>
    <s v="Romance"/>
    <m/>
    <m/>
    <m/>
    <m/>
  </r>
  <r>
    <x v="1665"/>
    <x v="17"/>
    <n v="8134217"/>
    <x v="3065"/>
    <x v="0"/>
    <s v="USA"/>
    <n v="12000000"/>
    <x v="14"/>
    <x v="6"/>
    <s v="Drama"/>
    <s v="Music"/>
    <m/>
    <m/>
    <m/>
    <m/>
    <m/>
  </r>
  <r>
    <x v="645"/>
    <x v="43"/>
    <n v="8129455"/>
    <x v="3066"/>
    <x v="0"/>
    <s v="USA"/>
    <n v="45000000"/>
    <x v="2"/>
    <x v="4"/>
    <s v="Adventure"/>
    <s v="Comedy"/>
    <s v="Crime"/>
    <m/>
    <m/>
    <m/>
    <m/>
  </r>
  <r>
    <x v="176"/>
    <x v="56"/>
    <n v="8119205"/>
    <x v="3067"/>
    <x v="0"/>
    <s v="USA"/>
    <n v="28000000"/>
    <x v="18"/>
    <x v="0"/>
    <s v="Family"/>
    <s v="Fantasy"/>
    <m/>
    <m/>
    <m/>
    <m/>
    <m/>
  </r>
  <r>
    <x v="159"/>
    <x v="17"/>
    <n v="8114507"/>
    <x v="3068"/>
    <x v="0"/>
    <s v="USA"/>
    <n v="3000000"/>
    <x v="12"/>
    <x v="3"/>
    <s v="Romance"/>
    <m/>
    <m/>
    <m/>
    <m/>
    <m/>
    <m/>
  </r>
  <r>
    <x v="346"/>
    <x v="0"/>
    <n v="8111360"/>
    <x v="3069"/>
    <x v="0"/>
    <s v="UK"/>
    <n v="10000000"/>
    <x v="7"/>
    <x v="5"/>
    <s v="Drama"/>
    <s v="Thriller"/>
    <m/>
    <m/>
    <m/>
    <m/>
    <m/>
  </r>
  <r>
    <x v="1666"/>
    <x v="50"/>
    <n v="8108247"/>
    <x v="3070"/>
    <x v="0"/>
    <s v="USA"/>
    <n v="3300000"/>
    <x v="7"/>
    <x v="3"/>
    <s v="Romance"/>
    <m/>
    <m/>
    <m/>
    <m/>
    <m/>
    <m/>
  </r>
  <r>
    <x v="90"/>
    <x v="50"/>
    <n v="8104069"/>
    <x v="3071"/>
    <x v="0"/>
    <s v="USA"/>
    <n v="20000000"/>
    <x v="36"/>
    <x v="4"/>
    <s v="Comedy"/>
    <s v="Crime"/>
    <m/>
    <m/>
    <m/>
    <m/>
    <m/>
  </r>
  <r>
    <x v="1141"/>
    <x v="91"/>
    <n v="8093318"/>
    <x v="3072"/>
    <x v="0"/>
    <s v="USA"/>
    <n v="20000000"/>
    <x v="15"/>
    <x v="0"/>
    <s v="Crime"/>
    <s v="Drama"/>
    <s v="Mystery"/>
    <s v="Romance"/>
    <m/>
    <m/>
    <m/>
  </r>
  <r>
    <x v="1667"/>
    <x v="50"/>
    <n v="8080116"/>
    <x v="3073"/>
    <x v="0"/>
    <s v="USA"/>
    <n v="15000000"/>
    <x v="37"/>
    <x v="2"/>
    <s v="Comedy"/>
    <s v="Family"/>
    <m/>
    <m/>
    <m/>
    <m/>
    <m/>
  </r>
  <r>
    <x v="1602"/>
    <x v="56"/>
    <n v="8070311"/>
    <x v="3074"/>
    <x v="0"/>
    <s v="USA"/>
    <n v="10000000"/>
    <x v="48"/>
    <x v="0"/>
    <s v="Romance"/>
    <m/>
    <m/>
    <m/>
    <m/>
    <m/>
    <m/>
  </r>
  <r>
    <x v="1668"/>
    <x v="7"/>
    <n v="8054280"/>
    <x v="3075"/>
    <x v="0"/>
    <s v="USA"/>
    <n v="20000000"/>
    <x v="2"/>
    <x v="0"/>
    <s v="Crime"/>
    <s v="Music"/>
    <m/>
    <m/>
    <m/>
    <m/>
    <m/>
  </r>
  <r>
    <x v="1669"/>
    <x v="65"/>
    <n v="8047690"/>
    <x v="3076"/>
    <x v="7"/>
    <s v="China"/>
    <n v="19400000"/>
    <x v="31"/>
    <x v="3"/>
    <s v="Romance"/>
    <m/>
    <m/>
    <m/>
    <m/>
    <m/>
    <m/>
  </r>
  <r>
    <x v="1670"/>
    <x v="51"/>
    <n v="8044906"/>
    <x v="3077"/>
    <x v="0"/>
    <s v="USA"/>
    <n v="39751583.5"/>
    <x v="31"/>
    <x v="10"/>
    <s v="Family"/>
    <s v="Music"/>
    <m/>
    <m/>
    <m/>
    <m/>
    <m/>
  </r>
  <r>
    <x v="1671"/>
    <x v="3"/>
    <n v="8026971"/>
    <x v="3078"/>
    <x v="0"/>
    <s v="USA"/>
    <n v="13000000"/>
    <x v="61"/>
    <x v="0"/>
    <s v="Romance"/>
    <m/>
    <m/>
    <m/>
    <m/>
    <m/>
    <m/>
  </r>
  <r>
    <x v="191"/>
    <x v="43"/>
    <n v="8025872"/>
    <x v="3079"/>
    <x v="0"/>
    <s v="USA"/>
    <n v="4700000"/>
    <x v="3"/>
    <x v="0"/>
    <s v="Horror"/>
    <m/>
    <m/>
    <m/>
    <m/>
    <m/>
    <m/>
  </r>
  <r>
    <x v="1672"/>
    <x v="168"/>
    <n v="8000000"/>
    <x v="3080"/>
    <x v="0"/>
    <s v="USA"/>
    <n v="20000000"/>
    <x v="24"/>
    <x v="6"/>
    <s v="Drama"/>
    <s v="History"/>
    <m/>
    <m/>
    <m/>
    <m/>
    <m/>
  </r>
  <r>
    <x v="1673"/>
    <x v="1"/>
    <n v="8000000"/>
    <x v="3081"/>
    <x v="0"/>
    <s v="USA"/>
    <n v="18000000"/>
    <x v="38"/>
    <x v="4"/>
    <s v="Adventure"/>
    <s v="Western"/>
    <m/>
    <m/>
    <m/>
    <m/>
    <m/>
  </r>
  <r>
    <x v="841"/>
    <x v="34"/>
    <n v="8000000"/>
    <x v="3082"/>
    <x v="0"/>
    <s v="USA"/>
    <n v="3768785"/>
    <x v="14"/>
    <x v="6"/>
    <s v="Comedy"/>
    <s v="Musical"/>
    <s v="Romance"/>
    <s v="Western"/>
    <m/>
    <m/>
    <m/>
  </r>
  <r>
    <x v="315"/>
    <x v="74"/>
    <n v="7994115"/>
    <x v="3083"/>
    <x v="0"/>
    <s v="UK"/>
    <n v="39751583.5"/>
    <x v="7"/>
    <x v="0"/>
    <s v="Drama"/>
    <s v="Music"/>
    <m/>
    <m/>
    <m/>
    <m/>
    <m/>
  </r>
  <r>
    <x v="159"/>
    <x v="30"/>
    <n v="7993039"/>
    <x v="3084"/>
    <x v="0"/>
    <s v="USA"/>
    <n v="6900000"/>
    <x v="5"/>
    <x v="0"/>
    <m/>
    <m/>
    <m/>
    <m/>
    <m/>
    <m/>
    <m/>
  </r>
  <r>
    <x v="1674"/>
    <x v="18"/>
    <n v="7948159"/>
    <x v="3085"/>
    <x v="0"/>
    <s v="USA"/>
    <n v="35000000"/>
    <x v="27"/>
    <x v="4"/>
    <s v="Crime"/>
    <s v="Drama"/>
    <s v="Thriller"/>
    <m/>
    <m/>
    <m/>
    <m/>
  </r>
  <r>
    <x v="1675"/>
    <x v="34"/>
    <n v="7918283"/>
    <x v="3086"/>
    <x v="0"/>
    <s v="USA"/>
    <n v="12000000"/>
    <x v="24"/>
    <x v="3"/>
    <s v="Thriller"/>
    <m/>
    <m/>
    <m/>
    <m/>
    <m/>
    <m/>
  </r>
  <r>
    <x v="117"/>
    <x v="163"/>
    <n v="7916887"/>
    <x v="3087"/>
    <x v="0"/>
    <s v="USA"/>
    <n v="45000000"/>
    <x v="27"/>
    <x v="4"/>
    <s v="Crime"/>
    <s v="Drama"/>
    <s v="Thriller"/>
    <s v="War"/>
    <m/>
    <m/>
    <m/>
  </r>
  <r>
    <x v="1676"/>
    <x v="13"/>
    <n v="7888703"/>
    <x v="3088"/>
    <x v="0"/>
    <s v="USA"/>
    <n v="3000000"/>
    <x v="59"/>
    <x v="0"/>
    <s v="Fantasy"/>
    <m/>
    <m/>
    <m/>
    <m/>
    <m/>
    <m/>
  </r>
  <r>
    <x v="1677"/>
    <x v="13"/>
    <n v="7881335"/>
    <x v="3089"/>
    <x v="0"/>
    <s v="USA"/>
    <n v="13000000"/>
    <x v="15"/>
    <x v="0"/>
    <s v="Crime"/>
    <s v="Thriller"/>
    <m/>
    <m/>
    <m/>
    <m/>
    <m/>
  </r>
  <r>
    <x v="217"/>
    <x v="10"/>
    <n v="7871693"/>
    <x v="3090"/>
    <x v="0"/>
    <s v="USA"/>
    <n v="55000000"/>
    <x v="20"/>
    <x v="2"/>
    <s v="Family"/>
    <s v="Fantasy"/>
    <s v="Sci-Fi"/>
    <m/>
    <m/>
    <m/>
    <m/>
  </r>
  <r>
    <x v="146"/>
    <x v="48"/>
    <n v="7837632"/>
    <x v="3091"/>
    <x v="0"/>
    <s v="USA"/>
    <n v="18000000"/>
    <x v="31"/>
    <x v="3"/>
    <m/>
    <m/>
    <m/>
    <m/>
    <m/>
    <m/>
    <m/>
  </r>
  <r>
    <x v="1678"/>
    <x v="76"/>
    <n v="7830611"/>
    <x v="3092"/>
    <x v="0"/>
    <s v="USA"/>
    <n v="700000"/>
    <x v="25"/>
    <x v="10"/>
    <s v="Drama"/>
    <s v="Sport"/>
    <m/>
    <m/>
    <m/>
    <m/>
    <m/>
  </r>
  <r>
    <x v="1679"/>
    <x v="81"/>
    <n v="7825820"/>
    <x v="3093"/>
    <x v="0"/>
    <s v="USA"/>
    <n v="4000000"/>
    <x v="1"/>
    <x v="5"/>
    <s v="Mystery"/>
    <s v="Thriller"/>
    <m/>
    <m/>
    <m/>
    <m/>
    <m/>
  </r>
  <r>
    <x v="1680"/>
    <x v="13"/>
    <n v="7774730"/>
    <x v="3094"/>
    <x v="0"/>
    <s v="Canada"/>
    <n v="15500000"/>
    <x v="20"/>
    <x v="0"/>
    <s v="Horror"/>
    <s v="Sci-Fi"/>
    <m/>
    <m/>
    <m/>
    <m/>
    <m/>
  </r>
  <r>
    <x v="1681"/>
    <x v="56"/>
    <n v="7764027"/>
    <x v="3095"/>
    <x v="0"/>
    <s v="USA"/>
    <n v="10000000"/>
    <x v="15"/>
    <x v="0"/>
    <s v="Drama"/>
    <m/>
    <m/>
    <m/>
    <m/>
    <m/>
    <m/>
  </r>
  <r>
    <x v="1529"/>
    <x v="34"/>
    <n v="7757130"/>
    <x v="3096"/>
    <x v="0"/>
    <s v="UK"/>
    <n v="15000000"/>
    <x v="13"/>
    <x v="0"/>
    <s v="Crime"/>
    <s v="Drama"/>
    <m/>
    <m/>
    <m/>
    <m/>
    <m/>
  </r>
  <r>
    <x v="1682"/>
    <x v="44"/>
    <n v="7739049"/>
    <x v="3097"/>
    <x v="0"/>
    <s v="Canada"/>
    <n v="18000000"/>
    <x v="6"/>
    <x v="0"/>
    <s v="Drama"/>
    <s v="Romance"/>
    <m/>
    <m/>
    <m/>
    <m/>
    <m/>
  </r>
  <r>
    <x v="1683"/>
    <x v="48"/>
    <n v="7707563"/>
    <x v="3098"/>
    <x v="0"/>
    <s v="USA"/>
    <n v="39751583.5"/>
    <x v="13"/>
    <x v="6"/>
    <s v="Documentary"/>
    <s v="Music"/>
    <m/>
    <m/>
    <m/>
    <m/>
    <m/>
  </r>
  <r>
    <x v="1247"/>
    <x v="56"/>
    <n v="7705974"/>
    <x v="3099"/>
    <x v="0"/>
    <s v="USA"/>
    <n v="39751583.5"/>
    <x v="31"/>
    <x v="0"/>
    <s v="Documentary"/>
    <m/>
    <m/>
    <m/>
    <m/>
    <m/>
    <m/>
  </r>
  <r>
    <x v="1684"/>
    <x v="11"/>
    <n v="7691700"/>
    <x v="3100"/>
    <x v="1"/>
    <s v="France"/>
    <n v="10000000"/>
    <x v="31"/>
    <x v="3"/>
    <s v="War"/>
    <m/>
    <m/>
    <m/>
    <m/>
    <m/>
    <m/>
  </r>
  <r>
    <x v="1121"/>
    <x v="21"/>
    <n v="7689458"/>
    <x v="3101"/>
    <x v="0"/>
    <s v="UK"/>
    <n v="40000000"/>
    <x v="9"/>
    <x v="2"/>
    <s v="Fantasy"/>
    <s v="Mystery"/>
    <m/>
    <m/>
    <m/>
    <m/>
    <m/>
  </r>
  <r>
    <x v="77"/>
    <x v="30"/>
    <n v="7659747"/>
    <x v="3102"/>
    <x v="0"/>
    <s v="USA"/>
    <n v="38000000"/>
    <x v="33"/>
    <x v="4"/>
    <s v="Mystery"/>
    <s v="Thriller"/>
    <m/>
    <m/>
    <m/>
    <m/>
    <m/>
  </r>
  <r>
    <x v="1069"/>
    <x v="34"/>
    <n v="7605668"/>
    <x v="3103"/>
    <x v="0"/>
    <s v="UK"/>
    <n v="60000000"/>
    <x v="3"/>
    <x v="4"/>
    <s v="Comedy"/>
    <s v="Mystery"/>
    <s v="Romance"/>
    <m/>
    <m/>
    <m/>
    <m/>
  </r>
  <r>
    <x v="1685"/>
    <x v="0"/>
    <n v="7574066"/>
    <x v="3104"/>
    <x v="0"/>
    <s v="USA"/>
    <n v="10000000"/>
    <x v="2"/>
    <x v="0"/>
    <s v="Drama"/>
    <m/>
    <m/>
    <m/>
    <m/>
    <m/>
    <m/>
  </r>
  <r>
    <x v="426"/>
    <x v="34"/>
    <n v="7564000"/>
    <x v="3105"/>
    <x v="0"/>
    <s v="USA"/>
    <n v="20000000"/>
    <x v="8"/>
    <x v="0"/>
    <s v="Crime"/>
    <s v="Drama"/>
    <s v="Thriller"/>
    <m/>
    <m/>
    <m/>
    <m/>
  </r>
  <r>
    <x v="1686"/>
    <x v="13"/>
    <n v="7563670"/>
    <x v="3106"/>
    <x v="0"/>
    <s v="USA"/>
    <n v="10000000"/>
    <x v="34"/>
    <x v="0"/>
    <s v="Fantasy"/>
    <s v="Romance"/>
    <m/>
    <m/>
    <m/>
    <m/>
    <m/>
  </r>
  <r>
    <x v="1229"/>
    <x v="74"/>
    <n v="7563397"/>
    <x v="3107"/>
    <x v="17"/>
    <s v="Brazil"/>
    <n v="3300000"/>
    <x v="54"/>
    <x v="5"/>
    <s v="Drama"/>
    <m/>
    <m/>
    <m/>
    <m/>
    <m/>
    <m/>
  </r>
  <r>
    <x v="1687"/>
    <x v="68"/>
    <n v="7557877"/>
    <x v="3108"/>
    <x v="0"/>
    <s v="USA"/>
    <n v="39751583.5"/>
    <x v="28"/>
    <x v="0"/>
    <s v="Crime"/>
    <m/>
    <m/>
    <m/>
    <m/>
    <m/>
    <m/>
  </r>
  <r>
    <x v="395"/>
    <x v="40"/>
    <n v="7556708"/>
    <x v="3109"/>
    <x v="0"/>
    <s v="USA"/>
    <n v="15000000"/>
    <x v="24"/>
    <x v="3"/>
    <m/>
    <m/>
    <m/>
    <m/>
    <m/>
    <m/>
    <m/>
  </r>
  <r>
    <x v="1688"/>
    <x v="111"/>
    <n v="7518876"/>
    <x v="3110"/>
    <x v="0"/>
    <s v="UK"/>
    <n v="6000000"/>
    <x v="20"/>
    <x v="2"/>
    <s v="Documentary"/>
    <s v="Short"/>
    <m/>
    <m/>
    <m/>
    <m/>
    <m/>
  </r>
  <r>
    <x v="1689"/>
    <x v="16"/>
    <n v="7501404"/>
    <x v="3111"/>
    <x v="0"/>
    <s v="Canada"/>
    <n v="39751583.5"/>
    <x v="4"/>
    <x v="0"/>
    <s v="Drama"/>
    <m/>
    <m/>
    <m/>
    <m/>
    <m/>
    <m/>
  </r>
  <r>
    <x v="335"/>
    <x v="18"/>
    <n v="7496522"/>
    <x v="3112"/>
    <x v="0"/>
    <s v="USA"/>
    <n v="26000000"/>
    <x v="9"/>
    <x v="0"/>
    <s v="Crime"/>
    <s v="Mystery"/>
    <s v="Romance"/>
    <m/>
    <m/>
    <m/>
    <m/>
  </r>
  <r>
    <x v="1690"/>
    <x v="40"/>
    <n v="7486906"/>
    <x v="3113"/>
    <x v="0"/>
    <s v="USA"/>
    <n v="27000000"/>
    <x v="9"/>
    <x v="0"/>
    <s v="Drama"/>
    <s v="Family"/>
    <m/>
    <m/>
    <m/>
    <m/>
    <m/>
  </r>
  <r>
    <x v="182"/>
    <x v="24"/>
    <n v="7458269"/>
    <x v="3114"/>
    <x v="0"/>
    <s v="USA"/>
    <n v="35000000"/>
    <x v="26"/>
    <x v="0"/>
    <s v="Drama"/>
    <s v="Romance"/>
    <m/>
    <m/>
    <m/>
    <m/>
    <m/>
  </r>
  <r>
    <x v="1691"/>
    <x v="50"/>
    <n v="7455447"/>
    <x v="3115"/>
    <x v="0"/>
    <s v="USA"/>
    <n v="7000000"/>
    <x v="2"/>
    <x v="0"/>
    <s v="Drama"/>
    <s v="Romance"/>
    <m/>
    <m/>
    <m/>
    <m/>
    <m/>
  </r>
  <r>
    <x v="146"/>
    <x v="35"/>
    <n v="7443007"/>
    <x v="3116"/>
    <x v="0"/>
    <s v="USA"/>
    <n v="30000000"/>
    <x v="15"/>
    <x v="0"/>
    <s v="Drama"/>
    <s v="Music"/>
    <m/>
    <m/>
    <m/>
    <m/>
    <m/>
  </r>
  <r>
    <x v="1342"/>
    <x v="1"/>
    <n v="7434726"/>
    <x v="3117"/>
    <x v="0"/>
    <s v="USA"/>
    <n v="23000000"/>
    <x v="27"/>
    <x v="4"/>
    <s v="Crime"/>
    <s v="Drama"/>
    <s v="Thriller"/>
    <s v="Western"/>
    <m/>
    <m/>
    <m/>
  </r>
  <r>
    <x v="1692"/>
    <x v="50"/>
    <n v="7417210"/>
    <x v="3118"/>
    <x v="0"/>
    <s v="USA"/>
    <n v="1500000"/>
    <x v="14"/>
    <x v="3"/>
    <m/>
    <m/>
    <m/>
    <m/>
    <m/>
    <m/>
    <m/>
  </r>
  <r>
    <x v="1693"/>
    <x v="94"/>
    <n v="7382993"/>
    <x v="3119"/>
    <x v="0"/>
    <s v="USA"/>
    <n v="20000000"/>
    <x v="60"/>
    <x v="2"/>
    <s v="Animation"/>
    <s v="Comedy"/>
    <s v="Family"/>
    <s v="Fantasy"/>
    <m/>
    <m/>
    <m/>
  </r>
  <r>
    <x v="1694"/>
    <x v="1"/>
    <n v="7369373"/>
    <x v="3120"/>
    <x v="0"/>
    <s v="UK"/>
    <n v="2000000"/>
    <x v="21"/>
    <x v="1"/>
    <s v="Mystery"/>
    <s v="Thriller"/>
    <m/>
    <m/>
    <m/>
    <m/>
    <m/>
  </r>
  <r>
    <x v="1685"/>
    <x v="60"/>
    <n v="7362100"/>
    <x v="3121"/>
    <x v="0"/>
    <s v="USA"/>
    <n v="1500000"/>
    <x v="7"/>
    <x v="0"/>
    <s v="Drama"/>
    <m/>
    <m/>
    <m/>
    <m/>
    <m/>
    <m/>
  </r>
  <r>
    <x v="1695"/>
    <x v="49"/>
    <n v="7292175"/>
    <x v="3122"/>
    <x v="0"/>
    <s v="USA"/>
    <n v="7000000"/>
    <x v="16"/>
    <x v="0"/>
    <s v="Drama"/>
    <s v="Romance"/>
    <m/>
    <m/>
    <m/>
    <m/>
    <m/>
  </r>
  <r>
    <x v="714"/>
    <x v="0"/>
    <n v="7282851"/>
    <x v="3123"/>
    <x v="0"/>
    <s v="USA"/>
    <n v="3000000"/>
    <x v="20"/>
    <x v="4"/>
    <s v="Fantasy"/>
    <s v="Horror"/>
    <s v="Sci-Fi"/>
    <s v="Thriller"/>
    <m/>
    <m/>
    <m/>
  </r>
  <r>
    <x v="127"/>
    <x v="34"/>
    <n v="7268659"/>
    <x v="3124"/>
    <x v="0"/>
    <s v="Russia"/>
    <n v="20000000"/>
    <x v="37"/>
    <x v="4"/>
    <s v="Comedy"/>
    <s v="Crime"/>
    <s v="Thriller"/>
    <m/>
    <m/>
    <m/>
    <m/>
  </r>
  <r>
    <x v="1348"/>
    <x v="81"/>
    <n v="7267324"/>
    <x v="3125"/>
    <x v="6"/>
    <s v="Germany"/>
    <n v="3500000"/>
    <x v="22"/>
    <x v="5"/>
    <s v="Drama"/>
    <m/>
    <m/>
    <m/>
    <m/>
    <m/>
    <m/>
  </r>
  <r>
    <x v="227"/>
    <x v="23"/>
    <n v="7262288"/>
    <x v="3126"/>
    <x v="0"/>
    <s v="USA"/>
    <n v="40000000"/>
    <x v="20"/>
    <x v="0"/>
    <s v="Crime"/>
    <s v="Thriller"/>
    <m/>
    <m/>
    <m/>
    <m/>
    <m/>
  </r>
  <r>
    <x v="339"/>
    <x v="15"/>
    <n v="7221458"/>
    <x v="3127"/>
    <x v="0"/>
    <s v="Germany"/>
    <n v="55000000"/>
    <x v="8"/>
    <x v="3"/>
    <s v="Thriller"/>
    <m/>
    <m/>
    <m/>
    <m/>
    <m/>
    <m/>
  </r>
  <r>
    <x v="740"/>
    <x v="77"/>
    <n v="7219578"/>
    <x v="3128"/>
    <x v="0"/>
    <s v="France"/>
    <n v="15000000"/>
    <x v="13"/>
    <x v="3"/>
    <s v="Mystery"/>
    <s v="Thriller"/>
    <m/>
    <m/>
    <m/>
    <m/>
    <m/>
  </r>
  <r>
    <x v="284"/>
    <x v="41"/>
    <n v="7204138"/>
    <x v="3129"/>
    <x v="0"/>
    <s v="USA"/>
    <n v="41000000"/>
    <x v="8"/>
    <x v="0"/>
    <m/>
    <m/>
    <m/>
    <m/>
    <m/>
    <m/>
    <m/>
  </r>
  <r>
    <x v="1076"/>
    <x v="41"/>
    <n v="7186670"/>
    <x v="3130"/>
    <x v="0"/>
    <s v="USA"/>
    <n v="6000000"/>
    <x v="18"/>
    <x v="2"/>
    <s v="Horror"/>
    <m/>
    <m/>
    <m/>
    <m/>
    <m/>
    <m/>
  </r>
  <r>
    <x v="1446"/>
    <x v="51"/>
    <n v="7159147"/>
    <x v="3131"/>
    <x v="16"/>
    <s v="Spain"/>
    <n v="3400000"/>
    <x v="31"/>
    <x v="3"/>
    <s v="Mystery"/>
    <s v="Thriller"/>
    <m/>
    <m/>
    <m/>
    <m/>
    <m/>
  </r>
  <r>
    <x v="172"/>
    <x v="12"/>
    <n v="7156933"/>
    <x v="3132"/>
    <x v="0"/>
    <s v="USA"/>
    <n v="25000000"/>
    <x v="15"/>
    <x v="0"/>
    <s v="Drama"/>
    <m/>
    <m/>
    <m/>
    <m/>
    <m/>
    <m/>
  </r>
  <r>
    <x v="48"/>
    <x v="34"/>
    <n v="7156725"/>
    <x v="3133"/>
    <x v="0"/>
    <s v="USA"/>
    <n v="19000000"/>
    <x v="3"/>
    <x v="0"/>
    <s v="Music"/>
    <m/>
    <m/>
    <m/>
    <m/>
    <m/>
    <m/>
  </r>
  <r>
    <x v="117"/>
    <x v="60"/>
    <n v="7137502"/>
    <x v="3134"/>
    <x v="0"/>
    <s v="USA"/>
    <n v="175000"/>
    <x v="20"/>
    <x v="0"/>
    <s v="Romance"/>
    <m/>
    <m/>
    <m/>
    <m/>
    <m/>
    <m/>
  </r>
  <r>
    <x v="1696"/>
    <x v="21"/>
    <n v="7098492"/>
    <x v="3135"/>
    <x v="30"/>
    <s v="Iran"/>
    <n v="500000"/>
    <x v="39"/>
    <x v="3"/>
    <s v="Mystery"/>
    <m/>
    <m/>
    <m/>
    <m/>
    <m/>
    <m/>
  </r>
  <r>
    <x v="67"/>
    <x v="6"/>
    <n v="7097125"/>
    <x v="3136"/>
    <x v="0"/>
    <s v="USA"/>
    <n v="70000000"/>
    <x v="18"/>
    <x v="4"/>
    <s v="Crime"/>
    <s v="Drama"/>
    <s v="Mystery"/>
    <s v="Thriller"/>
    <m/>
    <m/>
    <m/>
  </r>
  <r>
    <x v="1697"/>
    <x v="20"/>
    <n v="7070459"/>
    <x v="3137"/>
    <x v="0"/>
    <s v="Canada"/>
    <n v="39751583.5"/>
    <x v="68"/>
    <x v="3"/>
    <m/>
    <m/>
    <m/>
    <m/>
    <m/>
    <m/>
    <m/>
  </r>
  <r>
    <x v="1402"/>
    <x v="55"/>
    <n v="7060876"/>
    <x v="3138"/>
    <x v="0"/>
    <s v="UK"/>
    <n v="13500000"/>
    <x v="7"/>
    <x v="6"/>
    <s v="Drama"/>
    <m/>
    <m/>
    <m/>
    <m/>
    <m/>
    <m/>
  </r>
  <r>
    <x v="1698"/>
    <x v="4"/>
    <n v="7059537"/>
    <x v="3139"/>
    <x v="0"/>
    <s v="USA"/>
    <n v="3000000"/>
    <x v="71"/>
    <x v="0"/>
    <m/>
    <m/>
    <m/>
    <m/>
    <m/>
    <m/>
    <m/>
  </r>
  <r>
    <x v="113"/>
    <x v="0"/>
    <n v="7022940"/>
    <x v="3140"/>
    <x v="0"/>
    <s v="USA"/>
    <n v="1000000"/>
    <x v="15"/>
    <x v="0"/>
    <s v="Drama"/>
    <s v="Romance"/>
    <m/>
    <m/>
    <m/>
    <m/>
    <m/>
  </r>
  <r>
    <x v="1532"/>
    <x v="31"/>
    <n v="7017178"/>
    <x v="3141"/>
    <x v="0"/>
    <s v="USA"/>
    <n v="17500000"/>
    <x v="45"/>
    <x v="3"/>
    <s v="Family"/>
    <s v="Music"/>
    <s v="Musical"/>
    <m/>
    <m/>
    <m/>
    <m/>
  </r>
  <r>
    <x v="436"/>
    <x v="13"/>
    <n v="7009668"/>
    <x v="3142"/>
    <x v="0"/>
    <s v="USA"/>
    <n v="5600000"/>
    <x v="76"/>
    <x v="4"/>
    <s v="Sport"/>
    <m/>
    <m/>
    <m/>
    <m/>
    <m/>
    <m/>
  </r>
  <r>
    <x v="1699"/>
    <x v="42"/>
    <n v="7002255"/>
    <x v="3143"/>
    <x v="1"/>
    <s v="France"/>
    <n v="9500000"/>
    <x v="22"/>
    <x v="7"/>
    <s v="Comedy"/>
    <s v="Drama"/>
    <m/>
    <m/>
    <m/>
    <m/>
    <m/>
  </r>
  <r>
    <x v="3"/>
    <x v="39"/>
    <n v="7001720"/>
    <x v="3144"/>
    <x v="0"/>
    <s v="USA"/>
    <n v="12000000"/>
    <x v="49"/>
    <x v="0"/>
    <s v="Fantasy"/>
    <m/>
    <m/>
    <m/>
    <m/>
    <m/>
    <m/>
  </r>
  <r>
    <x v="1700"/>
    <x v="5"/>
    <n v="7000000"/>
    <x v="3145"/>
    <x v="0"/>
    <s v="UK"/>
    <n v="36000000"/>
    <x v="47"/>
    <x v="4"/>
    <s v="Adventure"/>
    <s v="Drama"/>
    <s v="Thriller"/>
    <m/>
    <m/>
    <m/>
    <m/>
  </r>
  <r>
    <x v="120"/>
    <x v="34"/>
    <n v="6998324"/>
    <x v="3146"/>
    <x v="0"/>
    <s v="USA"/>
    <n v="28000000"/>
    <x v="0"/>
    <x v="0"/>
    <s v="Drama"/>
    <m/>
    <m/>
    <m/>
    <m/>
    <m/>
    <m/>
  </r>
  <r>
    <x v="1701"/>
    <x v="81"/>
    <n v="6982680"/>
    <x v="3147"/>
    <x v="0"/>
    <s v="USA"/>
    <n v="10000000"/>
    <x v="21"/>
    <x v="0"/>
    <s v="Crime"/>
    <m/>
    <m/>
    <m/>
    <m/>
    <m/>
    <m/>
  </r>
  <r>
    <x v="1702"/>
    <x v="56"/>
    <n v="6940281"/>
    <x v="3148"/>
    <x v="0"/>
    <s v="UK"/>
    <n v="39751583.5"/>
    <x v="4"/>
    <x v="5"/>
    <s v="Thriller"/>
    <m/>
    <m/>
    <m/>
    <m/>
    <m/>
    <m/>
  </r>
  <r>
    <x v="1703"/>
    <x v="0"/>
    <n v="6923891"/>
    <x v="3149"/>
    <x v="0"/>
    <s v="USA"/>
    <n v="23000000"/>
    <x v="2"/>
    <x v="0"/>
    <s v="Drama"/>
    <s v="Romance"/>
    <m/>
    <m/>
    <m/>
    <m/>
    <m/>
  </r>
  <r>
    <x v="803"/>
    <x v="20"/>
    <n v="6879730"/>
    <x v="3150"/>
    <x v="0"/>
    <s v="USA"/>
    <n v="39751583.5"/>
    <x v="26"/>
    <x v="3"/>
    <m/>
    <m/>
    <m/>
    <m/>
    <m/>
    <m/>
    <m/>
  </r>
  <r>
    <x v="257"/>
    <x v="54"/>
    <n v="6857503"/>
    <x v="3151"/>
    <x v="0"/>
    <s v="USA"/>
    <n v="39751583.5"/>
    <x v="2"/>
    <x v="0"/>
    <m/>
    <m/>
    <m/>
    <m/>
    <m/>
    <m/>
    <m/>
  </r>
  <r>
    <x v="300"/>
    <x v="29"/>
    <n v="6857096"/>
    <x v="3152"/>
    <x v="1"/>
    <s v="Canada"/>
    <n v="6800000"/>
    <x v="40"/>
    <x v="3"/>
    <s v="Mystery"/>
    <s v="War"/>
    <m/>
    <m/>
    <m/>
    <m/>
    <m/>
  </r>
  <r>
    <x v="1664"/>
    <x v="57"/>
    <n v="6855137"/>
    <x v="3153"/>
    <x v="0"/>
    <s v="Germany"/>
    <n v="17000000"/>
    <x v="7"/>
    <x v="4"/>
    <s v="Crime"/>
    <s v="Drama"/>
    <s v="Thriller"/>
    <m/>
    <m/>
    <m/>
    <m/>
  </r>
  <r>
    <x v="1494"/>
    <x v="41"/>
    <n v="6852144"/>
    <x v="3154"/>
    <x v="0"/>
    <s v="Canada"/>
    <n v="22000000"/>
    <x v="8"/>
    <x v="3"/>
    <s v="Horror"/>
    <s v="Sci-Fi"/>
    <s v="Thriller"/>
    <m/>
    <m/>
    <m/>
    <m/>
  </r>
  <r>
    <x v="1704"/>
    <x v="13"/>
    <n v="6851969"/>
    <x v="3155"/>
    <x v="0"/>
    <s v="USA"/>
    <n v="2500000"/>
    <x v="6"/>
    <x v="0"/>
    <s v="Drama"/>
    <s v="Romance"/>
    <m/>
    <m/>
    <m/>
    <m/>
    <m/>
  </r>
  <r>
    <x v="1705"/>
    <x v="43"/>
    <n v="6851636"/>
    <x v="3156"/>
    <x v="0"/>
    <s v="USA"/>
    <n v="6000000"/>
    <x v="1"/>
    <x v="0"/>
    <s v="Drama"/>
    <s v="Romance"/>
    <m/>
    <m/>
    <m/>
    <m/>
    <m/>
  </r>
  <r>
    <x v="1706"/>
    <x v="68"/>
    <n v="6842058"/>
    <x v="3157"/>
    <x v="0"/>
    <s v="USA"/>
    <n v="10000000"/>
    <x v="0"/>
    <x v="4"/>
    <s v="Horror"/>
    <s v="Thriller"/>
    <m/>
    <m/>
    <m/>
    <m/>
    <m/>
  </r>
  <r>
    <x v="63"/>
    <x v="48"/>
    <n v="6830957"/>
    <x v="3158"/>
    <x v="0"/>
    <s v="USA"/>
    <n v="21000000"/>
    <x v="15"/>
    <x v="3"/>
    <s v="Romance"/>
    <m/>
    <m/>
    <m/>
    <m/>
    <m/>
    <m/>
  </r>
  <r>
    <x v="365"/>
    <x v="64"/>
    <n v="6777589"/>
    <x v="3159"/>
    <x v="0"/>
    <s v="USA"/>
    <n v="39751583.5"/>
    <x v="11"/>
    <x v="5"/>
    <s v="Drama"/>
    <s v="Mystery"/>
    <s v="Thriller"/>
    <m/>
    <m/>
    <m/>
    <m/>
  </r>
  <r>
    <x v="93"/>
    <x v="13"/>
    <n v="6768055"/>
    <x v="3160"/>
    <x v="0"/>
    <s v="UK"/>
    <n v="57000000"/>
    <x v="41"/>
    <x v="4"/>
    <s v="Adventure"/>
    <s v="Comedy"/>
    <s v="Family"/>
    <s v="Sci-Fi"/>
    <m/>
    <m/>
    <m/>
  </r>
  <r>
    <x v="1707"/>
    <x v="10"/>
    <n v="6755271"/>
    <x v="3161"/>
    <x v="0"/>
    <s v="USA"/>
    <n v="5000000"/>
    <x v="48"/>
    <x v="1"/>
    <s v="Thriller"/>
    <m/>
    <m/>
    <m/>
    <m/>
    <m/>
    <m/>
  </r>
  <r>
    <x v="162"/>
    <x v="57"/>
    <n v="6754898"/>
    <x v="3162"/>
    <x v="0"/>
    <s v="USA"/>
    <n v="12000000"/>
    <x v="8"/>
    <x v="0"/>
    <s v="Drama"/>
    <m/>
    <m/>
    <m/>
    <m/>
    <m/>
    <m/>
  </r>
  <r>
    <x v="1708"/>
    <x v="13"/>
    <n v="6739141"/>
    <x v="3163"/>
    <x v="0"/>
    <s v="Australia"/>
    <n v="8000000"/>
    <x v="1"/>
    <x v="4"/>
    <s v="Crime"/>
    <s v="Sci-Fi"/>
    <s v="Thriller"/>
    <m/>
    <m/>
    <m/>
    <m/>
  </r>
  <r>
    <x v="79"/>
    <x v="48"/>
    <n v="6734844"/>
    <x v="3164"/>
    <x v="0"/>
    <s v="USA"/>
    <n v="17000000"/>
    <x v="1"/>
    <x v="3"/>
    <s v="Romance"/>
    <m/>
    <m/>
    <m/>
    <m/>
    <m/>
    <m/>
  </r>
  <r>
    <x v="1709"/>
    <x v="56"/>
    <n v="6719300"/>
    <x v="3165"/>
    <x v="0"/>
    <s v="Canada"/>
    <n v="2000000"/>
    <x v="11"/>
    <x v="0"/>
    <s v="Drama"/>
    <m/>
    <m/>
    <m/>
    <m/>
    <m/>
    <m/>
  </r>
  <r>
    <x v="178"/>
    <x v="44"/>
    <n v="6712451"/>
    <x v="3166"/>
    <x v="0"/>
    <s v="New Line"/>
    <n v="90000000"/>
    <x v="45"/>
    <x v="0"/>
    <s v="Romance"/>
    <m/>
    <m/>
    <m/>
    <m/>
    <m/>
    <m/>
  </r>
  <r>
    <x v="600"/>
    <x v="43"/>
    <n v="6712241"/>
    <x v="3167"/>
    <x v="0"/>
    <s v="USA"/>
    <n v="7500000"/>
    <x v="29"/>
    <x v="5"/>
    <s v="Drama"/>
    <m/>
    <m/>
    <m/>
    <m/>
    <m/>
    <m/>
  </r>
  <r>
    <x v="861"/>
    <x v="50"/>
    <n v="6706368"/>
    <x v="3168"/>
    <x v="0"/>
    <s v="USA"/>
    <n v="160000"/>
    <x v="31"/>
    <x v="10"/>
    <m/>
    <m/>
    <m/>
    <m/>
    <m/>
    <m/>
    <m/>
  </r>
  <r>
    <x v="1710"/>
    <x v="44"/>
    <n v="6670712"/>
    <x v="3169"/>
    <x v="0"/>
    <s v="USA"/>
    <n v="6000000"/>
    <x v="7"/>
    <x v="0"/>
    <s v="Drama"/>
    <m/>
    <m/>
    <m/>
    <m/>
    <m/>
    <m/>
  </r>
  <r>
    <x v="1711"/>
    <x v="43"/>
    <n v="6619173"/>
    <x v="3170"/>
    <x v="0"/>
    <s v="USA"/>
    <n v="10000000"/>
    <x v="15"/>
    <x v="2"/>
    <s v="Comedy"/>
    <s v="Drama"/>
    <s v="Romance"/>
    <s v="Sci-Fi"/>
    <m/>
    <m/>
    <m/>
  </r>
  <r>
    <x v="1323"/>
    <x v="48"/>
    <n v="6615578"/>
    <x v="3171"/>
    <x v="0"/>
    <s v="Germany"/>
    <n v="13000000"/>
    <x v="14"/>
    <x v="6"/>
    <s v="Drama"/>
    <s v="Romance"/>
    <m/>
    <m/>
    <m/>
    <m/>
    <m/>
  </r>
  <r>
    <x v="1712"/>
    <x v="58"/>
    <n v="6610326"/>
    <x v="3172"/>
    <x v="0"/>
    <s v="USA"/>
    <n v="39751583.5"/>
    <x v="11"/>
    <x v="0"/>
    <s v="Drama"/>
    <m/>
    <m/>
    <m/>
    <m/>
    <m/>
    <m/>
  </r>
  <r>
    <x v="679"/>
    <x v="57"/>
    <n v="6601079"/>
    <x v="3173"/>
    <x v="0"/>
    <s v="UK"/>
    <n v="7000000"/>
    <x v="8"/>
    <x v="0"/>
    <s v="Drama"/>
    <s v="Musical"/>
    <s v="Romance"/>
    <m/>
    <m/>
    <m/>
    <m/>
  </r>
  <r>
    <x v="1713"/>
    <x v="57"/>
    <n v="6594136"/>
    <x v="3174"/>
    <x v="7"/>
    <s v="Hong Kong"/>
    <n v="38600000"/>
    <x v="20"/>
    <x v="4"/>
    <s v="Biography"/>
    <s v="Drama"/>
    <m/>
    <m/>
    <m/>
    <m/>
    <m/>
  </r>
  <r>
    <x v="193"/>
    <x v="58"/>
    <n v="6592103"/>
    <x v="3175"/>
    <x v="0"/>
    <s v="France"/>
    <n v="35000000"/>
    <x v="2"/>
    <x v="5"/>
    <s v="Drama"/>
    <s v="Mystery"/>
    <s v="Thriller"/>
    <m/>
    <m/>
    <m/>
    <m/>
  </r>
  <r>
    <x v="1714"/>
    <x v="58"/>
    <n v="6565495"/>
    <x v="3176"/>
    <x v="7"/>
    <s v="China"/>
    <n v="45000000"/>
    <x v="14"/>
    <x v="3"/>
    <s v="Romance"/>
    <m/>
    <m/>
    <m/>
    <m/>
    <m/>
    <m/>
  </r>
  <r>
    <x v="1063"/>
    <x v="54"/>
    <n v="6563357"/>
    <x v="3177"/>
    <x v="0"/>
    <s v="USA"/>
    <n v="20000000"/>
    <x v="48"/>
    <x v="2"/>
    <s v="Comedy"/>
    <m/>
    <m/>
    <m/>
    <m/>
    <m/>
    <m/>
  </r>
  <r>
    <x v="320"/>
    <x v="58"/>
    <n v="6543194"/>
    <x v="3178"/>
    <x v="0"/>
    <s v="USA"/>
    <n v="34000000"/>
    <x v="37"/>
    <x v="2"/>
    <s v="Drama"/>
    <s v="Romance"/>
    <m/>
    <m/>
    <m/>
    <m/>
    <m/>
  </r>
  <r>
    <x v="1715"/>
    <x v="41"/>
    <n v="6531491"/>
    <x v="3179"/>
    <x v="0"/>
    <s v="USA"/>
    <n v="2000000"/>
    <x v="11"/>
    <x v="3"/>
    <m/>
    <m/>
    <m/>
    <m/>
    <m/>
    <m/>
    <m/>
  </r>
  <r>
    <x v="1716"/>
    <x v="28"/>
    <n v="6525762"/>
    <x v="3180"/>
    <x v="0"/>
    <s v="USA"/>
    <n v="4000000"/>
    <x v="15"/>
    <x v="0"/>
    <s v="Drama"/>
    <s v="Romance"/>
    <m/>
    <m/>
    <m/>
    <m/>
    <m/>
  </r>
  <r>
    <x v="1717"/>
    <x v="43"/>
    <n v="6517198"/>
    <x v="3181"/>
    <x v="16"/>
    <s v="Colombia"/>
    <n v="3000000"/>
    <x v="31"/>
    <x v="5"/>
    <s v="Drama"/>
    <m/>
    <m/>
    <m/>
    <m/>
    <m/>
    <m/>
  </r>
  <r>
    <x v="1718"/>
    <x v="88"/>
    <n v="6498000"/>
    <x v="3182"/>
    <x v="31"/>
    <s v="India"/>
    <n v="18026148"/>
    <x v="39"/>
    <x v="4"/>
    <s v="Adventure"/>
    <s v="Drama"/>
    <s v="Fantasy"/>
    <s v="War"/>
    <m/>
    <m/>
    <m/>
  </r>
  <r>
    <x v="1719"/>
    <x v="23"/>
    <n v="6491350"/>
    <x v="3183"/>
    <x v="0"/>
    <s v="USA"/>
    <n v="10000000"/>
    <x v="19"/>
    <x v="7"/>
    <s v="Comedy"/>
    <s v="Family"/>
    <s v="Fantasy"/>
    <s v="Musical"/>
    <m/>
    <m/>
    <m/>
  </r>
  <r>
    <x v="1720"/>
    <x v="36"/>
    <n v="6482195"/>
    <x v="3184"/>
    <x v="0"/>
    <s v="USA"/>
    <n v="37000000"/>
    <x v="16"/>
    <x v="5"/>
    <s v="Mystery"/>
    <s v="Thriller"/>
    <m/>
    <m/>
    <m/>
    <m/>
    <m/>
  </r>
  <r>
    <x v="1305"/>
    <x v="60"/>
    <n v="6471394"/>
    <x v="3185"/>
    <x v="0"/>
    <s v="USA"/>
    <n v="50000000"/>
    <x v="35"/>
    <x v="0"/>
    <s v="Crime"/>
    <m/>
    <m/>
    <m/>
    <m/>
    <m/>
    <m/>
  </r>
  <r>
    <x v="1721"/>
    <x v="11"/>
    <n v="6462576"/>
    <x v="3186"/>
    <x v="0"/>
    <s v="USA"/>
    <n v="18500000"/>
    <x v="18"/>
    <x v="3"/>
    <m/>
    <m/>
    <m/>
    <m/>
    <m/>
    <m/>
    <m/>
  </r>
  <r>
    <x v="156"/>
    <x v="43"/>
    <n v="6448817"/>
    <x v="3187"/>
    <x v="0"/>
    <s v="USA"/>
    <n v="35000000"/>
    <x v="28"/>
    <x v="4"/>
    <s v="Adventure"/>
    <s v="Fantasy"/>
    <m/>
    <m/>
    <m/>
    <m/>
    <m/>
  </r>
  <r>
    <x v="1666"/>
    <x v="40"/>
    <n v="6420319"/>
    <x v="3188"/>
    <x v="0"/>
    <s v="Mexico"/>
    <n v="20000000"/>
    <x v="7"/>
    <x v="3"/>
    <s v="War"/>
    <m/>
    <m/>
    <m/>
    <m/>
    <m/>
    <m/>
  </r>
  <r>
    <x v="1085"/>
    <x v="30"/>
    <n v="6409206"/>
    <x v="3189"/>
    <x v="0"/>
    <s v="USA"/>
    <n v="15000000"/>
    <x v="8"/>
    <x v="0"/>
    <s v="Music"/>
    <m/>
    <m/>
    <m/>
    <m/>
    <m/>
    <m/>
  </r>
  <r>
    <x v="395"/>
    <x v="44"/>
    <n v="6401336"/>
    <x v="3190"/>
    <x v="0"/>
    <s v="USA"/>
    <n v="2500000"/>
    <x v="6"/>
    <x v="3"/>
    <m/>
    <m/>
    <m/>
    <m/>
    <m/>
    <m/>
    <m/>
  </r>
  <r>
    <x v="36"/>
    <x v="51"/>
    <n v="6390032"/>
    <x v="3191"/>
    <x v="0"/>
    <s v="USA"/>
    <n v="3500000"/>
    <x v="31"/>
    <x v="6"/>
    <s v="Drama"/>
    <m/>
    <m/>
    <m/>
    <m/>
    <m/>
    <m/>
  </r>
  <r>
    <x v="1722"/>
    <x v="60"/>
    <n v="6373693"/>
    <x v="3192"/>
    <x v="0"/>
    <s v="USA"/>
    <n v="15000000"/>
    <x v="48"/>
    <x v="0"/>
    <s v="Romance"/>
    <m/>
    <m/>
    <m/>
    <m/>
    <m/>
    <m/>
  </r>
  <r>
    <x v="1723"/>
    <x v="43"/>
    <n v="6350058"/>
    <x v="3193"/>
    <x v="0"/>
    <s v="USA"/>
    <n v="8000000"/>
    <x v="11"/>
    <x v="0"/>
    <s v="Drama"/>
    <s v="Romance"/>
    <m/>
    <m/>
    <m/>
    <m/>
    <m/>
  </r>
  <r>
    <x v="1724"/>
    <x v="20"/>
    <n v="6301131"/>
    <x v="3194"/>
    <x v="0"/>
    <s v="USA"/>
    <n v="29000000"/>
    <x v="6"/>
    <x v="3"/>
    <s v="Mystery"/>
    <s v="Sci-Fi"/>
    <s v="Thriller"/>
    <m/>
    <m/>
    <m/>
    <m/>
  </r>
  <r>
    <x v="263"/>
    <x v="54"/>
    <n v="6291602"/>
    <x v="3195"/>
    <x v="0"/>
    <s v="USA"/>
    <n v="50000000"/>
    <x v="37"/>
    <x v="0"/>
    <s v="Sci-Fi"/>
    <m/>
    <m/>
    <m/>
    <m/>
    <m/>
    <m/>
  </r>
  <r>
    <x v="1725"/>
    <x v="40"/>
    <n v="6262942"/>
    <x v="3196"/>
    <x v="0"/>
    <s v="USA"/>
    <n v="9000000"/>
    <x v="26"/>
    <x v="4"/>
    <s v="Adventure"/>
    <s v="Drama"/>
    <m/>
    <m/>
    <m/>
    <m/>
    <m/>
  </r>
  <r>
    <x v="1343"/>
    <x v="20"/>
    <n v="6241697"/>
    <x v="3197"/>
    <x v="0"/>
    <s v="France"/>
    <n v="13000000"/>
    <x v="0"/>
    <x v="0"/>
    <m/>
    <m/>
    <m/>
    <m/>
    <m/>
    <m/>
    <m/>
  </r>
  <r>
    <x v="1726"/>
    <x v="22"/>
    <n v="6239558"/>
    <x v="3198"/>
    <x v="0"/>
    <s v="Canada"/>
    <n v="5000000"/>
    <x v="15"/>
    <x v="0"/>
    <s v="Drama"/>
    <m/>
    <m/>
    <m/>
    <m/>
    <m/>
    <m/>
  </r>
  <r>
    <x v="1727"/>
    <x v="47"/>
    <n v="6201757"/>
    <x v="3199"/>
    <x v="0"/>
    <s v="UK"/>
    <n v="10000000"/>
    <x v="7"/>
    <x v="6"/>
    <s v="Comedy"/>
    <s v="Drama"/>
    <s v="History"/>
    <s v="Music"/>
    <s v="Musical"/>
    <m/>
    <m/>
  </r>
  <r>
    <x v="306"/>
    <x v="11"/>
    <n v="6200756"/>
    <x v="3200"/>
    <x v="0"/>
    <s v="USA"/>
    <n v="7000000"/>
    <x v="7"/>
    <x v="0"/>
    <s v="Drama"/>
    <m/>
    <m/>
    <m/>
    <m/>
    <m/>
    <m/>
  </r>
  <r>
    <x v="740"/>
    <x v="48"/>
    <n v="6197866"/>
    <x v="3201"/>
    <x v="0"/>
    <s v="France"/>
    <n v="10000000"/>
    <x v="13"/>
    <x v="6"/>
    <s v="Drama"/>
    <m/>
    <m/>
    <m/>
    <m/>
    <m/>
    <m/>
  </r>
  <r>
    <x v="1728"/>
    <x v="38"/>
    <n v="6173485"/>
    <x v="3202"/>
    <x v="0"/>
    <s v="Germany"/>
    <n v="7000000"/>
    <x v="5"/>
    <x v="6"/>
    <s v="Drama"/>
    <m/>
    <m/>
    <m/>
    <m/>
    <m/>
    <m/>
  </r>
  <r>
    <x v="1070"/>
    <x v="6"/>
    <n v="6167817"/>
    <x v="3203"/>
    <x v="1"/>
    <s v="France"/>
    <n v="47000000"/>
    <x v="5"/>
    <x v="3"/>
    <s v="Mystery"/>
    <s v="Romance"/>
    <s v="War"/>
    <m/>
    <m/>
    <m/>
    <m/>
  </r>
  <r>
    <x v="144"/>
    <x v="20"/>
    <n v="6165429"/>
    <x v="3204"/>
    <x v="2"/>
    <s v="Australia"/>
    <n v="6000000"/>
    <x v="31"/>
    <x v="2"/>
    <s v="Biography"/>
    <s v="Drama"/>
    <s v="History"/>
    <m/>
    <m/>
    <m/>
    <m/>
  </r>
  <r>
    <x v="1729"/>
    <x v="37"/>
    <n v="6157157"/>
    <x v="3205"/>
    <x v="0"/>
    <s v="USA"/>
    <n v="5000000"/>
    <x v="14"/>
    <x v="0"/>
    <s v="Drama"/>
    <m/>
    <m/>
    <m/>
    <m/>
    <m/>
    <m/>
  </r>
  <r>
    <x v="1730"/>
    <x v="36"/>
    <n v="6144806"/>
    <x v="3206"/>
    <x v="0"/>
    <s v="USA"/>
    <n v="23000000"/>
    <x v="15"/>
    <x v="6"/>
    <s v="Drama"/>
    <s v="Music"/>
    <s v="Musical"/>
    <m/>
    <m/>
    <m/>
    <m/>
  </r>
  <r>
    <x v="1731"/>
    <x v="120"/>
    <n v="6126237"/>
    <x v="3207"/>
    <x v="0"/>
    <s v="USA"/>
    <n v="39751583.5"/>
    <x v="46"/>
    <x v="0"/>
    <s v="Romance"/>
    <m/>
    <m/>
    <m/>
    <m/>
    <m/>
    <m/>
  </r>
  <r>
    <x v="301"/>
    <x v="30"/>
    <n v="6114237"/>
    <x v="3208"/>
    <x v="0"/>
    <s v="USA"/>
    <n v="40000000"/>
    <x v="8"/>
    <x v="3"/>
    <s v="Mystery"/>
    <s v="Sci-Fi"/>
    <s v="Thriller"/>
    <m/>
    <m/>
    <m/>
    <m/>
  </r>
  <r>
    <x v="1732"/>
    <x v="11"/>
    <n v="6109075"/>
    <x v="3209"/>
    <x v="1"/>
    <s v="France"/>
    <n v="19430000"/>
    <x v="15"/>
    <x v="6"/>
    <s v="Drama"/>
    <m/>
    <m/>
    <m/>
    <m/>
    <m/>
    <m/>
  </r>
  <r>
    <x v="52"/>
    <x v="48"/>
    <n v="6105175"/>
    <x v="3210"/>
    <x v="0"/>
    <s v="USA"/>
    <n v="44000000"/>
    <x v="24"/>
    <x v="0"/>
    <m/>
    <m/>
    <m/>
    <m/>
    <m/>
    <m/>
    <m/>
  </r>
  <r>
    <x v="745"/>
    <x v="78"/>
    <n v="6100000"/>
    <x v="3211"/>
    <x v="12"/>
    <s v="Italy"/>
    <n v="1200000"/>
    <x v="10"/>
    <x v="17"/>
    <m/>
    <m/>
    <m/>
    <m/>
    <m/>
    <m/>
    <m/>
  </r>
  <r>
    <x v="1733"/>
    <x v="10"/>
    <n v="6088249"/>
    <x v="3212"/>
    <x v="0"/>
    <s v="USA"/>
    <n v="39751583.5"/>
    <x v="14"/>
    <x v="0"/>
    <m/>
    <m/>
    <m/>
    <m/>
    <m/>
    <m/>
    <m/>
  </r>
  <r>
    <x v="1375"/>
    <x v="18"/>
    <n v="6061759"/>
    <x v="3213"/>
    <x v="0"/>
    <s v="USA"/>
    <n v="17000000"/>
    <x v="2"/>
    <x v="0"/>
    <s v="Drama"/>
    <s v="Romance"/>
    <m/>
    <m/>
    <m/>
    <m/>
    <m/>
  </r>
  <r>
    <x v="170"/>
    <x v="5"/>
    <n v="6047856"/>
    <x v="3214"/>
    <x v="0"/>
    <s v="USA"/>
    <n v="8500000"/>
    <x v="15"/>
    <x v="4"/>
    <s v="Crime"/>
    <s v="Drama"/>
    <s v="Thriller"/>
    <m/>
    <m/>
    <m/>
    <m/>
  </r>
  <r>
    <x v="1734"/>
    <x v="49"/>
    <n v="6044618"/>
    <x v="3215"/>
    <x v="0"/>
    <s v="USA"/>
    <n v="10000000"/>
    <x v="37"/>
    <x v="4"/>
    <s v="Crime"/>
    <s v="Drama"/>
    <m/>
    <m/>
    <m/>
    <m/>
    <m/>
  </r>
  <r>
    <x v="1735"/>
    <x v="3"/>
    <n v="6026908"/>
    <x v="3216"/>
    <x v="0"/>
    <s v="USA"/>
    <n v="2000000"/>
    <x v="49"/>
    <x v="0"/>
    <s v="Drama"/>
    <m/>
    <m/>
    <m/>
    <m/>
    <m/>
    <m/>
  </r>
  <r>
    <x v="1736"/>
    <x v="43"/>
    <n v="6003587"/>
    <x v="3217"/>
    <x v="0"/>
    <s v="USA"/>
    <n v="39751583.5"/>
    <x v="31"/>
    <x v="6"/>
    <s v="Comedy"/>
    <s v="Drama"/>
    <m/>
    <m/>
    <m/>
    <m/>
    <m/>
  </r>
  <r>
    <x v="175"/>
    <x v="12"/>
    <n v="6002756"/>
    <x v="3218"/>
    <x v="0"/>
    <s v="USA"/>
    <n v="20000000"/>
    <x v="11"/>
    <x v="6"/>
    <s v="Drama"/>
    <s v="Sport"/>
    <m/>
    <m/>
    <m/>
    <m/>
    <m/>
  </r>
  <r>
    <x v="1737"/>
    <x v="7"/>
    <n v="6000000"/>
    <x v="3219"/>
    <x v="0"/>
    <s v="USA"/>
    <n v="18000000"/>
    <x v="15"/>
    <x v="4"/>
    <s v="Adventure"/>
    <s v="Fantasy"/>
    <m/>
    <m/>
    <m/>
    <m/>
    <m/>
  </r>
  <r>
    <x v="1316"/>
    <x v="169"/>
    <n v="6000000"/>
    <x v="3220"/>
    <x v="0"/>
    <s v="UK"/>
    <n v="15000000"/>
    <x v="39"/>
    <x v="2"/>
    <s v="Biography"/>
    <s v="Drama"/>
    <s v="History"/>
    <s v="War"/>
    <m/>
    <m/>
    <m/>
  </r>
  <r>
    <x v="1738"/>
    <x v="41"/>
    <n v="5998971"/>
    <x v="3221"/>
    <x v="0"/>
    <s v="UK"/>
    <n v="39751583.5"/>
    <x v="24"/>
    <x v="0"/>
    <s v="Romance"/>
    <s v="Sport"/>
    <m/>
    <m/>
    <m/>
    <m/>
    <m/>
  </r>
  <r>
    <x v="1739"/>
    <x v="13"/>
    <n v="5997134"/>
    <x v="3222"/>
    <x v="0"/>
    <s v="USA"/>
    <n v="1000000"/>
    <x v="11"/>
    <x v="6"/>
    <s v="Comedy"/>
    <s v="Drama"/>
    <s v="Romance"/>
    <m/>
    <m/>
    <m/>
    <m/>
  </r>
  <r>
    <x v="1740"/>
    <x v="48"/>
    <n v="5990075"/>
    <x v="3223"/>
    <x v="1"/>
    <s v="France"/>
    <n v="39751583.5"/>
    <x v="13"/>
    <x v="6"/>
    <s v="Drama"/>
    <m/>
    <m/>
    <m/>
    <m/>
    <m/>
    <m/>
  </r>
  <r>
    <x v="658"/>
    <x v="44"/>
    <n v="5974653"/>
    <x v="3224"/>
    <x v="0"/>
    <s v="USA"/>
    <n v="22000000"/>
    <x v="30"/>
    <x v="4"/>
    <s v="Adventure"/>
    <s v="Fantasy"/>
    <s v="Sci-Fi"/>
    <s v="Thriller"/>
    <m/>
    <m/>
    <m/>
  </r>
  <r>
    <x v="1188"/>
    <x v="40"/>
    <n v="5949693"/>
    <x v="3225"/>
    <x v="0"/>
    <s v="USA"/>
    <n v="12000000"/>
    <x v="7"/>
    <x v="0"/>
    <s v="Drama"/>
    <s v="Romance"/>
    <m/>
    <m/>
    <m/>
    <m/>
    <m/>
  </r>
  <r>
    <x v="1741"/>
    <x v="30"/>
    <n v="5932060"/>
    <x v="3226"/>
    <x v="0"/>
    <s v="UK"/>
    <n v="35000000"/>
    <x v="18"/>
    <x v="4"/>
    <s v="Adventure"/>
    <s v="Fantasy"/>
    <s v="War"/>
    <m/>
    <m/>
    <m/>
    <m/>
  </r>
  <r>
    <x v="987"/>
    <x v="170"/>
    <n v="5923044"/>
    <x v="3227"/>
    <x v="0"/>
    <s v="USA"/>
    <n v="3600000"/>
    <x v="22"/>
    <x v="0"/>
    <s v="Fantasy"/>
    <s v="Horror"/>
    <s v="Thriller"/>
    <m/>
    <m/>
    <m/>
    <m/>
  </r>
  <r>
    <x v="419"/>
    <x v="28"/>
    <n v="5900000"/>
    <x v="3228"/>
    <x v="0"/>
    <s v="UK"/>
    <n v="16000000"/>
    <x v="11"/>
    <x v="4"/>
    <s v="Adventure"/>
    <s v="Fantasy"/>
    <m/>
    <m/>
    <m/>
    <m/>
    <m/>
  </r>
  <r>
    <x v="415"/>
    <x v="77"/>
    <n v="5899797"/>
    <x v="3229"/>
    <x v="0"/>
    <s v="UK"/>
    <n v="29000000"/>
    <x v="31"/>
    <x v="6"/>
    <s v="Drama"/>
    <s v="History"/>
    <m/>
    <m/>
    <m/>
    <m/>
    <m/>
  </r>
  <r>
    <x v="1742"/>
    <x v="3"/>
    <n v="5895238"/>
    <x v="3230"/>
    <x v="16"/>
    <s v="USA"/>
    <n v="6000000"/>
    <x v="3"/>
    <x v="0"/>
    <s v="Western"/>
    <m/>
    <m/>
    <m/>
    <m/>
    <m/>
    <m/>
  </r>
  <r>
    <x v="218"/>
    <x v="32"/>
    <n v="5887457"/>
    <x v="3231"/>
    <x v="0"/>
    <s v="USA"/>
    <n v="18000000"/>
    <x v="12"/>
    <x v="6"/>
    <s v="Comedy"/>
    <s v="Drama"/>
    <m/>
    <m/>
    <m/>
    <m/>
    <m/>
  </r>
  <r>
    <x v="1743"/>
    <x v="28"/>
    <n v="5881504"/>
    <x v="3232"/>
    <x v="0"/>
    <s v="USA"/>
    <n v="39000000"/>
    <x v="48"/>
    <x v="6"/>
    <s v="Drama"/>
    <s v="Romance"/>
    <s v="Sport"/>
    <m/>
    <m/>
    <m/>
    <m/>
  </r>
  <r>
    <x v="1744"/>
    <x v="4"/>
    <n v="5871603"/>
    <x v="3233"/>
    <x v="0"/>
    <s v="USA"/>
    <n v="13000000"/>
    <x v="27"/>
    <x v="3"/>
    <s v="Thriller"/>
    <m/>
    <m/>
    <m/>
    <m/>
    <m/>
    <m/>
  </r>
  <r>
    <x v="361"/>
    <x v="12"/>
    <n v="5851188"/>
    <x v="3234"/>
    <x v="0"/>
    <s v="UK"/>
    <n v="70000000"/>
    <x v="41"/>
    <x v="5"/>
    <s v="Mystery"/>
    <s v="Thriller"/>
    <m/>
    <m/>
    <m/>
    <m/>
    <m/>
  </r>
  <r>
    <x v="846"/>
    <x v="10"/>
    <n v="5844929"/>
    <x v="3235"/>
    <x v="0"/>
    <s v="USA"/>
    <n v="3000000"/>
    <x v="14"/>
    <x v="0"/>
    <s v="Drama"/>
    <m/>
    <m/>
    <m/>
    <m/>
    <m/>
    <m/>
  </r>
  <r>
    <x v="159"/>
    <x v="42"/>
    <n v="5792822"/>
    <x v="3236"/>
    <x v="0"/>
    <s v="USA"/>
    <n v="2700000"/>
    <x v="13"/>
    <x v="3"/>
    <s v="Romance"/>
    <m/>
    <m/>
    <m/>
    <m/>
    <m/>
    <m/>
  </r>
  <r>
    <x v="1745"/>
    <x v="51"/>
    <n v="5776314"/>
    <x v="3237"/>
    <x v="0"/>
    <s v="USA"/>
    <n v="3200000"/>
    <x v="11"/>
    <x v="0"/>
    <s v="Drama"/>
    <s v="Romance"/>
    <m/>
    <m/>
    <m/>
    <m/>
    <m/>
  </r>
  <r>
    <x v="1386"/>
    <x v="28"/>
    <n v="5773519"/>
    <x v="3238"/>
    <x v="0"/>
    <s v="USA"/>
    <n v="40000000"/>
    <x v="27"/>
    <x v="3"/>
    <s v="Horror"/>
    <s v="Sci-Fi"/>
    <s v="Thriller"/>
    <m/>
    <m/>
    <m/>
    <m/>
  </r>
  <r>
    <x v="1386"/>
    <x v="28"/>
    <n v="5773519"/>
    <x v="3238"/>
    <x v="0"/>
    <s v="USA"/>
    <n v="40000000"/>
    <x v="27"/>
    <x v="3"/>
    <s v="Horror"/>
    <s v="Sci-Fi"/>
    <s v="Thriller"/>
    <m/>
    <m/>
    <m/>
    <m/>
  </r>
  <r>
    <x v="275"/>
    <x v="55"/>
    <n v="5755286"/>
    <x v="3239"/>
    <x v="0"/>
    <s v="USA"/>
    <n v="55000000"/>
    <x v="1"/>
    <x v="3"/>
    <s v="Romance"/>
    <s v="Sport"/>
    <m/>
    <m/>
    <m/>
    <m/>
    <m/>
  </r>
  <r>
    <x v="1725"/>
    <x v="65"/>
    <n v="5749134"/>
    <x v="3240"/>
    <x v="0"/>
    <s v="USA"/>
    <n v="20000000"/>
    <x v="14"/>
    <x v="4"/>
    <s v="Crime"/>
    <s v="Drama"/>
    <s v="Thriller"/>
    <m/>
    <m/>
    <m/>
    <m/>
  </r>
  <r>
    <x v="1092"/>
    <x v="56"/>
    <n v="5739376"/>
    <x v="3241"/>
    <x v="0"/>
    <s v="USA"/>
    <n v="500000"/>
    <x v="5"/>
    <x v="0"/>
    <s v="Drama"/>
    <m/>
    <m/>
    <m/>
    <m/>
    <m/>
    <m/>
  </r>
  <r>
    <x v="117"/>
    <x v="35"/>
    <n v="5731103"/>
    <x v="3242"/>
    <x v="0"/>
    <s v="USA"/>
    <n v="2400000"/>
    <x v="9"/>
    <x v="3"/>
    <s v="History"/>
    <m/>
    <m/>
    <m/>
    <m/>
    <m/>
    <m/>
  </r>
  <r>
    <x v="1746"/>
    <x v="36"/>
    <n v="5709616"/>
    <x v="3243"/>
    <x v="16"/>
    <s v="Mexico"/>
    <n v="1800000"/>
    <x v="9"/>
    <x v="3"/>
    <s v="Romance"/>
    <m/>
    <m/>
    <m/>
    <m/>
    <m/>
    <m/>
  </r>
  <r>
    <x v="670"/>
    <x v="4"/>
    <n v="5702083"/>
    <x v="3244"/>
    <x v="0"/>
    <s v="UK"/>
    <n v="15000000"/>
    <x v="20"/>
    <x v="6"/>
    <s v="Drama"/>
    <s v="Thriller"/>
    <m/>
    <m/>
    <m/>
    <m/>
    <m/>
  </r>
  <r>
    <x v="1747"/>
    <x v="59"/>
    <n v="5701643"/>
    <x v="3245"/>
    <x v="32"/>
    <s v="Russia"/>
    <n v="20000000"/>
    <x v="4"/>
    <x v="2"/>
    <s v="Biography"/>
    <s v="Drama"/>
    <s v="History"/>
    <s v="War"/>
    <m/>
    <m/>
    <m/>
  </r>
  <r>
    <x v="1090"/>
    <x v="58"/>
    <n v="5694401"/>
    <x v="3246"/>
    <x v="0"/>
    <s v="UK"/>
    <n v="18000000"/>
    <x v="4"/>
    <x v="4"/>
    <s v="Crime"/>
    <s v="Thriller"/>
    <m/>
    <m/>
    <m/>
    <m/>
    <m/>
  </r>
  <r>
    <x v="1516"/>
    <x v="31"/>
    <n v="5694308"/>
    <x v="3247"/>
    <x v="0"/>
    <s v="USA"/>
    <n v="7000000"/>
    <x v="65"/>
    <x v="0"/>
    <s v="Sport"/>
    <m/>
    <m/>
    <m/>
    <m/>
    <m/>
    <m/>
  </r>
  <r>
    <x v="1748"/>
    <x v="80"/>
    <n v="5669081"/>
    <x v="3248"/>
    <x v="16"/>
    <s v="Mexico"/>
    <n v="10818775"/>
    <x v="24"/>
    <x v="3"/>
    <s v="History"/>
    <s v="War"/>
    <m/>
    <m/>
    <m/>
    <m/>
    <m/>
  </r>
  <r>
    <x v="1749"/>
    <x v="41"/>
    <n v="5664251"/>
    <x v="3249"/>
    <x v="0"/>
    <s v="New Zealand"/>
    <n v="45000000"/>
    <x v="2"/>
    <x v="4"/>
    <s v="Fantasy"/>
    <s v="Western"/>
    <m/>
    <m/>
    <m/>
    <m/>
    <m/>
  </r>
  <r>
    <x v="1098"/>
    <x v="64"/>
    <n v="5660084"/>
    <x v="3250"/>
    <x v="0"/>
    <s v="USA"/>
    <n v="54000000"/>
    <x v="75"/>
    <x v="0"/>
    <s v="Crime"/>
    <s v="Romance"/>
    <m/>
    <m/>
    <m/>
    <m/>
    <m/>
  </r>
  <r>
    <x v="1750"/>
    <x v="13"/>
    <n v="5654777"/>
    <x v="3251"/>
    <x v="0"/>
    <s v="USA"/>
    <n v="25000000"/>
    <x v="30"/>
    <x v="4"/>
    <s v="Comedy"/>
    <s v="Crime"/>
    <s v="Drama"/>
    <s v="Thriller"/>
    <m/>
    <m/>
    <m/>
  </r>
  <r>
    <x v="346"/>
    <x v="7"/>
    <n v="5600000"/>
    <x v="3252"/>
    <x v="0"/>
    <s v="USA"/>
    <n v="47000000"/>
    <x v="19"/>
    <x v="3"/>
    <s v="Horror"/>
    <s v="Romance"/>
    <s v="Thriller"/>
    <m/>
    <m/>
    <m/>
    <m/>
  </r>
  <r>
    <x v="1346"/>
    <x v="8"/>
    <n v="5595428"/>
    <x v="3253"/>
    <x v="17"/>
    <s v="Brazil"/>
    <n v="2900000"/>
    <x v="13"/>
    <x v="3"/>
    <m/>
    <m/>
    <m/>
    <m/>
    <m/>
    <m/>
    <m/>
  </r>
  <r>
    <x v="1451"/>
    <x v="89"/>
    <n v="5542025"/>
    <x v="3254"/>
    <x v="0"/>
    <s v="USA"/>
    <n v="12000000"/>
    <x v="2"/>
    <x v="0"/>
    <m/>
    <m/>
    <m/>
    <m/>
    <m/>
    <m/>
    <m/>
  </r>
  <r>
    <x v="180"/>
    <x v="16"/>
    <n v="5532301"/>
    <x v="3255"/>
    <x v="0"/>
    <s v="USA"/>
    <n v="28000000"/>
    <x v="14"/>
    <x v="6"/>
    <s v="Drama"/>
    <s v="History"/>
    <s v="War"/>
    <m/>
    <m/>
    <m/>
    <m/>
  </r>
  <r>
    <x v="1751"/>
    <x v="89"/>
    <n v="5518918"/>
    <x v="3256"/>
    <x v="0"/>
    <s v="USA"/>
    <n v="750000"/>
    <x v="26"/>
    <x v="4"/>
    <s v="Adventure"/>
    <s v="Animation"/>
    <s v="Comedy"/>
    <s v="Fantasy"/>
    <s v="Sci-Fi"/>
    <m/>
    <m/>
  </r>
  <r>
    <x v="1752"/>
    <x v="13"/>
    <n v="5516708"/>
    <x v="3257"/>
    <x v="0"/>
    <s v="USA"/>
    <n v="25000000"/>
    <x v="35"/>
    <x v="0"/>
    <s v="Romance"/>
    <m/>
    <m/>
    <m/>
    <m/>
    <m/>
    <m/>
  </r>
  <r>
    <x v="1525"/>
    <x v="14"/>
    <n v="5501940"/>
    <x v="3258"/>
    <x v="6"/>
    <s v="Germany"/>
    <n v="13500000"/>
    <x v="25"/>
    <x v="6"/>
    <s v="Drama"/>
    <s v="History"/>
    <s v="War"/>
    <m/>
    <m/>
    <m/>
    <m/>
  </r>
  <r>
    <x v="1753"/>
    <x v="35"/>
    <n v="5484375"/>
    <x v="3259"/>
    <x v="0"/>
    <s v="USA"/>
    <n v="10000000"/>
    <x v="4"/>
    <x v="2"/>
    <s v="Biography"/>
    <s v="Drama"/>
    <s v="War"/>
    <m/>
    <m/>
    <m/>
    <m/>
  </r>
  <r>
    <x v="159"/>
    <x v="41"/>
    <n v="5480996"/>
    <x v="3260"/>
    <x v="0"/>
    <s v="USA"/>
    <n v="8700000"/>
    <x v="6"/>
    <x v="7"/>
    <s v="Drama"/>
    <s v="Mystery"/>
    <s v="Sci-Fi"/>
    <s v="Thriller"/>
    <m/>
    <m/>
    <m/>
  </r>
  <r>
    <x v="1712"/>
    <x v="50"/>
    <n v="5480318"/>
    <x v="3261"/>
    <x v="0"/>
    <s v="USA"/>
    <n v="5000000"/>
    <x v="24"/>
    <x v="0"/>
    <s v="Drama"/>
    <m/>
    <m/>
    <m/>
    <m/>
    <m/>
    <m/>
  </r>
  <r>
    <x v="1197"/>
    <x v="82"/>
    <n v="5459824"/>
    <x v="3262"/>
    <x v="0"/>
    <s v="USA"/>
    <n v="26000000"/>
    <x v="17"/>
    <x v="3"/>
    <s v="Romance"/>
    <m/>
    <m/>
    <m/>
    <m/>
    <m/>
    <m/>
  </r>
  <r>
    <x v="1754"/>
    <x v="49"/>
    <n v="5430822"/>
    <x v="3263"/>
    <x v="0"/>
    <s v="UK"/>
    <n v="7000000"/>
    <x v="8"/>
    <x v="4"/>
    <s v="Crime"/>
    <s v="Horror"/>
    <s v="Sci-Fi"/>
    <s v="Thriller"/>
    <m/>
    <m/>
    <m/>
  </r>
  <r>
    <x v="209"/>
    <x v="31"/>
    <n v="5409517"/>
    <x v="3264"/>
    <x v="0"/>
    <s v="USA"/>
    <n v="75000000"/>
    <x v="47"/>
    <x v="7"/>
    <s v="Comedy"/>
    <s v="Fantasy"/>
    <m/>
    <m/>
    <m/>
    <m/>
    <m/>
  </r>
  <r>
    <x v="159"/>
    <x v="51"/>
    <n v="5400000"/>
    <x v="3265"/>
    <x v="0"/>
    <s v="USA"/>
    <n v="2500000"/>
    <x v="23"/>
    <x v="3"/>
    <s v="Romance"/>
    <m/>
    <m/>
    <m/>
    <m/>
    <m/>
    <m/>
  </r>
  <r>
    <x v="1122"/>
    <x v="61"/>
    <n v="5383834"/>
    <x v="3266"/>
    <x v="16"/>
    <s v="Mexico"/>
    <n v="2000000"/>
    <x v="23"/>
    <x v="3"/>
    <s v="Thriller"/>
    <m/>
    <m/>
    <m/>
    <m/>
    <m/>
    <m/>
  </r>
  <r>
    <x v="1755"/>
    <x v="49"/>
    <n v="5359774"/>
    <x v="3267"/>
    <x v="0"/>
    <s v="Ireland"/>
    <n v="6000000"/>
    <x v="4"/>
    <x v="0"/>
    <s v="Crime"/>
    <s v="Thriller"/>
    <m/>
    <m/>
    <m/>
    <m/>
    <m/>
  </r>
  <r>
    <x v="1628"/>
    <x v="34"/>
    <n v="5355847"/>
    <x v="3268"/>
    <x v="0"/>
    <s v="USA"/>
    <n v="39751583.5"/>
    <x v="9"/>
    <x v="3"/>
    <m/>
    <m/>
    <m/>
    <m/>
    <m/>
    <m/>
    <m/>
  </r>
  <r>
    <x v="180"/>
    <x v="57"/>
    <n v="5355376"/>
    <x v="3269"/>
    <x v="0"/>
    <s v="USA"/>
    <n v="39751583.5"/>
    <x v="11"/>
    <x v="6"/>
    <s v="Documentary"/>
    <s v="Music"/>
    <m/>
    <m/>
    <m/>
    <m/>
    <m/>
  </r>
  <r>
    <x v="1725"/>
    <x v="34"/>
    <n v="5354039"/>
    <x v="3270"/>
    <x v="0"/>
    <s v="USA"/>
    <n v="3500000"/>
    <x v="6"/>
    <x v="6"/>
    <s v="Drama"/>
    <s v="Thriller"/>
    <m/>
    <m/>
    <m/>
    <m/>
    <m/>
  </r>
  <r>
    <x v="1756"/>
    <x v="40"/>
    <n v="5348317"/>
    <x v="3271"/>
    <x v="0"/>
    <s v="USA"/>
    <n v="10000000"/>
    <x v="6"/>
    <x v="0"/>
    <s v="Drama"/>
    <s v="Music"/>
    <m/>
    <m/>
    <m/>
    <m/>
    <m/>
  </r>
  <r>
    <x v="1757"/>
    <x v="4"/>
    <n v="5333658"/>
    <x v="3272"/>
    <x v="0"/>
    <s v="USA"/>
    <n v="20000000"/>
    <x v="55"/>
    <x v="4"/>
    <s v="Sci-Fi"/>
    <m/>
    <m/>
    <m/>
    <m/>
    <m/>
    <m/>
  </r>
  <r>
    <x v="1304"/>
    <x v="13"/>
    <n v="5308707"/>
    <x v="3273"/>
    <x v="0"/>
    <s v="USA"/>
    <n v="5000000"/>
    <x v="16"/>
    <x v="0"/>
    <s v="Crime"/>
    <s v="Drama"/>
    <s v="Thriller"/>
    <m/>
    <m/>
    <m/>
    <m/>
  </r>
  <r>
    <x v="1308"/>
    <x v="64"/>
    <n v="5308553"/>
    <x v="3274"/>
    <x v="0"/>
    <s v="USA"/>
    <n v="39751583.5"/>
    <x v="16"/>
    <x v="3"/>
    <m/>
    <m/>
    <m/>
    <m/>
    <m/>
    <m/>
    <m/>
  </r>
  <r>
    <x v="335"/>
    <x v="22"/>
    <n v="5306447"/>
    <x v="3275"/>
    <x v="0"/>
    <s v="USA"/>
    <n v="15000000"/>
    <x v="11"/>
    <x v="0"/>
    <s v="Romance"/>
    <m/>
    <m/>
    <m/>
    <m/>
    <m/>
    <m/>
  </r>
  <r>
    <x v="745"/>
    <x v="85"/>
    <n v="5300000"/>
    <x v="3276"/>
    <x v="0"/>
    <s v="Italy"/>
    <n v="30000000"/>
    <x v="39"/>
    <x v="5"/>
    <s v="Drama"/>
    <m/>
    <m/>
    <m/>
    <m/>
    <m/>
    <m/>
  </r>
  <r>
    <x v="1758"/>
    <x v="31"/>
    <n v="5283379"/>
    <x v="3277"/>
    <x v="0"/>
    <s v="USA"/>
    <n v="39751583.5"/>
    <x v="9"/>
    <x v="0"/>
    <s v="Drama"/>
    <m/>
    <m/>
    <m/>
    <m/>
    <m/>
    <m/>
  </r>
  <r>
    <x v="1759"/>
    <x v="81"/>
    <n v="5228617"/>
    <x v="3278"/>
    <x v="0"/>
    <s v="USA"/>
    <n v="100000"/>
    <x v="14"/>
    <x v="0"/>
    <m/>
    <m/>
    <m/>
    <m/>
    <m/>
    <m/>
    <m/>
  </r>
  <r>
    <x v="330"/>
    <x v="51"/>
    <n v="5217498"/>
    <x v="3279"/>
    <x v="0"/>
    <s v="USA"/>
    <n v="15000000"/>
    <x v="28"/>
    <x v="3"/>
    <s v="Mystery"/>
    <s v="Thriller"/>
    <m/>
    <m/>
    <m/>
    <m/>
    <m/>
  </r>
  <r>
    <x v="1268"/>
    <x v="11"/>
    <n v="5205343"/>
    <x v="3280"/>
    <x v="0"/>
    <s v="USA"/>
    <n v="20000000"/>
    <x v="16"/>
    <x v="0"/>
    <s v="Drama"/>
    <s v="Family"/>
    <s v="Music"/>
    <s v="Romance"/>
    <m/>
    <m/>
    <m/>
  </r>
  <r>
    <x v="156"/>
    <x v="31"/>
    <n v="5204007"/>
    <x v="3281"/>
    <x v="0"/>
    <s v="UK"/>
    <n v="28000000"/>
    <x v="2"/>
    <x v="4"/>
    <s v="Comedy"/>
    <s v="Crime"/>
    <s v="Thriller"/>
    <m/>
    <m/>
    <m/>
    <m/>
  </r>
  <r>
    <x v="565"/>
    <x v="20"/>
    <n v="5132655"/>
    <x v="3282"/>
    <x v="0"/>
    <s v="Canada"/>
    <n v="20000000"/>
    <x v="73"/>
    <x v="1"/>
    <s v="Sci-Fi"/>
    <m/>
    <m/>
    <m/>
    <m/>
    <m/>
    <m/>
  </r>
  <r>
    <x v="1760"/>
    <x v="18"/>
    <n v="5132222"/>
    <x v="3283"/>
    <x v="0"/>
    <s v="Canada"/>
    <n v="2000000"/>
    <x v="11"/>
    <x v="3"/>
    <s v="Mystery"/>
    <s v="Romance"/>
    <m/>
    <m/>
    <m/>
    <m/>
    <m/>
  </r>
  <r>
    <x v="307"/>
    <x v="32"/>
    <n v="5128124"/>
    <x v="3284"/>
    <x v="0"/>
    <s v="New Zealand"/>
    <n v="25000000"/>
    <x v="12"/>
    <x v="6"/>
    <s v="Drama"/>
    <s v="Sport"/>
    <m/>
    <m/>
    <m/>
    <m/>
    <m/>
  </r>
  <r>
    <x v="1369"/>
    <x v="10"/>
    <n v="5108820"/>
    <x v="3285"/>
    <x v="0"/>
    <s v="USA"/>
    <n v="24000000"/>
    <x v="1"/>
    <x v="3"/>
    <s v="Mystery"/>
    <s v="Thriller"/>
    <m/>
    <m/>
    <m/>
    <m/>
    <m/>
  </r>
  <r>
    <x v="1122"/>
    <x v="91"/>
    <n v="5100937"/>
    <x v="3286"/>
    <x v="16"/>
    <s v="Mexico"/>
    <n v="39751583.5"/>
    <x v="31"/>
    <x v="3"/>
    <m/>
    <m/>
    <m/>
    <m/>
    <m/>
    <m/>
    <m/>
  </r>
  <r>
    <x v="917"/>
    <x v="17"/>
    <n v="5100000"/>
    <x v="3287"/>
    <x v="0"/>
    <s v="UK"/>
    <n v="7500000"/>
    <x v="27"/>
    <x v="0"/>
    <s v="Drama"/>
    <s v="Romance"/>
    <m/>
    <m/>
    <m/>
    <m/>
    <m/>
  </r>
  <r>
    <x v="335"/>
    <x v="8"/>
    <n v="5032496"/>
    <x v="3288"/>
    <x v="0"/>
    <s v="USA"/>
    <n v="12000000"/>
    <x v="2"/>
    <x v="0"/>
    <s v="Drama"/>
    <m/>
    <m/>
    <m/>
    <m/>
    <m/>
    <m/>
  </r>
  <r>
    <x v="1761"/>
    <x v="34"/>
    <n v="5023275"/>
    <x v="3289"/>
    <x v="0"/>
    <s v="France"/>
    <n v="15000000"/>
    <x v="31"/>
    <x v="2"/>
    <s v="Crime"/>
    <s v="Drama"/>
    <s v="Mystery"/>
    <s v="Western"/>
    <m/>
    <m/>
    <m/>
  </r>
  <r>
    <x v="1762"/>
    <x v="22"/>
    <n v="5018450"/>
    <x v="3290"/>
    <x v="0"/>
    <s v="USA"/>
    <n v="8000000"/>
    <x v="48"/>
    <x v="0"/>
    <s v="Fantasy"/>
    <s v="Romance"/>
    <m/>
    <m/>
    <m/>
    <m/>
    <m/>
  </r>
  <r>
    <x v="364"/>
    <x v="0"/>
    <n v="5009677"/>
    <x v="3291"/>
    <x v="0"/>
    <s v="UK"/>
    <n v="5000000"/>
    <x v="12"/>
    <x v="3"/>
    <s v="Mystery"/>
    <s v="Sci-Fi"/>
    <m/>
    <m/>
    <m/>
    <m/>
    <m/>
  </r>
  <r>
    <x v="1702"/>
    <x v="41"/>
    <n v="5005883"/>
    <x v="3292"/>
    <x v="0"/>
    <s v="USA"/>
    <n v="20000000"/>
    <x v="0"/>
    <x v="3"/>
    <s v="Mystery"/>
    <s v="Romance"/>
    <s v="Thriller"/>
    <m/>
    <m/>
    <m/>
    <m/>
  </r>
  <r>
    <x v="1763"/>
    <x v="35"/>
    <n v="5004648"/>
    <x v="3293"/>
    <x v="12"/>
    <s v="Italy"/>
    <n v="10000000"/>
    <x v="14"/>
    <x v="3"/>
    <s v="Romance"/>
    <m/>
    <m/>
    <m/>
    <m/>
    <m/>
    <m/>
  </r>
  <r>
    <x v="1764"/>
    <x v="3"/>
    <n v="5002310"/>
    <x v="3294"/>
    <x v="0"/>
    <s v="USA"/>
    <n v="13000000"/>
    <x v="37"/>
    <x v="2"/>
    <s v="Comedy"/>
    <s v="Romance"/>
    <s v="Sci-Fi"/>
    <m/>
    <m/>
    <m/>
    <m/>
  </r>
  <r>
    <x v="739"/>
    <x v="66"/>
    <n v="5000000"/>
    <x v="3295"/>
    <x v="0"/>
    <s v="USA"/>
    <n v="25000000"/>
    <x v="8"/>
    <x v="0"/>
    <s v="Drama"/>
    <s v="Musical"/>
    <s v="Romance"/>
    <s v="War"/>
    <m/>
    <m/>
    <m/>
  </r>
  <r>
    <x v="1765"/>
    <x v="42"/>
    <n v="5000000"/>
    <x v="3296"/>
    <x v="0"/>
    <s v="USA"/>
    <n v="210000"/>
    <x v="15"/>
    <x v="2"/>
    <s v="Horror"/>
    <s v="Sci-Fi"/>
    <m/>
    <m/>
    <m/>
    <m/>
    <m/>
  </r>
  <r>
    <x v="166"/>
    <x v="5"/>
    <n v="4992159"/>
    <x v="3297"/>
    <x v="0"/>
    <s v="USA"/>
    <n v="8550000"/>
    <x v="37"/>
    <x v="0"/>
    <s v="Horror"/>
    <s v="Thriller"/>
    <m/>
    <m/>
    <m/>
    <m/>
    <m/>
  </r>
  <r>
    <x v="1766"/>
    <x v="35"/>
    <n v="4956401"/>
    <x v="3298"/>
    <x v="0"/>
    <s v="France"/>
    <n v="15000000"/>
    <x v="20"/>
    <x v="3"/>
    <s v="War"/>
    <m/>
    <m/>
    <m/>
    <m/>
    <m/>
    <m/>
  </r>
  <r>
    <x v="1767"/>
    <x v="50"/>
    <n v="4946250"/>
    <x v="3299"/>
    <x v="0"/>
    <s v="USA"/>
    <n v="1000000"/>
    <x v="7"/>
    <x v="10"/>
    <s v="Music"/>
    <m/>
    <m/>
    <m/>
    <m/>
    <m/>
    <m/>
  </r>
  <r>
    <x v="1768"/>
    <x v="39"/>
    <n v="4930798"/>
    <x v="3300"/>
    <x v="0"/>
    <s v="USA"/>
    <n v="17000000"/>
    <x v="30"/>
    <x v="1"/>
    <s v="Thriller"/>
    <m/>
    <m/>
    <m/>
    <m/>
    <m/>
    <m/>
  </r>
  <r>
    <x v="286"/>
    <x v="10"/>
    <n v="4922166"/>
    <x v="3301"/>
    <x v="0"/>
    <s v="USA"/>
    <n v="12000000"/>
    <x v="76"/>
    <x v="0"/>
    <s v="Musical"/>
    <s v="Romance"/>
    <m/>
    <m/>
    <m/>
    <m/>
    <m/>
  </r>
  <r>
    <x v="1769"/>
    <x v="31"/>
    <n v="4919896"/>
    <x v="3302"/>
    <x v="0"/>
    <s v="UK"/>
    <n v="13000000"/>
    <x v="0"/>
    <x v="0"/>
    <s v="Crime"/>
    <s v="Thriller"/>
    <m/>
    <m/>
    <m/>
    <m/>
    <m/>
  </r>
  <r>
    <x v="117"/>
    <x v="7"/>
    <n v="4903000"/>
    <x v="3303"/>
    <x v="0"/>
    <s v="USA"/>
    <n v="12000000"/>
    <x v="38"/>
    <x v="0"/>
    <s v="Drama"/>
    <m/>
    <m/>
    <m/>
    <m/>
    <m/>
    <m/>
  </r>
  <r>
    <x v="191"/>
    <x v="41"/>
    <n v="4884663"/>
    <x v="3304"/>
    <x v="0"/>
    <s v="USA"/>
    <n v="12000000"/>
    <x v="3"/>
    <x v="1"/>
    <s v="Sci-Fi"/>
    <m/>
    <m/>
    <m/>
    <m/>
    <m/>
    <m/>
  </r>
  <r>
    <x v="1343"/>
    <x v="22"/>
    <n v="4881867"/>
    <x v="3305"/>
    <x v="0"/>
    <s v="USA"/>
    <n v="9000000"/>
    <x v="16"/>
    <x v="0"/>
    <s v="Music"/>
    <m/>
    <m/>
    <m/>
    <m/>
    <m/>
    <m/>
  </r>
  <r>
    <x v="1099"/>
    <x v="10"/>
    <n v="4859475"/>
    <x v="3306"/>
    <x v="0"/>
    <s v="USA"/>
    <n v="6000000"/>
    <x v="11"/>
    <x v="3"/>
    <s v="Romance"/>
    <m/>
    <m/>
    <m/>
    <m/>
    <m/>
    <m/>
  </r>
  <r>
    <x v="1770"/>
    <x v="35"/>
    <n v="4857376"/>
    <x v="3307"/>
    <x v="1"/>
    <s v="France"/>
    <n v="13000000"/>
    <x v="4"/>
    <x v="0"/>
    <s v="Drama"/>
    <s v="Romance"/>
    <m/>
    <m/>
    <m/>
    <m/>
    <m/>
  </r>
  <r>
    <x v="335"/>
    <x v="48"/>
    <n v="4839383"/>
    <x v="3308"/>
    <x v="0"/>
    <s v="USA"/>
    <n v="16000000"/>
    <x v="24"/>
    <x v="0"/>
    <s v="Romance"/>
    <m/>
    <m/>
    <m/>
    <m/>
    <m/>
    <m/>
  </r>
  <r>
    <x v="1278"/>
    <x v="31"/>
    <n v="4835968"/>
    <x v="3309"/>
    <x v="0"/>
    <s v="UK"/>
    <n v="40000000"/>
    <x v="36"/>
    <x v="4"/>
    <s v="Adventure"/>
    <s v="Thriller"/>
    <m/>
    <m/>
    <m/>
    <m/>
    <m/>
  </r>
  <r>
    <x v="1771"/>
    <x v="58"/>
    <n v="4829497"/>
    <x v="3310"/>
    <x v="0"/>
    <s v="UK"/>
    <n v="39751583.5"/>
    <x v="16"/>
    <x v="3"/>
    <s v="Romance"/>
    <m/>
    <m/>
    <m/>
    <m/>
    <m/>
    <m/>
  </r>
  <r>
    <x v="1772"/>
    <x v="89"/>
    <n v="4814244"/>
    <x v="3311"/>
    <x v="0"/>
    <s v="Canada"/>
    <n v="11000000"/>
    <x v="48"/>
    <x v="0"/>
    <s v="Romance"/>
    <m/>
    <m/>
    <m/>
    <m/>
    <m/>
    <m/>
  </r>
  <r>
    <x v="24"/>
    <x v="24"/>
    <n v="4806750"/>
    <x v="3312"/>
    <x v="0"/>
    <s v="Australia"/>
    <n v="39751583.5"/>
    <x v="7"/>
    <x v="6"/>
    <s v="Drama"/>
    <s v="Music"/>
    <s v="Romance"/>
    <m/>
    <m/>
    <m/>
    <m/>
  </r>
  <r>
    <x v="1773"/>
    <x v="3"/>
    <n v="4777007"/>
    <x v="3313"/>
    <x v="0"/>
    <s v="France"/>
    <n v="40000000"/>
    <x v="19"/>
    <x v="0"/>
    <s v="Fantasy"/>
    <s v="Sci-Fi"/>
    <m/>
    <m/>
    <m/>
    <m/>
    <m/>
  </r>
  <r>
    <x v="1774"/>
    <x v="60"/>
    <n v="4771000"/>
    <x v="3314"/>
    <x v="0"/>
    <s v="USA"/>
    <n v="800000"/>
    <x v="31"/>
    <x v="0"/>
    <s v="Drama"/>
    <m/>
    <m/>
    <m/>
    <m/>
    <m/>
    <m/>
  </r>
  <r>
    <x v="1314"/>
    <x v="34"/>
    <n v="4741987"/>
    <x v="3315"/>
    <x v="0"/>
    <s v="USA"/>
    <n v="14000000"/>
    <x v="24"/>
    <x v="3"/>
    <m/>
    <m/>
    <m/>
    <m/>
    <m/>
    <m/>
    <m/>
  </r>
  <r>
    <x v="1775"/>
    <x v="48"/>
    <n v="4734235"/>
    <x v="3316"/>
    <x v="0"/>
    <s v="USA"/>
    <n v="15000000"/>
    <x v="27"/>
    <x v="0"/>
    <s v="Drama"/>
    <s v="Music"/>
    <m/>
    <m/>
    <m/>
    <m/>
    <m/>
  </r>
  <r>
    <x v="494"/>
    <x v="8"/>
    <n v="4720371"/>
    <x v="3317"/>
    <x v="0"/>
    <s v="USA"/>
    <n v="7000000"/>
    <x v="20"/>
    <x v="2"/>
    <s v="Biography"/>
    <s v="Drama"/>
    <m/>
    <m/>
    <m/>
    <m/>
    <m/>
  </r>
  <r>
    <x v="1144"/>
    <x v="8"/>
    <n v="4717455"/>
    <x v="3318"/>
    <x v="0"/>
    <s v="Australia"/>
    <n v="12000000"/>
    <x v="48"/>
    <x v="12"/>
    <s v="Thriller"/>
    <m/>
    <m/>
    <m/>
    <m/>
    <m/>
    <m/>
  </r>
  <r>
    <x v="1524"/>
    <x v="5"/>
    <n v="4710455"/>
    <x v="3319"/>
    <x v="4"/>
    <s v="Japan"/>
    <n v="24000000"/>
    <x v="40"/>
    <x v="2"/>
    <s v="Animation"/>
    <s v="Family"/>
    <s v="Fantasy"/>
    <m/>
    <m/>
    <m/>
    <m/>
  </r>
  <r>
    <x v="821"/>
    <x v="64"/>
    <n v="4700361"/>
    <x v="3320"/>
    <x v="0"/>
    <s v="USA"/>
    <n v="5000000"/>
    <x v="28"/>
    <x v="3"/>
    <m/>
    <m/>
    <m/>
    <m/>
    <m/>
    <m/>
    <m/>
  </r>
  <r>
    <x v="1776"/>
    <x v="20"/>
    <n v="4693919"/>
    <x v="3321"/>
    <x v="0"/>
    <s v="USA"/>
    <n v="6500000"/>
    <x v="28"/>
    <x v="0"/>
    <m/>
    <m/>
    <m/>
    <m/>
    <m/>
    <m/>
    <m/>
  </r>
  <r>
    <x v="1661"/>
    <x v="56"/>
    <n v="4692814"/>
    <x v="3322"/>
    <x v="0"/>
    <s v="USA"/>
    <n v="8000000"/>
    <x v="33"/>
    <x v="0"/>
    <m/>
    <m/>
    <m/>
    <m/>
    <m/>
    <m/>
    <m/>
  </r>
  <r>
    <x v="281"/>
    <x v="4"/>
    <n v="4681503"/>
    <x v="3323"/>
    <x v="0"/>
    <s v="USA"/>
    <n v="9000000"/>
    <x v="14"/>
    <x v="0"/>
    <s v="Drama"/>
    <m/>
    <m/>
    <m/>
    <m/>
    <m/>
    <m/>
  </r>
  <r>
    <x v="195"/>
    <x v="58"/>
    <n v="4651977"/>
    <x v="3324"/>
    <x v="0"/>
    <s v="USA"/>
    <n v="35000000"/>
    <x v="26"/>
    <x v="3"/>
    <m/>
    <m/>
    <m/>
    <m/>
    <m/>
    <m/>
    <m/>
  </r>
  <r>
    <x v="1777"/>
    <x v="10"/>
    <n v="4613815"/>
    <x v="3325"/>
    <x v="0"/>
    <s v="USA"/>
    <n v="39751583.5"/>
    <x v="27"/>
    <x v="0"/>
    <s v="Crime"/>
    <m/>
    <m/>
    <m/>
    <m/>
    <m/>
    <m/>
  </r>
  <r>
    <x v="1778"/>
    <x v="4"/>
    <n v="4600000"/>
    <x v="3326"/>
    <x v="0"/>
    <s v="USA"/>
    <n v="1900000"/>
    <x v="6"/>
    <x v="5"/>
    <s v="Drama"/>
    <m/>
    <m/>
    <m/>
    <m/>
    <m/>
    <m/>
  </r>
  <r>
    <x v="1173"/>
    <x v="41"/>
    <n v="4599680"/>
    <x v="3327"/>
    <x v="0"/>
    <s v="USA"/>
    <n v="1500000"/>
    <x v="9"/>
    <x v="3"/>
    <m/>
    <m/>
    <m/>
    <m/>
    <m/>
    <m/>
    <m/>
  </r>
  <r>
    <x v="1651"/>
    <x v="0"/>
    <n v="4595000"/>
    <x v="3328"/>
    <x v="0"/>
    <s v="UK"/>
    <n v="39751583.5"/>
    <x v="14"/>
    <x v="0"/>
    <s v="Drama"/>
    <s v="Music"/>
    <s v="Romance"/>
    <m/>
    <m/>
    <m/>
    <m/>
  </r>
  <r>
    <x v="282"/>
    <x v="29"/>
    <n v="4584886"/>
    <x v="3329"/>
    <x v="0"/>
    <s v="USA"/>
    <n v="45000000"/>
    <x v="16"/>
    <x v="3"/>
    <s v="Romance"/>
    <m/>
    <m/>
    <m/>
    <m/>
    <m/>
    <m/>
  </r>
  <r>
    <x v="1184"/>
    <x v="40"/>
    <n v="4581222"/>
    <x v="3330"/>
    <x v="0"/>
    <s v="UK"/>
    <n v="39751583.5"/>
    <x v="23"/>
    <x v="2"/>
    <s v="Documentary"/>
    <s v="Drama"/>
    <s v="Sport"/>
    <m/>
    <m/>
    <m/>
    <m/>
  </r>
  <r>
    <x v="1779"/>
    <x v="59"/>
    <n v="4563029"/>
    <x v="3331"/>
    <x v="0"/>
    <s v="South Korea"/>
    <n v="39200000"/>
    <x v="14"/>
    <x v="4"/>
    <s v="Drama"/>
    <s v="Sci-Fi"/>
    <s v="Thriller"/>
    <m/>
    <m/>
    <m/>
    <m/>
  </r>
  <r>
    <x v="1225"/>
    <x v="48"/>
    <n v="4554569"/>
    <x v="3332"/>
    <x v="0"/>
    <s v="USA"/>
    <n v="28000000"/>
    <x v="26"/>
    <x v="0"/>
    <s v="Drama"/>
    <m/>
    <m/>
    <m/>
    <m/>
    <m/>
    <m/>
  </r>
  <r>
    <x v="1780"/>
    <x v="10"/>
    <n v="4542775"/>
    <x v="3333"/>
    <x v="0"/>
    <s v="USA"/>
    <n v="6000000"/>
    <x v="33"/>
    <x v="0"/>
    <s v="Romance"/>
    <m/>
    <m/>
    <m/>
    <m/>
    <m/>
    <m/>
  </r>
  <r>
    <x v="565"/>
    <x v="75"/>
    <n v="4535117"/>
    <x v="3334"/>
    <x v="0"/>
    <s v="Germany"/>
    <n v="60000000"/>
    <x v="61"/>
    <x v="4"/>
    <s v="Adventure"/>
    <s v="Fantasy"/>
    <s v="Thriller"/>
    <m/>
    <m/>
    <m/>
    <m/>
  </r>
  <r>
    <x v="168"/>
    <x v="49"/>
    <n v="4505922"/>
    <x v="3335"/>
    <x v="0"/>
    <s v="USA"/>
    <n v="200000"/>
    <x v="7"/>
    <x v="0"/>
    <s v="Drama"/>
    <m/>
    <m/>
    <m/>
    <m/>
    <m/>
    <m/>
  </r>
  <r>
    <x v="208"/>
    <x v="171"/>
    <n v="4496583"/>
    <x v="3336"/>
    <x v="0"/>
    <s v="USA"/>
    <n v="35000000"/>
    <x v="13"/>
    <x v="5"/>
    <s v="Drama"/>
    <m/>
    <m/>
    <m/>
    <m/>
    <m/>
    <m/>
  </r>
  <r>
    <x v="9"/>
    <x v="48"/>
    <n v="4485485"/>
    <x v="3337"/>
    <x v="0"/>
    <s v="USA"/>
    <n v="15000000"/>
    <x v="16"/>
    <x v="0"/>
    <s v="Crime"/>
    <s v="Drama"/>
    <m/>
    <m/>
    <m/>
    <m/>
    <m/>
  </r>
  <r>
    <x v="136"/>
    <x v="43"/>
    <n v="4476235"/>
    <x v="3338"/>
    <x v="0"/>
    <s v="USA"/>
    <n v="27000000"/>
    <x v="16"/>
    <x v="5"/>
    <s v="Horror"/>
    <s v="Mystery"/>
    <s v="Thriller"/>
    <m/>
    <m/>
    <m/>
    <m/>
  </r>
  <r>
    <x v="1781"/>
    <x v="19"/>
    <n v="4463292"/>
    <x v="3339"/>
    <x v="0"/>
    <s v="UK"/>
    <n v="30000000"/>
    <x v="26"/>
    <x v="3"/>
    <s v="History"/>
    <s v="Thriller"/>
    <m/>
    <m/>
    <m/>
    <m/>
    <m/>
  </r>
  <r>
    <x v="1782"/>
    <x v="56"/>
    <n v="4443403"/>
    <x v="3340"/>
    <x v="1"/>
    <s v="France"/>
    <n v="7300000"/>
    <x v="13"/>
    <x v="7"/>
    <s v="Biography"/>
    <s v="Drama"/>
    <s v="War"/>
    <m/>
    <m/>
    <m/>
    <m/>
  </r>
  <r>
    <x v="1144"/>
    <x v="5"/>
    <n v="4440055"/>
    <x v="3341"/>
    <x v="0"/>
    <s v="UK"/>
    <n v="8500000"/>
    <x v="14"/>
    <x v="6"/>
    <s v="Drama"/>
    <s v="Romance"/>
    <m/>
    <m/>
    <m/>
    <m/>
    <m/>
  </r>
  <r>
    <x v="1783"/>
    <x v="12"/>
    <n v="4435083"/>
    <x v="3342"/>
    <x v="0"/>
    <s v="Australia"/>
    <n v="18000000"/>
    <x v="6"/>
    <x v="6"/>
    <s v="Drama"/>
    <s v="Romance"/>
    <s v="War"/>
    <m/>
    <m/>
    <m/>
    <m/>
  </r>
  <r>
    <x v="23"/>
    <x v="32"/>
    <n v="4426297"/>
    <x v="3343"/>
    <x v="0"/>
    <s v="USA"/>
    <n v="35000000"/>
    <x v="20"/>
    <x v="2"/>
    <s v="Drama"/>
    <s v="Romance"/>
    <s v="War"/>
    <m/>
    <m/>
    <m/>
    <m/>
  </r>
  <r>
    <x v="1784"/>
    <x v="20"/>
    <n v="4417124"/>
    <x v="3344"/>
    <x v="0"/>
    <s v="USA"/>
    <n v="39751583.5"/>
    <x v="12"/>
    <x v="10"/>
    <m/>
    <m/>
    <m/>
    <m/>
    <m/>
    <m/>
    <m/>
  </r>
  <r>
    <x v="421"/>
    <x v="37"/>
    <n v="4414535"/>
    <x v="3345"/>
    <x v="0"/>
    <s v="UK"/>
    <n v="18000000"/>
    <x v="22"/>
    <x v="3"/>
    <m/>
    <m/>
    <m/>
    <m/>
    <m/>
    <m/>
    <m/>
  </r>
  <r>
    <x v="1424"/>
    <x v="80"/>
    <n v="4398392"/>
    <x v="3346"/>
    <x v="23"/>
    <s v="Netherlands"/>
    <n v="21000000"/>
    <x v="22"/>
    <x v="3"/>
    <s v="Thriller"/>
    <s v="War"/>
    <m/>
    <m/>
    <m/>
    <m/>
    <m/>
  </r>
  <r>
    <x v="1785"/>
    <x v="49"/>
    <n v="4394936"/>
    <x v="3347"/>
    <x v="0"/>
    <s v="Germany"/>
    <n v="6000000"/>
    <x v="48"/>
    <x v="0"/>
    <s v="Drama"/>
    <s v="Fantasy"/>
    <s v="Romance"/>
    <m/>
    <m/>
    <m/>
    <m/>
  </r>
  <r>
    <x v="1605"/>
    <x v="10"/>
    <n v="4360548"/>
    <x v="3348"/>
    <x v="0"/>
    <s v="USA"/>
    <n v="15000000"/>
    <x v="16"/>
    <x v="0"/>
    <s v="Drama"/>
    <s v="Romance"/>
    <m/>
    <m/>
    <m/>
    <m/>
    <m/>
  </r>
  <r>
    <x v="418"/>
    <x v="28"/>
    <n v="4357000"/>
    <x v="3349"/>
    <x v="0"/>
    <s v="USA"/>
    <n v="30000000"/>
    <x v="48"/>
    <x v="0"/>
    <s v="Family"/>
    <s v="Fantasy"/>
    <m/>
    <m/>
    <m/>
    <m/>
    <m/>
  </r>
  <r>
    <x v="750"/>
    <x v="63"/>
    <n v="4356743"/>
    <x v="3350"/>
    <x v="0"/>
    <s v="USA"/>
    <n v="16000000"/>
    <x v="30"/>
    <x v="0"/>
    <s v="Family"/>
    <s v="Romance"/>
    <m/>
    <m/>
    <m/>
    <m/>
    <m/>
  </r>
  <r>
    <x v="1786"/>
    <x v="124"/>
    <n v="4350774"/>
    <x v="3351"/>
    <x v="0"/>
    <s v="USA"/>
    <n v="8000000"/>
    <x v="20"/>
    <x v="0"/>
    <m/>
    <m/>
    <m/>
    <m/>
    <m/>
    <m/>
    <m/>
  </r>
  <r>
    <x v="1787"/>
    <x v="10"/>
    <n v="4328294"/>
    <x v="3352"/>
    <x v="0"/>
    <s v="USA"/>
    <n v="39751583.5"/>
    <x v="18"/>
    <x v="0"/>
    <m/>
    <m/>
    <m/>
    <m/>
    <m/>
    <m/>
    <m/>
  </r>
  <r>
    <x v="1788"/>
    <x v="51"/>
    <n v="4311834"/>
    <x v="3353"/>
    <x v="0"/>
    <s v="USA"/>
    <n v="39751583.5"/>
    <x v="25"/>
    <x v="5"/>
    <s v="Documentary"/>
    <m/>
    <m/>
    <m/>
    <m/>
    <m/>
    <m/>
  </r>
  <r>
    <x v="1789"/>
    <x v="31"/>
    <n v="4308981"/>
    <x v="3354"/>
    <x v="0"/>
    <s v="USA"/>
    <n v="24000000"/>
    <x v="67"/>
    <x v="0"/>
    <s v="Family"/>
    <m/>
    <m/>
    <m/>
    <m/>
    <m/>
    <m/>
  </r>
  <r>
    <x v="1760"/>
    <x v="48"/>
    <n v="4306697"/>
    <x v="3355"/>
    <x v="0"/>
    <s v="Canada"/>
    <n v="5000000"/>
    <x v="5"/>
    <x v="3"/>
    <m/>
    <m/>
    <m/>
    <m/>
    <m/>
    <m/>
    <m/>
  </r>
  <r>
    <x v="1790"/>
    <x v="28"/>
    <n v="4301331"/>
    <x v="3356"/>
    <x v="0"/>
    <s v="USA"/>
    <n v="4000000"/>
    <x v="15"/>
    <x v="0"/>
    <s v="Fantasy"/>
    <m/>
    <m/>
    <m/>
    <m/>
    <m/>
    <m/>
  </r>
  <r>
    <x v="144"/>
    <x v="1"/>
    <n v="4291965"/>
    <x v="3357"/>
    <x v="0"/>
    <s v="France"/>
    <n v="14000000"/>
    <x v="15"/>
    <x v="6"/>
    <s v="Drama"/>
    <s v="History"/>
    <m/>
    <m/>
    <m/>
    <m/>
    <m/>
  </r>
  <r>
    <x v="1146"/>
    <x v="36"/>
    <n v="4280577"/>
    <x v="3358"/>
    <x v="0"/>
    <s v="USA"/>
    <n v="10000000"/>
    <x v="9"/>
    <x v="3"/>
    <s v="Romance"/>
    <s v="Sport"/>
    <m/>
    <m/>
    <m/>
    <m/>
    <m/>
  </r>
  <r>
    <x v="1791"/>
    <x v="44"/>
    <n v="4273372"/>
    <x v="3359"/>
    <x v="0"/>
    <s v="USA"/>
    <n v="22000000"/>
    <x v="76"/>
    <x v="3"/>
    <s v="Music"/>
    <s v="Romance"/>
    <m/>
    <m/>
    <m/>
    <m/>
    <m/>
  </r>
  <r>
    <x v="147"/>
    <x v="17"/>
    <n v="4250320"/>
    <x v="3360"/>
    <x v="0"/>
    <s v="USA"/>
    <n v="18000000"/>
    <x v="9"/>
    <x v="2"/>
    <s v="Fantasy"/>
    <s v="Mystery"/>
    <s v="Thriller"/>
    <m/>
    <m/>
    <m/>
    <m/>
  </r>
  <r>
    <x v="1691"/>
    <x v="39"/>
    <n v="4244155"/>
    <x v="3361"/>
    <x v="0"/>
    <s v="USA"/>
    <n v="10000000"/>
    <x v="20"/>
    <x v="0"/>
    <s v="Drama"/>
    <m/>
    <m/>
    <m/>
    <m/>
    <m/>
    <m/>
  </r>
  <r>
    <x v="607"/>
    <x v="30"/>
    <n v="4239767"/>
    <x v="3362"/>
    <x v="0"/>
    <s v="Canada"/>
    <n v="7500000"/>
    <x v="27"/>
    <x v="0"/>
    <s v="Drama"/>
    <s v="Romance"/>
    <s v="Sport"/>
    <m/>
    <m/>
    <m/>
    <m/>
  </r>
  <r>
    <x v="1792"/>
    <x v="18"/>
    <n v="4235837"/>
    <x v="3363"/>
    <x v="0"/>
    <s v="USA"/>
    <n v="15000000"/>
    <x v="17"/>
    <x v="0"/>
    <s v="Crime"/>
    <s v="Mystery"/>
    <m/>
    <m/>
    <m/>
    <m/>
    <m/>
  </r>
  <r>
    <x v="1793"/>
    <x v="5"/>
    <n v="4234040"/>
    <x v="3364"/>
    <x v="0"/>
    <s v="USA"/>
    <n v="20000000"/>
    <x v="14"/>
    <x v="6"/>
    <s v="Drama"/>
    <m/>
    <m/>
    <m/>
    <m/>
    <m/>
    <m/>
  </r>
  <r>
    <x v="1794"/>
    <x v="44"/>
    <n v="4231500"/>
    <x v="3365"/>
    <x v="14"/>
    <s v="India"/>
    <n v="1000000"/>
    <x v="22"/>
    <x v="3"/>
    <s v="Romance"/>
    <m/>
    <m/>
    <m/>
    <m/>
    <m/>
    <m/>
  </r>
  <r>
    <x v="1008"/>
    <x v="13"/>
    <n v="4193025"/>
    <x v="3366"/>
    <x v="0"/>
    <s v="USA"/>
    <n v="15000000"/>
    <x v="9"/>
    <x v="0"/>
    <s v="Music"/>
    <m/>
    <m/>
    <m/>
    <m/>
    <m/>
    <m/>
  </r>
  <r>
    <x v="1795"/>
    <x v="11"/>
    <n v="4190530"/>
    <x v="3367"/>
    <x v="0"/>
    <s v="Australia"/>
    <n v="22500000"/>
    <x v="6"/>
    <x v="3"/>
    <s v="War"/>
    <m/>
    <m/>
    <m/>
    <m/>
    <m/>
    <m/>
  </r>
  <r>
    <x v="1468"/>
    <x v="50"/>
    <n v="4186931"/>
    <x v="3368"/>
    <x v="0"/>
    <s v="USA"/>
    <n v="250000"/>
    <x v="26"/>
    <x v="0"/>
    <s v="Drama"/>
    <s v="Romance"/>
    <m/>
    <m/>
    <m/>
    <m/>
    <m/>
  </r>
  <r>
    <x v="1796"/>
    <x v="49"/>
    <n v="4170647"/>
    <x v="3369"/>
    <x v="0"/>
    <s v="UK"/>
    <n v="1900000"/>
    <x v="26"/>
    <x v="0"/>
    <s v="Drama"/>
    <m/>
    <m/>
    <m/>
    <m/>
    <m/>
    <m/>
  </r>
  <r>
    <x v="1797"/>
    <x v="69"/>
    <n v="4157491"/>
    <x v="3370"/>
    <x v="0"/>
    <s v="Denmark"/>
    <n v="12800000"/>
    <x v="13"/>
    <x v="5"/>
    <s v="Drama"/>
    <s v="Musical"/>
    <m/>
    <m/>
    <m/>
    <m/>
    <m/>
  </r>
  <r>
    <x v="1798"/>
    <x v="68"/>
    <n v="4142507"/>
    <x v="3371"/>
    <x v="0"/>
    <s v="USA"/>
    <n v="3000000"/>
    <x v="45"/>
    <x v="0"/>
    <s v="Romance"/>
    <m/>
    <m/>
    <m/>
    <m/>
    <m/>
    <m/>
  </r>
  <r>
    <x v="1799"/>
    <x v="0"/>
    <n v="4131640"/>
    <x v="3372"/>
    <x v="0"/>
    <s v="USA"/>
    <n v="7500000"/>
    <x v="69"/>
    <x v="0"/>
    <s v="Crime"/>
    <m/>
    <m/>
    <m/>
    <m/>
    <m/>
    <m/>
  </r>
  <r>
    <x v="1496"/>
    <x v="17"/>
    <n v="4109095"/>
    <x v="3373"/>
    <x v="0"/>
    <s v="USA"/>
    <n v="3000000"/>
    <x v="27"/>
    <x v="5"/>
    <s v="Drama"/>
    <s v="History"/>
    <s v="Romance"/>
    <m/>
    <m/>
    <m/>
    <m/>
  </r>
  <r>
    <x v="1800"/>
    <x v="30"/>
    <n v="4105123"/>
    <x v="3374"/>
    <x v="33"/>
    <s v="Indonesia"/>
    <n v="1100000"/>
    <x v="17"/>
    <x v="4"/>
    <s v="Crime"/>
    <s v="Thriller"/>
    <m/>
    <m/>
    <m/>
    <m/>
    <m/>
  </r>
  <r>
    <x v="1801"/>
    <x v="117"/>
    <n v="4074023"/>
    <x v="3375"/>
    <x v="0"/>
    <s v="UK"/>
    <n v="5000000"/>
    <x v="26"/>
    <x v="10"/>
    <m/>
    <m/>
    <m/>
    <m/>
    <m/>
    <m/>
    <m/>
  </r>
  <r>
    <x v="1802"/>
    <x v="65"/>
    <n v="4068087"/>
    <x v="3376"/>
    <x v="0"/>
    <s v="Canada"/>
    <n v="17000000"/>
    <x v="5"/>
    <x v="6"/>
    <s v="Drama"/>
    <s v="History"/>
    <m/>
    <m/>
    <m/>
    <m/>
    <m/>
  </r>
  <r>
    <x v="1213"/>
    <x v="44"/>
    <n v="4064333"/>
    <x v="3377"/>
    <x v="0"/>
    <s v="USA"/>
    <n v="25000000"/>
    <x v="34"/>
    <x v="4"/>
    <s v="Comedy"/>
    <s v="Sci-Fi"/>
    <m/>
    <m/>
    <m/>
    <m/>
    <m/>
  </r>
  <r>
    <x v="1803"/>
    <x v="64"/>
    <n v="4063859"/>
    <x v="3378"/>
    <x v="6"/>
    <s v="Germany"/>
    <n v="4800000"/>
    <x v="5"/>
    <x v="3"/>
    <s v="Romance"/>
    <m/>
    <m/>
    <m/>
    <m/>
    <m/>
    <m/>
  </r>
  <r>
    <x v="1685"/>
    <x v="89"/>
    <n v="4063238"/>
    <x v="3379"/>
    <x v="0"/>
    <s v="USA"/>
    <n v="39751583.5"/>
    <x v="7"/>
    <x v="0"/>
    <s v="Drama"/>
    <s v="Romance"/>
    <m/>
    <m/>
    <m/>
    <m/>
    <m/>
  </r>
  <r>
    <x v="1804"/>
    <x v="44"/>
    <n v="4046737"/>
    <x v="3380"/>
    <x v="0"/>
    <s v="USA"/>
    <n v="4000000"/>
    <x v="6"/>
    <x v="0"/>
    <s v="Drama"/>
    <s v="Romance"/>
    <m/>
    <m/>
    <m/>
    <m/>
    <m/>
  </r>
  <r>
    <x v="1805"/>
    <x v="28"/>
    <n v="4040588"/>
    <x v="3381"/>
    <x v="0"/>
    <s v="USA"/>
    <n v="5000000"/>
    <x v="9"/>
    <x v="0"/>
    <s v="Drama"/>
    <m/>
    <m/>
    <m/>
    <m/>
    <m/>
    <m/>
  </r>
  <r>
    <x v="1468"/>
    <x v="10"/>
    <n v="4033268"/>
    <x v="3382"/>
    <x v="0"/>
    <s v="USA"/>
    <n v="39751583.5"/>
    <x v="24"/>
    <x v="0"/>
    <s v="Drama"/>
    <m/>
    <m/>
    <m/>
    <m/>
    <m/>
    <m/>
  </r>
  <r>
    <x v="1806"/>
    <x v="15"/>
    <n v="4018695"/>
    <x v="3383"/>
    <x v="14"/>
    <s v="India"/>
    <n v="12000000"/>
    <x v="13"/>
    <x v="2"/>
    <s v="Drama"/>
    <s v="Thriller"/>
    <m/>
    <m/>
    <m/>
    <m/>
    <m/>
  </r>
  <r>
    <x v="1807"/>
    <x v="89"/>
    <n v="4007792"/>
    <x v="3384"/>
    <x v="0"/>
    <s v="USA"/>
    <n v="750000"/>
    <x v="14"/>
    <x v="0"/>
    <s v="Drama"/>
    <s v="Romance"/>
    <m/>
    <m/>
    <m/>
    <m/>
    <m/>
  </r>
  <r>
    <x v="1808"/>
    <x v="13"/>
    <n v="4006906"/>
    <x v="3385"/>
    <x v="0"/>
    <s v="USA"/>
    <n v="15000000"/>
    <x v="30"/>
    <x v="0"/>
    <s v="Crime"/>
    <m/>
    <m/>
    <m/>
    <m/>
    <m/>
    <m/>
  </r>
  <r>
    <x v="1809"/>
    <x v="22"/>
    <n v="4002955"/>
    <x v="3386"/>
    <x v="0"/>
    <s v="USA"/>
    <n v="20000000"/>
    <x v="8"/>
    <x v="0"/>
    <s v="Fantasy"/>
    <s v="Horror"/>
    <s v="Thriller"/>
    <m/>
    <m/>
    <m/>
    <m/>
  </r>
  <r>
    <x v="1504"/>
    <x v="74"/>
    <n v="4001121"/>
    <x v="3387"/>
    <x v="0"/>
    <s v="USA"/>
    <n v="20000000"/>
    <x v="14"/>
    <x v="6"/>
    <s v="Drama"/>
    <s v="Music"/>
    <m/>
    <m/>
    <m/>
    <m/>
    <m/>
  </r>
  <r>
    <x v="341"/>
    <x v="43"/>
    <n v="4000304"/>
    <x v="3388"/>
    <x v="0"/>
    <s v="UK"/>
    <n v="6500000"/>
    <x v="4"/>
    <x v="3"/>
    <m/>
    <m/>
    <m/>
    <m/>
    <m/>
    <m/>
    <m/>
  </r>
  <r>
    <x v="1810"/>
    <x v="10"/>
    <n v="4000000"/>
    <x v="3389"/>
    <x v="0"/>
    <s v="USA"/>
    <n v="350000"/>
    <x v="47"/>
    <x v="4"/>
    <s v="Drama"/>
    <m/>
    <m/>
    <m/>
    <m/>
    <m/>
    <m/>
  </r>
  <r>
    <x v="1727"/>
    <x v="37"/>
    <n v="3958500"/>
    <x v="3390"/>
    <x v="0"/>
    <s v="UK"/>
    <n v="8200000"/>
    <x v="9"/>
    <x v="6"/>
    <s v="Drama"/>
    <s v="History"/>
    <m/>
    <m/>
    <m/>
    <m/>
    <m/>
  </r>
  <r>
    <x v="1811"/>
    <x v="0"/>
    <n v="3950294"/>
    <x v="3391"/>
    <x v="0"/>
    <s v="USA"/>
    <n v="12000000"/>
    <x v="14"/>
    <x v="0"/>
    <s v="Drama"/>
    <s v="Romance"/>
    <m/>
    <m/>
    <m/>
    <m/>
    <m/>
  </r>
  <r>
    <x v="1812"/>
    <x v="57"/>
    <n v="3950029"/>
    <x v="3392"/>
    <x v="1"/>
    <s v="France"/>
    <n v="4000000"/>
    <x v="11"/>
    <x v="3"/>
    <m/>
    <m/>
    <m/>
    <m/>
    <m/>
    <m/>
    <m/>
  </r>
  <r>
    <x v="1530"/>
    <x v="163"/>
    <n v="3904982"/>
    <x v="3393"/>
    <x v="0"/>
    <s v="USA"/>
    <n v="30000000"/>
    <x v="31"/>
    <x v="6"/>
    <s v="Crime"/>
    <s v="Drama"/>
    <s v="History"/>
    <s v="Western"/>
    <m/>
    <m/>
    <m/>
  </r>
  <r>
    <x v="1813"/>
    <x v="1"/>
    <n v="3902679"/>
    <x v="3394"/>
    <x v="0"/>
    <s v="USA"/>
    <n v="3000000"/>
    <x v="48"/>
    <x v="8"/>
    <s v="Horror"/>
    <m/>
    <m/>
    <m/>
    <m/>
    <m/>
    <m/>
  </r>
  <r>
    <x v="1814"/>
    <x v="11"/>
    <n v="3895664"/>
    <x v="3395"/>
    <x v="1"/>
    <s v="France"/>
    <n v="5300000"/>
    <x v="4"/>
    <x v="0"/>
    <s v="Drama"/>
    <m/>
    <m/>
    <m/>
    <m/>
    <m/>
    <m/>
  </r>
  <r>
    <x v="1815"/>
    <x v="50"/>
    <n v="3885134"/>
    <x v="3396"/>
    <x v="0"/>
    <s v="USA"/>
    <n v="2000000"/>
    <x v="7"/>
    <x v="0"/>
    <s v="Drama"/>
    <m/>
    <m/>
    <m/>
    <m/>
    <m/>
    <m/>
  </r>
  <r>
    <x v="1816"/>
    <x v="163"/>
    <n v="3827466"/>
    <x v="3397"/>
    <x v="14"/>
    <s v="India"/>
    <n v="39751583.5"/>
    <x v="26"/>
    <x v="0"/>
    <s v="Drama"/>
    <s v="Musical"/>
    <s v="Romance"/>
    <m/>
    <m/>
    <m/>
    <m/>
  </r>
  <r>
    <x v="1817"/>
    <x v="68"/>
    <n v="3826455"/>
    <x v="3398"/>
    <x v="10"/>
    <s v="Poland"/>
    <n v="39751583.5"/>
    <x v="7"/>
    <x v="3"/>
    <m/>
    <m/>
    <m/>
    <m/>
    <m/>
    <m/>
    <m/>
  </r>
  <r>
    <x v="292"/>
    <x v="1"/>
    <n v="3799339"/>
    <x v="3399"/>
    <x v="0"/>
    <s v="USA"/>
    <n v="250000"/>
    <x v="11"/>
    <x v="5"/>
    <s v="Drama"/>
    <s v="Romance"/>
    <m/>
    <m/>
    <m/>
    <m/>
    <m/>
  </r>
  <r>
    <x v="1818"/>
    <x v="17"/>
    <n v="3798532"/>
    <x v="3400"/>
    <x v="0"/>
    <s v="USA"/>
    <n v="4500000"/>
    <x v="7"/>
    <x v="5"/>
    <s v="Drama"/>
    <s v="Romance"/>
    <s v="Thriller"/>
    <m/>
    <m/>
    <m/>
    <m/>
  </r>
  <r>
    <x v="1819"/>
    <x v="35"/>
    <n v="3773863"/>
    <x v="3401"/>
    <x v="0"/>
    <s v="USA"/>
    <n v="1000000"/>
    <x v="6"/>
    <x v="3"/>
    <m/>
    <m/>
    <m/>
    <m/>
    <m/>
    <m/>
    <m/>
  </r>
  <r>
    <x v="1820"/>
    <x v="15"/>
    <n v="3766595"/>
    <x v="3402"/>
    <x v="1"/>
    <s v="France"/>
    <n v="39751583.5"/>
    <x v="31"/>
    <x v="3"/>
    <m/>
    <m/>
    <m/>
    <m/>
    <m/>
    <m/>
    <m/>
  </r>
  <r>
    <x v="1727"/>
    <x v="65"/>
    <n v="3753806"/>
    <x v="3403"/>
    <x v="0"/>
    <s v="UK"/>
    <n v="11000000"/>
    <x v="5"/>
    <x v="5"/>
    <s v="Drama"/>
    <m/>
    <m/>
    <m/>
    <m/>
    <m/>
    <m/>
  </r>
  <r>
    <x v="675"/>
    <x v="25"/>
    <n v="3752725"/>
    <x v="3404"/>
    <x v="0"/>
    <s v="USA"/>
    <n v="18000000"/>
    <x v="6"/>
    <x v="3"/>
    <s v="Romance"/>
    <m/>
    <m/>
    <m/>
    <m/>
    <m/>
    <m/>
  </r>
  <r>
    <x v="1821"/>
    <x v="31"/>
    <n v="3749061"/>
    <x v="3405"/>
    <x v="0"/>
    <s v="USA"/>
    <n v="20000000"/>
    <x v="35"/>
    <x v="4"/>
    <s v="Thriller"/>
    <m/>
    <m/>
    <m/>
    <m/>
    <m/>
    <m/>
  </r>
  <r>
    <x v="1822"/>
    <x v="49"/>
    <n v="3713002"/>
    <x v="3406"/>
    <x v="0"/>
    <s v="USA"/>
    <n v="8000000"/>
    <x v="51"/>
    <x v="10"/>
    <m/>
    <m/>
    <m/>
    <m/>
    <m/>
    <m/>
    <m/>
  </r>
  <r>
    <x v="1398"/>
    <x v="48"/>
    <n v="3707794"/>
    <x v="3407"/>
    <x v="0"/>
    <s v="Greece"/>
    <n v="18000000"/>
    <x v="15"/>
    <x v="2"/>
    <s v="Drama"/>
    <s v="Sci-Fi"/>
    <s v="Thriller"/>
    <m/>
    <m/>
    <m/>
    <m/>
  </r>
  <r>
    <x v="1091"/>
    <x v="34"/>
    <n v="3675072"/>
    <x v="3408"/>
    <x v="0"/>
    <s v="UK"/>
    <n v="26000000"/>
    <x v="4"/>
    <x v="2"/>
    <s v="Sci-Fi"/>
    <s v="Thriller"/>
    <m/>
    <m/>
    <m/>
    <m/>
    <m/>
  </r>
  <r>
    <x v="1090"/>
    <x v="35"/>
    <n v="3650677"/>
    <x v="3409"/>
    <x v="0"/>
    <s v="UK"/>
    <n v="960000"/>
    <x v="40"/>
    <x v="0"/>
    <s v="Crime"/>
    <m/>
    <m/>
    <m/>
    <m/>
    <m/>
    <m/>
  </r>
  <r>
    <x v="1129"/>
    <x v="56"/>
    <n v="3645438"/>
    <x v="3410"/>
    <x v="1"/>
    <s v="France"/>
    <n v="2200000"/>
    <x v="9"/>
    <x v="1"/>
    <m/>
    <m/>
    <m/>
    <m/>
    <m/>
    <m/>
    <m/>
  </r>
  <r>
    <x v="1823"/>
    <x v="0"/>
    <n v="3629758"/>
    <x v="3411"/>
    <x v="1"/>
    <s v="France"/>
    <n v="5500000"/>
    <x v="12"/>
    <x v="3"/>
    <s v="Music"/>
    <m/>
    <m/>
    <m/>
    <m/>
    <m/>
    <m/>
  </r>
  <r>
    <x v="19"/>
    <x v="30"/>
    <n v="3609278"/>
    <x v="3412"/>
    <x v="0"/>
    <s v="USA"/>
    <n v="4500000"/>
    <x v="39"/>
    <x v="3"/>
    <m/>
    <m/>
    <m/>
    <m/>
    <m/>
    <m/>
    <m/>
  </r>
  <r>
    <x v="1824"/>
    <x v="49"/>
    <n v="3590010"/>
    <x v="3413"/>
    <x v="0"/>
    <s v="UK"/>
    <n v="2000000"/>
    <x v="0"/>
    <x v="3"/>
    <s v="Music"/>
    <s v="Romance"/>
    <m/>
    <m/>
    <m/>
    <m/>
    <m/>
  </r>
  <r>
    <x v="1322"/>
    <x v="40"/>
    <n v="3588432"/>
    <x v="3414"/>
    <x v="0"/>
    <s v="USA"/>
    <n v="6000000"/>
    <x v="15"/>
    <x v="0"/>
    <s v="Drama"/>
    <m/>
    <m/>
    <m/>
    <m/>
    <m/>
    <m/>
  </r>
  <r>
    <x v="1825"/>
    <x v="40"/>
    <n v="3571735"/>
    <x v="3415"/>
    <x v="0"/>
    <s v="USA"/>
    <n v="10000000"/>
    <x v="24"/>
    <x v="6"/>
    <s v="Drama"/>
    <s v="Music"/>
    <m/>
    <m/>
    <m/>
    <m/>
    <m/>
  </r>
  <r>
    <x v="1826"/>
    <x v="86"/>
    <n v="3562749"/>
    <x v="3416"/>
    <x v="0"/>
    <s v="USA"/>
    <n v="32000000"/>
    <x v="26"/>
    <x v="7"/>
    <s v="Comedy"/>
    <s v="Family"/>
    <s v="Fantasy"/>
    <s v="Musical"/>
    <m/>
    <m/>
    <m/>
  </r>
  <r>
    <x v="1827"/>
    <x v="13"/>
    <n v="3559990"/>
    <x v="3417"/>
    <x v="0"/>
    <s v="USA"/>
    <n v="3000000"/>
    <x v="48"/>
    <x v="0"/>
    <s v="Crime"/>
    <m/>
    <m/>
    <m/>
    <m/>
    <m/>
    <m/>
  </r>
  <r>
    <x v="1828"/>
    <x v="1"/>
    <n v="3525161"/>
    <x v="3418"/>
    <x v="0"/>
    <s v="USA"/>
    <n v="39751583.5"/>
    <x v="3"/>
    <x v="3"/>
    <s v="Fantasy"/>
    <s v="Horror"/>
    <s v="Romance"/>
    <m/>
    <m/>
    <m/>
    <m/>
  </r>
  <r>
    <x v="266"/>
    <x v="58"/>
    <n v="3519627"/>
    <x v="3419"/>
    <x v="0"/>
    <s v="USA"/>
    <n v="20000000"/>
    <x v="26"/>
    <x v="2"/>
    <s v="Comedy"/>
    <s v="Drama"/>
    <s v="Romance"/>
    <m/>
    <m/>
    <m/>
    <m/>
  </r>
  <r>
    <x v="28"/>
    <x v="17"/>
    <n v="3517797"/>
    <x v="3420"/>
    <x v="0"/>
    <s v="France"/>
    <n v="25000000"/>
    <x v="24"/>
    <x v="4"/>
    <s v="Crime"/>
    <s v="Drama"/>
    <s v="Romance"/>
    <s v="Thriller"/>
    <m/>
    <m/>
    <m/>
  </r>
  <r>
    <x v="1829"/>
    <x v="31"/>
    <n v="3500000"/>
    <x v="3421"/>
    <x v="0"/>
    <s v="USA"/>
    <n v="2700000"/>
    <x v="1"/>
    <x v="4"/>
    <s v="Horror"/>
    <s v="Romance"/>
    <s v="Sci-Fi"/>
    <s v="Thriller"/>
    <m/>
    <m/>
    <m/>
  </r>
  <r>
    <x v="745"/>
    <x v="4"/>
    <n v="3500000"/>
    <x v="3422"/>
    <x v="12"/>
    <s v="Italy"/>
    <n v="200000"/>
    <x v="13"/>
    <x v="4"/>
    <s v="Drama"/>
    <s v="Western"/>
    <m/>
    <m/>
    <m/>
    <m/>
    <m/>
  </r>
  <r>
    <x v="205"/>
    <x v="28"/>
    <n v="3468572"/>
    <x v="3423"/>
    <x v="0"/>
    <s v="USA"/>
    <n v="4000000"/>
    <x v="4"/>
    <x v="3"/>
    <m/>
    <m/>
    <m/>
    <m/>
    <m/>
    <m/>
    <m/>
  </r>
  <r>
    <x v="1830"/>
    <x v="44"/>
    <n v="3447339"/>
    <x v="3424"/>
    <x v="0"/>
    <s v="USA"/>
    <n v="1500000"/>
    <x v="19"/>
    <x v="0"/>
    <s v="Romance"/>
    <m/>
    <m/>
    <m/>
    <m/>
    <m/>
    <m/>
  </r>
  <r>
    <x v="1831"/>
    <x v="10"/>
    <n v="3442820"/>
    <x v="3425"/>
    <x v="0"/>
    <s v="USA"/>
    <n v="8000000"/>
    <x v="4"/>
    <x v="7"/>
    <s v="Comedy"/>
    <s v="Drama"/>
    <s v="Romance"/>
    <m/>
    <m/>
    <m/>
    <m/>
  </r>
  <r>
    <x v="1832"/>
    <x v="48"/>
    <n v="3432342"/>
    <x v="3426"/>
    <x v="1"/>
    <s v="Canada"/>
    <n v="6000000"/>
    <x v="5"/>
    <x v="0"/>
    <s v="Crime"/>
    <s v="Drama"/>
    <s v="Mystery"/>
    <s v="Romance"/>
    <m/>
    <m/>
    <m/>
  </r>
  <r>
    <x v="1566"/>
    <x v="58"/>
    <n v="3420871"/>
    <x v="3427"/>
    <x v="0"/>
    <s v="USA"/>
    <n v="39751583.5"/>
    <x v="7"/>
    <x v="3"/>
    <s v="Family"/>
    <s v="Romance"/>
    <m/>
    <m/>
    <m/>
    <m/>
    <m/>
  </r>
  <r>
    <x v="391"/>
    <x v="31"/>
    <n v="3419967"/>
    <x v="3428"/>
    <x v="0"/>
    <s v="USA"/>
    <n v="39751583.5"/>
    <x v="11"/>
    <x v="20"/>
    <m/>
    <m/>
    <m/>
    <m/>
    <m/>
    <m/>
    <m/>
  </r>
  <r>
    <x v="1833"/>
    <x v="10"/>
    <n v="3388210"/>
    <x v="3429"/>
    <x v="0"/>
    <s v="USA"/>
    <n v="250000"/>
    <x v="15"/>
    <x v="3"/>
    <s v="Romance"/>
    <m/>
    <m/>
    <m/>
    <m/>
    <m/>
    <m/>
  </r>
  <r>
    <x v="392"/>
    <x v="44"/>
    <n v="3386698"/>
    <x v="3430"/>
    <x v="0"/>
    <s v="USA"/>
    <n v="1000000"/>
    <x v="15"/>
    <x v="0"/>
    <s v="Drama"/>
    <s v="Romance"/>
    <m/>
    <m/>
    <m/>
    <m/>
    <m/>
  </r>
  <r>
    <x v="1834"/>
    <x v="36"/>
    <n v="3347439"/>
    <x v="3431"/>
    <x v="0"/>
    <s v="USA"/>
    <n v="7500000"/>
    <x v="26"/>
    <x v="3"/>
    <s v="Romance"/>
    <m/>
    <m/>
    <m/>
    <m/>
    <m/>
    <m/>
  </r>
  <r>
    <x v="126"/>
    <x v="12"/>
    <n v="3335839"/>
    <x v="3432"/>
    <x v="0"/>
    <s v="USA"/>
    <n v="2000000"/>
    <x v="14"/>
    <x v="4"/>
    <s v="Crime"/>
    <s v="Drama"/>
    <s v="Thriller"/>
    <m/>
    <m/>
    <m/>
    <m/>
  </r>
  <r>
    <x v="1835"/>
    <x v="11"/>
    <n v="3333823"/>
    <x v="3433"/>
    <x v="0"/>
    <s v="USA"/>
    <n v="10000000"/>
    <x v="3"/>
    <x v="3"/>
    <s v="Mystery"/>
    <s v="Sci-Fi"/>
    <m/>
    <m/>
    <m/>
    <m/>
    <m/>
  </r>
  <r>
    <x v="1250"/>
    <x v="56"/>
    <n v="3325638"/>
    <x v="3434"/>
    <x v="0"/>
    <s v="USA"/>
    <n v="2500000"/>
    <x v="6"/>
    <x v="0"/>
    <s v="Crime"/>
    <s v="Drama"/>
    <s v="Sci-Fi"/>
    <m/>
    <m/>
    <m/>
    <m/>
  </r>
  <r>
    <x v="1836"/>
    <x v="12"/>
    <n v="3300230"/>
    <x v="3435"/>
    <x v="0"/>
    <s v="France"/>
    <n v="39751583.5"/>
    <x v="31"/>
    <x v="4"/>
    <s v="Crime"/>
    <s v="Drama"/>
    <s v="Thriller"/>
    <m/>
    <m/>
    <m/>
    <m/>
  </r>
  <r>
    <x v="1837"/>
    <x v="81"/>
    <n v="3293258"/>
    <x v="3436"/>
    <x v="0"/>
    <s v="USA"/>
    <n v="3000000"/>
    <x v="34"/>
    <x v="4"/>
    <s v="Adventure"/>
    <s v="Comedy"/>
    <s v="Musical"/>
    <m/>
    <m/>
    <m/>
    <m/>
  </r>
  <r>
    <x v="1838"/>
    <x v="44"/>
    <n v="3287435"/>
    <x v="3437"/>
    <x v="0"/>
    <s v="USA"/>
    <n v="4500000"/>
    <x v="6"/>
    <x v="3"/>
    <m/>
    <m/>
    <m/>
    <m/>
    <m/>
    <m/>
    <m/>
  </r>
  <r>
    <x v="1839"/>
    <x v="89"/>
    <n v="3278611"/>
    <x v="3438"/>
    <x v="0"/>
    <s v="USA"/>
    <n v="39751583.5"/>
    <x v="6"/>
    <x v="10"/>
    <s v="Music"/>
    <m/>
    <m/>
    <m/>
    <m/>
    <m/>
    <m/>
  </r>
  <r>
    <x v="1840"/>
    <x v="41"/>
    <n v="3275585"/>
    <x v="3439"/>
    <x v="0"/>
    <s v="UK"/>
    <n v="11500000"/>
    <x v="24"/>
    <x v="4"/>
    <s v="Crime"/>
    <s v="Drama"/>
    <s v="Thriller"/>
    <m/>
    <m/>
    <m/>
    <m/>
  </r>
  <r>
    <x v="1280"/>
    <x v="4"/>
    <n v="3273588"/>
    <x v="3440"/>
    <x v="0"/>
    <s v="USA"/>
    <n v="6000000"/>
    <x v="15"/>
    <x v="4"/>
    <s v="Drama"/>
    <m/>
    <m/>
    <m/>
    <m/>
    <m/>
    <m/>
  </r>
  <r>
    <x v="36"/>
    <x v="15"/>
    <n v="3254172"/>
    <x v="3441"/>
    <x v="0"/>
    <s v="USA"/>
    <n v="28000000"/>
    <x v="8"/>
    <x v="6"/>
    <s v="Drama"/>
    <s v="Thriller"/>
    <m/>
    <m/>
    <m/>
    <m/>
    <m/>
  </r>
  <r>
    <x v="335"/>
    <x v="1"/>
    <n v="3247816"/>
    <x v="3442"/>
    <x v="0"/>
    <s v="USA"/>
    <n v="22000000"/>
    <x v="2"/>
    <x v="0"/>
    <s v="Drama"/>
    <s v="Romance"/>
    <m/>
    <m/>
    <m/>
    <m/>
    <m/>
  </r>
  <r>
    <x v="1841"/>
    <x v="24"/>
    <n v="3222857"/>
    <x v="3443"/>
    <x v="14"/>
    <s v="Canada"/>
    <n v="39751583.5"/>
    <x v="22"/>
    <x v="3"/>
    <s v="Romance"/>
    <m/>
    <m/>
    <m/>
    <m/>
    <m/>
    <m/>
  </r>
  <r>
    <x v="1842"/>
    <x v="13"/>
    <n v="3219029"/>
    <x v="3444"/>
    <x v="0"/>
    <s v="USA"/>
    <n v="5000000"/>
    <x v="6"/>
    <x v="5"/>
    <s v="Horror"/>
    <s v="Music"/>
    <s v="Thriller"/>
    <m/>
    <m/>
    <m/>
    <m/>
  </r>
  <r>
    <x v="19"/>
    <x v="3"/>
    <n v="3216970"/>
    <x v="3445"/>
    <x v="0"/>
    <s v="USA"/>
    <n v="60000"/>
    <x v="31"/>
    <x v="3"/>
    <s v="Mystery"/>
    <s v="Thriller"/>
    <m/>
    <m/>
    <m/>
    <m/>
    <m/>
  </r>
  <r>
    <x v="1727"/>
    <x v="2"/>
    <n v="3205244"/>
    <x v="3446"/>
    <x v="0"/>
    <s v="UK"/>
    <n v="10000000"/>
    <x v="4"/>
    <x v="0"/>
    <s v="Drama"/>
    <m/>
    <m/>
    <m/>
    <m/>
    <m/>
    <m/>
  </r>
  <r>
    <x v="335"/>
    <x v="7"/>
    <n v="3203044"/>
    <x v="3447"/>
    <x v="0"/>
    <s v="USA"/>
    <n v="18000000"/>
    <x v="16"/>
    <x v="0"/>
    <s v="Romance"/>
    <m/>
    <m/>
    <m/>
    <m/>
    <m/>
    <m/>
  </r>
  <r>
    <x v="199"/>
    <x v="56"/>
    <n v="3193102"/>
    <x v="3448"/>
    <x v="0"/>
    <s v="USA"/>
    <n v="9000000"/>
    <x v="6"/>
    <x v="5"/>
    <s v="Drama"/>
    <s v="Mystery"/>
    <s v="Thriller"/>
    <m/>
    <m/>
    <m/>
    <m/>
  </r>
  <r>
    <x v="1458"/>
    <x v="48"/>
    <n v="3169424"/>
    <x v="3449"/>
    <x v="0"/>
    <s v="USA"/>
    <n v="13000000"/>
    <x v="9"/>
    <x v="3"/>
    <s v="Sport"/>
    <m/>
    <m/>
    <m/>
    <m/>
    <m/>
    <m/>
  </r>
  <r>
    <x v="754"/>
    <x v="30"/>
    <n v="3151130"/>
    <x v="3450"/>
    <x v="0"/>
    <s v="USA"/>
    <n v="230000"/>
    <x v="22"/>
    <x v="0"/>
    <m/>
    <m/>
    <m/>
    <m/>
    <m/>
    <m/>
    <m/>
  </r>
  <r>
    <x v="1298"/>
    <x v="28"/>
    <n v="3148482"/>
    <x v="3451"/>
    <x v="0"/>
    <s v="USA"/>
    <n v="12000000"/>
    <x v="6"/>
    <x v="3"/>
    <s v="Romance"/>
    <m/>
    <m/>
    <m/>
    <m/>
    <m/>
    <m/>
  </r>
  <r>
    <x v="704"/>
    <x v="69"/>
    <n v="3130592"/>
    <x v="3452"/>
    <x v="0"/>
    <s v="UK"/>
    <n v="2600000"/>
    <x v="22"/>
    <x v="3"/>
    <s v="Romance"/>
    <m/>
    <m/>
    <m/>
    <m/>
    <m/>
    <m/>
  </r>
  <r>
    <x v="1843"/>
    <x v="51"/>
    <n v="3123749"/>
    <x v="3453"/>
    <x v="0"/>
    <s v="USA"/>
    <n v="1500000"/>
    <x v="20"/>
    <x v="0"/>
    <s v="Romance"/>
    <m/>
    <m/>
    <m/>
    <m/>
    <m/>
    <m/>
  </r>
  <r>
    <x v="1844"/>
    <x v="3"/>
    <n v="3122616"/>
    <x v="3454"/>
    <x v="0"/>
    <s v="USA"/>
    <n v="39751583.5"/>
    <x v="9"/>
    <x v="0"/>
    <s v="Drama"/>
    <m/>
    <m/>
    <m/>
    <m/>
    <m/>
    <m/>
  </r>
  <r>
    <x v="1845"/>
    <x v="20"/>
    <n v="3117666"/>
    <x v="3455"/>
    <x v="0"/>
    <s v="USA"/>
    <n v="39751583.5"/>
    <x v="7"/>
    <x v="10"/>
    <m/>
    <m/>
    <m/>
    <m/>
    <m/>
    <m/>
    <m/>
  </r>
  <r>
    <x v="1292"/>
    <x v="7"/>
    <n v="3108216"/>
    <x v="3456"/>
    <x v="0"/>
    <s v="UK"/>
    <n v="39751583.5"/>
    <x v="16"/>
    <x v="14"/>
    <m/>
    <m/>
    <m/>
    <m/>
    <m/>
    <m/>
    <m/>
  </r>
  <r>
    <x v="1846"/>
    <x v="43"/>
    <n v="3105269"/>
    <x v="3457"/>
    <x v="0"/>
    <s v="Mexico"/>
    <n v="3000000"/>
    <x v="38"/>
    <x v="4"/>
    <s v="Comedy"/>
    <m/>
    <m/>
    <m/>
    <m/>
    <m/>
    <m/>
  </r>
  <r>
    <x v="1789"/>
    <x v="42"/>
    <n v="3101301"/>
    <x v="3458"/>
    <x v="0"/>
    <s v="USA"/>
    <n v="39751583.5"/>
    <x v="56"/>
    <x v="4"/>
    <s v="Drama"/>
    <s v="Romance"/>
    <s v="Sport"/>
    <m/>
    <m/>
    <m/>
    <m/>
  </r>
  <r>
    <x v="1847"/>
    <x v="3"/>
    <n v="3100650"/>
    <x v="3459"/>
    <x v="0"/>
    <s v="USA"/>
    <n v="14000000"/>
    <x v="67"/>
    <x v="3"/>
    <s v="Horror"/>
    <s v="Mystery"/>
    <s v="Thriller"/>
    <m/>
    <m/>
    <m/>
    <m/>
  </r>
  <r>
    <x v="1120"/>
    <x v="22"/>
    <n v="3094687"/>
    <x v="3460"/>
    <x v="0"/>
    <s v="USA"/>
    <n v="39751583.5"/>
    <x v="15"/>
    <x v="0"/>
    <s v="Drama"/>
    <s v="Romance"/>
    <m/>
    <m/>
    <m/>
    <m/>
    <m/>
  </r>
  <r>
    <x v="1848"/>
    <x v="18"/>
    <n v="3093491"/>
    <x v="3461"/>
    <x v="0"/>
    <s v="USA"/>
    <n v="5000000"/>
    <x v="24"/>
    <x v="6"/>
    <s v="Drama"/>
    <m/>
    <m/>
    <m/>
    <m/>
    <m/>
    <m/>
  </r>
  <r>
    <x v="1849"/>
    <x v="55"/>
    <n v="3081925"/>
    <x v="3462"/>
    <x v="0"/>
    <s v="USA"/>
    <n v="21000000"/>
    <x v="31"/>
    <x v="0"/>
    <s v="Drama"/>
    <s v="Romance"/>
    <m/>
    <m/>
    <m/>
    <m/>
    <m/>
  </r>
  <r>
    <x v="1637"/>
    <x v="11"/>
    <n v="3076425"/>
    <x v="3463"/>
    <x v="1"/>
    <s v="France"/>
    <n v="8000000"/>
    <x v="6"/>
    <x v="0"/>
    <s v="Crime"/>
    <s v="Musical"/>
    <s v="Romance"/>
    <m/>
    <m/>
    <m/>
    <m/>
  </r>
  <r>
    <x v="1760"/>
    <x v="49"/>
    <n v="3074838"/>
    <x v="3464"/>
    <x v="0"/>
    <s v="USA"/>
    <n v="11000000"/>
    <x v="2"/>
    <x v="3"/>
    <s v="Mystery"/>
    <s v="Romance"/>
    <s v="Thriller"/>
    <m/>
    <m/>
    <m/>
    <m/>
  </r>
  <r>
    <x v="1229"/>
    <x v="64"/>
    <n v="3073392"/>
    <x v="3465"/>
    <x v="0"/>
    <s v="Canada"/>
    <n v="25000000"/>
    <x v="24"/>
    <x v="3"/>
    <s v="Mystery"/>
    <s v="Sci-Fi"/>
    <s v="Thriller"/>
    <m/>
    <m/>
    <m/>
    <m/>
  </r>
  <r>
    <x v="1850"/>
    <x v="54"/>
    <n v="3071947"/>
    <x v="3466"/>
    <x v="0"/>
    <s v="USA"/>
    <n v="3500000"/>
    <x v="18"/>
    <x v="0"/>
    <s v="Crime"/>
    <s v="Thriller"/>
    <m/>
    <m/>
    <m/>
    <m/>
    <m/>
  </r>
  <r>
    <x v="1570"/>
    <x v="38"/>
    <n v="3064356"/>
    <x v="3467"/>
    <x v="0"/>
    <s v="USA"/>
    <n v="5600000"/>
    <x v="26"/>
    <x v="3"/>
    <s v="Romance"/>
    <m/>
    <m/>
    <m/>
    <m/>
    <m/>
    <m/>
  </r>
  <r>
    <x v="1851"/>
    <x v="22"/>
    <n v="3060858"/>
    <x v="3468"/>
    <x v="0"/>
    <s v="USA"/>
    <n v="10000000"/>
    <x v="37"/>
    <x v="4"/>
    <s v="Drama"/>
    <s v="Thriller"/>
    <m/>
    <m/>
    <m/>
    <m/>
    <m/>
  </r>
  <r>
    <x v="1852"/>
    <x v="17"/>
    <n v="3050934"/>
    <x v="3469"/>
    <x v="0"/>
    <s v="USA"/>
    <n v="1800000"/>
    <x v="4"/>
    <x v="3"/>
    <s v="Music"/>
    <m/>
    <m/>
    <m/>
    <m/>
    <m/>
    <m/>
  </r>
  <r>
    <x v="1104"/>
    <x v="7"/>
    <n v="3049135"/>
    <x v="3470"/>
    <x v="0"/>
    <s v="New Zealand"/>
    <n v="5000000"/>
    <x v="7"/>
    <x v="6"/>
    <s v="Crime"/>
    <s v="Drama"/>
    <s v="Romance"/>
    <s v="Thriller"/>
    <m/>
    <m/>
    <m/>
  </r>
  <r>
    <x v="1853"/>
    <x v="172"/>
    <n v="3047539"/>
    <x v="3471"/>
    <x v="14"/>
    <s v="India"/>
    <n v="7217600"/>
    <x v="26"/>
    <x v="3"/>
    <s v="Romance"/>
    <m/>
    <m/>
    <m/>
    <m/>
    <m/>
    <m/>
  </r>
  <r>
    <x v="1854"/>
    <x v="74"/>
    <n v="3041803"/>
    <x v="3472"/>
    <x v="0"/>
    <s v="UK"/>
    <n v="10000000"/>
    <x v="6"/>
    <x v="3"/>
    <s v="Romance"/>
    <m/>
    <m/>
    <m/>
    <m/>
    <m/>
    <m/>
  </r>
  <r>
    <x v="1671"/>
    <x v="20"/>
    <n v="3034181"/>
    <x v="3473"/>
    <x v="0"/>
    <s v="UK"/>
    <n v="11000000"/>
    <x v="18"/>
    <x v="0"/>
    <s v="Music"/>
    <s v="Romance"/>
    <m/>
    <m/>
    <m/>
    <m/>
    <m/>
  </r>
  <r>
    <x v="1797"/>
    <x v="19"/>
    <n v="3029870"/>
    <x v="3474"/>
    <x v="0"/>
    <s v="Denmark"/>
    <n v="7400000"/>
    <x v="6"/>
    <x v="3"/>
    <s v="Sci-Fi"/>
    <m/>
    <m/>
    <m/>
    <m/>
    <m/>
    <m/>
  </r>
  <r>
    <x v="1855"/>
    <x v="13"/>
    <n v="3029081"/>
    <x v="3475"/>
    <x v="0"/>
    <s v="USA"/>
    <n v="6000000"/>
    <x v="22"/>
    <x v="0"/>
    <s v="Drama"/>
    <s v="Music"/>
    <s v="Musical"/>
    <m/>
    <m/>
    <m/>
    <m/>
  </r>
  <r>
    <x v="1856"/>
    <x v="8"/>
    <n v="3014541"/>
    <x v="3476"/>
    <x v="0"/>
    <s v="UK"/>
    <n v="8000000"/>
    <x v="15"/>
    <x v="3"/>
    <m/>
    <m/>
    <m/>
    <m/>
    <m/>
    <m/>
    <m/>
  </r>
  <r>
    <x v="1774"/>
    <x v="16"/>
    <n v="3000000"/>
    <x v="3477"/>
    <x v="0"/>
    <s v="USA"/>
    <n v="3000000"/>
    <x v="22"/>
    <x v="0"/>
    <s v="Drama"/>
    <m/>
    <m/>
    <m/>
    <m/>
    <m/>
    <m/>
  </r>
  <r>
    <x v="1857"/>
    <x v="81"/>
    <n v="3000000"/>
    <x v="3478"/>
    <x v="0"/>
    <s v="USA"/>
    <n v="609000"/>
    <x v="22"/>
    <x v="0"/>
    <s v="Musical"/>
    <s v="Romance"/>
    <m/>
    <m/>
    <m/>
    <m/>
    <m/>
  </r>
  <r>
    <x v="1858"/>
    <x v="28"/>
    <n v="3000000"/>
    <x v="3479"/>
    <x v="0"/>
    <s v="USA"/>
    <n v="100000"/>
    <x v="46"/>
    <x v="5"/>
    <s v="Drama"/>
    <m/>
    <m/>
    <m/>
    <m/>
    <m/>
    <m/>
  </r>
  <r>
    <x v="1859"/>
    <x v="30"/>
    <n v="2981638"/>
    <x v="3480"/>
    <x v="0"/>
    <s v="USA"/>
    <n v="39751583.5"/>
    <x v="26"/>
    <x v="3"/>
    <s v="Mystery"/>
    <s v="Thriller"/>
    <m/>
    <m/>
    <m/>
    <m/>
    <m/>
  </r>
  <r>
    <x v="264"/>
    <x v="60"/>
    <n v="2975649"/>
    <x v="3481"/>
    <x v="0"/>
    <s v="UK"/>
    <n v="30000000"/>
    <x v="14"/>
    <x v="6"/>
    <s v="Drama"/>
    <s v="Romance"/>
    <m/>
    <m/>
    <m/>
    <m/>
    <m/>
  </r>
  <r>
    <x v="659"/>
    <x v="22"/>
    <n v="2963012"/>
    <x v="3482"/>
    <x v="0"/>
    <s v="UK"/>
    <n v="22000000"/>
    <x v="2"/>
    <x v="3"/>
    <s v="Mystery"/>
    <s v="Thriller"/>
    <m/>
    <m/>
    <m/>
    <m/>
    <m/>
  </r>
  <r>
    <x v="1740"/>
    <x v="7"/>
    <n v="2961991"/>
    <x v="3483"/>
    <x v="0"/>
    <s v="USA"/>
    <n v="3300000"/>
    <x v="26"/>
    <x v="6"/>
    <s v="Drama"/>
    <m/>
    <m/>
    <m/>
    <m/>
    <m/>
    <m/>
  </r>
  <r>
    <x v="1198"/>
    <x v="10"/>
    <n v="2957978"/>
    <x v="3484"/>
    <x v="0"/>
    <s v="UK"/>
    <n v="1000000"/>
    <x v="22"/>
    <x v="6"/>
    <s v="Crime"/>
    <s v="Documentary"/>
    <s v="History"/>
    <s v="Thriller"/>
    <m/>
    <m/>
    <m/>
  </r>
  <r>
    <x v="1860"/>
    <x v="30"/>
    <n v="2956000"/>
    <x v="3485"/>
    <x v="0"/>
    <s v="USA"/>
    <n v="3700000"/>
    <x v="6"/>
    <x v="2"/>
    <s v="Comedy"/>
    <s v="Musical"/>
    <s v="Romance"/>
    <m/>
    <m/>
    <m/>
    <m/>
  </r>
  <r>
    <x v="1369"/>
    <x v="13"/>
    <n v="2955039"/>
    <x v="3486"/>
    <x v="0"/>
    <s v="USA"/>
    <n v="9000000"/>
    <x v="8"/>
    <x v="6"/>
    <s v="Drama"/>
    <s v="Sport"/>
    <m/>
    <m/>
    <m/>
    <m/>
    <m/>
  </r>
  <r>
    <x v="1237"/>
    <x v="13"/>
    <n v="2954405"/>
    <x v="3487"/>
    <x v="0"/>
    <s v="USA"/>
    <n v="36000000"/>
    <x v="48"/>
    <x v="6"/>
    <s v="Comedy"/>
    <s v="Romance"/>
    <m/>
    <m/>
    <m/>
    <m/>
    <m/>
  </r>
  <r>
    <x v="1861"/>
    <x v="1"/>
    <n v="2938208"/>
    <x v="3488"/>
    <x v="0"/>
    <s v="USA"/>
    <n v="225000"/>
    <x v="31"/>
    <x v="0"/>
    <s v="Drama"/>
    <s v="Romance"/>
    <m/>
    <m/>
    <m/>
    <m/>
    <m/>
  </r>
  <r>
    <x v="1862"/>
    <x v="22"/>
    <n v="2926565"/>
    <x v="3489"/>
    <x v="0"/>
    <s v="USA"/>
    <n v="3000000"/>
    <x v="20"/>
    <x v="0"/>
    <s v="Drama"/>
    <m/>
    <m/>
    <m/>
    <m/>
    <m/>
    <m/>
  </r>
  <r>
    <x v="1853"/>
    <x v="173"/>
    <n v="2921738"/>
    <x v="3490"/>
    <x v="14"/>
    <s v="India"/>
    <n v="7000000"/>
    <x v="12"/>
    <x v="3"/>
    <s v="Musical"/>
    <s v="Romance"/>
    <m/>
    <m/>
    <m/>
    <m/>
    <m/>
  </r>
  <r>
    <x v="1641"/>
    <x v="20"/>
    <n v="2912363"/>
    <x v="3491"/>
    <x v="19"/>
    <s v="UK"/>
    <n v="3000000"/>
    <x v="4"/>
    <x v="5"/>
    <s v="Drama"/>
    <m/>
    <m/>
    <m/>
    <m/>
    <m/>
    <m/>
  </r>
  <r>
    <x v="1158"/>
    <x v="33"/>
    <n v="2899970"/>
    <x v="3492"/>
    <x v="0"/>
    <s v="USA"/>
    <n v="32000000"/>
    <x v="26"/>
    <x v="3"/>
    <m/>
    <m/>
    <m/>
    <m/>
    <m/>
    <m/>
    <m/>
  </r>
  <r>
    <x v="1451"/>
    <x v="3"/>
    <n v="2892582"/>
    <x v="3493"/>
    <x v="0"/>
    <s v="USA"/>
    <n v="4000000"/>
    <x v="17"/>
    <x v="0"/>
    <m/>
    <m/>
    <m/>
    <m/>
    <m/>
    <m/>
    <m/>
  </r>
  <r>
    <x v="151"/>
    <x v="73"/>
    <n v="2882062"/>
    <x v="3494"/>
    <x v="0"/>
    <s v="USA"/>
    <n v="150000"/>
    <x v="2"/>
    <x v="0"/>
    <s v="Drama"/>
    <s v="Romance"/>
    <m/>
    <m/>
    <m/>
    <m/>
    <m/>
  </r>
  <r>
    <x v="1089"/>
    <x v="11"/>
    <n v="2869369"/>
    <x v="3495"/>
    <x v="0"/>
    <s v="UK"/>
    <n v="30000000"/>
    <x v="4"/>
    <x v="0"/>
    <s v="Fantasy"/>
    <m/>
    <m/>
    <m/>
    <m/>
    <m/>
    <m/>
  </r>
  <r>
    <x v="1863"/>
    <x v="8"/>
    <n v="2859955"/>
    <x v="3496"/>
    <x v="0"/>
    <s v="USA"/>
    <n v="1200000"/>
    <x v="27"/>
    <x v="3"/>
    <s v="Sport"/>
    <m/>
    <m/>
    <m/>
    <m/>
    <m/>
    <m/>
  </r>
  <r>
    <x v="1156"/>
    <x v="0"/>
    <n v="2856622"/>
    <x v="3497"/>
    <x v="0"/>
    <s v="Canada"/>
    <n v="25000"/>
    <x v="4"/>
    <x v="0"/>
    <s v="Drama"/>
    <m/>
    <m/>
    <m/>
    <m/>
    <m/>
    <m/>
  </r>
  <r>
    <x v="138"/>
    <x v="50"/>
    <n v="2850263"/>
    <x v="3498"/>
    <x v="0"/>
    <s v="USA"/>
    <n v="2600000"/>
    <x v="8"/>
    <x v="2"/>
    <s v="Comedy"/>
    <s v="Sport"/>
    <m/>
    <m/>
    <m/>
    <m/>
    <m/>
  </r>
  <r>
    <x v="1864"/>
    <x v="36"/>
    <n v="2849142"/>
    <x v="3499"/>
    <x v="0"/>
    <s v="USA"/>
    <n v="16000000"/>
    <x v="11"/>
    <x v="3"/>
    <m/>
    <m/>
    <m/>
    <m/>
    <m/>
    <m/>
    <m/>
  </r>
  <r>
    <x v="1865"/>
    <x v="28"/>
    <n v="2848578"/>
    <x v="3500"/>
    <x v="0"/>
    <s v="USA"/>
    <n v="3500000"/>
    <x v="2"/>
    <x v="3"/>
    <s v="Family"/>
    <m/>
    <m/>
    <m/>
    <m/>
    <m/>
    <m/>
  </r>
  <r>
    <x v="670"/>
    <x v="61"/>
    <n v="2840417"/>
    <x v="3501"/>
    <x v="0"/>
    <s v="Canada"/>
    <n v="31000000"/>
    <x v="9"/>
    <x v="1"/>
    <s v="Sci-Fi"/>
    <s v="Thriller"/>
    <m/>
    <m/>
    <m/>
    <m/>
    <m/>
  </r>
  <r>
    <x v="1866"/>
    <x v="134"/>
    <n v="2835886"/>
    <x v="3502"/>
    <x v="12"/>
    <s v="Italy"/>
    <n v="9200000"/>
    <x v="5"/>
    <x v="3"/>
    <m/>
    <m/>
    <m/>
    <m/>
    <m/>
    <m/>
    <m/>
  </r>
  <r>
    <x v="951"/>
    <x v="42"/>
    <n v="2833383"/>
    <x v="3503"/>
    <x v="0"/>
    <s v="USA"/>
    <n v="427000"/>
    <x v="21"/>
    <x v="3"/>
    <s v="Music"/>
    <m/>
    <m/>
    <m/>
    <m/>
    <m/>
    <m/>
  </r>
  <r>
    <x v="1496"/>
    <x v="8"/>
    <n v="2832826"/>
    <x v="3504"/>
    <x v="0"/>
    <s v="USA"/>
    <n v="11000000"/>
    <x v="8"/>
    <x v="0"/>
    <s v="Drama"/>
    <s v="Romance"/>
    <m/>
    <m/>
    <m/>
    <m/>
    <m/>
  </r>
  <r>
    <x v="14"/>
    <x v="4"/>
    <n v="2812029"/>
    <x v="3505"/>
    <x v="0"/>
    <s v="USA"/>
    <n v="1200000"/>
    <x v="39"/>
    <x v="5"/>
    <s v="Drama"/>
    <s v="Thriller"/>
    <m/>
    <m/>
    <m/>
    <m/>
    <m/>
  </r>
  <r>
    <x v="1867"/>
    <x v="41"/>
    <n v="2808000"/>
    <x v="3506"/>
    <x v="0"/>
    <s v="USA"/>
    <n v="379000"/>
    <x v="2"/>
    <x v="13"/>
    <s v="Romance"/>
    <m/>
    <m/>
    <m/>
    <m/>
    <m/>
    <m/>
  </r>
  <r>
    <x v="1868"/>
    <x v="30"/>
    <n v="2807854"/>
    <x v="3507"/>
    <x v="0"/>
    <s v="USA"/>
    <n v="11000000"/>
    <x v="33"/>
    <x v="2"/>
    <s v="Drama"/>
    <s v="Romance"/>
    <m/>
    <m/>
    <m/>
    <m/>
    <m/>
  </r>
  <r>
    <x v="1869"/>
    <x v="20"/>
    <n v="2800000"/>
    <x v="3508"/>
    <x v="0"/>
    <s v="USA"/>
    <n v="4000000"/>
    <x v="19"/>
    <x v="0"/>
    <m/>
    <m/>
    <m/>
    <m/>
    <m/>
    <m/>
    <m/>
  </r>
  <r>
    <x v="1870"/>
    <x v="28"/>
    <n v="2775593"/>
    <x v="3509"/>
    <x v="0"/>
    <s v="UK"/>
    <n v="27000000"/>
    <x v="20"/>
    <x v="0"/>
    <s v="Drama"/>
    <s v="Romance"/>
    <m/>
    <m/>
    <m/>
    <m/>
    <m/>
  </r>
  <r>
    <x v="1655"/>
    <x v="50"/>
    <n v="2712293"/>
    <x v="3510"/>
    <x v="0"/>
    <s v="USA"/>
    <n v="450000"/>
    <x v="1"/>
    <x v="5"/>
    <s v="Drama"/>
    <m/>
    <m/>
    <m/>
    <m/>
    <m/>
    <m/>
  </r>
  <r>
    <x v="1871"/>
    <x v="0"/>
    <n v="2711210"/>
    <x v="3511"/>
    <x v="0"/>
    <s v="USA"/>
    <n v="5000000"/>
    <x v="16"/>
    <x v="0"/>
    <s v="Drama"/>
    <m/>
    <m/>
    <m/>
    <m/>
    <m/>
    <m/>
  </r>
  <r>
    <x v="346"/>
    <x v="41"/>
    <n v="2708188"/>
    <x v="3512"/>
    <x v="0"/>
    <s v="UK"/>
    <n v="23000000"/>
    <x v="8"/>
    <x v="0"/>
    <s v="Drama"/>
    <s v="Romance"/>
    <m/>
    <m/>
    <m/>
    <m/>
    <m/>
  </r>
  <r>
    <x v="1291"/>
    <x v="17"/>
    <n v="2706659"/>
    <x v="3513"/>
    <x v="0"/>
    <s v="UK"/>
    <n v="2000000"/>
    <x v="26"/>
    <x v="0"/>
    <s v="Drama"/>
    <m/>
    <m/>
    <m/>
    <m/>
    <m/>
    <m/>
  </r>
  <r>
    <x v="1872"/>
    <x v="40"/>
    <n v="2694973"/>
    <x v="3514"/>
    <x v="0"/>
    <s v="USA"/>
    <n v="700000"/>
    <x v="11"/>
    <x v="3"/>
    <m/>
    <m/>
    <m/>
    <m/>
    <m/>
    <m/>
    <m/>
  </r>
  <r>
    <x v="1281"/>
    <x v="15"/>
    <n v="2694071"/>
    <x v="3515"/>
    <x v="0"/>
    <s v="USA"/>
    <n v="39751583.5"/>
    <x v="15"/>
    <x v="6"/>
    <s v="Drama"/>
    <s v="Romance"/>
    <s v="Sport"/>
    <m/>
    <m/>
    <m/>
    <m/>
  </r>
  <r>
    <x v="1488"/>
    <x v="0"/>
    <n v="2656324"/>
    <x v="3516"/>
    <x v="0"/>
    <s v="UK"/>
    <n v="39751583.5"/>
    <x v="15"/>
    <x v="0"/>
    <s v="Romance"/>
    <m/>
    <m/>
    <m/>
    <m/>
    <m/>
    <m/>
  </r>
  <r>
    <x v="178"/>
    <x v="41"/>
    <n v="2643689"/>
    <x v="3517"/>
    <x v="0"/>
    <s v="USA"/>
    <n v="39751583.5"/>
    <x v="4"/>
    <x v="0"/>
    <s v="Drama"/>
    <m/>
    <m/>
    <m/>
    <m/>
    <m/>
    <m/>
  </r>
  <r>
    <x v="1702"/>
    <x v="7"/>
    <n v="2605039"/>
    <x v="3518"/>
    <x v="0"/>
    <s v="UK"/>
    <n v="39751583.5"/>
    <x v="2"/>
    <x v="3"/>
    <s v="Horror"/>
    <s v="Sci-Fi"/>
    <s v="Thriller"/>
    <m/>
    <m/>
    <m/>
    <m/>
  </r>
  <r>
    <x v="1873"/>
    <x v="30"/>
    <n v="2601847"/>
    <x v="3519"/>
    <x v="0"/>
    <s v="USA"/>
    <n v="4000000"/>
    <x v="42"/>
    <x v="10"/>
    <s v="Music"/>
    <m/>
    <m/>
    <m/>
    <m/>
    <m/>
    <m/>
  </r>
  <r>
    <x v="439"/>
    <x v="44"/>
    <n v="2600000"/>
    <x v="3520"/>
    <x v="0"/>
    <s v="UK"/>
    <n v="6000000"/>
    <x v="31"/>
    <x v="3"/>
    <s v="War"/>
    <m/>
    <m/>
    <m/>
    <m/>
    <m/>
    <m/>
  </r>
  <r>
    <x v="1874"/>
    <x v="34"/>
    <n v="2592808"/>
    <x v="3521"/>
    <x v="0"/>
    <s v="USA"/>
    <n v="39751583.5"/>
    <x v="55"/>
    <x v="5"/>
    <s v="Drama"/>
    <s v="Thriller"/>
    <m/>
    <m/>
    <m/>
    <m/>
    <m/>
  </r>
  <r>
    <x v="1700"/>
    <x v="0"/>
    <n v="2557668"/>
    <x v="3522"/>
    <x v="0"/>
    <s v="USA"/>
    <n v="2000000"/>
    <x v="48"/>
    <x v="5"/>
    <s v="Drama"/>
    <s v="Thriller"/>
    <m/>
    <m/>
    <m/>
    <m/>
    <m/>
  </r>
  <r>
    <x v="1875"/>
    <x v="31"/>
    <n v="2542264"/>
    <x v="3523"/>
    <x v="0"/>
    <s v="UK"/>
    <n v="39751583.5"/>
    <x v="6"/>
    <x v="0"/>
    <s v="Drama"/>
    <m/>
    <m/>
    <m/>
    <m/>
    <m/>
    <m/>
  </r>
  <r>
    <x v="1876"/>
    <x v="0"/>
    <n v="2508841"/>
    <x v="3524"/>
    <x v="0"/>
    <s v="USA"/>
    <n v="1000000"/>
    <x v="11"/>
    <x v="5"/>
    <s v="Drama"/>
    <m/>
    <m/>
    <m/>
    <m/>
    <m/>
    <m/>
  </r>
  <r>
    <x v="1877"/>
    <x v="30"/>
    <n v="2507106"/>
    <x v="3525"/>
    <x v="0"/>
    <s v="USA"/>
    <n v="39751583.5"/>
    <x v="0"/>
    <x v="3"/>
    <s v="Music"/>
    <m/>
    <m/>
    <m/>
    <m/>
    <m/>
    <m/>
  </r>
  <r>
    <x v="199"/>
    <x v="43"/>
    <n v="2506446"/>
    <x v="3526"/>
    <x v="0"/>
    <s v="USA"/>
    <n v="2000000"/>
    <x v="47"/>
    <x v="0"/>
    <s v="Romance"/>
    <m/>
    <m/>
    <m/>
    <m/>
    <m/>
    <m/>
  </r>
  <r>
    <x v="1878"/>
    <x v="83"/>
    <n v="2483955"/>
    <x v="3527"/>
    <x v="0"/>
    <s v="USA"/>
    <n v="9600000"/>
    <x v="15"/>
    <x v="3"/>
    <s v="Romance"/>
    <m/>
    <m/>
    <m/>
    <m/>
    <m/>
    <m/>
  </r>
  <r>
    <x v="704"/>
    <x v="29"/>
    <n v="2474000"/>
    <x v="3528"/>
    <x v="0"/>
    <s v="France"/>
    <n v="14000000"/>
    <x v="21"/>
    <x v="6"/>
    <s v="Drama"/>
    <s v="History"/>
    <s v="Romance"/>
    <m/>
    <m/>
    <m/>
    <m/>
  </r>
  <r>
    <x v="1879"/>
    <x v="48"/>
    <n v="2445646"/>
    <x v="3529"/>
    <x v="0"/>
    <s v="USA"/>
    <n v="5000000"/>
    <x v="14"/>
    <x v="6"/>
    <s v="Crime"/>
    <s v="Drama"/>
    <s v="Mystery"/>
    <s v="Thriller"/>
    <m/>
    <m/>
    <m/>
  </r>
  <r>
    <x v="1761"/>
    <x v="57"/>
    <n v="2428883"/>
    <x v="3530"/>
    <x v="0"/>
    <s v="USA"/>
    <n v="16000000"/>
    <x v="24"/>
    <x v="3"/>
    <s v="Western"/>
    <m/>
    <m/>
    <m/>
    <m/>
    <m/>
    <m/>
  </r>
  <r>
    <x v="1880"/>
    <x v="43"/>
    <n v="2428241"/>
    <x v="3531"/>
    <x v="0"/>
    <s v="USA"/>
    <n v="200000"/>
    <x v="16"/>
    <x v="3"/>
    <m/>
    <m/>
    <m/>
    <m/>
    <m/>
    <m/>
    <m/>
  </r>
  <r>
    <x v="1382"/>
    <x v="31"/>
    <n v="2426851"/>
    <x v="3532"/>
    <x v="0"/>
    <s v="USA"/>
    <n v="4000000"/>
    <x v="20"/>
    <x v="0"/>
    <s v="Crime"/>
    <s v="Romance"/>
    <s v="Thriller"/>
    <m/>
    <m/>
    <m/>
    <m/>
  </r>
  <r>
    <x v="1257"/>
    <x v="18"/>
    <n v="2412045"/>
    <x v="3533"/>
    <x v="0"/>
    <s v="UK"/>
    <n v="15000000"/>
    <x v="11"/>
    <x v="3"/>
    <s v="Romance"/>
    <s v="Sci-Fi"/>
    <m/>
    <m/>
    <m/>
    <m/>
    <m/>
  </r>
  <r>
    <x v="1881"/>
    <x v="43"/>
    <n v="2408553"/>
    <x v="3534"/>
    <x v="34"/>
    <s v="Israel"/>
    <n v="39751583.5"/>
    <x v="17"/>
    <x v="10"/>
    <s v="War"/>
    <m/>
    <m/>
    <m/>
    <m/>
    <m/>
    <m/>
  </r>
  <r>
    <x v="1882"/>
    <x v="28"/>
    <n v="2365931"/>
    <x v="3535"/>
    <x v="0"/>
    <s v="USA"/>
    <n v="1500000"/>
    <x v="31"/>
    <x v="0"/>
    <s v="Crime"/>
    <s v="Drama"/>
    <s v="Romance"/>
    <m/>
    <m/>
    <m/>
    <m/>
  </r>
  <r>
    <x v="393"/>
    <x v="42"/>
    <n v="2360184"/>
    <x v="3536"/>
    <x v="0"/>
    <s v="USA"/>
    <n v="300000"/>
    <x v="6"/>
    <x v="0"/>
    <s v="Drama"/>
    <m/>
    <m/>
    <m/>
    <m/>
    <m/>
    <m/>
  </r>
  <r>
    <x v="1883"/>
    <x v="58"/>
    <n v="2353728"/>
    <x v="3537"/>
    <x v="1"/>
    <s v="France"/>
    <n v="20000000"/>
    <x v="26"/>
    <x v="0"/>
    <s v="Drama"/>
    <s v="Mystery"/>
    <s v="Romance"/>
    <s v="Thriller"/>
    <s v="War"/>
    <m/>
    <m/>
  </r>
  <r>
    <x v="1632"/>
    <x v="4"/>
    <n v="2344847"/>
    <x v="3538"/>
    <x v="0"/>
    <s v="USA"/>
    <n v="7000000"/>
    <x v="9"/>
    <x v="3"/>
    <s v="Sport"/>
    <m/>
    <m/>
    <m/>
    <m/>
    <m/>
    <m/>
  </r>
  <r>
    <x v="1065"/>
    <x v="51"/>
    <n v="2338695"/>
    <x v="3539"/>
    <x v="0"/>
    <s v="UK"/>
    <n v="4000000"/>
    <x v="7"/>
    <x v="5"/>
    <s v="Drama"/>
    <s v="Thriller"/>
    <m/>
    <m/>
    <m/>
    <m/>
    <m/>
  </r>
  <r>
    <x v="1884"/>
    <x v="0"/>
    <n v="2331318"/>
    <x v="3540"/>
    <x v="0"/>
    <s v="USA"/>
    <n v="10000000"/>
    <x v="68"/>
    <x v="0"/>
    <m/>
    <m/>
    <m/>
    <m/>
    <m/>
    <m/>
    <m/>
  </r>
  <r>
    <x v="1885"/>
    <x v="17"/>
    <n v="2326407"/>
    <x v="3541"/>
    <x v="0"/>
    <s v="UK"/>
    <n v="12000000"/>
    <x v="14"/>
    <x v="3"/>
    <m/>
    <m/>
    <m/>
    <m/>
    <m/>
    <m/>
    <m/>
  </r>
  <r>
    <x v="1091"/>
    <x v="43"/>
    <n v="2319187"/>
    <x v="3542"/>
    <x v="0"/>
    <s v="UK"/>
    <n v="20000000"/>
    <x v="14"/>
    <x v="5"/>
    <s v="Drama"/>
    <s v="Mystery"/>
    <s v="Thriller"/>
    <m/>
    <m/>
    <m/>
    <m/>
  </r>
  <r>
    <x v="1886"/>
    <x v="0"/>
    <n v="2315683"/>
    <x v="3543"/>
    <x v="0"/>
    <s v="UK"/>
    <n v="17000000"/>
    <x v="71"/>
    <x v="2"/>
    <s v="Crime"/>
    <s v="Drama"/>
    <s v="Romance"/>
    <m/>
    <m/>
    <m/>
    <m/>
  </r>
  <r>
    <x v="1887"/>
    <x v="3"/>
    <n v="2301777"/>
    <x v="3544"/>
    <x v="0"/>
    <s v="USA"/>
    <n v="650000"/>
    <x v="20"/>
    <x v="0"/>
    <m/>
    <m/>
    <m/>
    <m/>
    <m/>
    <m/>
    <m/>
  </r>
  <r>
    <x v="1888"/>
    <x v="56"/>
    <n v="2300000"/>
    <x v="3545"/>
    <x v="0"/>
    <s v="USA"/>
    <n v="439000"/>
    <x v="5"/>
    <x v="0"/>
    <s v="Musical"/>
    <s v="Romance"/>
    <m/>
    <m/>
    <m/>
    <m/>
    <m/>
  </r>
  <r>
    <x v="1889"/>
    <x v="10"/>
    <n v="2283276"/>
    <x v="3546"/>
    <x v="34"/>
    <s v="Israel"/>
    <n v="1500000"/>
    <x v="13"/>
    <x v="7"/>
    <s v="Biography"/>
    <s v="Documentary"/>
    <s v="Drama"/>
    <s v="History"/>
    <s v="War"/>
    <m/>
    <m/>
  </r>
  <r>
    <x v="1890"/>
    <x v="4"/>
    <n v="2277396"/>
    <x v="3547"/>
    <x v="0"/>
    <s v="USA"/>
    <n v="39751583.5"/>
    <x v="11"/>
    <x v="3"/>
    <s v="Romance"/>
    <m/>
    <m/>
    <m/>
    <m/>
    <m/>
    <m/>
  </r>
  <r>
    <x v="1891"/>
    <x v="51"/>
    <n v="2276368"/>
    <x v="3548"/>
    <x v="0"/>
    <s v="USA"/>
    <n v="39751583.5"/>
    <x v="12"/>
    <x v="10"/>
    <s v="History"/>
    <s v="Sport"/>
    <m/>
    <m/>
    <m/>
    <m/>
    <m/>
  </r>
  <r>
    <x v="669"/>
    <x v="124"/>
    <n v="2275557"/>
    <x v="3549"/>
    <x v="0"/>
    <s v="USA"/>
    <n v="8000000"/>
    <x v="27"/>
    <x v="4"/>
    <s v="Comedy"/>
    <s v="Crime"/>
    <s v="Thriller"/>
    <m/>
    <m/>
    <m/>
    <m/>
  </r>
  <r>
    <x v="1892"/>
    <x v="12"/>
    <n v="2268296"/>
    <x v="3550"/>
    <x v="0"/>
    <s v="UK"/>
    <n v="6500000"/>
    <x v="26"/>
    <x v="3"/>
    <s v="Thriller"/>
    <m/>
    <m/>
    <m/>
    <m/>
    <m/>
    <m/>
  </r>
  <r>
    <x v="1893"/>
    <x v="36"/>
    <n v="2246000"/>
    <x v="3551"/>
    <x v="0"/>
    <s v="USA"/>
    <n v="20000000"/>
    <x v="14"/>
    <x v="6"/>
    <s v="Drama"/>
    <s v="Sport"/>
    <m/>
    <m/>
    <m/>
    <m/>
    <m/>
  </r>
  <r>
    <x v="1894"/>
    <x v="56"/>
    <n v="2223990"/>
    <x v="3552"/>
    <x v="0"/>
    <s v="USA"/>
    <n v="3000000"/>
    <x v="24"/>
    <x v="0"/>
    <s v="Documentary"/>
    <m/>
    <m/>
    <m/>
    <m/>
    <m/>
    <m/>
  </r>
  <r>
    <x v="1895"/>
    <x v="83"/>
    <n v="2222647"/>
    <x v="3553"/>
    <x v="6"/>
    <s v="Germany"/>
    <n v="12000000"/>
    <x v="22"/>
    <x v="3"/>
    <s v="Mystery"/>
    <m/>
    <m/>
    <m/>
    <m/>
    <m/>
    <m/>
  </r>
  <r>
    <x v="576"/>
    <x v="64"/>
    <n v="2221994"/>
    <x v="3554"/>
    <x v="0"/>
    <s v="Denmark"/>
    <n v="35000000"/>
    <x v="16"/>
    <x v="4"/>
    <s v="Drama"/>
    <s v="Sci-Fi"/>
    <s v="Thriller"/>
    <m/>
    <m/>
    <m/>
    <m/>
  </r>
  <r>
    <x v="1855"/>
    <x v="50"/>
    <n v="2221809"/>
    <x v="3555"/>
    <x v="0"/>
    <s v="USA"/>
    <n v="5000000"/>
    <x v="14"/>
    <x v="3"/>
    <m/>
    <m/>
    <m/>
    <m/>
    <m/>
    <m/>
    <m/>
  </r>
  <r>
    <x v="1896"/>
    <x v="41"/>
    <n v="2209479"/>
    <x v="3556"/>
    <x v="0"/>
    <s v="UK"/>
    <n v="39751583.5"/>
    <x v="19"/>
    <x v="3"/>
    <s v="Family"/>
    <m/>
    <m/>
    <m/>
    <m/>
    <m/>
    <m/>
  </r>
  <r>
    <x v="1348"/>
    <x v="77"/>
    <n v="2208939"/>
    <x v="3557"/>
    <x v="0"/>
    <s v="Germany"/>
    <n v="50000000"/>
    <x v="31"/>
    <x v="5"/>
    <s v="Drama"/>
    <s v="Fantasy"/>
    <m/>
    <m/>
    <m/>
    <m/>
    <m/>
  </r>
  <r>
    <x v="613"/>
    <x v="4"/>
    <n v="2207975"/>
    <x v="3558"/>
    <x v="0"/>
    <s v="USA"/>
    <n v="6000000"/>
    <x v="11"/>
    <x v="3"/>
    <s v="History"/>
    <m/>
    <m/>
    <m/>
    <m/>
    <m/>
    <m/>
  </r>
  <r>
    <x v="392"/>
    <x v="11"/>
    <n v="2203641"/>
    <x v="3559"/>
    <x v="0"/>
    <s v="Spain"/>
    <n v="15000000"/>
    <x v="15"/>
    <x v="5"/>
    <s v="Drama"/>
    <s v="Mystery"/>
    <s v="Thriller"/>
    <m/>
    <m/>
    <m/>
    <m/>
  </r>
  <r>
    <x v="1897"/>
    <x v="63"/>
    <n v="2199853"/>
    <x v="3560"/>
    <x v="0"/>
    <s v="USA"/>
    <n v="1200000"/>
    <x v="24"/>
    <x v="0"/>
    <s v="Drama"/>
    <m/>
    <m/>
    <m/>
    <m/>
    <m/>
    <m/>
  </r>
  <r>
    <x v="1898"/>
    <x v="46"/>
    <n v="2197331"/>
    <x v="3561"/>
    <x v="14"/>
    <s v="India"/>
    <n v="39751583.5"/>
    <x v="39"/>
    <x v="0"/>
    <s v="Drama"/>
    <s v="History"/>
    <s v="Romance"/>
    <m/>
    <m/>
    <m/>
    <m/>
  </r>
  <r>
    <x v="117"/>
    <x v="74"/>
    <n v="2185266"/>
    <x v="3562"/>
    <x v="0"/>
    <s v="USA"/>
    <n v="10000000"/>
    <x v="20"/>
    <x v="0"/>
    <s v="Drama"/>
    <s v="Music"/>
    <m/>
    <m/>
    <m/>
    <m/>
    <m/>
  </r>
  <r>
    <x v="1899"/>
    <x v="35"/>
    <n v="2181290"/>
    <x v="3563"/>
    <x v="9"/>
    <s v="South Korea"/>
    <n v="3000000"/>
    <x v="39"/>
    <x v="3"/>
    <s v="Mystery"/>
    <s v="Thriller"/>
    <m/>
    <m/>
    <m/>
    <m/>
    <m/>
  </r>
  <r>
    <x v="61"/>
    <x v="66"/>
    <n v="2175312"/>
    <x v="3564"/>
    <x v="0"/>
    <s v="USA"/>
    <n v="50000000"/>
    <x v="2"/>
    <x v="0"/>
    <m/>
    <m/>
    <m/>
    <m/>
    <m/>
    <m/>
    <m/>
  </r>
  <r>
    <x v="345"/>
    <x v="18"/>
    <n v="2154540"/>
    <x v="3565"/>
    <x v="0"/>
    <s v="USA"/>
    <n v="45000000"/>
    <x v="35"/>
    <x v="4"/>
    <s v="Thriller"/>
    <m/>
    <m/>
    <m/>
    <m/>
    <m/>
    <m/>
  </r>
  <r>
    <x v="1900"/>
    <x v="41"/>
    <n v="2148212"/>
    <x v="3566"/>
    <x v="0"/>
    <s v="USA"/>
    <n v="7000000"/>
    <x v="2"/>
    <x v="3"/>
    <s v="Family"/>
    <m/>
    <m/>
    <m/>
    <m/>
    <m/>
    <m/>
  </r>
  <r>
    <x v="1901"/>
    <x v="51"/>
    <n v="2126511"/>
    <x v="3567"/>
    <x v="21"/>
    <s v="Hong Kong"/>
    <n v="36000000"/>
    <x v="11"/>
    <x v="4"/>
    <s v="Biography"/>
    <s v="Drama"/>
    <s v="History"/>
    <m/>
    <m/>
    <m/>
    <m/>
  </r>
  <r>
    <x v="754"/>
    <x v="21"/>
    <n v="2122561"/>
    <x v="3568"/>
    <x v="0"/>
    <s v="USA"/>
    <n v="6000000"/>
    <x v="11"/>
    <x v="0"/>
    <s v="Romance"/>
    <m/>
    <m/>
    <m/>
    <m/>
    <m/>
    <m/>
  </r>
  <r>
    <x v="1902"/>
    <x v="22"/>
    <n v="2119994"/>
    <x v="3569"/>
    <x v="0"/>
    <s v="USA"/>
    <n v="19000000"/>
    <x v="21"/>
    <x v="16"/>
    <s v="Fantasy"/>
    <s v="Music"/>
    <m/>
    <m/>
    <m/>
    <m/>
    <m/>
  </r>
  <r>
    <x v="1903"/>
    <x v="50"/>
    <n v="2104000"/>
    <x v="3570"/>
    <x v="0"/>
    <s v="USA"/>
    <n v="13000000"/>
    <x v="1"/>
    <x v="0"/>
    <s v="Crime"/>
    <s v="Drama"/>
    <m/>
    <m/>
    <m/>
    <m/>
    <m/>
  </r>
  <r>
    <x v="71"/>
    <x v="65"/>
    <n v="2086345"/>
    <x v="3571"/>
    <x v="16"/>
    <s v="Spain"/>
    <n v="10000000"/>
    <x v="23"/>
    <x v="6"/>
    <s v="Drama"/>
    <s v="Romance"/>
    <m/>
    <m/>
    <m/>
    <m/>
    <m/>
  </r>
  <r>
    <x v="268"/>
    <x v="4"/>
    <n v="2077046"/>
    <x v="3572"/>
    <x v="0"/>
    <s v="USA"/>
    <n v="6000000"/>
    <x v="14"/>
    <x v="0"/>
    <s v="Drama"/>
    <s v="Romance"/>
    <m/>
    <m/>
    <m/>
    <m/>
    <m/>
  </r>
  <r>
    <x v="1264"/>
    <x v="60"/>
    <n v="2073984"/>
    <x v="3573"/>
    <x v="0"/>
    <s v="France"/>
    <n v="800000"/>
    <x v="11"/>
    <x v="3"/>
    <s v="Romance"/>
    <m/>
    <m/>
    <m/>
    <m/>
    <m/>
    <m/>
  </r>
  <r>
    <x v="621"/>
    <x v="51"/>
    <n v="2062066"/>
    <x v="3574"/>
    <x v="0"/>
    <s v="USA"/>
    <n v="7000000"/>
    <x v="24"/>
    <x v="6"/>
    <s v="Crime"/>
    <s v="Drama"/>
    <m/>
    <m/>
    <m/>
    <m/>
    <m/>
  </r>
  <r>
    <x v="1904"/>
    <x v="43"/>
    <n v="2060953"/>
    <x v="3575"/>
    <x v="0"/>
    <s v="Czech Republic"/>
    <n v="12000000"/>
    <x v="6"/>
    <x v="8"/>
    <s v="Horror"/>
    <s v="Thriller"/>
    <m/>
    <m/>
    <m/>
    <m/>
    <m/>
  </r>
  <r>
    <x v="1905"/>
    <x v="7"/>
    <n v="2047570"/>
    <x v="3576"/>
    <x v="0"/>
    <s v="USA"/>
    <n v="500000"/>
    <x v="17"/>
    <x v="6"/>
    <s v="Documentary"/>
    <s v="Sport"/>
    <m/>
    <m/>
    <m/>
    <m/>
    <m/>
  </r>
  <r>
    <x v="127"/>
    <x v="81"/>
    <n v="2040920"/>
    <x v="3577"/>
    <x v="16"/>
    <s v="USA"/>
    <n v="7000"/>
    <x v="26"/>
    <x v="4"/>
    <s v="Crime"/>
    <s v="Drama"/>
    <s v="Romance"/>
    <s v="Thriller"/>
    <m/>
    <m/>
    <m/>
  </r>
  <r>
    <x v="135"/>
    <x v="30"/>
    <n v="2035566"/>
    <x v="3578"/>
    <x v="0"/>
    <s v="France"/>
    <n v="13000000"/>
    <x v="24"/>
    <x v="6"/>
    <s v="Comedy"/>
    <s v="Crime"/>
    <s v="Drama"/>
    <s v="Romance"/>
    <m/>
    <m/>
    <m/>
  </r>
  <r>
    <x v="1906"/>
    <x v="13"/>
    <n v="2025238"/>
    <x v="3579"/>
    <x v="0"/>
    <s v="USA"/>
    <n v="6000000"/>
    <x v="19"/>
    <x v="0"/>
    <s v="Crime"/>
    <s v="Drama"/>
    <s v="Thriller"/>
    <m/>
    <m/>
    <m/>
    <m/>
  </r>
  <r>
    <x v="1907"/>
    <x v="41"/>
    <n v="2024854"/>
    <x v="3580"/>
    <x v="0"/>
    <s v="USA"/>
    <n v="6500000"/>
    <x v="24"/>
    <x v="3"/>
    <s v="Western"/>
    <m/>
    <m/>
    <m/>
    <m/>
    <m/>
    <m/>
  </r>
  <r>
    <x v="1908"/>
    <x v="55"/>
    <n v="2000000"/>
    <x v="3581"/>
    <x v="0"/>
    <s v="USA"/>
    <n v="20000000"/>
    <x v="36"/>
    <x v="6"/>
    <s v="Comedy"/>
    <s v="Musical"/>
    <m/>
    <m/>
    <m/>
    <m/>
    <m/>
  </r>
  <r>
    <x v="1909"/>
    <x v="30"/>
    <n v="2000000"/>
    <x v="3582"/>
    <x v="0"/>
    <s v="USA"/>
    <n v="17000000"/>
    <x v="16"/>
    <x v="2"/>
    <s v="Horror"/>
    <s v="Thriller"/>
    <m/>
    <m/>
    <m/>
    <m/>
    <m/>
  </r>
  <r>
    <x v="1570"/>
    <x v="59"/>
    <n v="1997807"/>
    <x v="3583"/>
    <x v="0"/>
    <s v="USA"/>
    <n v="8000000"/>
    <x v="6"/>
    <x v="2"/>
    <s v="Drama"/>
    <s v="Thriller"/>
    <m/>
    <m/>
    <m/>
    <m/>
    <m/>
  </r>
  <r>
    <x v="648"/>
    <x v="1"/>
    <n v="1987762"/>
    <x v="3584"/>
    <x v="0"/>
    <s v="USA"/>
    <n v="11000000"/>
    <x v="15"/>
    <x v="5"/>
    <s v="Drama"/>
    <s v="Romance"/>
    <s v="Thriller"/>
    <m/>
    <m/>
    <m/>
    <m/>
  </r>
  <r>
    <x v="590"/>
    <x v="19"/>
    <n v="1987287"/>
    <x v="3585"/>
    <x v="0"/>
    <s v="UK"/>
    <n v="50000000"/>
    <x v="26"/>
    <x v="5"/>
    <s v="Drama"/>
    <m/>
    <m/>
    <m/>
    <m/>
    <m/>
    <m/>
  </r>
  <r>
    <x v="1298"/>
    <x v="35"/>
    <n v="1984743"/>
    <x v="3586"/>
    <x v="0"/>
    <s v="USA"/>
    <n v="16000000"/>
    <x v="24"/>
    <x v="3"/>
    <s v="Romance"/>
    <m/>
    <m/>
    <m/>
    <m/>
    <m/>
    <m/>
  </r>
  <r>
    <x v="1855"/>
    <x v="43"/>
    <n v="1984378"/>
    <x v="3587"/>
    <x v="0"/>
    <s v="USA"/>
    <n v="2000000"/>
    <x v="20"/>
    <x v="0"/>
    <s v="Drama"/>
    <s v="Romance"/>
    <m/>
    <m/>
    <m/>
    <m/>
    <m/>
  </r>
  <r>
    <x v="64"/>
    <x v="12"/>
    <n v="1980338"/>
    <x v="3588"/>
    <x v="0"/>
    <s v="USA"/>
    <n v="5000000"/>
    <x v="14"/>
    <x v="0"/>
    <s v="Crime"/>
    <s v="Drama"/>
    <s v="Mystery"/>
    <s v="Thriller"/>
    <m/>
    <m/>
    <m/>
  </r>
  <r>
    <x v="1910"/>
    <x v="20"/>
    <n v="1977544"/>
    <x v="3589"/>
    <x v="0"/>
    <s v="USA"/>
    <n v="250000"/>
    <x v="20"/>
    <x v="0"/>
    <s v="Drama"/>
    <s v="Romance"/>
    <m/>
    <m/>
    <m/>
    <m/>
    <m/>
  </r>
  <r>
    <x v="1911"/>
    <x v="11"/>
    <n v="1954202"/>
    <x v="3590"/>
    <x v="0"/>
    <s v="USA"/>
    <n v="15000000"/>
    <x v="2"/>
    <x v="0"/>
    <s v="Crime"/>
    <s v="Drama"/>
    <m/>
    <m/>
    <m/>
    <m/>
    <m/>
  </r>
  <r>
    <x v="1912"/>
    <x v="1"/>
    <n v="1953732"/>
    <x v="3591"/>
    <x v="0"/>
    <s v="USA"/>
    <n v="15000000"/>
    <x v="48"/>
    <x v="2"/>
    <s v="Drama"/>
    <s v="Fantasy"/>
    <m/>
    <m/>
    <m/>
    <m/>
    <m/>
  </r>
  <r>
    <x v="1913"/>
    <x v="3"/>
    <n v="1950218"/>
    <x v="3592"/>
    <x v="0"/>
    <s v="USA"/>
    <n v="1000000"/>
    <x v="37"/>
    <x v="0"/>
    <s v="Drama"/>
    <m/>
    <m/>
    <m/>
    <m/>
    <m/>
    <m/>
  </r>
  <r>
    <x v="1914"/>
    <x v="1"/>
    <n v="1943649"/>
    <x v="3593"/>
    <x v="0"/>
    <s v="USA"/>
    <n v="1700000"/>
    <x v="2"/>
    <x v="0"/>
    <s v="Crime"/>
    <s v="Romance"/>
    <m/>
    <m/>
    <m/>
    <m/>
    <m/>
  </r>
  <r>
    <x v="1544"/>
    <x v="40"/>
    <n v="1939441"/>
    <x v="3594"/>
    <x v="0"/>
    <s v="USA"/>
    <n v="10000000"/>
    <x v="26"/>
    <x v="6"/>
    <s v="Crime"/>
    <s v="Drama"/>
    <m/>
    <m/>
    <m/>
    <m/>
    <m/>
  </r>
  <r>
    <x v="1585"/>
    <x v="44"/>
    <n v="1900725"/>
    <x v="3595"/>
    <x v="0"/>
    <s v="Australia"/>
    <n v="2000000"/>
    <x v="7"/>
    <x v="5"/>
    <s v="Drama"/>
    <s v="Western"/>
    <m/>
    <m/>
    <m/>
    <m/>
    <m/>
  </r>
  <r>
    <x v="259"/>
    <x v="30"/>
    <n v="1891821"/>
    <x v="3596"/>
    <x v="0"/>
    <s v="UK"/>
    <n v="52000000"/>
    <x v="41"/>
    <x v="4"/>
    <s v="Adventure"/>
    <s v="Horror"/>
    <s v="Sci-Fi"/>
    <s v="Thriller"/>
    <m/>
    <m/>
    <m/>
  </r>
  <r>
    <x v="1915"/>
    <x v="4"/>
    <n v="1889522"/>
    <x v="3597"/>
    <x v="0"/>
    <s v="USA"/>
    <n v="7000000"/>
    <x v="20"/>
    <x v="3"/>
    <s v="Sport"/>
    <m/>
    <m/>
    <m/>
    <m/>
    <m/>
    <m/>
  </r>
  <r>
    <x v="1883"/>
    <x v="74"/>
    <n v="1877179"/>
    <x v="3598"/>
    <x v="1"/>
    <s v="France"/>
    <n v="39751583.5"/>
    <x v="6"/>
    <x v="2"/>
    <s v="Drama"/>
    <s v="Romance"/>
    <s v="War"/>
    <m/>
    <m/>
    <m/>
    <m/>
  </r>
  <r>
    <x v="77"/>
    <x v="33"/>
    <n v="1865774"/>
    <x v="3599"/>
    <x v="0"/>
    <s v="UK"/>
    <n v="30000000"/>
    <x v="14"/>
    <x v="6"/>
    <s v="Crime"/>
    <s v="Drama"/>
    <s v="History"/>
    <s v="Thriller"/>
    <m/>
    <m/>
    <m/>
  </r>
  <r>
    <x v="1916"/>
    <x v="32"/>
    <n v="1829142"/>
    <x v="3600"/>
    <x v="0"/>
    <s v="Ireland"/>
    <n v="39751583.5"/>
    <x v="31"/>
    <x v="3"/>
    <s v="War"/>
    <m/>
    <m/>
    <m/>
    <m/>
    <m/>
    <m/>
  </r>
  <r>
    <x v="754"/>
    <x v="30"/>
    <n v="1821983"/>
    <x v="3601"/>
    <x v="0"/>
    <s v="USA"/>
    <n v="3000000"/>
    <x v="18"/>
    <x v="0"/>
    <s v="Drama"/>
    <s v="Horror"/>
    <m/>
    <m/>
    <m/>
    <m/>
    <m/>
  </r>
  <r>
    <x v="1917"/>
    <x v="0"/>
    <n v="1818681"/>
    <x v="3602"/>
    <x v="0"/>
    <s v="UK"/>
    <n v="7300000"/>
    <x v="11"/>
    <x v="4"/>
    <s v="Crime"/>
    <s v="Drama"/>
    <s v="Thriller"/>
    <m/>
    <m/>
    <m/>
    <m/>
  </r>
  <r>
    <x v="1669"/>
    <x v="51"/>
    <n v="1796024"/>
    <x v="3603"/>
    <x v="0"/>
    <s v="USA"/>
    <n v="22000000"/>
    <x v="18"/>
    <x v="3"/>
    <s v="Thriller"/>
    <m/>
    <m/>
    <m/>
    <m/>
    <m/>
    <m/>
  </r>
  <r>
    <x v="302"/>
    <x v="44"/>
    <n v="1789892"/>
    <x v="3604"/>
    <x v="0"/>
    <s v="Germany"/>
    <n v="8000000"/>
    <x v="24"/>
    <x v="0"/>
    <s v="Crime"/>
    <m/>
    <m/>
    <m/>
    <m/>
    <m/>
    <m/>
  </r>
  <r>
    <x v="1918"/>
    <x v="44"/>
    <n v="1779284"/>
    <x v="3605"/>
    <x v="0"/>
    <s v="USA"/>
    <n v="12000000"/>
    <x v="6"/>
    <x v="0"/>
    <s v="Drama"/>
    <m/>
    <m/>
    <m/>
    <m/>
    <m/>
    <m/>
  </r>
  <r>
    <x v="1099"/>
    <x v="0"/>
    <n v="1768416"/>
    <x v="3606"/>
    <x v="0"/>
    <s v="USA"/>
    <n v="7000000"/>
    <x v="2"/>
    <x v="0"/>
    <s v="Drama"/>
    <m/>
    <m/>
    <m/>
    <m/>
    <m/>
    <m/>
  </r>
  <r>
    <x v="280"/>
    <x v="1"/>
    <n v="1754319"/>
    <x v="3607"/>
    <x v="0"/>
    <s v="USA"/>
    <n v="10000000"/>
    <x v="11"/>
    <x v="3"/>
    <s v="Romance"/>
    <m/>
    <m/>
    <m/>
    <m/>
    <m/>
    <m/>
  </r>
  <r>
    <x v="87"/>
    <x v="10"/>
    <n v="1752214"/>
    <x v="3608"/>
    <x v="0"/>
    <s v="USA"/>
    <n v="14000000"/>
    <x v="5"/>
    <x v="0"/>
    <s v="Drama"/>
    <s v="Romance"/>
    <m/>
    <m/>
    <m/>
    <m/>
    <m/>
  </r>
  <r>
    <x v="1919"/>
    <x v="20"/>
    <n v="1744858"/>
    <x v="3609"/>
    <x v="0"/>
    <s v="USA"/>
    <n v="1000000"/>
    <x v="14"/>
    <x v="0"/>
    <s v="Drama"/>
    <s v="Romance"/>
    <s v="Sport"/>
    <m/>
    <m/>
    <m/>
    <m/>
  </r>
  <r>
    <x v="1920"/>
    <x v="48"/>
    <n v="1738692"/>
    <x v="3610"/>
    <x v="0"/>
    <s v="UK"/>
    <n v="7000000"/>
    <x v="31"/>
    <x v="3"/>
    <s v="Thriller"/>
    <m/>
    <m/>
    <m/>
    <m/>
    <m/>
    <m/>
  </r>
  <r>
    <x v="1398"/>
    <x v="64"/>
    <n v="1729969"/>
    <x v="3611"/>
    <x v="0"/>
    <s v="USA"/>
    <n v="5000000"/>
    <x v="7"/>
    <x v="3"/>
    <s v="Thriller"/>
    <m/>
    <m/>
    <m/>
    <m/>
    <m/>
    <m/>
  </r>
  <r>
    <x v="394"/>
    <x v="50"/>
    <n v="1712111"/>
    <x v="3612"/>
    <x v="0"/>
    <s v="USA"/>
    <n v="8495000"/>
    <x v="36"/>
    <x v="1"/>
    <s v="Thriller"/>
    <m/>
    <m/>
    <m/>
    <m/>
    <m/>
    <m/>
  </r>
  <r>
    <x v="1921"/>
    <x v="36"/>
    <n v="1705139"/>
    <x v="3613"/>
    <x v="0"/>
    <s v="USA"/>
    <n v="4700000"/>
    <x v="15"/>
    <x v="8"/>
    <s v="Horror"/>
    <s v="Mystery"/>
    <s v="Thriller"/>
    <m/>
    <m/>
    <m/>
    <m/>
  </r>
  <r>
    <x v="1899"/>
    <x v="4"/>
    <n v="1702277"/>
    <x v="3614"/>
    <x v="0"/>
    <s v="UK"/>
    <n v="12000000"/>
    <x v="9"/>
    <x v="3"/>
    <s v="Thriller"/>
    <m/>
    <m/>
    <m/>
    <m/>
    <m/>
    <m/>
  </r>
  <r>
    <x v="1753"/>
    <x v="57"/>
    <n v="1697956"/>
    <x v="3615"/>
    <x v="0"/>
    <s v="USA"/>
    <n v="20000000"/>
    <x v="15"/>
    <x v="5"/>
    <s v="Drama"/>
    <m/>
    <m/>
    <m/>
    <m/>
    <m/>
    <m/>
  </r>
  <r>
    <x v="1449"/>
    <x v="10"/>
    <n v="1689999"/>
    <x v="3616"/>
    <x v="16"/>
    <s v="USA"/>
    <n v="400000"/>
    <x v="6"/>
    <x v="3"/>
    <m/>
    <m/>
    <m/>
    <m/>
    <m/>
    <m/>
    <m/>
  </r>
  <r>
    <x v="1922"/>
    <x v="0"/>
    <n v="1686429"/>
    <x v="3617"/>
    <x v="0"/>
    <s v="USA"/>
    <n v="16000000"/>
    <x v="60"/>
    <x v="4"/>
    <s v="Crime"/>
    <s v="Sci-Fi"/>
    <m/>
    <m/>
    <m/>
    <m/>
    <m/>
  </r>
  <r>
    <x v="1923"/>
    <x v="22"/>
    <n v="1677838"/>
    <x v="3618"/>
    <x v="0"/>
    <s v="USA"/>
    <n v="1000000"/>
    <x v="5"/>
    <x v="10"/>
    <m/>
    <m/>
    <m/>
    <m/>
    <m/>
    <m/>
    <m/>
  </r>
  <r>
    <x v="704"/>
    <x v="74"/>
    <n v="1666262"/>
    <x v="3619"/>
    <x v="0"/>
    <s v="UK"/>
    <n v="16000000"/>
    <x v="15"/>
    <x v="3"/>
    <s v="History"/>
    <s v="Romance"/>
    <s v="War"/>
    <m/>
    <m/>
    <m/>
    <m/>
  </r>
  <r>
    <x v="1924"/>
    <x v="4"/>
    <n v="1654367"/>
    <x v="3620"/>
    <x v="0"/>
    <s v="USA"/>
    <n v="7000000"/>
    <x v="16"/>
    <x v="6"/>
    <s v="Drama"/>
    <m/>
    <m/>
    <m/>
    <m/>
    <m/>
    <m/>
  </r>
  <r>
    <x v="1814"/>
    <x v="50"/>
    <n v="1652472"/>
    <x v="3621"/>
    <x v="1"/>
    <s v="France"/>
    <n v="300000"/>
    <x v="26"/>
    <x v="0"/>
    <s v="Romance"/>
    <m/>
    <m/>
    <m/>
    <m/>
    <m/>
    <m/>
  </r>
  <r>
    <x v="1925"/>
    <x v="51"/>
    <n v="1647780"/>
    <x v="3622"/>
    <x v="15"/>
    <s v="Denmark"/>
    <n v="1300000"/>
    <x v="23"/>
    <x v="3"/>
    <m/>
    <m/>
    <m/>
    <m/>
    <m/>
    <m/>
    <m/>
  </r>
  <r>
    <x v="1555"/>
    <x v="42"/>
    <n v="1646664"/>
    <x v="3623"/>
    <x v="0"/>
    <s v="USA"/>
    <n v="20000000"/>
    <x v="60"/>
    <x v="0"/>
    <s v="Music"/>
    <m/>
    <m/>
    <m/>
    <m/>
    <m/>
    <m/>
  </r>
  <r>
    <x v="670"/>
    <x v="1"/>
    <n v="1641788"/>
    <x v="3624"/>
    <x v="0"/>
    <s v="Canada"/>
    <n v="8000000"/>
    <x v="9"/>
    <x v="3"/>
    <s v="Mystery"/>
    <s v="Thriller"/>
    <m/>
    <m/>
    <m/>
    <m/>
    <m/>
  </r>
  <r>
    <x v="1926"/>
    <x v="43"/>
    <n v="1631839"/>
    <x v="3625"/>
    <x v="0"/>
    <s v="USA"/>
    <n v="10000000"/>
    <x v="21"/>
    <x v="0"/>
    <s v="Crime"/>
    <s v="Romance"/>
    <m/>
    <m/>
    <m/>
    <m/>
    <m/>
  </r>
  <r>
    <x v="1927"/>
    <x v="10"/>
    <n v="1573712"/>
    <x v="3626"/>
    <x v="0"/>
    <s v="USA"/>
    <n v="125000"/>
    <x v="15"/>
    <x v="0"/>
    <s v="Drama"/>
    <m/>
    <m/>
    <m/>
    <m/>
    <m/>
    <m/>
  </r>
  <r>
    <x v="9"/>
    <x v="1"/>
    <n v="1569918"/>
    <x v="3627"/>
    <x v="0"/>
    <s v="Ireland"/>
    <n v="17000000"/>
    <x v="26"/>
    <x v="6"/>
    <s v="Crime"/>
    <s v="Drama"/>
    <s v="Thriller"/>
    <m/>
    <m/>
    <m/>
    <m/>
  </r>
  <r>
    <x v="1760"/>
    <x v="61"/>
    <n v="1554566"/>
    <x v="3628"/>
    <x v="0"/>
    <s v="Canada"/>
    <n v="39751583.5"/>
    <x v="24"/>
    <x v="3"/>
    <s v="War"/>
    <m/>
    <m/>
    <m/>
    <m/>
    <m/>
    <m/>
  </r>
  <r>
    <x v="565"/>
    <x v="22"/>
    <n v="1550000"/>
    <x v="3629"/>
    <x v="0"/>
    <s v="USA"/>
    <n v="25000000"/>
    <x v="64"/>
    <x v="4"/>
    <s v="Adventure"/>
    <s v="Fantasy"/>
    <s v="Horror"/>
    <m/>
    <m/>
    <m/>
    <m/>
  </r>
  <r>
    <x v="1483"/>
    <x v="18"/>
    <n v="1530535"/>
    <x v="3630"/>
    <x v="0"/>
    <s v="USA"/>
    <n v="9000000"/>
    <x v="21"/>
    <x v="0"/>
    <s v="Drama"/>
    <s v="Romance"/>
    <m/>
    <m/>
    <m/>
    <m/>
    <m/>
  </r>
  <r>
    <x v="1928"/>
    <x v="60"/>
    <n v="1523883"/>
    <x v="3631"/>
    <x v="0"/>
    <s v="USA"/>
    <n v="1750211"/>
    <x v="22"/>
    <x v="10"/>
    <s v="Sport"/>
    <m/>
    <m/>
    <m/>
    <m/>
    <m/>
    <m/>
  </r>
  <r>
    <x v="277"/>
    <x v="1"/>
    <n v="1512815"/>
    <x v="3632"/>
    <x v="0"/>
    <s v="USA"/>
    <n v="25000000"/>
    <x v="19"/>
    <x v="4"/>
    <s v="Drama"/>
    <s v="Western"/>
    <m/>
    <m/>
    <m/>
    <m/>
    <m/>
  </r>
  <r>
    <x v="430"/>
    <x v="33"/>
    <n v="1508689"/>
    <x v="3633"/>
    <x v="0"/>
    <s v="USA"/>
    <n v="16000000"/>
    <x v="15"/>
    <x v="3"/>
    <s v="Romance"/>
    <m/>
    <m/>
    <m/>
    <m/>
    <m/>
    <m/>
  </r>
  <r>
    <x v="883"/>
    <x v="50"/>
    <n v="1506998"/>
    <x v="3634"/>
    <x v="0"/>
    <s v="USA"/>
    <n v="12000000"/>
    <x v="2"/>
    <x v="5"/>
    <s v="Drama"/>
    <s v="Romance"/>
    <m/>
    <m/>
    <m/>
    <m/>
    <m/>
  </r>
  <r>
    <x v="631"/>
    <x v="174"/>
    <n v="1500000"/>
    <x v="3635"/>
    <x v="0"/>
    <s v="USA"/>
    <n v="44000000"/>
    <x v="9"/>
    <x v="2"/>
    <s v="Drama"/>
    <s v="Western"/>
    <m/>
    <m/>
    <m/>
    <m/>
    <m/>
  </r>
  <r>
    <x v="455"/>
    <x v="44"/>
    <n v="1487477"/>
    <x v="3636"/>
    <x v="18"/>
    <s v="Russia"/>
    <n v="4200000"/>
    <x v="20"/>
    <x v="8"/>
    <s v="Thriller"/>
    <m/>
    <m/>
    <m/>
    <m/>
    <m/>
    <m/>
  </r>
  <r>
    <x v="1929"/>
    <x v="30"/>
    <n v="1477002"/>
    <x v="3637"/>
    <x v="0"/>
    <s v="USA"/>
    <n v="2000000"/>
    <x v="26"/>
    <x v="3"/>
    <s v="Romance"/>
    <m/>
    <m/>
    <m/>
    <m/>
    <m/>
    <m/>
  </r>
  <r>
    <x v="1930"/>
    <x v="49"/>
    <n v="1474508"/>
    <x v="3638"/>
    <x v="0"/>
    <s v="USA"/>
    <n v="5000000"/>
    <x v="20"/>
    <x v="0"/>
    <s v="Drama"/>
    <m/>
    <m/>
    <m/>
    <m/>
    <m/>
    <m/>
  </r>
  <r>
    <x v="1931"/>
    <x v="1"/>
    <n v="1445366"/>
    <x v="3639"/>
    <x v="0"/>
    <s v="UK"/>
    <n v="39751583.5"/>
    <x v="11"/>
    <x v="6"/>
    <s v="Drama"/>
    <s v="Music"/>
    <m/>
    <m/>
    <m/>
    <m/>
    <m/>
  </r>
  <r>
    <x v="1788"/>
    <x v="30"/>
    <n v="1430185"/>
    <x v="3640"/>
    <x v="0"/>
    <s v="USA"/>
    <n v="2000000"/>
    <x v="25"/>
    <x v="10"/>
    <s v="War"/>
    <m/>
    <m/>
    <m/>
    <m/>
    <m/>
    <m/>
  </r>
  <r>
    <x v="1932"/>
    <x v="39"/>
    <n v="1429260"/>
    <x v="3641"/>
    <x v="0"/>
    <s v="USA"/>
    <n v="39751583.5"/>
    <x v="24"/>
    <x v="3"/>
    <s v="Romance"/>
    <m/>
    <m/>
    <m/>
    <m/>
    <m/>
    <m/>
  </r>
  <r>
    <x v="1933"/>
    <x v="51"/>
    <n v="1425993"/>
    <x v="3642"/>
    <x v="0"/>
    <s v="USA"/>
    <n v="39751583.5"/>
    <x v="48"/>
    <x v="0"/>
    <m/>
    <m/>
    <m/>
    <m/>
    <m/>
    <m/>
    <m/>
  </r>
  <r>
    <x v="821"/>
    <x v="18"/>
    <n v="1420578"/>
    <x v="3643"/>
    <x v="0"/>
    <s v="USA"/>
    <n v="1900000"/>
    <x v="16"/>
    <x v="3"/>
    <s v="Fantasy"/>
    <m/>
    <m/>
    <m/>
    <m/>
    <m/>
    <m/>
  </r>
  <r>
    <x v="1934"/>
    <x v="22"/>
    <n v="1400000"/>
    <x v="3644"/>
    <x v="0"/>
    <s v="USA"/>
    <n v="1100000"/>
    <x v="1"/>
    <x v="4"/>
    <s v="Drama"/>
    <s v="Horror"/>
    <s v="Thriller"/>
    <m/>
    <m/>
    <m/>
    <m/>
  </r>
  <r>
    <x v="1935"/>
    <x v="51"/>
    <n v="1391770"/>
    <x v="3645"/>
    <x v="16"/>
    <s v="Mexico"/>
    <n v="39751583.5"/>
    <x v="27"/>
    <x v="2"/>
    <s v="Comedy"/>
    <s v="Western"/>
    <m/>
    <m/>
    <m/>
    <m/>
    <m/>
  </r>
  <r>
    <x v="216"/>
    <x v="17"/>
    <n v="1357042"/>
    <x v="3646"/>
    <x v="0"/>
    <s v="Belgium"/>
    <n v="15000000"/>
    <x v="6"/>
    <x v="6"/>
    <s v="Drama"/>
    <s v="Thriller"/>
    <m/>
    <m/>
    <m/>
    <m/>
    <m/>
  </r>
  <r>
    <x v="84"/>
    <x v="44"/>
    <n v="1346503"/>
    <x v="3647"/>
    <x v="0"/>
    <s v="China"/>
    <n v="6000000"/>
    <x v="0"/>
    <x v="3"/>
    <s v="History"/>
    <m/>
    <m/>
    <m/>
    <m/>
    <m/>
    <m/>
  </r>
  <r>
    <x v="1936"/>
    <x v="51"/>
    <n v="1340891"/>
    <x v="3648"/>
    <x v="0"/>
    <s v="UK"/>
    <n v="39751583.5"/>
    <x v="22"/>
    <x v="3"/>
    <s v="Romance"/>
    <m/>
    <m/>
    <m/>
    <m/>
    <m/>
    <m/>
  </r>
  <r>
    <x v="1937"/>
    <x v="7"/>
    <n v="1339152"/>
    <x v="3649"/>
    <x v="0"/>
    <s v="France"/>
    <n v="81200000"/>
    <x v="22"/>
    <x v="2"/>
    <s v="Animation"/>
    <s v="Drama"/>
    <s v="Family"/>
    <s v="Fantasy"/>
    <m/>
    <m/>
    <m/>
  </r>
  <r>
    <x v="1209"/>
    <x v="36"/>
    <n v="1330827"/>
    <x v="3650"/>
    <x v="0"/>
    <s v="France"/>
    <n v="7000000"/>
    <x v="14"/>
    <x v="1"/>
    <s v="Thriller"/>
    <m/>
    <m/>
    <m/>
    <m/>
    <m/>
    <m/>
  </r>
  <r>
    <x v="1745"/>
    <x v="49"/>
    <n v="1325073"/>
    <x v="3651"/>
    <x v="0"/>
    <s v="USA"/>
    <n v="4000000"/>
    <x v="24"/>
    <x v="0"/>
    <s v="Drama"/>
    <m/>
    <m/>
    <m/>
    <m/>
    <m/>
    <m/>
  </r>
  <r>
    <x v="1938"/>
    <x v="22"/>
    <n v="1316074"/>
    <x v="3652"/>
    <x v="0"/>
    <s v="USA"/>
    <n v="100000"/>
    <x v="14"/>
    <x v="3"/>
    <s v="Romance"/>
    <s v="Sci-Fi"/>
    <m/>
    <m/>
    <m/>
    <m/>
    <m/>
  </r>
  <r>
    <x v="1939"/>
    <x v="10"/>
    <n v="1310270"/>
    <x v="3653"/>
    <x v="0"/>
    <s v="USA"/>
    <n v="780000"/>
    <x v="9"/>
    <x v="4"/>
    <s v="Adventure"/>
    <s v="Drama"/>
    <s v="War"/>
    <m/>
    <m/>
    <m/>
    <m/>
  </r>
  <r>
    <x v="1642"/>
    <x v="33"/>
    <n v="1309849"/>
    <x v="3654"/>
    <x v="0"/>
    <s v="UK"/>
    <n v="10000000"/>
    <x v="11"/>
    <x v="3"/>
    <s v="Romance"/>
    <m/>
    <m/>
    <m/>
    <m/>
    <m/>
    <m/>
  </r>
  <r>
    <x v="199"/>
    <x v="51"/>
    <n v="1304837"/>
    <x v="3655"/>
    <x v="0"/>
    <s v="USA"/>
    <n v="32000000"/>
    <x v="0"/>
    <x v="3"/>
    <s v="Mystery"/>
    <s v="Thriller"/>
    <m/>
    <m/>
    <m/>
    <m/>
    <m/>
  </r>
  <r>
    <x v="1895"/>
    <x v="11"/>
    <n v="1294640"/>
    <x v="3656"/>
    <x v="0"/>
    <s v="USA"/>
    <n v="15000000"/>
    <x v="20"/>
    <x v="5"/>
    <s v="Drama"/>
    <s v="Horror"/>
    <s v="Thriller"/>
    <m/>
    <m/>
    <m/>
    <m/>
  </r>
  <r>
    <x v="1891"/>
    <x v="50"/>
    <n v="1293295"/>
    <x v="3657"/>
    <x v="0"/>
    <s v="USA"/>
    <n v="39751583.5"/>
    <x v="5"/>
    <x v="10"/>
    <s v="Sport"/>
    <m/>
    <m/>
    <m/>
    <m/>
    <m/>
    <m/>
  </r>
  <r>
    <x v="1133"/>
    <x v="12"/>
    <n v="1292527"/>
    <x v="3658"/>
    <x v="0"/>
    <s v="France"/>
    <n v="19000000"/>
    <x v="2"/>
    <x v="5"/>
    <s v="Drama"/>
    <s v="Music"/>
    <s v="Thriller"/>
    <m/>
    <m/>
    <m/>
    <m/>
  </r>
  <r>
    <x v="1470"/>
    <x v="50"/>
    <n v="1292119"/>
    <x v="3659"/>
    <x v="0"/>
    <s v="UK"/>
    <n v="5500000"/>
    <x v="6"/>
    <x v="6"/>
    <s v="Drama"/>
    <s v="Romance"/>
    <m/>
    <m/>
    <m/>
    <m/>
    <m/>
  </r>
  <r>
    <x v="1940"/>
    <x v="34"/>
    <n v="1282084"/>
    <x v="3660"/>
    <x v="0"/>
    <s v="USA"/>
    <n v="2500000"/>
    <x v="14"/>
    <x v="3"/>
    <m/>
    <m/>
    <m/>
    <m/>
    <m/>
    <m/>
    <m/>
  </r>
  <r>
    <x v="277"/>
    <x v="30"/>
    <n v="1281176"/>
    <x v="3661"/>
    <x v="0"/>
    <s v="USA"/>
    <n v="312000"/>
    <x v="15"/>
    <x v="0"/>
    <s v="Drama"/>
    <m/>
    <m/>
    <m/>
    <m/>
    <m/>
    <m/>
  </r>
  <r>
    <x v="1468"/>
    <x v="89"/>
    <n v="1277257"/>
    <x v="3662"/>
    <x v="0"/>
    <s v="UK"/>
    <n v="1000000"/>
    <x v="9"/>
    <x v="0"/>
    <s v="Drama"/>
    <s v="Romance"/>
    <m/>
    <m/>
    <m/>
    <m/>
    <m/>
  </r>
  <r>
    <x v="1677"/>
    <x v="54"/>
    <n v="1276984"/>
    <x v="3663"/>
    <x v="0"/>
    <s v="France"/>
    <n v="10000000"/>
    <x v="8"/>
    <x v="0"/>
    <s v="Crime"/>
    <s v="Thriller"/>
    <m/>
    <m/>
    <m/>
    <m/>
    <m/>
  </r>
  <r>
    <x v="1070"/>
    <x v="51"/>
    <n v="1260917"/>
    <x v="3664"/>
    <x v="1"/>
    <s v="France"/>
    <n v="27000000"/>
    <x v="11"/>
    <x v="4"/>
    <s v="Comedy"/>
    <s v="Crime"/>
    <m/>
    <m/>
    <m/>
    <m/>
    <m/>
  </r>
  <r>
    <x v="1941"/>
    <x v="30"/>
    <n v="1250798"/>
    <x v="3665"/>
    <x v="0"/>
    <s v="USA"/>
    <n v="500000"/>
    <x v="16"/>
    <x v="0"/>
    <s v="Drama"/>
    <s v="Romance"/>
    <m/>
    <m/>
    <m/>
    <m/>
    <m/>
  </r>
  <r>
    <x v="461"/>
    <x v="20"/>
    <n v="1247453"/>
    <x v="3666"/>
    <x v="0"/>
    <s v="UK"/>
    <n v="2800000"/>
    <x v="9"/>
    <x v="0"/>
    <s v="Drama"/>
    <m/>
    <m/>
    <m/>
    <m/>
    <m/>
    <m/>
  </r>
  <r>
    <x v="1942"/>
    <x v="60"/>
    <n v="1243961"/>
    <x v="3667"/>
    <x v="0"/>
    <s v="USA"/>
    <n v="850000"/>
    <x v="27"/>
    <x v="0"/>
    <m/>
    <m/>
    <m/>
    <m/>
    <m/>
    <m/>
    <m/>
  </r>
  <r>
    <x v="1121"/>
    <x v="50"/>
    <n v="1229197"/>
    <x v="3668"/>
    <x v="0"/>
    <s v="UK"/>
    <n v="229575"/>
    <x v="25"/>
    <x v="2"/>
    <s v="Comedy"/>
    <s v="Fantasy"/>
    <m/>
    <m/>
    <m/>
    <m/>
    <m/>
  </r>
  <r>
    <x v="159"/>
    <x v="41"/>
    <n v="1227508"/>
    <x v="3669"/>
    <x v="0"/>
    <s v="USA"/>
    <n v="23000"/>
    <x v="6"/>
    <x v="0"/>
    <s v="Drama"/>
    <m/>
    <m/>
    <m/>
    <m/>
    <m/>
    <m/>
  </r>
  <r>
    <x v="1943"/>
    <x v="4"/>
    <n v="1227324"/>
    <x v="3670"/>
    <x v="0"/>
    <s v="USA"/>
    <n v="12500000"/>
    <x v="24"/>
    <x v="5"/>
    <s v="Drama"/>
    <m/>
    <m/>
    <m/>
    <m/>
    <m/>
    <m/>
  </r>
  <r>
    <x v="1944"/>
    <x v="58"/>
    <n v="1221261"/>
    <x v="3671"/>
    <x v="16"/>
    <s v="Argentina"/>
    <n v="1500000"/>
    <x v="12"/>
    <x v="5"/>
    <s v="Drama"/>
    <s v="Thriller"/>
    <m/>
    <m/>
    <m/>
    <m/>
    <m/>
  </r>
  <r>
    <x v="1945"/>
    <x v="15"/>
    <n v="1207007"/>
    <x v="3672"/>
    <x v="14"/>
    <s v="India"/>
    <n v="39751583.5"/>
    <x v="4"/>
    <x v="0"/>
    <s v="Drama"/>
    <s v="Romance"/>
    <m/>
    <m/>
    <m/>
    <m/>
    <m/>
  </r>
  <r>
    <x v="1946"/>
    <x v="82"/>
    <n v="1206135"/>
    <x v="3673"/>
    <x v="0"/>
    <s v="Czech Republic"/>
    <n v="50000000"/>
    <x v="16"/>
    <x v="5"/>
    <s v="Drama"/>
    <s v="Thriller"/>
    <m/>
    <m/>
    <m/>
    <m/>
    <m/>
  </r>
  <r>
    <x v="1947"/>
    <x v="54"/>
    <n v="1200000"/>
    <x v="3674"/>
    <x v="0"/>
    <s v="USA"/>
    <n v="3000000"/>
    <x v="33"/>
    <x v="4"/>
    <m/>
    <m/>
    <m/>
    <m/>
    <m/>
    <m/>
    <m/>
  </r>
  <r>
    <x v="1373"/>
    <x v="3"/>
    <n v="1197786"/>
    <x v="3675"/>
    <x v="1"/>
    <s v="France"/>
    <n v="12000000"/>
    <x v="11"/>
    <x v="4"/>
    <s v="Crime"/>
    <s v="Thriller"/>
    <m/>
    <m/>
    <m/>
    <m/>
    <m/>
  </r>
  <r>
    <x v="100"/>
    <x v="41"/>
    <n v="1196752"/>
    <x v="3676"/>
    <x v="35"/>
    <s v="Norway"/>
    <n v="30300000"/>
    <x v="17"/>
    <x v="5"/>
    <s v="Drama"/>
    <s v="Thriller"/>
    <m/>
    <m/>
    <m/>
    <m/>
    <m/>
  </r>
  <r>
    <x v="1453"/>
    <x v="34"/>
    <n v="1190018"/>
    <x v="3677"/>
    <x v="0"/>
    <s v="USA"/>
    <n v="20000000"/>
    <x v="31"/>
    <x v="4"/>
    <s v="Drama"/>
    <s v="Sci-Fi"/>
    <s v="Thriller"/>
    <m/>
    <m/>
    <m/>
    <m/>
  </r>
  <r>
    <x v="159"/>
    <x v="34"/>
    <n v="1186957"/>
    <x v="3678"/>
    <x v="0"/>
    <s v="UK"/>
    <n v="25000000"/>
    <x v="9"/>
    <x v="3"/>
    <m/>
    <m/>
    <m/>
    <m/>
    <m/>
    <m/>
    <m/>
  </r>
  <r>
    <x v="1948"/>
    <x v="49"/>
    <n v="1186323"/>
    <x v="3679"/>
    <x v="0"/>
    <s v="USA"/>
    <n v="39751583.5"/>
    <x v="17"/>
    <x v="0"/>
    <s v="Drama"/>
    <s v="Romance"/>
    <m/>
    <m/>
    <m/>
    <m/>
    <m/>
  </r>
  <r>
    <x v="1949"/>
    <x v="8"/>
    <n v="1185783"/>
    <x v="3680"/>
    <x v="26"/>
    <s v="Romania"/>
    <n v="590000"/>
    <x v="12"/>
    <x v="3"/>
    <m/>
    <m/>
    <m/>
    <m/>
    <m/>
    <m/>
    <m/>
  </r>
  <r>
    <x v="371"/>
    <x v="34"/>
    <n v="1183354"/>
    <x v="3681"/>
    <x v="0"/>
    <s v="USA"/>
    <n v="20000000"/>
    <x v="33"/>
    <x v="4"/>
    <s v="Comedy"/>
    <s v="Crime"/>
    <s v="Fantasy"/>
    <s v="Horror"/>
    <s v="Mystery"/>
    <s v="Sci-Fi"/>
    <m/>
  </r>
  <r>
    <x v="1950"/>
    <x v="31"/>
    <n v="1181197"/>
    <x v="3682"/>
    <x v="0"/>
    <s v="USA"/>
    <n v="15500000"/>
    <x v="1"/>
    <x v="3"/>
    <s v="Mystery"/>
    <s v="Thriller"/>
    <m/>
    <m/>
    <m/>
    <m/>
    <m/>
  </r>
  <r>
    <x v="373"/>
    <x v="65"/>
    <n v="1172769"/>
    <x v="3683"/>
    <x v="0"/>
    <s v="Germany"/>
    <n v="13000000"/>
    <x v="6"/>
    <x v="6"/>
    <s v="Comedy"/>
    <s v="Crime"/>
    <s v="Drama"/>
    <m/>
    <m/>
    <m/>
    <m/>
  </r>
  <r>
    <x v="1951"/>
    <x v="83"/>
    <n v="1165104"/>
    <x v="3684"/>
    <x v="14"/>
    <s v="India"/>
    <n v="39751583.5"/>
    <x v="48"/>
    <x v="0"/>
    <m/>
    <m/>
    <m/>
    <m/>
    <m/>
    <m/>
    <m/>
  </r>
  <r>
    <x v="1233"/>
    <x v="43"/>
    <n v="1163508"/>
    <x v="3685"/>
    <x v="0"/>
    <s v="USA"/>
    <n v="2500000"/>
    <x v="33"/>
    <x v="3"/>
    <s v="Fantasy"/>
    <s v="Horror"/>
    <s v="Thriller"/>
    <m/>
    <m/>
    <m/>
    <m/>
  </r>
  <r>
    <x v="1642"/>
    <x v="36"/>
    <n v="1150403"/>
    <x v="3686"/>
    <x v="0"/>
    <s v="USA"/>
    <n v="13000000"/>
    <x v="6"/>
    <x v="6"/>
    <s v="Crime"/>
    <s v="Drama"/>
    <m/>
    <m/>
    <m/>
    <m/>
    <m/>
  </r>
  <r>
    <x v="1879"/>
    <x v="0"/>
    <n v="1141829"/>
    <x v="3687"/>
    <x v="0"/>
    <s v="USA"/>
    <n v="700000"/>
    <x v="11"/>
    <x v="5"/>
    <s v="Drama"/>
    <m/>
    <m/>
    <m/>
    <m/>
    <m/>
    <m/>
  </r>
  <r>
    <x v="1952"/>
    <x v="41"/>
    <n v="1134049"/>
    <x v="3688"/>
    <x v="0"/>
    <s v="UK"/>
    <n v="2000000"/>
    <x v="23"/>
    <x v="10"/>
    <s v="History"/>
    <m/>
    <m/>
    <m/>
    <m/>
    <m/>
    <m/>
  </r>
  <r>
    <x v="1953"/>
    <x v="39"/>
    <n v="1127331"/>
    <x v="3689"/>
    <x v="28"/>
    <s v="Afghanistan"/>
    <n v="46000"/>
    <x v="7"/>
    <x v="3"/>
    <m/>
    <m/>
    <m/>
    <m/>
    <m/>
    <m/>
    <m/>
  </r>
  <r>
    <x v="1954"/>
    <x v="89"/>
    <n v="1114943"/>
    <x v="3690"/>
    <x v="0"/>
    <s v="USA"/>
    <n v="500000"/>
    <x v="20"/>
    <x v="3"/>
    <s v="Music"/>
    <m/>
    <m/>
    <m/>
    <m/>
    <m/>
    <m/>
  </r>
  <r>
    <x v="1941"/>
    <x v="43"/>
    <n v="1111615"/>
    <x v="3691"/>
    <x v="0"/>
    <s v="USA"/>
    <n v="500000"/>
    <x v="27"/>
    <x v="0"/>
    <s v="Crime"/>
    <s v="Family"/>
    <m/>
    <m/>
    <m/>
    <m/>
    <m/>
  </r>
  <r>
    <x v="1856"/>
    <x v="65"/>
    <n v="1110286"/>
    <x v="3692"/>
    <x v="0"/>
    <s v="USA"/>
    <n v="4825000"/>
    <x v="11"/>
    <x v="3"/>
    <s v="Romance"/>
    <m/>
    <m/>
    <m/>
    <m/>
    <m/>
    <m/>
  </r>
  <r>
    <x v="1955"/>
    <x v="91"/>
    <n v="1110186"/>
    <x v="3693"/>
    <x v="9"/>
    <s v="South Korea"/>
    <n v="12800000"/>
    <x v="23"/>
    <x v="4"/>
    <s v="Drama"/>
    <s v="War"/>
    <m/>
    <m/>
    <m/>
    <m/>
    <m/>
  </r>
  <r>
    <x v="621"/>
    <x v="18"/>
    <n v="1100000"/>
    <x v="3694"/>
    <x v="0"/>
    <s v="USA"/>
    <n v="5000000"/>
    <x v="9"/>
    <x v="5"/>
    <s v="Drama"/>
    <m/>
    <m/>
    <m/>
    <m/>
    <m/>
    <m/>
  </r>
  <r>
    <x v="1956"/>
    <x v="35"/>
    <n v="1098224"/>
    <x v="3695"/>
    <x v="0"/>
    <s v="USA"/>
    <n v="2000000"/>
    <x v="68"/>
    <x v="2"/>
    <m/>
    <m/>
    <m/>
    <m/>
    <m/>
    <m/>
    <m/>
  </r>
  <r>
    <x v="1957"/>
    <x v="43"/>
    <n v="1094998"/>
    <x v="3696"/>
    <x v="0"/>
    <s v="UK"/>
    <n v="39751583.5"/>
    <x v="15"/>
    <x v="3"/>
    <m/>
    <m/>
    <m/>
    <m/>
    <m/>
    <m/>
    <m/>
  </r>
  <r>
    <x v="1396"/>
    <x v="8"/>
    <n v="1094798"/>
    <x v="3697"/>
    <x v="0"/>
    <s v="UK"/>
    <n v="7200000"/>
    <x v="11"/>
    <x v="6"/>
    <s v="Comedy"/>
    <s v="Drama"/>
    <s v="History"/>
    <m/>
    <m/>
    <m/>
    <m/>
  </r>
  <r>
    <x v="1958"/>
    <x v="36"/>
    <n v="1089445"/>
    <x v="3698"/>
    <x v="0"/>
    <s v="Canada"/>
    <n v="12500000"/>
    <x v="14"/>
    <x v="0"/>
    <s v="Drama"/>
    <s v="Family"/>
    <s v="Sport"/>
    <m/>
    <m/>
    <m/>
    <m/>
  </r>
  <r>
    <x v="147"/>
    <x v="44"/>
    <n v="1089365"/>
    <x v="3699"/>
    <x v="0"/>
    <s v="USA"/>
    <n v="25000000"/>
    <x v="21"/>
    <x v="0"/>
    <s v="Drama"/>
    <m/>
    <m/>
    <m/>
    <m/>
    <m/>
    <m/>
  </r>
  <r>
    <x v="392"/>
    <x v="20"/>
    <n v="1082044"/>
    <x v="3700"/>
    <x v="0"/>
    <s v="Spain"/>
    <n v="5000000"/>
    <x v="5"/>
    <x v="3"/>
    <s v="Thriller"/>
    <m/>
    <m/>
    <m/>
    <m/>
    <m/>
    <m/>
  </r>
  <r>
    <x v="652"/>
    <x v="43"/>
    <n v="1075288"/>
    <x v="3701"/>
    <x v="0"/>
    <s v="USA"/>
    <n v="22000000"/>
    <x v="0"/>
    <x v="5"/>
    <s v="Drama"/>
    <s v="Thriller"/>
    <m/>
    <m/>
    <m/>
    <m/>
    <m/>
  </r>
  <r>
    <x v="1631"/>
    <x v="22"/>
    <n v="1071240"/>
    <x v="3702"/>
    <x v="0"/>
    <s v="UK"/>
    <n v="8000000"/>
    <x v="26"/>
    <x v="6"/>
    <s v="Drama"/>
    <m/>
    <m/>
    <m/>
    <m/>
    <m/>
    <m/>
  </r>
  <r>
    <x v="450"/>
    <x v="30"/>
    <n v="1068392"/>
    <x v="3703"/>
    <x v="0"/>
    <s v="Spain"/>
    <n v="36000000"/>
    <x v="1"/>
    <x v="6"/>
    <s v="Drama"/>
    <s v="War"/>
    <m/>
    <m/>
    <m/>
    <m/>
    <m/>
  </r>
  <r>
    <x v="1096"/>
    <x v="11"/>
    <n v="1066555"/>
    <x v="3704"/>
    <x v="0"/>
    <s v="USA"/>
    <n v="11000000"/>
    <x v="19"/>
    <x v="3"/>
    <s v="History"/>
    <s v="Romance"/>
    <s v="Western"/>
    <m/>
    <m/>
    <m/>
    <m/>
  </r>
  <r>
    <x v="1959"/>
    <x v="60"/>
    <n v="1064277"/>
    <x v="3705"/>
    <x v="0"/>
    <s v="USA"/>
    <n v="20000000"/>
    <x v="15"/>
    <x v="2"/>
    <s v="Family"/>
    <s v="Fantasy"/>
    <s v="Musical"/>
    <m/>
    <m/>
    <m/>
    <m/>
  </r>
  <r>
    <x v="1960"/>
    <x v="13"/>
    <n v="1060591"/>
    <x v="3706"/>
    <x v="20"/>
    <s v="France"/>
    <n v="1300000"/>
    <x v="11"/>
    <x v="0"/>
    <s v="Drama"/>
    <s v="Romance"/>
    <m/>
    <m/>
    <m/>
    <m/>
    <m/>
  </r>
  <r>
    <x v="644"/>
    <x v="44"/>
    <n v="1056102"/>
    <x v="3707"/>
    <x v="0"/>
    <s v="USA"/>
    <n v="5000000"/>
    <x v="24"/>
    <x v="5"/>
    <s v="Drama"/>
    <s v="Mystery"/>
    <s v="Thriller"/>
    <m/>
    <m/>
    <m/>
    <m/>
  </r>
  <r>
    <x v="1177"/>
    <x v="35"/>
    <n v="1055654"/>
    <x v="3708"/>
    <x v="0"/>
    <s v="Germany"/>
    <n v="10000000"/>
    <x v="4"/>
    <x v="3"/>
    <s v="Romance"/>
    <s v="Sport"/>
    <m/>
    <m/>
    <m/>
    <m/>
    <m/>
  </r>
  <r>
    <x v="257"/>
    <x v="49"/>
    <n v="1050600"/>
    <x v="3709"/>
    <x v="0"/>
    <s v="USA"/>
    <n v="250000"/>
    <x v="24"/>
    <x v="0"/>
    <s v="Drama"/>
    <m/>
    <m/>
    <m/>
    <m/>
    <m/>
    <m/>
  </r>
  <r>
    <x v="1961"/>
    <x v="12"/>
    <n v="1050445"/>
    <x v="3710"/>
    <x v="1"/>
    <s v="France"/>
    <n v="22000000"/>
    <x v="22"/>
    <x v="3"/>
    <s v="History"/>
    <s v="Music"/>
    <s v="Romance"/>
    <s v="War"/>
    <m/>
    <m/>
    <m/>
  </r>
  <r>
    <x v="1962"/>
    <x v="0"/>
    <n v="1046166"/>
    <x v="3711"/>
    <x v="0"/>
    <s v="Germany"/>
    <n v="9000000"/>
    <x v="41"/>
    <x v="0"/>
    <s v="Music"/>
    <s v="Romance"/>
    <m/>
    <m/>
    <m/>
    <m/>
    <m/>
  </r>
  <r>
    <x v="1504"/>
    <x v="55"/>
    <n v="1043487"/>
    <x v="3712"/>
    <x v="0"/>
    <s v="UK"/>
    <n v="39751583.5"/>
    <x v="14"/>
    <x v="3"/>
    <s v="Music"/>
    <m/>
    <m/>
    <m/>
    <m/>
    <m/>
    <m/>
  </r>
  <r>
    <x v="316"/>
    <x v="50"/>
    <n v="1040879"/>
    <x v="3713"/>
    <x v="0"/>
    <s v="USA"/>
    <n v="7000000"/>
    <x v="6"/>
    <x v="0"/>
    <s v="Crime"/>
    <s v="Drama"/>
    <m/>
    <m/>
    <m/>
    <m/>
    <m/>
  </r>
  <r>
    <x v="1924"/>
    <x v="7"/>
    <n v="1039869"/>
    <x v="3714"/>
    <x v="0"/>
    <s v="Canada"/>
    <n v="15000000"/>
    <x v="8"/>
    <x v="6"/>
    <s v="Comedy"/>
    <s v="Crime"/>
    <s v="Drama"/>
    <m/>
    <m/>
    <m/>
    <m/>
  </r>
  <r>
    <x v="1411"/>
    <x v="0"/>
    <n v="1029017"/>
    <x v="3715"/>
    <x v="0"/>
    <s v="USA"/>
    <n v="6500000"/>
    <x v="9"/>
    <x v="3"/>
    <s v="Romance"/>
    <m/>
    <m/>
    <m/>
    <m/>
    <m/>
    <m/>
  </r>
  <r>
    <x v="642"/>
    <x v="13"/>
    <n v="1028658"/>
    <x v="3716"/>
    <x v="0"/>
    <s v="Spain"/>
    <n v="3000000"/>
    <x v="14"/>
    <x v="3"/>
    <s v="Mystery"/>
    <s v="Thriller"/>
    <m/>
    <m/>
    <m/>
    <m/>
    <m/>
  </r>
  <r>
    <x v="1679"/>
    <x v="3"/>
    <n v="1028337"/>
    <x v="3717"/>
    <x v="0"/>
    <s v="USA"/>
    <n v="39751583.5"/>
    <x v="16"/>
    <x v="3"/>
    <s v="Thriller"/>
    <m/>
    <m/>
    <m/>
    <m/>
    <m/>
    <m/>
  </r>
  <r>
    <x v="653"/>
    <x v="65"/>
    <n v="1027749"/>
    <x v="3718"/>
    <x v="0"/>
    <s v="Australia"/>
    <n v="40000000"/>
    <x v="6"/>
    <x v="3"/>
    <s v="War"/>
    <m/>
    <m/>
    <m/>
    <m/>
    <m/>
    <m/>
  </r>
  <r>
    <x v="1963"/>
    <x v="40"/>
    <n v="1027119"/>
    <x v="3719"/>
    <x v="0"/>
    <s v="USA"/>
    <n v="225000"/>
    <x v="14"/>
    <x v="3"/>
    <m/>
    <m/>
    <m/>
    <m/>
    <m/>
    <m/>
    <m/>
  </r>
  <r>
    <x v="1964"/>
    <x v="60"/>
    <n v="1024175"/>
    <x v="3720"/>
    <x v="0"/>
    <s v="UK"/>
    <n v="13000000"/>
    <x v="24"/>
    <x v="4"/>
    <s v="Comedy"/>
    <s v="Sci-Fi"/>
    <s v="Thriller"/>
    <m/>
    <m/>
    <m/>
    <m/>
  </r>
  <r>
    <x v="1875"/>
    <x v="44"/>
    <n v="1011054"/>
    <x v="3721"/>
    <x v="0"/>
    <s v="Canada"/>
    <n v="10000000"/>
    <x v="11"/>
    <x v="5"/>
    <s v="Drama"/>
    <s v="Thriller"/>
    <m/>
    <m/>
    <m/>
    <m/>
    <m/>
  </r>
  <r>
    <x v="1151"/>
    <x v="44"/>
    <n v="1007962"/>
    <x v="3722"/>
    <x v="0"/>
    <s v="USA"/>
    <n v="950000"/>
    <x v="6"/>
    <x v="5"/>
    <s v="Drama"/>
    <s v="Thriller"/>
    <m/>
    <m/>
    <m/>
    <m/>
    <m/>
  </r>
  <r>
    <x v="1861"/>
    <x v="4"/>
    <n v="1007535"/>
    <x v="3723"/>
    <x v="0"/>
    <s v="USA"/>
    <n v="39751583.5"/>
    <x v="21"/>
    <x v="0"/>
    <s v="Drama"/>
    <s v="Romance"/>
    <m/>
    <m/>
    <m/>
    <m/>
    <m/>
  </r>
  <r>
    <x v="1650"/>
    <x v="58"/>
    <n v="1001437"/>
    <x v="3724"/>
    <x v="0"/>
    <s v="USA"/>
    <n v="800000"/>
    <x v="11"/>
    <x v="3"/>
    <s v="Romance"/>
    <m/>
    <m/>
    <m/>
    <m/>
    <m/>
    <m/>
  </r>
  <r>
    <x v="1965"/>
    <x v="32"/>
    <n v="1000000"/>
    <x v="3725"/>
    <x v="0"/>
    <s v="Iran"/>
    <n v="14000000"/>
    <x v="20"/>
    <x v="4"/>
    <s v="Adventure"/>
    <s v="History"/>
    <m/>
    <m/>
    <m/>
    <m/>
    <m/>
  </r>
  <r>
    <x v="1966"/>
    <x v="34"/>
    <n v="1000000"/>
    <x v="3726"/>
    <x v="0"/>
    <s v="UK"/>
    <n v="9000000"/>
    <x v="2"/>
    <x v="2"/>
    <s v="Drama"/>
    <s v="Romance"/>
    <s v="War"/>
    <m/>
    <m/>
    <m/>
    <m/>
  </r>
  <r>
    <x v="1817"/>
    <x v="89"/>
    <n v="992238"/>
    <x v="3727"/>
    <x v="0"/>
    <s v="UK"/>
    <n v="1700000"/>
    <x v="9"/>
    <x v="3"/>
    <s v="Romance"/>
    <m/>
    <m/>
    <m/>
    <m/>
    <m/>
    <m/>
  </r>
  <r>
    <x v="821"/>
    <x v="11"/>
    <n v="985341"/>
    <x v="3728"/>
    <x v="0"/>
    <s v="USA"/>
    <n v="500000"/>
    <x v="4"/>
    <x v="3"/>
    <m/>
    <m/>
    <m/>
    <m/>
    <m/>
    <m/>
    <m/>
  </r>
  <r>
    <x v="1967"/>
    <x v="41"/>
    <n v="982214"/>
    <x v="3729"/>
    <x v="0"/>
    <s v="USA"/>
    <n v="1000000"/>
    <x v="11"/>
    <x v="3"/>
    <m/>
    <m/>
    <m/>
    <m/>
    <m/>
    <m/>
    <m/>
  </r>
  <r>
    <x v="1968"/>
    <x v="43"/>
    <n v="978908"/>
    <x v="3730"/>
    <x v="0"/>
    <s v="Poland"/>
    <n v="2400000"/>
    <x v="33"/>
    <x v="3"/>
    <s v="Horror"/>
    <s v="Mystery"/>
    <s v="Thriller"/>
    <m/>
    <m/>
    <m/>
    <m/>
  </r>
  <r>
    <x v="1969"/>
    <x v="44"/>
    <n v="977600"/>
    <x v="3731"/>
    <x v="0"/>
    <s v="USA"/>
    <n v="39751583.5"/>
    <x v="20"/>
    <x v="3"/>
    <s v="Western"/>
    <m/>
    <m/>
    <m/>
    <m/>
    <m/>
    <m/>
  </r>
  <r>
    <x v="1135"/>
    <x v="50"/>
    <n v="958319"/>
    <x v="3732"/>
    <x v="0"/>
    <s v="USA"/>
    <n v="21000000"/>
    <x v="15"/>
    <x v="3"/>
    <m/>
    <m/>
    <m/>
    <m/>
    <m/>
    <m/>
    <m/>
  </r>
  <r>
    <x v="705"/>
    <x v="13"/>
    <n v="952620"/>
    <x v="3733"/>
    <x v="0"/>
    <s v="USA"/>
    <n v="2000000"/>
    <x v="21"/>
    <x v="1"/>
    <m/>
    <m/>
    <m/>
    <m/>
    <m/>
    <m/>
    <m/>
  </r>
  <r>
    <x v="1970"/>
    <x v="65"/>
    <n v="927107"/>
    <x v="3734"/>
    <x v="6"/>
    <s v="Germany"/>
    <n v="15000000"/>
    <x v="4"/>
    <x v="6"/>
    <s v="Drama"/>
    <s v="Romance"/>
    <s v="War"/>
    <m/>
    <m/>
    <m/>
    <m/>
  </r>
  <r>
    <x v="1971"/>
    <x v="56"/>
    <n v="925402"/>
    <x v="3735"/>
    <x v="30"/>
    <s v="Iran"/>
    <n v="180000"/>
    <x v="42"/>
    <x v="3"/>
    <s v="Family"/>
    <m/>
    <m/>
    <m/>
    <m/>
    <m/>
    <m/>
  </r>
  <r>
    <x v="1972"/>
    <x v="31"/>
    <n v="906666"/>
    <x v="3736"/>
    <x v="0"/>
    <s v="USA"/>
    <n v="500000"/>
    <x v="9"/>
    <x v="10"/>
    <m/>
    <m/>
    <m/>
    <m/>
    <m/>
    <m/>
    <m/>
  </r>
  <r>
    <x v="1973"/>
    <x v="41"/>
    <n v="902835"/>
    <x v="3737"/>
    <x v="0"/>
    <s v="USA"/>
    <n v="250000"/>
    <x v="15"/>
    <x v="0"/>
    <s v="Drama"/>
    <s v="Romance"/>
    <m/>
    <m/>
    <m/>
    <m/>
    <m/>
  </r>
  <r>
    <x v="1777"/>
    <x v="31"/>
    <n v="900926"/>
    <x v="3738"/>
    <x v="0"/>
    <s v="USA"/>
    <n v="10000000"/>
    <x v="48"/>
    <x v="0"/>
    <m/>
    <m/>
    <m/>
    <m/>
    <m/>
    <m/>
    <m/>
  </r>
  <r>
    <x v="1974"/>
    <x v="40"/>
    <n v="886410"/>
    <x v="3739"/>
    <x v="16"/>
    <s v="Mexico"/>
    <n v="3500000"/>
    <x v="9"/>
    <x v="3"/>
    <s v="History"/>
    <m/>
    <m/>
    <m/>
    <m/>
    <m/>
    <m/>
  </r>
  <r>
    <x v="1975"/>
    <x v="0"/>
    <n v="883887"/>
    <x v="3740"/>
    <x v="0"/>
    <s v="USA"/>
    <n v="9000000"/>
    <x v="8"/>
    <x v="3"/>
    <m/>
    <m/>
    <m/>
    <m/>
    <m/>
    <m/>
    <m/>
  </r>
  <r>
    <x v="1298"/>
    <x v="61"/>
    <n v="882710"/>
    <x v="3741"/>
    <x v="0"/>
    <s v="USA"/>
    <n v="24000000"/>
    <x v="16"/>
    <x v="5"/>
    <s v="Drama"/>
    <s v="Romance"/>
    <s v="Thriller"/>
    <m/>
    <m/>
    <m/>
    <m/>
  </r>
  <r>
    <x v="1976"/>
    <x v="10"/>
    <n v="882290"/>
    <x v="3742"/>
    <x v="0"/>
    <s v="Australia"/>
    <n v="10000000"/>
    <x v="20"/>
    <x v="4"/>
    <s v="Sci-Fi"/>
    <s v="Sport"/>
    <m/>
    <m/>
    <m/>
    <m/>
    <m/>
  </r>
  <r>
    <x v="1588"/>
    <x v="43"/>
    <n v="876671"/>
    <x v="3743"/>
    <x v="0"/>
    <s v="USA"/>
    <n v="25000000"/>
    <x v="26"/>
    <x v="2"/>
    <s v="Comedy"/>
    <s v="Drama"/>
    <s v="Romance"/>
    <s v="Thriller"/>
    <s v="War"/>
    <m/>
    <m/>
  </r>
  <r>
    <x v="1977"/>
    <x v="84"/>
    <n v="872643"/>
    <x v="3744"/>
    <x v="14"/>
    <s v="USA"/>
    <n v="6000000"/>
    <x v="18"/>
    <x v="0"/>
    <s v="Family"/>
    <s v="Romance"/>
    <m/>
    <m/>
    <m/>
    <m/>
    <m/>
  </r>
  <r>
    <x v="1200"/>
    <x v="57"/>
    <n v="871577"/>
    <x v="3745"/>
    <x v="0"/>
    <s v="UK"/>
    <n v="4500000"/>
    <x v="5"/>
    <x v="6"/>
    <s v="Drama"/>
    <s v="Music"/>
    <m/>
    <m/>
    <m/>
    <m/>
    <m/>
  </r>
  <r>
    <x v="1760"/>
    <x v="34"/>
    <n v="871527"/>
    <x v="3746"/>
    <x v="0"/>
    <s v="Canada"/>
    <n v="25000000"/>
    <x v="20"/>
    <x v="5"/>
    <s v="Drama"/>
    <s v="Mystery"/>
    <s v="Thriller"/>
    <m/>
    <m/>
    <m/>
    <m/>
  </r>
  <r>
    <x v="1978"/>
    <x v="34"/>
    <n v="869325"/>
    <x v="3747"/>
    <x v="0"/>
    <s v="USA"/>
    <n v="6000000"/>
    <x v="61"/>
    <x v="4"/>
    <s v="Adventure"/>
    <s v="Fantasy"/>
    <s v="Sci-Fi"/>
    <m/>
    <m/>
    <m/>
    <m/>
  </r>
  <r>
    <x v="1713"/>
    <x v="13"/>
    <n v="866778"/>
    <x v="3748"/>
    <x v="0"/>
    <s v="Hong Kong"/>
    <n v="10000000"/>
    <x v="15"/>
    <x v="3"/>
    <s v="Romance"/>
    <m/>
    <m/>
    <m/>
    <m/>
    <m/>
    <m/>
  </r>
  <r>
    <x v="1979"/>
    <x v="43"/>
    <n v="864959"/>
    <x v="3749"/>
    <x v="0"/>
    <s v="UK"/>
    <n v="4000000"/>
    <x v="26"/>
    <x v="2"/>
    <s v="Fantasy"/>
    <m/>
    <m/>
    <m/>
    <m/>
    <m/>
    <m/>
  </r>
  <r>
    <x v="825"/>
    <x v="41"/>
    <n v="860002"/>
    <x v="3750"/>
    <x v="0"/>
    <s v="USA"/>
    <n v="12000000"/>
    <x v="4"/>
    <x v="2"/>
    <s v="Drama"/>
    <s v="Family"/>
    <m/>
    <m/>
    <m/>
    <m/>
    <m/>
  </r>
  <r>
    <x v="1969"/>
    <x v="42"/>
    <n v="856942"/>
    <x v="3751"/>
    <x v="0"/>
    <s v="USA"/>
    <n v="200000"/>
    <x v="6"/>
    <x v="3"/>
    <m/>
    <m/>
    <m/>
    <m/>
    <m/>
    <m/>
    <m/>
  </r>
  <r>
    <x v="1980"/>
    <x v="17"/>
    <n v="841206"/>
    <x v="3752"/>
    <x v="0"/>
    <s v="USA"/>
    <n v="39751583.5"/>
    <x v="2"/>
    <x v="3"/>
    <m/>
    <m/>
    <m/>
    <m/>
    <m/>
    <m/>
    <m/>
  </r>
  <r>
    <x v="1981"/>
    <x v="5"/>
    <n v="836641"/>
    <x v="3753"/>
    <x v="0"/>
    <s v="Spain"/>
    <n v="39751583.5"/>
    <x v="8"/>
    <x v="3"/>
    <m/>
    <m/>
    <m/>
    <m/>
    <m/>
    <m/>
    <m/>
  </r>
  <r>
    <x v="1982"/>
    <x v="4"/>
    <n v="830210"/>
    <x v="3754"/>
    <x v="0"/>
    <s v="USA"/>
    <n v="5000000"/>
    <x v="45"/>
    <x v="3"/>
    <s v="Mystery"/>
    <s v="Sci-Fi"/>
    <m/>
    <m/>
    <m/>
    <m/>
    <m/>
  </r>
  <r>
    <x v="1983"/>
    <x v="24"/>
    <n v="821997"/>
    <x v="3755"/>
    <x v="0"/>
    <s v="USA"/>
    <n v="39751583.5"/>
    <x v="14"/>
    <x v="3"/>
    <s v="Romance"/>
    <m/>
    <m/>
    <m/>
    <m/>
    <m/>
    <m/>
  </r>
  <r>
    <x v="1984"/>
    <x v="34"/>
    <n v="819939"/>
    <x v="3756"/>
    <x v="0"/>
    <s v="USA"/>
    <n v="850000"/>
    <x v="11"/>
    <x v="0"/>
    <s v="Drama"/>
    <s v="Romance"/>
    <m/>
    <m/>
    <m/>
    <m/>
    <m/>
  </r>
  <r>
    <x v="1760"/>
    <x v="12"/>
    <n v="819852"/>
    <x v="3757"/>
    <x v="0"/>
    <s v="Canada"/>
    <n v="39751583.5"/>
    <x v="14"/>
    <x v="3"/>
    <s v="Thriller"/>
    <m/>
    <m/>
    <m/>
    <m/>
    <m/>
    <m/>
  </r>
  <r>
    <x v="650"/>
    <x v="36"/>
    <n v="800000"/>
    <x v="3758"/>
    <x v="0"/>
    <s v="USA"/>
    <n v="14000000"/>
    <x v="34"/>
    <x v="2"/>
    <s v="Mystery"/>
    <s v="Thriller"/>
    <m/>
    <m/>
    <m/>
    <m/>
    <m/>
  </r>
  <r>
    <x v="1985"/>
    <x v="54"/>
    <n v="800000"/>
    <x v="3759"/>
    <x v="0"/>
    <s v="USA"/>
    <n v="4000000"/>
    <x v="46"/>
    <x v="2"/>
    <s v="Fantasy"/>
    <m/>
    <m/>
    <m/>
    <m/>
    <m/>
    <m/>
  </r>
  <r>
    <x v="1986"/>
    <x v="5"/>
    <n v="798341"/>
    <x v="3760"/>
    <x v="0"/>
    <s v="USA"/>
    <n v="1000000"/>
    <x v="11"/>
    <x v="5"/>
    <s v="Drama"/>
    <s v="Mystery"/>
    <m/>
    <m/>
    <m/>
    <m/>
    <m/>
  </r>
  <r>
    <x v="1987"/>
    <x v="1"/>
    <n v="795126"/>
    <x v="3761"/>
    <x v="0"/>
    <s v="Canada"/>
    <n v="6000000"/>
    <x v="17"/>
    <x v="0"/>
    <s v="Drama"/>
    <s v="Sport"/>
    <m/>
    <m/>
    <m/>
    <m/>
    <m/>
  </r>
  <r>
    <x v="1225"/>
    <x v="18"/>
    <n v="793352"/>
    <x v="3762"/>
    <x v="0"/>
    <s v="USA"/>
    <n v="39751583.5"/>
    <x v="33"/>
    <x v="0"/>
    <s v="Drama"/>
    <s v="Romance"/>
    <m/>
    <m/>
    <m/>
    <m/>
    <m/>
  </r>
  <r>
    <x v="980"/>
    <x v="49"/>
    <n v="792966"/>
    <x v="3763"/>
    <x v="0"/>
    <s v="USA"/>
    <n v="2300000"/>
    <x v="33"/>
    <x v="4"/>
    <s v="Comedy"/>
    <s v="Horror"/>
    <s v="Sci-Fi"/>
    <m/>
    <m/>
    <m/>
    <m/>
  </r>
  <r>
    <x v="1209"/>
    <x v="10"/>
    <n v="778565"/>
    <x v="3764"/>
    <x v="0"/>
    <s v="Denmark"/>
    <n v="4800000"/>
    <x v="21"/>
    <x v="5"/>
    <s v="Drama"/>
    <m/>
    <m/>
    <m/>
    <m/>
    <m/>
    <m/>
  </r>
  <r>
    <x v="1988"/>
    <x v="24"/>
    <n v="777423"/>
    <x v="3765"/>
    <x v="0"/>
    <s v="USA"/>
    <n v="25000000"/>
    <x v="11"/>
    <x v="6"/>
    <s v="Drama"/>
    <s v="Sport"/>
    <m/>
    <m/>
    <m/>
    <m/>
    <m/>
  </r>
  <r>
    <x v="1989"/>
    <x v="75"/>
    <n v="770629"/>
    <x v="3766"/>
    <x v="9"/>
    <s v="South Korea"/>
    <n v="39751583.5"/>
    <x v="5"/>
    <x v="8"/>
    <s v="Horror"/>
    <s v="Mystery"/>
    <s v="Thriller"/>
    <m/>
    <m/>
    <m/>
    <m/>
  </r>
  <r>
    <x v="18"/>
    <x v="34"/>
    <n v="768045"/>
    <x v="3767"/>
    <x v="0"/>
    <s v="UK"/>
    <n v="2000000"/>
    <x v="5"/>
    <x v="3"/>
    <s v="History"/>
    <s v="War"/>
    <m/>
    <m/>
    <m/>
    <m/>
    <m/>
  </r>
  <r>
    <x v="255"/>
    <x v="49"/>
    <n v="766487"/>
    <x v="3768"/>
    <x v="0"/>
    <s v="USA"/>
    <n v="5250000"/>
    <x v="38"/>
    <x v="0"/>
    <s v="Romance"/>
    <m/>
    <m/>
    <m/>
    <m/>
    <m/>
    <m/>
  </r>
  <r>
    <x v="418"/>
    <x v="35"/>
    <n v="763044"/>
    <x v="3769"/>
    <x v="0"/>
    <s v="Canada"/>
    <n v="23000000"/>
    <x v="8"/>
    <x v="3"/>
    <s v="Thriller"/>
    <m/>
    <m/>
    <m/>
    <m/>
    <m/>
    <m/>
  </r>
  <r>
    <x v="1990"/>
    <x v="21"/>
    <n v="756452"/>
    <x v="3770"/>
    <x v="0"/>
    <s v="UK"/>
    <n v="39751583.5"/>
    <x v="8"/>
    <x v="3"/>
    <s v="Thriller"/>
    <s v="War"/>
    <m/>
    <m/>
    <m/>
    <m/>
    <m/>
  </r>
  <r>
    <x v="1991"/>
    <x v="4"/>
    <n v="753501"/>
    <x v="3771"/>
    <x v="1"/>
    <s v="France"/>
    <n v="39751583.5"/>
    <x v="7"/>
    <x v="5"/>
    <s v="Drama"/>
    <s v="Mystery"/>
    <s v="Thriller"/>
    <m/>
    <m/>
    <m/>
    <m/>
  </r>
  <r>
    <x v="1992"/>
    <x v="41"/>
    <n v="750100"/>
    <x v="3772"/>
    <x v="0"/>
    <s v="USA"/>
    <n v="39751583.5"/>
    <x v="2"/>
    <x v="3"/>
    <m/>
    <m/>
    <m/>
    <m/>
    <m/>
    <m/>
    <m/>
  </r>
  <r>
    <x v="1528"/>
    <x v="6"/>
    <n v="727883"/>
    <x v="3773"/>
    <x v="0"/>
    <s v="USA"/>
    <n v="4500000"/>
    <x v="23"/>
    <x v="3"/>
    <s v="Sci-Fi"/>
    <s v="Thriller"/>
    <m/>
    <m/>
    <m/>
    <m/>
    <m/>
  </r>
  <r>
    <x v="1346"/>
    <x v="82"/>
    <n v="717753"/>
    <x v="3774"/>
    <x v="0"/>
    <s v="France"/>
    <n v="25000000"/>
    <x v="0"/>
    <x v="2"/>
    <s v="Drama"/>
    <m/>
    <m/>
    <m/>
    <m/>
    <m/>
    <m/>
  </r>
  <r>
    <x v="1993"/>
    <x v="57"/>
    <n v="713413"/>
    <x v="3775"/>
    <x v="23"/>
    <s v="Netherlands"/>
    <n v="4500000"/>
    <x v="22"/>
    <x v="5"/>
    <s v="Drama"/>
    <s v="Mystery"/>
    <m/>
    <m/>
    <m/>
    <m/>
    <m/>
  </r>
  <r>
    <x v="1994"/>
    <x v="48"/>
    <n v="712294"/>
    <x v="3776"/>
    <x v="0"/>
    <s v="USA"/>
    <n v="1500000"/>
    <x v="15"/>
    <x v="3"/>
    <m/>
    <m/>
    <m/>
    <m/>
    <m/>
    <m/>
    <m/>
  </r>
  <r>
    <x v="1995"/>
    <x v="35"/>
    <n v="706622"/>
    <x v="3777"/>
    <x v="1"/>
    <s v="France"/>
    <n v="39751583.5"/>
    <x v="16"/>
    <x v="6"/>
    <s v="Drama"/>
    <s v="Music"/>
    <s v="Romance"/>
    <m/>
    <m/>
    <m/>
    <m/>
  </r>
  <r>
    <x v="1996"/>
    <x v="89"/>
    <n v="703002"/>
    <x v="3778"/>
    <x v="0"/>
    <s v="Canada"/>
    <n v="3000000"/>
    <x v="0"/>
    <x v="4"/>
    <s v="Comedy"/>
    <s v="Thriller"/>
    <m/>
    <m/>
    <m/>
    <m/>
    <m/>
  </r>
  <r>
    <x v="1773"/>
    <x v="34"/>
    <n v="700000"/>
    <x v="3779"/>
    <x v="1"/>
    <s v="France"/>
    <n v="50000000"/>
    <x v="14"/>
    <x v="0"/>
    <s v="Fantasy"/>
    <s v="Sci-Fi"/>
    <m/>
    <m/>
    <m/>
    <m/>
    <m/>
  </r>
  <r>
    <x v="1997"/>
    <x v="13"/>
    <n v="695229"/>
    <x v="3780"/>
    <x v="0"/>
    <s v="USA"/>
    <n v="1300000"/>
    <x v="11"/>
    <x v="0"/>
    <s v="Drama"/>
    <m/>
    <m/>
    <m/>
    <m/>
    <m/>
    <m/>
  </r>
  <r>
    <x v="1532"/>
    <x v="51"/>
    <n v="687081"/>
    <x v="3781"/>
    <x v="0"/>
    <s v="USA"/>
    <n v="39751583.5"/>
    <x v="27"/>
    <x v="5"/>
    <s v="Drama"/>
    <s v="Music"/>
    <s v="Mystery"/>
    <s v="Thriller"/>
    <m/>
    <m/>
    <m/>
  </r>
  <r>
    <x v="1998"/>
    <x v="86"/>
    <n v="686383"/>
    <x v="3782"/>
    <x v="0"/>
    <s v="France"/>
    <n v="6500000"/>
    <x v="5"/>
    <x v="2"/>
    <s v="Animation"/>
    <s v="Family"/>
    <s v="Fantasy"/>
    <m/>
    <m/>
    <m/>
    <m/>
  </r>
  <r>
    <x v="55"/>
    <x v="18"/>
    <n v="676698"/>
    <x v="3783"/>
    <x v="0"/>
    <s v="USA"/>
    <n v="18000000"/>
    <x v="11"/>
    <x v="5"/>
    <s v="Drama"/>
    <s v="Mystery"/>
    <s v="Thriller"/>
    <m/>
    <m/>
    <m/>
    <m/>
  </r>
  <r>
    <x v="1999"/>
    <x v="10"/>
    <n v="673780"/>
    <x v="3784"/>
    <x v="30"/>
    <s v="Iran"/>
    <n v="10000"/>
    <x v="31"/>
    <x v="3"/>
    <m/>
    <m/>
    <m/>
    <m/>
    <m/>
    <m/>
    <m/>
  </r>
  <r>
    <x v="540"/>
    <x v="10"/>
    <n v="671240"/>
    <x v="3785"/>
    <x v="0"/>
    <s v="UK"/>
    <n v="7900000"/>
    <x v="26"/>
    <x v="0"/>
    <s v="Drama"/>
    <s v="Romance"/>
    <m/>
    <m/>
    <m/>
    <m/>
    <m/>
  </r>
  <r>
    <x v="2000"/>
    <x v="42"/>
    <n v="669276"/>
    <x v="3786"/>
    <x v="0"/>
    <s v="UK"/>
    <n v="28000000"/>
    <x v="11"/>
    <x v="4"/>
    <s v="Adventure"/>
    <s v="Animation"/>
    <s v="Comedy"/>
    <s v="Fantasy"/>
    <m/>
    <m/>
    <m/>
  </r>
  <r>
    <x v="2001"/>
    <x v="18"/>
    <n v="668171"/>
    <x v="3787"/>
    <x v="7"/>
    <s v="China"/>
    <n v="60000000"/>
    <x v="37"/>
    <x v="4"/>
    <s v="Drama"/>
    <s v="Fantasy"/>
    <m/>
    <m/>
    <m/>
    <m/>
    <m/>
  </r>
  <r>
    <x v="2002"/>
    <x v="56"/>
    <n v="653621"/>
    <x v="3788"/>
    <x v="0"/>
    <s v="USA"/>
    <n v="2000000"/>
    <x v="9"/>
    <x v="6"/>
    <s v="Documentary"/>
    <s v="History"/>
    <m/>
    <m/>
    <m/>
    <m/>
    <m/>
  </r>
  <r>
    <x v="353"/>
    <x v="31"/>
    <n v="652526"/>
    <x v="3789"/>
    <x v="0"/>
    <s v="Germany"/>
    <n v="40000000"/>
    <x v="33"/>
    <x v="4"/>
    <s v="Adventure"/>
    <s v="Family"/>
    <s v="Thriller"/>
    <m/>
    <m/>
    <m/>
    <m/>
  </r>
  <r>
    <x v="2003"/>
    <x v="74"/>
    <n v="638951"/>
    <x v="3790"/>
    <x v="36"/>
    <s v="USA"/>
    <n v="1592000"/>
    <x v="7"/>
    <x v="3"/>
    <m/>
    <m/>
    <m/>
    <m/>
    <m/>
    <m/>
    <m/>
  </r>
  <r>
    <x v="1295"/>
    <x v="10"/>
    <n v="638476"/>
    <x v="3791"/>
    <x v="0"/>
    <s v="USA"/>
    <n v="1500000"/>
    <x v="24"/>
    <x v="0"/>
    <s v="Documentary"/>
    <m/>
    <m/>
    <m/>
    <m/>
    <m/>
    <m/>
  </r>
  <r>
    <x v="459"/>
    <x v="35"/>
    <n v="634277"/>
    <x v="3792"/>
    <x v="1"/>
    <s v="France"/>
    <n v="16000000"/>
    <x v="4"/>
    <x v="0"/>
    <s v="History"/>
    <m/>
    <m/>
    <m/>
    <m/>
    <m/>
    <m/>
  </r>
  <r>
    <x v="146"/>
    <x v="91"/>
    <n v="630779"/>
    <x v="3793"/>
    <x v="0"/>
    <s v="USA"/>
    <n v="35000000"/>
    <x v="9"/>
    <x v="3"/>
    <s v="Romance"/>
    <s v="War"/>
    <s v="Western"/>
    <m/>
    <m/>
    <m/>
    <m/>
  </r>
  <r>
    <x v="1191"/>
    <x v="28"/>
    <n v="623374"/>
    <x v="3794"/>
    <x v="0"/>
    <s v="USA"/>
    <n v="38000000"/>
    <x v="34"/>
    <x v="4"/>
    <s v="Adventure"/>
    <s v="Drama"/>
    <s v="Thriller"/>
    <s v="Western"/>
    <m/>
    <m/>
    <m/>
  </r>
  <r>
    <x v="2004"/>
    <x v="55"/>
    <n v="621240"/>
    <x v="3795"/>
    <x v="20"/>
    <s v="Germany"/>
    <n v="39751583.5"/>
    <x v="7"/>
    <x v="5"/>
    <s v="Drama"/>
    <m/>
    <m/>
    <m/>
    <m/>
    <m/>
    <m/>
  </r>
  <r>
    <x v="71"/>
    <x v="38"/>
    <n v="617840"/>
    <x v="3796"/>
    <x v="0"/>
    <s v="Spain"/>
    <n v="70000000"/>
    <x v="11"/>
    <x v="2"/>
    <s v="Drama"/>
    <s v="History"/>
    <s v="Romance"/>
    <m/>
    <m/>
    <m/>
    <m/>
  </r>
  <r>
    <x v="2005"/>
    <x v="8"/>
    <n v="617228"/>
    <x v="3797"/>
    <x v="37"/>
    <s v="Czech Republic"/>
    <n v="84450000"/>
    <x v="7"/>
    <x v="0"/>
    <s v="Drama"/>
    <s v="Romance"/>
    <s v="War"/>
    <m/>
    <m/>
    <m/>
    <m/>
  </r>
  <r>
    <x v="2006"/>
    <x v="89"/>
    <n v="617172"/>
    <x v="3798"/>
    <x v="0"/>
    <s v="USA"/>
    <n v="375000"/>
    <x v="14"/>
    <x v="10"/>
    <m/>
    <m/>
    <m/>
    <m/>
    <m/>
    <m/>
    <m/>
  </r>
  <r>
    <x v="2007"/>
    <x v="51"/>
    <n v="613556"/>
    <x v="3799"/>
    <x v="7"/>
    <s v="Taiwan"/>
    <n v="15000000"/>
    <x v="16"/>
    <x v="4"/>
    <s v="Drama"/>
    <m/>
    <m/>
    <m/>
    <m/>
    <m/>
    <m/>
  </r>
  <r>
    <x v="2008"/>
    <x v="31"/>
    <n v="611709"/>
    <x v="3800"/>
    <x v="1"/>
    <s v="Finland"/>
    <n v="3850000"/>
    <x v="11"/>
    <x v="0"/>
    <s v="Drama"/>
    <m/>
    <m/>
    <m/>
    <m/>
    <m/>
    <m/>
  </r>
  <r>
    <x v="2009"/>
    <x v="175"/>
    <n v="610991"/>
    <x v="3801"/>
    <x v="14"/>
    <s v="India"/>
    <n v="1000000"/>
    <x v="8"/>
    <x v="3"/>
    <s v="Romance"/>
    <m/>
    <m/>
    <m/>
    <m/>
    <m/>
    <m/>
  </r>
  <r>
    <x v="1925"/>
    <x v="61"/>
    <n v="610968"/>
    <x v="3802"/>
    <x v="15"/>
    <s v="Denmark"/>
    <n v="3800000"/>
    <x v="25"/>
    <x v="3"/>
    <m/>
    <m/>
    <m/>
    <m/>
    <m/>
    <m/>
    <m/>
  </r>
  <r>
    <x v="2010"/>
    <x v="51"/>
    <n v="609042"/>
    <x v="3803"/>
    <x v="0"/>
    <s v="USA"/>
    <n v="1300000"/>
    <x v="20"/>
    <x v="3"/>
    <m/>
    <m/>
    <m/>
    <m/>
    <m/>
    <m/>
    <m/>
  </r>
  <r>
    <x v="2011"/>
    <x v="10"/>
    <n v="603943"/>
    <x v="3804"/>
    <x v="0"/>
    <s v="USA"/>
    <n v="500000"/>
    <x v="4"/>
    <x v="5"/>
    <s v="Drama"/>
    <m/>
    <m/>
    <m/>
    <m/>
    <m/>
    <m/>
  </r>
  <r>
    <x v="1090"/>
    <x v="56"/>
    <n v="598645"/>
    <x v="3805"/>
    <x v="0"/>
    <s v="UK"/>
    <n v="10000000"/>
    <x v="58"/>
    <x v="0"/>
    <s v="Romance"/>
    <m/>
    <m/>
    <m/>
    <m/>
    <m/>
    <m/>
  </r>
  <r>
    <x v="2012"/>
    <x v="7"/>
    <n v="594904"/>
    <x v="3806"/>
    <x v="0"/>
    <s v="USA"/>
    <n v="1200000"/>
    <x v="27"/>
    <x v="0"/>
    <s v="Drama"/>
    <m/>
    <m/>
    <m/>
    <m/>
    <m/>
    <m/>
  </r>
  <r>
    <x v="2013"/>
    <x v="60"/>
    <n v="592014"/>
    <x v="3807"/>
    <x v="0"/>
    <s v="USA"/>
    <n v="218"/>
    <x v="11"/>
    <x v="6"/>
    <s v="Documentary"/>
    <m/>
    <m/>
    <m/>
    <m/>
    <m/>
    <m/>
  </r>
  <r>
    <x v="390"/>
    <x v="22"/>
    <n v="582024"/>
    <x v="3808"/>
    <x v="0"/>
    <s v="USA"/>
    <n v="1000000"/>
    <x v="8"/>
    <x v="0"/>
    <s v="Sci-Fi"/>
    <m/>
    <m/>
    <m/>
    <m/>
    <m/>
    <m/>
  </r>
  <r>
    <x v="2014"/>
    <x v="34"/>
    <n v="578527"/>
    <x v="3809"/>
    <x v="0"/>
    <s v="USA"/>
    <n v="10000000"/>
    <x v="21"/>
    <x v="4"/>
    <s v="Comedy"/>
    <s v="Thriller"/>
    <m/>
    <m/>
    <m/>
    <m/>
    <m/>
  </r>
  <r>
    <x v="2015"/>
    <x v="43"/>
    <n v="578382"/>
    <x v="3810"/>
    <x v="0"/>
    <s v="USA"/>
    <n v="39751583.5"/>
    <x v="2"/>
    <x v="5"/>
    <s v="Drama"/>
    <s v="Mystery"/>
    <s v="Romance"/>
    <s v="Thriller"/>
    <m/>
    <m/>
    <m/>
  </r>
  <r>
    <x v="2016"/>
    <x v="7"/>
    <n v="568695"/>
    <x v="3811"/>
    <x v="0"/>
    <s v="USA"/>
    <n v="8000000"/>
    <x v="20"/>
    <x v="3"/>
    <s v="Romance"/>
    <s v="Thriller"/>
    <m/>
    <m/>
    <m/>
    <m/>
    <m/>
  </r>
  <r>
    <x v="1132"/>
    <x v="0"/>
    <n v="565592"/>
    <x v="3812"/>
    <x v="0"/>
    <s v="USA"/>
    <n v="39751583.5"/>
    <x v="9"/>
    <x v="0"/>
    <s v="Drama"/>
    <s v="Family"/>
    <m/>
    <m/>
    <m/>
    <m/>
    <m/>
  </r>
  <r>
    <x v="2017"/>
    <x v="15"/>
    <n v="563699"/>
    <x v="3813"/>
    <x v="14"/>
    <s v="India"/>
    <n v="39751583.5"/>
    <x v="8"/>
    <x v="4"/>
    <s v="Crime"/>
    <s v="Drama"/>
    <s v="Thriller"/>
    <m/>
    <m/>
    <m/>
    <m/>
  </r>
  <r>
    <x v="2018"/>
    <x v="4"/>
    <n v="562059"/>
    <x v="3814"/>
    <x v="0"/>
    <s v="USA"/>
    <n v="4000000"/>
    <x v="14"/>
    <x v="3"/>
    <s v="Thriller"/>
    <m/>
    <m/>
    <m/>
    <m/>
    <m/>
    <m/>
  </r>
  <r>
    <x v="2019"/>
    <x v="28"/>
    <n v="560512"/>
    <x v="3815"/>
    <x v="34"/>
    <s v="USA"/>
    <n v="39751583.5"/>
    <x v="22"/>
    <x v="3"/>
    <m/>
    <m/>
    <m/>
    <m/>
    <m/>
    <m/>
    <m/>
  </r>
  <r>
    <x v="2020"/>
    <x v="0"/>
    <n v="549632"/>
    <x v="3816"/>
    <x v="0"/>
    <s v="Thailand"/>
    <n v="39751583.5"/>
    <x v="46"/>
    <x v="2"/>
    <s v="Family"/>
    <s v="Fantasy"/>
    <m/>
    <m/>
    <m/>
    <m/>
    <m/>
  </r>
  <r>
    <x v="28"/>
    <x v="11"/>
    <n v="548934"/>
    <x v="3817"/>
    <x v="0"/>
    <s v="Ireland"/>
    <n v="12000000"/>
    <x v="9"/>
    <x v="3"/>
    <s v="Mystery"/>
    <s v="Romance"/>
    <m/>
    <m/>
    <m/>
    <m/>
    <m/>
  </r>
  <r>
    <x v="120"/>
    <x v="7"/>
    <n v="548712"/>
    <x v="3818"/>
    <x v="0"/>
    <s v="USA"/>
    <n v="2500000"/>
    <x v="26"/>
    <x v="3"/>
    <s v="Romance"/>
    <m/>
    <m/>
    <m/>
    <m/>
    <m/>
    <m/>
  </r>
  <r>
    <x v="2021"/>
    <x v="18"/>
    <n v="542860"/>
    <x v="3819"/>
    <x v="23"/>
    <s v="Netherlands"/>
    <n v="4000000"/>
    <x v="6"/>
    <x v="3"/>
    <s v="History"/>
    <s v="War"/>
    <m/>
    <m/>
    <m/>
    <m/>
    <m/>
  </r>
  <r>
    <x v="1981"/>
    <x v="51"/>
    <n v="540085"/>
    <x v="3820"/>
    <x v="0"/>
    <s v="USA"/>
    <n v="39751583.5"/>
    <x v="2"/>
    <x v="0"/>
    <s v="Musical"/>
    <s v="Romance"/>
    <m/>
    <m/>
    <m/>
    <m/>
    <m/>
  </r>
  <r>
    <x v="396"/>
    <x v="2"/>
    <n v="537580"/>
    <x v="3821"/>
    <x v="0"/>
    <s v="USA"/>
    <n v="30000000"/>
    <x v="9"/>
    <x v="4"/>
    <s v="Biography"/>
    <s v="Crime"/>
    <s v="Drama"/>
    <m/>
    <m/>
    <m/>
    <m/>
  </r>
  <r>
    <x v="2022"/>
    <x v="54"/>
    <n v="536767"/>
    <x v="3822"/>
    <x v="0"/>
    <s v="USA"/>
    <n v="60000"/>
    <x v="48"/>
    <x v="6"/>
    <s v="Comedy"/>
    <s v="Romance"/>
    <m/>
    <m/>
    <m/>
    <m/>
    <m/>
  </r>
  <r>
    <x v="2023"/>
    <x v="89"/>
    <n v="535249"/>
    <x v="3823"/>
    <x v="0"/>
    <s v="USA"/>
    <n v="3400000"/>
    <x v="28"/>
    <x v="0"/>
    <m/>
    <m/>
    <m/>
    <m/>
    <m/>
    <m/>
    <m/>
  </r>
  <r>
    <x v="310"/>
    <x v="48"/>
    <n v="533344"/>
    <x v="3824"/>
    <x v="0"/>
    <s v="USA"/>
    <n v="39751583.5"/>
    <x v="3"/>
    <x v="0"/>
    <s v="Drama"/>
    <s v="Music"/>
    <m/>
    <m/>
    <m/>
    <m/>
    <m/>
  </r>
  <r>
    <x v="1264"/>
    <x v="18"/>
    <n v="532988"/>
    <x v="3825"/>
    <x v="0"/>
    <s v="USA"/>
    <n v="7000000"/>
    <x v="20"/>
    <x v="6"/>
    <s v="Drama"/>
    <s v="Romance"/>
    <m/>
    <m/>
    <m/>
    <m/>
    <m/>
  </r>
  <r>
    <x v="1678"/>
    <x v="40"/>
    <n v="532190"/>
    <x v="3826"/>
    <x v="0"/>
    <s v="USA"/>
    <n v="8000000"/>
    <x v="9"/>
    <x v="6"/>
    <s v="Drama"/>
    <s v="Romance"/>
    <s v="Sport"/>
    <m/>
    <m/>
    <m/>
    <m/>
  </r>
  <r>
    <x v="694"/>
    <x v="51"/>
    <n v="531806"/>
    <x v="3827"/>
    <x v="0"/>
    <s v="USA"/>
    <n v="39751583.5"/>
    <x v="43"/>
    <x v="13"/>
    <m/>
    <m/>
    <m/>
    <m/>
    <m/>
    <m/>
    <m/>
  </r>
  <r>
    <x v="2024"/>
    <x v="57"/>
    <n v="531009"/>
    <x v="3828"/>
    <x v="0"/>
    <s v="USA"/>
    <n v="10000000"/>
    <x v="48"/>
    <x v="3"/>
    <s v="Romance"/>
    <m/>
    <m/>
    <m/>
    <m/>
    <m/>
    <m/>
  </r>
  <r>
    <x v="301"/>
    <x v="61"/>
    <n v="529766"/>
    <x v="3829"/>
    <x v="0"/>
    <s v="USA"/>
    <n v="7000000"/>
    <x v="9"/>
    <x v="5"/>
    <s v="Drama"/>
    <m/>
    <m/>
    <m/>
    <m/>
    <m/>
    <m/>
  </r>
  <r>
    <x v="1841"/>
    <x v="28"/>
    <n v="528972"/>
    <x v="3830"/>
    <x v="14"/>
    <s v="India"/>
    <n v="39751583.5"/>
    <x v="22"/>
    <x v="3"/>
    <s v="Romance"/>
    <s v="War"/>
    <m/>
    <m/>
    <m/>
    <m/>
    <m/>
  </r>
  <r>
    <x v="1588"/>
    <x v="31"/>
    <n v="518134"/>
    <x v="3831"/>
    <x v="0"/>
    <s v="UK"/>
    <n v="39751583.5"/>
    <x v="8"/>
    <x v="0"/>
    <s v="Crime"/>
    <s v="Drama"/>
    <m/>
    <m/>
    <m/>
    <m/>
    <m/>
  </r>
  <r>
    <x v="12"/>
    <x v="54"/>
    <n v="515005"/>
    <x v="3832"/>
    <x v="0"/>
    <s v="UK"/>
    <n v="560000"/>
    <x v="5"/>
    <x v="0"/>
    <s v="Musical"/>
    <m/>
    <m/>
    <m/>
    <m/>
    <m/>
    <m/>
  </r>
  <r>
    <x v="2025"/>
    <x v="41"/>
    <n v="513836"/>
    <x v="3833"/>
    <x v="1"/>
    <s v="France"/>
    <n v="4600000"/>
    <x v="11"/>
    <x v="0"/>
    <s v="Drama"/>
    <s v="Romance"/>
    <m/>
    <m/>
    <m/>
    <m/>
    <m/>
  </r>
  <r>
    <x v="2026"/>
    <x v="20"/>
    <n v="511920"/>
    <x v="3834"/>
    <x v="0"/>
    <s v="USA"/>
    <n v="40000000"/>
    <x v="45"/>
    <x v="2"/>
    <s v="Animation"/>
    <s v="Comedy"/>
    <s v="Fantasy"/>
    <s v="Romance"/>
    <m/>
    <m/>
    <m/>
  </r>
  <r>
    <x v="1692"/>
    <x v="61"/>
    <n v="510092"/>
    <x v="3835"/>
    <x v="0"/>
    <s v="USA"/>
    <n v="39751583.5"/>
    <x v="14"/>
    <x v="6"/>
    <s v="Crime"/>
    <s v="Drama"/>
    <m/>
    <m/>
    <m/>
    <m/>
    <m/>
  </r>
  <r>
    <x v="2027"/>
    <x v="20"/>
    <n v="508867"/>
    <x v="3836"/>
    <x v="0"/>
    <s v="USA"/>
    <n v="39751583.5"/>
    <x v="20"/>
    <x v="3"/>
    <s v="Sport"/>
    <m/>
    <m/>
    <m/>
    <m/>
    <m/>
    <m/>
  </r>
  <r>
    <x v="2028"/>
    <x v="7"/>
    <n v="505295"/>
    <x v="3837"/>
    <x v="38"/>
    <s v="Australia"/>
    <n v="1800000"/>
    <x v="31"/>
    <x v="2"/>
    <s v="Drama"/>
    <m/>
    <m/>
    <m/>
    <m/>
    <m/>
    <m/>
  </r>
  <r>
    <x v="2029"/>
    <x v="4"/>
    <n v="502028"/>
    <x v="3838"/>
    <x v="18"/>
    <s v="Russia"/>
    <n v="39751583.5"/>
    <x v="13"/>
    <x v="3"/>
    <s v="Mystery"/>
    <s v="Thriller"/>
    <m/>
    <m/>
    <m/>
    <m/>
    <m/>
  </r>
  <r>
    <x v="202"/>
    <x v="35"/>
    <n v="499263"/>
    <x v="3839"/>
    <x v="39"/>
    <s v="USA"/>
    <n v="30000000"/>
    <x v="6"/>
    <x v="3"/>
    <m/>
    <m/>
    <m/>
    <m/>
    <m/>
    <m/>
    <m/>
  </r>
  <r>
    <x v="501"/>
    <x v="10"/>
    <n v="489220"/>
    <x v="3840"/>
    <x v="0"/>
    <s v="Canada"/>
    <n v="365000"/>
    <x v="4"/>
    <x v="12"/>
    <s v="Sci-Fi"/>
    <s v="Thriller"/>
    <m/>
    <m/>
    <m/>
    <m/>
    <m/>
  </r>
  <r>
    <x v="1476"/>
    <x v="63"/>
    <n v="488872"/>
    <x v="3841"/>
    <x v="21"/>
    <s v="Hong Kong"/>
    <n v="10000000"/>
    <x v="4"/>
    <x v="4"/>
    <s v="Comedy"/>
    <s v="Sport"/>
    <m/>
    <m/>
    <m/>
    <m/>
    <m/>
  </r>
  <r>
    <x v="2030"/>
    <x v="49"/>
    <n v="484221"/>
    <x v="3842"/>
    <x v="33"/>
    <s v="UK"/>
    <n v="1000000"/>
    <x v="40"/>
    <x v="6"/>
    <s v="Crime"/>
    <s v="Documentary"/>
    <s v="History"/>
    <m/>
    <m/>
    <m/>
    <m/>
  </r>
  <r>
    <x v="2031"/>
    <x v="54"/>
    <n v="480314"/>
    <x v="3843"/>
    <x v="0"/>
    <s v="USA"/>
    <n v="21000000"/>
    <x v="46"/>
    <x v="4"/>
    <s v="Adventure"/>
    <m/>
    <m/>
    <m/>
    <m/>
    <m/>
    <m/>
  </r>
  <r>
    <x v="1564"/>
    <x v="137"/>
    <n v="476270"/>
    <x v="3844"/>
    <x v="6"/>
    <s v="Germany"/>
    <n v="20000000"/>
    <x v="7"/>
    <x v="4"/>
    <s v="Biography"/>
    <s v="Crime"/>
    <s v="Drama"/>
    <m/>
    <m/>
    <m/>
    <m/>
  </r>
  <r>
    <x v="2032"/>
    <x v="89"/>
    <n v="475000"/>
    <x v="3845"/>
    <x v="0"/>
    <s v="USA"/>
    <n v="2800000"/>
    <x v="27"/>
    <x v="0"/>
    <s v="Sport"/>
    <m/>
    <m/>
    <m/>
    <m/>
    <m/>
    <m/>
  </r>
  <r>
    <x v="2033"/>
    <x v="0"/>
    <n v="469947"/>
    <x v="3846"/>
    <x v="0"/>
    <s v="UK"/>
    <n v="120000"/>
    <x v="5"/>
    <x v="3"/>
    <s v="Romance"/>
    <m/>
    <m/>
    <m/>
    <m/>
    <m/>
    <m/>
  </r>
  <r>
    <x v="2034"/>
    <x v="0"/>
    <n v="466702"/>
    <x v="3847"/>
    <x v="0"/>
    <s v="UK"/>
    <n v="39751583.5"/>
    <x v="4"/>
    <x v="0"/>
    <s v="Drama"/>
    <s v="Romance"/>
    <m/>
    <m/>
    <m/>
    <m/>
    <m/>
  </r>
  <r>
    <x v="2035"/>
    <x v="0"/>
    <n v="464655"/>
    <x v="3848"/>
    <x v="0"/>
    <s v="USA"/>
    <n v="1000000"/>
    <x v="14"/>
    <x v="0"/>
    <s v="Drama"/>
    <m/>
    <m/>
    <m/>
    <m/>
    <m/>
    <m/>
  </r>
  <r>
    <x v="2036"/>
    <x v="60"/>
    <n v="464126"/>
    <x v="3849"/>
    <x v="0"/>
    <s v="USA"/>
    <n v="1000000"/>
    <x v="15"/>
    <x v="3"/>
    <m/>
    <m/>
    <m/>
    <m/>
    <m/>
    <m/>
    <m/>
  </r>
  <r>
    <x v="2037"/>
    <x v="31"/>
    <n v="463730"/>
    <x v="3850"/>
    <x v="0"/>
    <s v="USA"/>
    <n v="39751583.5"/>
    <x v="21"/>
    <x v="0"/>
    <m/>
    <m/>
    <m/>
    <m/>
    <m/>
    <m/>
    <m/>
  </r>
  <r>
    <x v="1736"/>
    <x v="7"/>
    <n v="453079"/>
    <x v="3851"/>
    <x v="0"/>
    <s v="USA"/>
    <n v="7000000"/>
    <x v="1"/>
    <x v="0"/>
    <m/>
    <m/>
    <m/>
    <m/>
    <m/>
    <m/>
    <m/>
  </r>
  <r>
    <x v="2038"/>
    <x v="1"/>
    <n v="449558"/>
    <x v="3852"/>
    <x v="0"/>
    <s v="UK"/>
    <n v="10000000"/>
    <x v="17"/>
    <x v="6"/>
    <s v="Drama"/>
    <s v="Sport"/>
    <m/>
    <m/>
    <m/>
    <m/>
    <m/>
  </r>
  <r>
    <x v="2039"/>
    <x v="58"/>
    <n v="447750"/>
    <x v="3853"/>
    <x v="0"/>
    <s v="USA"/>
    <n v="10000000"/>
    <x v="11"/>
    <x v="5"/>
    <s v="Drama"/>
    <s v="Thriller"/>
    <m/>
    <m/>
    <m/>
    <m/>
    <m/>
  </r>
  <r>
    <x v="453"/>
    <x v="118"/>
    <n v="447093"/>
    <x v="3854"/>
    <x v="10"/>
    <s v="Poland"/>
    <n v="39751583.5"/>
    <x v="66"/>
    <x v="3"/>
    <m/>
    <m/>
    <m/>
    <m/>
    <m/>
    <m/>
    <m/>
  </r>
  <r>
    <x v="453"/>
    <x v="118"/>
    <n v="447093"/>
    <x v="3854"/>
    <x v="10"/>
    <s v="Poland"/>
    <n v="39751583.5"/>
    <x v="66"/>
    <x v="3"/>
    <m/>
    <m/>
    <m/>
    <m/>
    <m/>
    <m/>
    <m/>
  </r>
  <r>
    <x v="1838"/>
    <x v="49"/>
    <n v="444354"/>
    <x v="3855"/>
    <x v="0"/>
    <s v="UK"/>
    <n v="39751583.5"/>
    <x v="16"/>
    <x v="0"/>
    <s v="Drama"/>
    <m/>
    <m/>
    <m/>
    <m/>
    <m/>
    <m/>
  </r>
  <r>
    <x v="2040"/>
    <x v="56"/>
    <n v="444044"/>
    <x v="3856"/>
    <x v="0"/>
    <s v="USA"/>
    <n v="1900000"/>
    <x v="11"/>
    <x v="3"/>
    <m/>
    <m/>
    <m/>
    <m/>
    <m/>
    <m/>
    <m/>
  </r>
  <r>
    <x v="113"/>
    <x v="60"/>
    <n v="442638"/>
    <x v="3857"/>
    <x v="0"/>
    <s v="USA"/>
    <n v="850000"/>
    <x v="4"/>
    <x v="0"/>
    <s v="Romance"/>
    <s v="Sport"/>
    <m/>
    <m/>
    <m/>
    <m/>
    <m/>
  </r>
  <r>
    <x v="2041"/>
    <x v="34"/>
    <n v="439958"/>
    <x v="3858"/>
    <x v="30"/>
    <s v="France"/>
    <n v="39751583.5"/>
    <x v="1"/>
    <x v="3"/>
    <m/>
    <m/>
    <m/>
    <m/>
    <m/>
    <m/>
    <m/>
  </r>
  <r>
    <x v="287"/>
    <x v="3"/>
    <n v="438653"/>
    <x v="3859"/>
    <x v="0"/>
    <s v="USA"/>
    <n v="39751583.5"/>
    <x v="24"/>
    <x v="2"/>
    <s v="Comedy"/>
    <s v="Sci-Fi"/>
    <m/>
    <m/>
    <m/>
    <m/>
    <m/>
  </r>
  <r>
    <x v="2042"/>
    <x v="0"/>
    <n v="434417"/>
    <x v="3860"/>
    <x v="0"/>
    <s v="Spain"/>
    <n v="4600000"/>
    <x v="1"/>
    <x v="3"/>
    <m/>
    <m/>
    <m/>
    <m/>
    <m/>
    <m/>
    <m/>
  </r>
  <r>
    <x v="2043"/>
    <x v="41"/>
    <n v="428535"/>
    <x v="3861"/>
    <x v="0"/>
    <s v="USA"/>
    <n v="1000000"/>
    <x v="58"/>
    <x v="0"/>
    <s v="Romance"/>
    <m/>
    <m/>
    <m/>
    <m/>
    <m/>
    <m/>
  </r>
  <r>
    <x v="2044"/>
    <x v="22"/>
    <n v="425899"/>
    <x v="3862"/>
    <x v="0"/>
    <s v="USA"/>
    <n v="400000"/>
    <x v="33"/>
    <x v="10"/>
    <m/>
    <m/>
    <m/>
    <m/>
    <m/>
    <m/>
    <m/>
  </r>
  <r>
    <x v="2045"/>
    <x v="94"/>
    <n v="424760"/>
    <x v="3863"/>
    <x v="0"/>
    <s v="USA"/>
    <n v="7000"/>
    <x v="14"/>
    <x v="3"/>
    <s v="Sci-Fi"/>
    <s v="Thriller"/>
    <m/>
    <m/>
    <m/>
    <m/>
    <m/>
  </r>
  <r>
    <x v="1716"/>
    <x v="4"/>
    <n v="418953"/>
    <x v="3864"/>
    <x v="0"/>
    <s v="France"/>
    <n v="1500000"/>
    <x v="20"/>
    <x v="5"/>
    <s v="Drama"/>
    <s v="Thriller"/>
    <m/>
    <m/>
    <m/>
    <m/>
    <m/>
  </r>
  <r>
    <x v="2046"/>
    <x v="54"/>
    <n v="418268"/>
    <x v="3865"/>
    <x v="0"/>
    <s v="USA"/>
    <n v="3000000"/>
    <x v="48"/>
    <x v="0"/>
    <s v="Romance"/>
    <m/>
    <m/>
    <m/>
    <m/>
    <m/>
    <m/>
  </r>
  <r>
    <x v="859"/>
    <x v="40"/>
    <n v="410241"/>
    <x v="3866"/>
    <x v="0"/>
    <s v="USA"/>
    <n v="2000000"/>
    <x v="9"/>
    <x v="0"/>
    <s v="Crime"/>
    <s v="Drama"/>
    <m/>
    <m/>
    <m/>
    <m/>
    <m/>
  </r>
  <r>
    <x v="2047"/>
    <x v="1"/>
    <n v="406035"/>
    <x v="3867"/>
    <x v="0"/>
    <s v="USA"/>
    <n v="1500000"/>
    <x v="11"/>
    <x v="3"/>
    <m/>
    <m/>
    <m/>
    <m/>
    <m/>
    <m/>
    <m/>
  </r>
  <r>
    <x v="1892"/>
    <x v="63"/>
    <n v="405614"/>
    <x v="3868"/>
    <x v="0"/>
    <s v="USA"/>
    <n v="39751583.5"/>
    <x v="15"/>
    <x v="3"/>
    <s v="Mystery"/>
    <s v="Sci-Fi"/>
    <s v="Thriller"/>
    <m/>
    <m/>
    <m/>
    <m/>
  </r>
  <r>
    <x v="461"/>
    <x v="61"/>
    <n v="403932"/>
    <x v="3869"/>
    <x v="0"/>
    <s v="UK"/>
    <n v="20000000"/>
    <x v="20"/>
    <x v="3"/>
    <s v="Romance"/>
    <s v="Western"/>
    <m/>
    <m/>
    <m/>
    <m/>
    <m/>
  </r>
  <r>
    <x v="2048"/>
    <x v="44"/>
    <n v="403649"/>
    <x v="3870"/>
    <x v="1"/>
    <s v="France"/>
    <n v="39751583.5"/>
    <x v="2"/>
    <x v="3"/>
    <s v="Romance"/>
    <m/>
    <m/>
    <m/>
    <m/>
    <m/>
    <m/>
  </r>
  <r>
    <x v="120"/>
    <x v="34"/>
    <n v="402820"/>
    <x v="3871"/>
    <x v="0"/>
    <s v="USA"/>
    <n v="39751583.5"/>
    <x v="26"/>
    <x v="3"/>
    <s v="Romance"/>
    <m/>
    <m/>
    <m/>
    <m/>
    <m/>
    <m/>
  </r>
  <r>
    <x v="2049"/>
    <x v="36"/>
    <n v="399879"/>
    <x v="3872"/>
    <x v="0"/>
    <s v="Australia"/>
    <n v="15000000"/>
    <x v="16"/>
    <x v="5"/>
    <s v="Drama"/>
    <s v="Mystery"/>
    <s v="Thriller"/>
    <m/>
    <m/>
    <m/>
    <m/>
  </r>
  <r>
    <x v="1252"/>
    <x v="40"/>
    <n v="399793"/>
    <x v="3873"/>
    <x v="0"/>
    <s v="USA"/>
    <n v="4000000"/>
    <x v="18"/>
    <x v="3"/>
    <m/>
    <m/>
    <m/>
    <m/>
    <m/>
    <m/>
    <m/>
  </r>
  <r>
    <x v="2050"/>
    <x v="10"/>
    <n v="399611"/>
    <x v="3874"/>
    <x v="0"/>
    <s v="USA"/>
    <n v="6000000"/>
    <x v="21"/>
    <x v="6"/>
    <s v="Drama"/>
    <s v="Sport"/>
    <m/>
    <m/>
    <m/>
    <m/>
    <m/>
  </r>
  <r>
    <x v="1695"/>
    <x v="4"/>
    <n v="398420"/>
    <x v="3875"/>
    <x v="0"/>
    <s v="USA"/>
    <n v="8000000"/>
    <x v="16"/>
    <x v="5"/>
    <s v="Drama"/>
    <m/>
    <m/>
    <m/>
    <m/>
    <m/>
    <m/>
  </r>
  <r>
    <x v="2051"/>
    <x v="41"/>
    <n v="396035"/>
    <x v="3876"/>
    <x v="0"/>
    <s v="UK"/>
    <n v="1000000"/>
    <x v="26"/>
    <x v="3"/>
    <s v="Romance"/>
    <m/>
    <m/>
    <m/>
    <m/>
    <m/>
    <m/>
  </r>
  <r>
    <x v="2052"/>
    <x v="40"/>
    <n v="395592"/>
    <x v="3877"/>
    <x v="0"/>
    <s v="Spain"/>
    <n v="2000000"/>
    <x v="17"/>
    <x v="3"/>
    <s v="Romance"/>
    <m/>
    <m/>
    <m/>
    <m/>
    <m/>
    <m/>
  </r>
  <r>
    <x v="2053"/>
    <x v="1"/>
    <n v="389804"/>
    <x v="3878"/>
    <x v="0"/>
    <s v="USA"/>
    <n v="65000"/>
    <x v="2"/>
    <x v="0"/>
    <s v="Drama"/>
    <s v="Romance"/>
    <m/>
    <m/>
    <m/>
    <m/>
    <m/>
  </r>
  <r>
    <x v="2054"/>
    <x v="40"/>
    <n v="382946"/>
    <x v="3879"/>
    <x v="0"/>
    <s v="USA"/>
    <n v="7000000"/>
    <x v="6"/>
    <x v="3"/>
    <m/>
    <m/>
    <m/>
    <m/>
    <m/>
    <m/>
    <m/>
  </r>
  <r>
    <x v="2055"/>
    <x v="63"/>
    <n v="381225"/>
    <x v="3880"/>
    <x v="0"/>
    <s v="USA"/>
    <n v="200000"/>
    <x v="11"/>
    <x v="10"/>
    <m/>
    <m/>
    <m/>
    <m/>
    <m/>
    <m/>
    <m/>
  </r>
  <r>
    <x v="1897"/>
    <x v="50"/>
    <n v="381186"/>
    <x v="3881"/>
    <x v="0"/>
    <s v="USA"/>
    <n v="900000"/>
    <x v="16"/>
    <x v="3"/>
    <s v="Thriller"/>
    <m/>
    <m/>
    <m/>
    <m/>
    <m/>
    <m/>
  </r>
  <r>
    <x v="2056"/>
    <x v="24"/>
    <n v="379643"/>
    <x v="3882"/>
    <x v="0"/>
    <s v="USA"/>
    <n v="2200000"/>
    <x v="1"/>
    <x v="3"/>
    <m/>
    <m/>
    <m/>
    <m/>
    <m/>
    <m/>
    <m/>
  </r>
  <r>
    <x v="2057"/>
    <x v="3"/>
    <n v="379122"/>
    <x v="3883"/>
    <x v="0"/>
    <s v="UK"/>
    <n v="450000"/>
    <x v="6"/>
    <x v="0"/>
    <s v="Drama"/>
    <s v="Romance"/>
    <m/>
    <m/>
    <m/>
    <m/>
    <m/>
  </r>
  <r>
    <x v="1714"/>
    <x v="17"/>
    <n v="377420"/>
    <x v="3884"/>
    <x v="7"/>
    <s v="China"/>
    <n v="39751583.5"/>
    <x v="4"/>
    <x v="3"/>
    <m/>
    <m/>
    <m/>
    <m/>
    <m/>
    <m/>
    <m/>
  </r>
  <r>
    <x v="2058"/>
    <x v="48"/>
    <n v="375723"/>
    <x v="3885"/>
    <x v="17"/>
    <s v="Brazil"/>
    <n v="4000000"/>
    <x v="12"/>
    <x v="0"/>
    <s v="Drama"/>
    <m/>
    <m/>
    <m/>
    <m/>
    <m/>
    <m/>
  </r>
  <r>
    <x v="2059"/>
    <x v="43"/>
    <n v="375474"/>
    <x v="3886"/>
    <x v="0"/>
    <s v="USA"/>
    <n v="20000000"/>
    <x v="8"/>
    <x v="3"/>
    <s v="History"/>
    <s v="Sport"/>
    <m/>
    <m/>
    <m/>
    <m/>
    <m/>
  </r>
  <r>
    <x v="392"/>
    <x v="41"/>
    <n v="373967"/>
    <x v="3887"/>
    <x v="0"/>
    <s v="USA"/>
    <n v="1500000"/>
    <x v="20"/>
    <x v="1"/>
    <s v="Mystery"/>
    <m/>
    <m/>
    <m/>
    <m/>
    <m/>
    <m/>
  </r>
  <r>
    <x v="2060"/>
    <x v="21"/>
    <n v="373060"/>
    <x v="3888"/>
    <x v="0"/>
    <s v="UK"/>
    <n v="39751583.5"/>
    <x v="4"/>
    <x v="3"/>
    <m/>
    <m/>
    <m/>
    <m/>
    <m/>
    <m/>
    <m/>
  </r>
  <r>
    <x v="120"/>
    <x v="24"/>
    <n v="371897"/>
    <x v="3889"/>
    <x v="0"/>
    <s v="USA"/>
    <n v="4000000"/>
    <x v="26"/>
    <x v="3"/>
    <m/>
    <m/>
    <m/>
    <m/>
    <m/>
    <m/>
    <m/>
  </r>
  <r>
    <x v="2061"/>
    <x v="49"/>
    <n v="371081"/>
    <x v="3890"/>
    <x v="0"/>
    <s v="USA"/>
    <n v="6000000"/>
    <x v="14"/>
    <x v="0"/>
    <s v="Drama"/>
    <m/>
    <m/>
    <m/>
    <m/>
    <m/>
    <m/>
  </r>
  <r>
    <x v="1882"/>
    <x v="31"/>
    <n v="365734"/>
    <x v="3891"/>
    <x v="0"/>
    <s v="USA"/>
    <n v="10000000"/>
    <x v="38"/>
    <x v="3"/>
    <m/>
    <m/>
    <m/>
    <m/>
    <m/>
    <m/>
    <m/>
  </r>
  <r>
    <x v="136"/>
    <x v="30"/>
    <n v="354704"/>
    <x v="3892"/>
    <x v="0"/>
    <s v="USA"/>
    <n v="1300000"/>
    <x v="1"/>
    <x v="5"/>
    <s v="Drama"/>
    <s v="Horror"/>
    <s v="Thriller"/>
    <m/>
    <m/>
    <m/>
    <m/>
  </r>
  <r>
    <x v="617"/>
    <x v="1"/>
    <n v="353743"/>
    <x v="3893"/>
    <x v="0"/>
    <s v="UK"/>
    <n v="15000000"/>
    <x v="26"/>
    <x v="0"/>
    <s v="Crime"/>
    <s v="Drama"/>
    <s v="Thriller"/>
    <s v="War"/>
    <m/>
    <m/>
    <m/>
  </r>
  <r>
    <x v="2062"/>
    <x v="44"/>
    <n v="352786"/>
    <x v="3894"/>
    <x v="0"/>
    <s v="USA"/>
    <n v="11000000"/>
    <x v="9"/>
    <x v="6"/>
    <s v="Drama"/>
    <s v="Music"/>
    <m/>
    <m/>
    <m/>
    <m/>
    <m/>
  </r>
  <r>
    <x v="2063"/>
    <x v="38"/>
    <n v="352684"/>
    <x v="3895"/>
    <x v="14"/>
    <s v="India"/>
    <n v="39751583.5"/>
    <x v="49"/>
    <x v="4"/>
    <s v="Comedy"/>
    <m/>
    <m/>
    <m/>
    <m/>
    <m/>
    <m/>
  </r>
  <r>
    <x v="2064"/>
    <x v="35"/>
    <n v="349618"/>
    <x v="3896"/>
    <x v="0"/>
    <s v="Italy"/>
    <n v="9000000"/>
    <x v="0"/>
    <x v="1"/>
    <m/>
    <m/>
    <m/>
    <m/>
    <m/>
    <m/>
    <m/>
  </r>
  <r>
    <x v="2065"/>
    <x v="20"/>
    <n v="347578"/>
    <x v="3897"/>
    <x v="0"/>
    <s v="USA"/>
    <n v="39751583.5"/>
    <x v="18"/>
    <x v="0"/>
    <s v="Fantasy"/>
    <s v="Horror"/>
    <s v="Thriller"/>
    <m/>
    <m/>
    <m/>
    <m/>
  </r>
  <r>
    <x v="2066"/>
    <x v="10"/>
    <n v="342936"/>
    <x v="3898"/>
    <x v="0"/>
    <s v="USA"/>
    <n v="39751583.5"/>
    <x v="0"/>
    <x v="0"/>
    <s v="Drama"/>
    <s v="Romance"/>
    <m/>
    <m/>
    <m/>
    <m/>
    <m/>
  </r>
  <r>
    <x v="1991"/>
    <x v="62"/>
    <n v="336467"/>
    <x v="3899"/>
    <x v="0"/>
    <s v="France"/>
    <n v="13000000"/>
    <x v="4"/>
    <x v="3"/>
    <s v="Fantasy"/>
    <m/>
    <m/>
    <m/>
    <m/>
    <m/>
    <m/>
  </r>
  <r>
    <x v="2067"/>
    <x v="17"/>
    <n v="336456"/>
    <x v="3900"/>
    <x v="0"/>
    <s v="USA"/>
    <n v="8000000"/>
    <x v="37"/>
    <x v="0"/>
    <s v="Crime"/>
    <s v="Musical"/>
    <s v="Mystery"/>
    <m/>
    <m/>
    <m/>
    <m/>
  </r>
  <r>
    <x v="1938"/>
    <x v="40"/>
    <n v="334658"/>
    <x v="3901"/>
    <x v="0"/>
    <s v="USA"/>
    <n v="39751583.5"/>
    <x v="4"/>
    <x v="3"/>
    <s v="Romance"/>
    <s v="Sci-Fi"/>
    <m/>
    <m/>
    <m/>
    <m/>
    <m/>
  </r>
  <r>
    <x v="2068"/>
    <x v="89"/>
    <n v="334041"/>
    <x v="3902"/>
    <x v="0"/>
    <s v="USA"/>
    <n v="500000"/>
    <x v="20"/>
    <x v="5"/>
    <s v="Drama"/>
    <s v="Romance"/>
    <m/>
    <m/>
    <m/>
    <m/>
    <m/>
  </r>
  <r>
    <x v="201"/>
    <x v="89"/>
    <n v="333976"/>
    <x v="3903"/>
    <x v="0"/>
    <s v="USA"/>
    <n v="12000000"/>
    <x v="16"/>
    <x v="0"/>
    <s v="Crime"/>
    <m/>
    <m/>
    <m/>
    <m/>
    <m/>
    <m/>
  </r>
  <r>
    <x v="1805"/>
    <x v="176"/>
    <n v="333658"/>
    <x v="3904"/>
    <x v="0"/>
    <s v="USA"/>
    <n v="34000"/>
    <x v="6"/>
    <x v="0"/>
    <s v="Family"/>
    <s v="Musical"/>
    <s v="Romance"/>
    <s v="Short"/>
    <m/>
    <m/>
    <m/>
  </r>
  <r>
    <x v="514"/>
    <x v="43"/>
    <n v="327919"/>
    <x v="3905"/>
    <x v="0"/>
    <s v="UK"/>
    <n v="1500000"/>
    <x v="5"/>
    <x v="5"/>
    <s v="Drama"/>
    <m/>
    <m/>
    <m/>
    <m/>
    <m/>
    <m/>
  </r>
  <r>
    <x v="1730"/>
    <x v="0"/>
    <n v="326308"/>
    <x v="3906"/>
    <x v="0"/>
    <s v="USA"/>
    <n v="5000000"/>
    <x v="0"/>
    <x v="5"/>
    <s v="Drama"/>
    <s v="Thriller"/>
    <m/>
    <m/>
    <m/>
    <m/>
    <m/>
  </r>
  <r>
    <x v="2069"/>
    <x v="12"/>
    <n v="325491"/>
    <x v="3907"/>
    <x v="0"/>
    <s v="USA"/>
    <n v="17500000"/>
    <x v="27"/>
    <x v="5"/>
    <s v="Drama"/>
    <s v="Thriller"/>
    <m/>
    <m/>
    <m/>
    <m/>
    <m/>
  </r>
  <r>
    <x v="1680"/>
    <x v="49"/>
    <n v="322157"/>
    <x v="3908"/>
    <x v="0"/>
    <s v="USA"/>
    <n v="2500000"/>
    <x v="9"/>
    <x v="0"/>
    <s v="Crime"/>
    <s v="Drama"/>
    <m/>
    <m/>
    <m/>
    <m/>
    <m/>
  </r>
  <r>
    <x v="180"/>
    <x v="24"/>
    <n v="321952"/>
    <x v="3909"/>
    <x v="0"/>
    <s v="USA"/>
    <n v="39751583.5"/>
    <x v="40"/>
    <x v="10"/>
    <s v="Music"/>
    <m/>
    <m/>
    <m/>
    <m/>
    <m/>
    <m/>
  </r>
  <r>
    <x v="2070"/>
    <x v="10"/>
    <n v="318622"/>
    <x v="3910"/>
    <x v="0"/>
    <s v="USA"/>
    <n v="270000"/>
    <x v="16"/>
    <x v="6"/>
    <s v="Crime"/>
    <s v="Drama"/>
    <s v="Thriller"/>
    <m/>
    <m/>
    <m/>
    <m/>
  </r>
  <r>
    <x v="1732"/>
    <x v="48"/>
    <n v="317125"/>
    <x v="3911"/>
    <x v="0"/>
    <s v="Australia"/>
    <n v="16000000"/>
    <x v="8"/>
    <x v="3"/>
    <s v="Romance"/>
    <m/>
    <m/>
    <m/>
    <m/>
    <m/>
    <m/>
  </r>
  <r>
    <x v="2071"/>
    <x v="30"/>
    <n v="317040"/>
    <x v="3912"/>
    <x v="0"/>
    <s v="USA"/>
    <n v="15500000"/>
    <x v="9"/>
    <x v="3"/>
    <s v="Romance"/>
    <m/>
    <m/>
    <m/>
    <m/>
    <m/>
    <m/>
  </r>
  <r>
    <x v="1175"/>
    <x v="30"/>
    <n v="316842"/>
    <x v="3913"/>
    <x v="0"/>
    <s v="USA"/>
    <n v="39751583.5"/>
    <x v="16"/>
    <x v="3"/>
    <s v="Thriller"/>
    <m/>
    <m/>
    <m/>
    <m/>
    <m/>
    <m/>
  </r>
  <r>
    <x v="2072"/>
    <x v="56"/>
    <n v="313436"/>
    <x v="3914"/>
    <x v="35"/>
    <s v="Norway"/>
    <n v="15500000"/>
    <x v="17"/>
    <x v="0"/>
    <s v="Drama"/>
    <m/>
    <m/>
    <m/>
    <m/>
    <m/>
    <m/>
  </r>
  <r>
    <x v="2073"/>
    <x v="13"/>
    <n v="306715"/>
    <x v="3915"/>
    <x v="0"/>
    <s v="USA"/>
    <n v="10000000"/>
    <x v="73"/>
    <x v="0"/>
    <m/>
    <m/>
    <m/>
    <m/>
    <m/>
    <m/>
    <m/>
  </r>
  <r>
    <x v="369"/>
    <x v="34"/>
    <n v="305070"/>
    <x v="3916"/>
    <x v="0"/>
    <s v="USA"/>
    <n v="20000000"/>
    <x v="16"/>
    <x v="4"/>
    <s v="Adventure"/>
    <s v="Drama"/>
    <s v="History"/>
    <s v="Romance"/>
    <m/>
    <m/>
    <m/>
  </r>
  <r>
    <x v="2074"/>
    <x v="0"/>
    <n v="304137"/>
    <x v="3917"/>
    <x v="0"/>
    <s v="UK"/>
    <n v="39751583.5"/>
    <x v="4"/>
    <x v="0"/>
    <s v="Crime"/>
    <s v="Drama"/>
    <m/>
    <m/>
    <m/>
    <m/>
    <m/>
  </r>
  <r>
    <x v="2075"/>
    <x v="40"/>
    <n v="304124"/>
    <x v="3918"/>
    <x v="16"/>
    <s v="Argentina"/>
    <n v="1400000"/>
    <x v="15"/>
    <x v="3"/>
    <m/>
    <m/>
    <m/>
    <m/>
    <m/>
    <m/>
    <m/>
  </r>
  <r>
    <x v="1577"/>
    <x v="10"/>
    <n v="303439"/>
    <x v="3919"/>
    <x v="0"/>
    <s v="USA"/>
    <n v="8000000"/>
    <x v="16"/>
    <x v="3"/>
    <s v="Mystery"/>
    <s v="Thriller"/>
    <m/>
    <m/>
    <m/>
    <m/>
    <m/>
  </r>
  <r>
    <x v="2076"/>
    <x v="4"/>
    <n v="302204"/>
    <x v="3920"/>
    <x v="0"/>
    <s v="UK"/>
    <n v="3000000"/>
    <x v="24"/>
    <x v="0"/>
    <s v="Crime"/>
    <s v="Romance"/>
    <m/>
    <m/>
    <m/>
    <m/>
    <m/>
  </r>
  <r>
    <x v="2024"/>
    <x v="32"/>
    <n v="301305"/>
    <x v="3921"/>
    <x v="40"/>
    <s v="USA"/>
    <n v="13000000"/>
    <x v="49"/>
    <x v="3"/>
    <s v="Romance"/>
    <s v="War"/>
    <m/>
    <m/>
    <m/>
    <m/>
    <m/>
  </r>
  <r>
    <x v="2077"/>
    <x v="31"/>
    <n v="298110"/>
    <x v="3922"/>
    <x v="0"/>
    <s v="Canada"/>
    <n v="8000000"/>
    <x v="9"/>
    <x v="0"/>
    <s v="Drama"/>
    <s v="Horror"/>
    <s v="Sci-Fi"/>
    <m/>
    <m/>
    <m/>
    <m/>
  </r>
  <r>
    <x v="2002"/>
    <x v="1"/>
    <n v="296665"/>
    <x v="3923"/>
    <x v="0"/>
    <s v="USA"/>
    <n v="5000000"/>
    <x v="2"/>
    <x v="6"/>
    <s v="Crime"/>
    <s v="Drama"/>
    <s v="Thriller"/>
    <m/>
    <m/>
    <m/>
    <m/>
  </r>
  <r>
    <x v="2078"/>
    <x v="1"/>
    <n v="295468"/>
    <x v="3924"/>
    <x v="0"/>
    <s v="USA"/>
    <n v="500000"/>
    <x v="27"/>
    <x v="0"/>
    <s v="Romance"/>
    <m/>
    <m/>
    <m/>
    <m/>
    <m/>
    <m/>
  </r>
  <r>
    <x v="2079"/>
    <x v="50"/>
    <n v="287761"/>
    <x v="3925"/>
    <x v="0"/>
    <s v="New Zealand"/>
    <n v="1000000"/>
    <x v="17"/>
    <x v="2"/>
    <s v="Biography"/>
    <s v="Documentary"/>
    <s v="Drama"/>
    <m/>
    <m/>
    <m/>
    <m/>
  </r>
  <r>
    <x v="2080"/>
    <x v="124"/>
    <n v="279282"/>
    <x v="3926"/>
    <x v="0"/>
    <s v="USA"/>
    <n v="1000000"/>
    <x v="0"/>
    <x v="0"/>
    <s v="Drama"/>
    <s v="Romance"/>
    <m/>
    <m/>
    <m/>
    <m/>
    <m/>
  </r>
  <r>
    <x v="1774"/>
    <x v="1"/>
    <n v="278821"/>
    <x v="3927"/>
    <x v="0"/>
    <s v="USA"/>
    <n v="39751583.5"/>
    <x v="20"/>
    <x v="0"/>
    <s v="Drama"/>
    <m/>
    <m/>
    <m/>
    <m/>
    <m/>
    <m/>
  </r>
  <r>
    <x v="2081"/>
    <x v="10"/>
    <n v="277233"/>
    <x v="3928"/>
    <x v="0"/>
    <s v="USA"/>
    <n v="40000"/>
    <x v="17"/>
    <x v="0"/>
    <s v="Romance"/>
    <m/>
    <m/>
    <m/>
    <m/>
    <m/>
    <m/>
  </r>
  <r>
    <x v="2082"/>
    <x v="122"/>
    <n v="274661"/>
    <x v="3929"/>
    <x v="0"/>
    <s v="USA"/>
    <n v="1000000"/>
    <x v="5"/>
    <x v="5"/>
    <s v="Documentary"/>
    <s v="War"/>
    <m/>
    <m/>
    <m/>
    <m/>
    <m/>
  </r>
  <r>
    <x v="2083"/>
    <x v="4"/>
    <n v="274385"/>
    <x v="3930"/>
    <x v="6"/>
    <s v="Germany"/>
    <n v="4000000"/>
    <x v="4"/>
    <x v="0"/>
    <s v="Drama"/>
    <m/>
    <m/>
    <m/>
    <m/>
    <m/>
    <m/>
  </r>
  <r>
    <x v="1528"/>
    <x v="163"/>
    <n v="273420"/>
    <x v="3931"/>
    <x v="0"/>
    <s v="France"/>
    <n v="17000000"/>
    <x v="3"/>
    <x v="0"/>
    <s v="Mystery"/>
    <s v="Sci-Fi"/>
    <s v="Thriller"/>
    <m/>
    <m/>
    <m/>
    <m/>
  </r>
  <r>
    <x v="2084"/>
    <x v="150"/>
    <n v="269061"/>
    <x v="3932"/>
    <x v="4"/>
    <s v="Japan"/>
    <n v="2000000"/>
    <x v="54"/>
    <x v="4"/>
    <s v="Adventure"/>
    <s v="Drama"/>
    <m/>
    <m/>
    <m/>
    <m/>
    <m/>
  </r>
  <r>
    <x v="1920"/>
    <x v="0"/>
    <n v="267194"/>
    <x v="3933"/>
    <x v="0"/>
    <s v="UK"/>
    <n v="39751583.5"/>
    <x v="15"/>
    <x v="3"/>
    <m/>
    <m/>
    <m/>
    <m/>
    <m/>
    <m/>
    <m/>
  </r>
  <r>
    <x v="2085"/>
    <x v="63"/>
    <n v="265107"/>
    <x v="3934"/>
    <x v="0"/>
    <s v="Australia"/>
    <n v="1500000"/>
    <x v="2"/>
    <x v="0"/>
    <s v="Horror"/>
    <s v="Mystery"/>
    <m/>
    <m/>
    <m/>
    <m/>
    <m/>
  </r>
  <r>
    <x v="1340"/>
    <x v="28"/>
    <n v="263365"/>
    <x v="3935"/>
    <x v="0"/>
    <s v="USA"/>
    <n v="20000000"/>
    <x v="18"/>
    <x v="0"/>
    <s v="Drama"/>
    <s v="Fantasy"/>
    <s v="Romance"/>
    <m/>
    <m/>
    <m/>
    <m/>
  </r>
  <r>
    <x v="1713"/>
    <x v="2"/>
    <n v="261481"/>
    <x v="3936"/>
    <x v="21"/>
    <s v="Hong Kong"/>
    <n v="12000000"/>
    <x v="31"/>
    <x v="3"/>
    <s v="Romance"/>
    <s v="Sci-Fi"/>
    <m/>
    <m/>
    <m/>
    <m/>
    <m/>
  </r>
  <r>
    <x v="1842"/>
    <x v="10"/>
    <n v="258113"/>
    <x v="3937"/>
    <x v="0"/>
    <s v="USA"/>
    <n v="1066167"/>
    <x v="6"/>
    <x v="5"/>
    <s v="Drama"/>
    <s v="Thriller"/>
    <m/>
    <m/>
    <m/>
    <m/>
    <m/>
  </r>
  <r>
    <x v="1969"/>
    <x v="120"/>
    <n v="255352"/>
    <x v="3938"/>
    <x v="0"/>
    <s v="USA"/>
    <n v="300000"/>
    <x v="15"/>
    <x v="3"/>
    <m/>
    <m/>
    <m/>
    <m/>
    <m/>
    <m/>
    <m/>
  </r>
  <r>
    <x v="2056"/>
    <x v="54"/>
    <n v="252726"/>
    <x v="3939"/>
    <x v="0"/>
    <s v="USA"/>
    <n v="3000000"/>
    <x v="11"/>
    <x v="3"/>
    <s v="Family"/>
    <s v="Western"/>
    <m/>
    <m/>
    <m/>
    <m/>
    <m/>
  </r>
  <r>
    <x v="2086"/>
    <x v="18"/>
    <n v="252652"/>
    <x v="3940"/>
    <x v="35"/>
    <s v="Norway"/>
    <n v="19900000"/>
    <x v="14"/>
    <x v="0"/>
    <s v="Drama"/>
    <s v="Fantasy"/>
    <s v="Horror"/>
    <m/>
    <m/>
    <m/>
    <m/>
  </r>
  <r>
    <x v="2087"/>
    <x v="51"/>
    <n v="247740"/>
    <x v="3941"/>
    <x v="0"/>
    <s v="USA"/>
    <n v="39751583.5"/>
    <x v="47"/>
    <x v="10"/>
    <s v="Drama"/>
    <m/>
    <m/>
    <m/>
    <m/>
    <m/>
    <m/>
  </r>
  <r>
    <x v="2088"/>
    <x v="39"/>
    <n v="246574"/>
    <x v="3942"/>
    <x v="0"/>
    <s v="USA"/>
    <n v="39751583.5"/>
    <x v="26"/>
    <x v="7"/>
    <s v="Drama"/>
    <m/>
    <m/>
    <m/>
    <m/>
    <m/>
    <m/>
  </r>
  <r>
    <x v="2089"/>
    <x v="43"/>
    <n v="244465"/>
    <x v="3943"/>
    <x v="1"/>
    <s v="France"/>
    <n v="39751583.5"/>
    <x v="9"/>
    <x v="3"/>
    <s v="Romance"/>
    <m/>
    <m/>
    <m/>
    <m/>
    <m/>
    <m/>
  </r>
  <r>
    <x v="2090"/>
    <x v="73"/>
    <n v="243768"/>
    <x v="3944"/>
    <x v="0"/>
    <s v="USA"/>
    <n v="30000"/>
    <x v="30"/>
    <x v="17"/>
    <m/>
    <m/>
    <m/>
    <m/>
    <m/>
    <m/>
    <m/>
  </r>
  <r>
    <x v="2091"/>
    <x v="50"/>
    <n v="243347"/>
    <x v="3945"/>
    <x v="0"/>
    <s v="USA"/>
    <n v="500000"/>
    <x v="48"/>
    <x v="5"/>
    <s v="Drama"/>
    <s v="Thriller"/>
    <m/>
    <m/>
    <m/>
    <m/>
    <m/>
  </r>
  <r>
    <x v="120"/>
    <x v="10"/>
    <n v="241816"/>
    <x v="3946"/>
    <x v="0"/>
    <s v="USA"/>
    <n v="42000"/>
    <x v="31"/>
    <x v="3"/>
    <m/>
    <m/>
    <m/>
    <m/>
    <m/>
    <m/>
    <m/>
  </r>
  <r>
    <x v="2092"/>
    <x v="52"/>
    <n v="240425"/>
    <x v="3947"/>
    <x v="14"/>
    <s v="India"/>
    <n v="39751583.5"/>
    <x v="7"/>
    <x v="6"/>
    <s v="Drama"/>
    <s v="History"/>
    <m/>
    <m/>
    <m/>
    <m/>
    <m/>
  </r>
  <r>
    <x v="2093"/>
    <x v="1"/>
    <n v="238774"/>
    <x v="3948"/>
    <x v="0"/>
    <s v="UK"/>
    <n v="39751583.5"/>
    <x v="9"/>
    <x v="0"/>
    <s v="Drama"/>
    <m/>
    <m/>
    <m/>
    <m/>
    <m/>
    <m/>
  </r>
  <r>
    <x v="2094"/>
    <x v="20"/>
    <n v="237301"/>
    <x v="3949"/>
    <x v="0"/>
    <s v="UK"/>
    <n v="500000"/>
    <x v="16"/>
    <x v="3"/>
    <s v="Sci-Fi"/>
    <s v="Thriller"/>
    <m/>
    <m/>
    <m/>
    <m/>
    <m/>
  </r>
  <r>
    <x v="395"/>
    <x v="18"/>
    <n v="236266"/>
    <x v="3950"/>
    <x v="0"/>
    <s v="USA"/>
    <n v="3500000"/>
    <x v="8"/>
    <x v="2"/>
    <s v="Drama"/>
    <s v="Mystery"/>
    <m/>
    <m/>
    <m/>
    <m/>
    <m/>
  </r>
  <r>
    <x v="2095"/>
    <x v="0"/>
    <n v="233103"/>
    <x v="3951"/>
    <x v="0"/>
    <s v="UK"/>
    <n v="7000000"/>
    <x v="26"/>
    <x v="3"/>
    <m/>
    <m/>
    <m/>
    <m/>
    <m/>
    <m/>
    <m/>
  </r>
  <r>
    <x v="2096"/>
    <x v="43"/>
    <n v="231417"/>
    <x v="3952"/>
    <x v="1"/>
    <s v="France"/>
    <n v="60000000"/>
    <x v="24"/>
    <x v="0"/>
    <s v="Crime"/>
    <s v="Thriller"/>
    <m/>
    <m/>
    <m/>
    <m/>
    <m/>
  </r>
  <r>
    <x v="2097"/>
    <x v="120"/>
    <n v="231186"/>
    <x v="3953"/>
    <x v="1"/>
    <s v="France"/>
    <n v="39751583.5"/>
    <x v="2"/>
    <x v="5"/>
    <s v="Romance"/>
    <s v="Thriller"/>
    <m/>
    <m/>
    <m/>
    <m/>
    <m/>
  </r>
  <r>
    <x v="2098"/>
    <x v="64"/>
    <n v="229311"/>
    <x v="3954"/>
    <x v="0"/>
    <s v="Spain"/>
    <n v="11350000"/>
    <x v="8"/>
    <x v="4"/>
    <s v="Drama"/>
    <s v="History"/>
    <s v="Romance"/>
    <s v="War"/>
    <s v="Western"/>
    <m/>
    <m/>
  </r>
  <r>
    <x v="2099"/>
    <x v="3"/>
    <n v="229094"/>
    <x v="3955"/>
    <x v="0"/>
    <s v="UK"/>
    <n v="39751583.5"/>
    <x v="26"/>
    <x v="17"/>
    <m/>
    <m/>
    <m/>
    <m/>
    <m/>
    <m/>
    <m/>
  </r>
  <r>
    <x v="2100"/>
    <x v="36"/>
    <n v="228830"/>
    <x v="3956"/>
    <x v="0"/>
    <s v="USA"/>
    <n v="39751583.5"/>
    <x v="31"/>
    <x v="5"/>
    <s v="Documentary"/>
    <s v="War"/>
    <m/>
    <m/>
    <m/>
    <m/>
    <m/>
  </r>
  <r>
    <x v="2101"/>
    <x v="11"/>
    <n v="228524"/>
    <x v="3957"/>
    <x v="0"/>
    <s v="USA"/>
    <n v="4000000"/>
    <x v="4"/>
    <x v="0"/>
    <s v="Drama"/>
    <m/>
    <m/>
    <m/>
    <m/>
    <m/>
    <m/>
  </r>
  <r>
    <x v="2102"/>
    <x v="35"/>
    <n v="227241"/>
    <x v="3958"/>
    <x v="0"/>
    <s v="USA"/>
    <n v="39751583.5"/>
    <x v="7"/>
    <x v="3"/>
    <m/>
    <m/>
    <m/>
    <m/>
    <m/>
    <m/>
    <m/>
  </r>
  <r>
    <x v="2103"/>
    <x v="89"/>
    <n v="226792"/>
    <x v="3959"/>
    <x v="0"/>
    <s v="UK"/>
    <n v="10000000"/>
    <x v="8"/>
    <x v="4"/>
    <s v="Comedy"/>
    <s v="Drama"/>
    <m/>
    <m/>
    <m/>
    <m/>
    <m/>
  </r>
  <r>
    <x v="1895"/>
    <x v="32"/>
    <n v="225377"/>
    <x v="3960"/>
    <x v="1"/>
    <s v="France"/>
    <n v="8900000"/>
    <x v="12"/>
    <x v="3"/>
    <s v="Romance"/>
    <m/>
    <m/>
    <m/>
    <m/>
    <m/>
    <m/>
  </r>
  <r>
    <x v="244"/>
    <x v="65"/>
    <n v="223878"/>
    <x v="3961"/>
    <x v="12"/>
    <s v="Italy"/>
    <n v="5000000"/>
    <x v="20"/>
    <x v="0"/>
    <s v="Drama"/>
    <s v="Romance"/>
    <m/>
    <m/>
    <m/>
    <m/>
    <m/>
  </r>
  <r>
    <x v="2104"/>
    <x v="56"/>
    <n v="223615"/>
    <x v="3962"/>
    <x v="0"/>
    <s v="Canada"/>
    <n v="39751583.5"/>
    <x v="17"/>
    <x v="0"/>
    <s v="Horror"/>
    <m/>
    <m/>
    <m/>
    <m/>
    <m/>
    <m/>
  </r>
  <r>
    <x v="2105"/>
    <x v="4"/>
    <n v="221210"/>
    <x v="3963"/>
    <x v="0"/>
    <s v="USA"/>
    <n v="39751583.5"/>
    <x v="26"/>
    <x v="0"/>
    <s v="Drama"/>
    <m/>
    <m/>
    <m/>
    <m/>
    <m/>
    <m/>
  </r>
  <r>
    <x v="1804"/>
    <x v="57"/>
    <n v="220914"/>
    <x v="3964"/>
    <x v="0"/>
    <s v="USA"/>
    <n v="16800000"/>
    <x v="20"/>
    <x v="6"/>
    <s v="Drama"/>
    <s v="Romance"/>
    <m/>
    <m/>
    <m/>
    <m/>
    <m/>
  </r>
  <r>
    <x v="2106"/>
    <x v="43"/>
    <n v="220234"/>
    <x v="3965"/>
    <x v="0"/>
    <s v="USA"/>
    <n v="3500000"/>
    <x v="20"/>
    <x v="0"/>
    <s v="Romance"/>
    <m/>
    <m/>
    <m/>
    <m/>
    <m/>
    <m/>
  </r>
  <r>
    <x v="2107"/>
    <x v="89"/>
    <n v="215185"/>
    <x v="3966"/>
    <x v="0"/>
    <s v="USA"/>
    <n v="200000"/>
    <x v="31"/>
    <x v="10"/>
    <s v="History"/>
    <s v="Music"/>
    <m/>
    <m/>
    <m/>
    <m/>
    <m/>
  </r>
  <r>
    <x v="461"/>
    <x v="17"/>
    <n v="214966"/>
    <x v="3967"/>
    <x v="0"/>
    <s v="USA"/>
    <n v="13000000"/>
    <x v="0"/>
    <x v="5"/>
    <s v="Drama"/>
    <s v="Thriller"/>
    <m/>
    <m/>
    <m/>
    <m/>
    <m/>
  </r>
  <r>
    <x v="2108"/>
    <x v="35"/>
    <n v="214202"/>
    <x v="3968"/>
    <x v="0"/>
    <s v="Germany"/>
    <n v="12000000"/>
    <x v="31"/>
    <x v="5"/>
    <s v="Drama"/>
    <s v="Thriller"/>
    <m/>
    <m/>
    <m/>
    <m/>
    <m/>
  </r>
  <r>
    <x v="2109"/>
    <x v="120"/>
    <n v="212285"/>
    <x v="3969"/>
    <x v="0"/>
    <s v="Australia"/>
    <n v="250000"/>
    <x v="16"/>
    <x v="0"/>
    <s v="Romance"/>
    <m/>
    <m/>
    <m/>
    <m/>
    <m/>
    <m/>
  </r>
  <r>
    <x v="1476"/>
    <x v="89"/>
    <n v="206678"/>
    <x v="3970"/>
    <x v="21"/>
    <s v="Hong Kong"/>
    <n v="39751583.5"/>
    <x v="20"/>
    <x v="0"/>
    <s v="Family"/>
    <s v="Sci-Fi"/>
    <m/>
    <m/>
    <m/>
    <m/>
    <m/>
  </r>
  <r>
    <x v="2110"/>
    <x v="18"/>
    <n v="206400"/>
    <x v="3971"/>
    <x v="1"/>
    <s v="France"/>
    <n v="50000000"/>
    <x v="26"/>
    <x v="0"/>
    <s v="Crime"/>
    <s v="Drama"/>
    <s v="Romance"/>
    <s v="Thriller"/>
    <m/>
    <m/>
    <m/>
  </r>
  <r>
    <x v="2111"/>
    <x v="86"/>
    <n v="203134"/>
    <x v="3972"/>
    <x v="0"/>
    <s v="USA"/>
    <n v="250000"/>
    <x v="14"/>
    <x v="7"/>
    <s v="Comedy"/>
    <s v="Drama"/>
    <s v="Fantasy"/>
    <s v="Sci-Fi"/>
    <m/>
    <m/>
    <m/>
  </r>
  <r>
    <x v="2112"/>
    <x v="31"/>
    <n v="200803"/>
    <x v="3973"/>
    <x v="0"/>
    <s v="USA"/>
    <n v="3000000"/>
    <x v="48"/>
    <x v="0"/>
    <m/>
    <m/>
    <m/>
    <m/>
    <m/>
    <m/>
    <m/>
  </r>
  <r>
    <x v="2113"/>
    <x v="30"/>
    <n v="199652"/>
    <x v="3974"/>
    <x v="0"/>
    <s v="Spain"/>
    <n v="39751583.5"/>
    <x v="24"/>
    <x v="4"/>
    <s v="Adventure"/>
    <s v="Western"/>
    <m/>
    <m/>
    <m/>
    <m/>
    <m/>
  </r>
  <r>
    <x v="2114"/>
    <x v="49"/>
    <n v="198407"/>
    <x v="3975"/>
    <x v="0"/>
    <s v="USA"/>
    <n v="2000000"/>
    <x v="24"/>
    <x v="3"/>
    <m/>
    <m/>
    <m/>
    <m/>
    <m/>
    <m/>
    <m/>
  </r>
  <r>
    <x v="461"/>
    <x v="31"/>
    <n v="197148"/>
    <x v="3976"/>
    <x v="0"/>
    <s v="UK"/>
    <n v="7500000"/>
    <x v="2"/>
    <x v="3"/>
    <s v="Romance"/>
    <s v="Sci-Fi"/>
    <s v="Thriller"/>
    <m/>
    <m/>
    <m/>
    <m/>
  </r>
  <r>
    <x v="2115"/>
    <x v="49"/>
    <n v="196067"/>
    <x v="3977"/>
    <x v="0"/>
    <s v="UK"/>
    <n v="7000000"/>
    <x v="15"/>
    <x v="3"/>
    <s v="Romance"/>
    <m/>
    <m/>
    <m/>
    <m/>
    <m/>
    <m/>
  </r>
  <r>
    <x v="2116"/>
    <x v="42"/>
    <n v="194568"/>
    <x v="3978"/>
    <x v="0"/>
    <s v="USA"/>
    <n v="1500000"/>
    <x v="8"/>
    <x v="0"/>
    <s v="Romance"/>
    <m/>
    <m/>
    <m/>
    <m/>
    <m/>
    <m/>
  </r>
  <r>
    <x v="1691"/>
    <x v="63"/>
    <n v="192467"/>
    <x v="3979"/>
    <x v="0"/>
    <s v="USA"/>
    <n v="15000"/>
    <x v="24"/>
    <x v="0"/>
    <s v="Drama"/>
    <s v="Romance"/>
    <m/>
    <m/>
    <m/>
    <m/>
    <m/>
  </r>
  <r>
    <x v="1954"/>
    <x v="73"/>
    <n v="191309"/>
    <x v="3980"/>
    <x v="0"/>
    <s v="USA"/>
    <n v="150000"/>
    <x v="3"/>
    <x v="3"/>
    <s v="Mystery"/>
    <s v="Thriller"/>
    <m/>
    <m/>
    <m/>
    <m/>
    <m/>
  </r>
  <r>
    <x v="1714"/>
    <x v="13"/>
    <n v="190666"/>
    <x v="3981"/>
    <x v="7"/>
    <s v="China"/>
    <n v="39751583.5"/>
    <x v="21"/>
    <x v="0"/>
    <s v="Drama"/>
    <m/>
    <m/>
    <m/>
    <m/>
    <m/>
    <m/>
  </r>
  <r>
    <x v="285"/>
    <x v="28"/>
    <n v="190562"/>
    <x v="3982"/>
    <x v="0"/>
    <s v="UK"/>
    <n v="90000000"/>
    <x v="45"/>
    <x v="4"/>
    <s v="Family"/>
    <s v="Fantasy"/>
    <s v="Musical"/>
    <m/>
    <m/>
    <m/>
    <m/>
  </r>
  <r>
    <x v="1946"/>
    <x v="55"/>
    <n v="188870"/>
    <x v="3983"/>
    <x v="11"/>
    <s v="Sweden"/>
    <n v="39751583.5"/>
    <x v="15"/>
    <x v="4"/>
    <s v="Crime"/>
    <s v="Drama"/>
    <s v="Thriller"/>
    <m/>
    <m/>
    <m/>
    <m/>
  </r>
  <r>
    <x v="1781"/>
    <x v="2"/>
    <n v="186354"/>
    <x v="3984"/>
    <x v="0"/>
    <s v="USA"/>
    <n v="13500000"/>
    <x v="36"/>
    <x v="3"/>
    <m/>
    <m/>
    <m/>
    <m/>
    <m/>
    <m/>
    <m/>
  </r>
  <r>
    <x v="1374"/>
    <x v="89"/>
    <n v="185577"/>
    <x v="3985"/>
    <x v="0"/>
    <s v="UK"/>
    <n v="4000000"/>
    <x v="2"/>
    <x v="0"/>
    <m/>
    <m/>
    <m/>
    <m/>
    <m/>
    <m/>
    <m/>
  </r>
  <r>
    <x v="2117"/>
    <x v="16"/>
    <n v="183662"/>
    <x v="3986"/>
    <x v="1"/>
    <s v="France"/>
    <n v="25000000"/>
    <x v="6"/>
    <x v="0"/>
    <s v="Drama"/>
    <m/>
    <m/>
    <m/>
    <m/>
    <m/>
    <m/>
  </r>
  <r>
    <x v="1570"/>
    <x v="55"/>
    <n v="183490"/>
    <x v="3987"/>
    <x v="0"/>
    <s v="USA"/>
    <n v="1700000"/>
    <x v="19"/>
    <x v="3"/>
    <s v="War"/>
    <m/>
    <m/>
    <m/>
    <m/>
    <m/>
    <m/>
  </r>
  <r>
    <x v="56"/>
    <x v="49"/>
    <n v="183125"/>
    <x v="3988"/>
    <x v="0"/>
    <s v="USA"/>
    <n v="35000000"/>
    <x v="3"/>
    <x v="4"/>
    <s v="Crime"/>
    <s v="Drama"/>
    <s v="Thriller"/>
    <m/>
    <m/>
    <m/>
    <m/>
  </r>
  <r>
    <x v="1148"/>
    <x v="61"/>
    <n v="183088"/>
    <x v="3989"/>
    <x v="0"/>
    <s v="USA"/>
    <n v="15000000"/>
    <x v="14"/>
    <x v="0"/>
    <s v="Drama"/>
    <s v="War"/>
    <m/>
    <m/>
    <m/>
    <m/>
    <m/>
  </r>
  <r>
    <x v="2096"/>
    <x v="44"/>
    <n v="181798"/>
    <x v="3990"/>
    <x v="1"/>
    <s v="France"/>
    <n v="39751583.5"/>
    <x v="24"/>
    <x v="3"/>
    <m/>
    <m/>
    <m/>
    <m/>
    <m/>
    <m/>
    <m/>
  </r>
  <r>
    <x v="2118"/>
    <x v="17"/>
    <n v="181655"/>
    <x v="3991"/>
    <x v="18"/>
    <s v="Sweden"/>
    <n v="39751583.5"/>
    <x v="12"/>
    <x v="5"/>
    <s v="Drama"/>
    <m/>
    <m/>
    <m/>
    <m/>
    <m/>
    <m/>
  </r>
  <r>
    <x v="1677"/>
    <x v="7"/>
    <n v="180483"/>
    <x v="3992"/>
    <x v="0"/>
    <s v="USA"/>
    <n v="10000"/>
    <x v="0"/>
    <x v="0"/>
    <s v="Crime"/>
    <s v="Horror"/>
    <m/>
    <m/>
    <m/>
    <m/>
    <m/>
  </r>
  <r>
    <x v="2119"/>
    <x v="51"/>
    <n v="178739"/>
    <x v="3993"/>
    <x v="0"/>
    <s v="USA"/>
    <n v="2450000"/>
    <x v="67"/>
    <x v="3"/>
    <s v="Musical"/>
    <m/>
    <m/>
    <m/>
    <m/>
    <m/>
    <m/>
  </r>
  <r>
    <x v="1790"/>
    <x v="22"/>
    <n v="177840"/>
    <x v="3994"/>
    <x v="0"/>
    <s v="UK"/>
    <n v="250000"/>
    <x v="0"/>
    <x v="0"/>
    <s v="Music"/>
    <m/>
    <m/>
    <m/>
    <m/>
    <m/>
    <m/>
  </r>
  <r>
    <x v="2120"/>
    <x v="28"/>
    <n v="175370"/>
    <x v="3995"/>
    <x v="0"/>
    <s v="USA"/>
    <n v="12000000"/>
    <x v="28"/>
    <x v="0"/>
    <m/>
    <m/>
    <m/>
    <m/>
    <m/>
    <m/>
    <m/>
  </r>
  <r>
    <x v="2121"/>
    <x v="18"/>
    <n v="174682"/>
    <x v="3996"/>
    <x v="0"/>
    <s v="USA"/>
    <n v="200000"/>
    <x v="26"/>
    <x v="3"/>
    <s v="Music"/>
    <m/>
    <m/>
    <m/>
    <m/>
    <m/>
    <m/>
  </r>
  <r>
    <x v="2122"/>
    <x v="48"/>
    <n v="173783"/>
    <x v="3997"/>
    <x v="0"/>
    <s v="USA"/>
    <n v="2500000"/>
    <x v="17"/>
    <x v="10"/>
    <m/>
    <m/>
    <m/>
    <m/>
    <m/>
    <m/>
    <m/>
  </r>
  <r>
    <x v="2123"/>
    <x v="3"/>
    <n v="173066"/>
    <x v="3998"/>
    <x v="0"/>
    <s v="USA"/>
    <n v="1500000"/>
    <x v="2"/>
    <x v="0"/>
    <s v="Fantasy"/>
    <m/>
    <m/>
    <m/>
    <m/>
    <m/>
    <m/>
  </r>
  <r>
    <x v="1578"/>
    <x v="40"/>
    <n v="171988"/>
    <x v="3999"/>
    <x v="0"/>
    <s v="USA"/>
    <n v="600000"/>
    <x v="37"/>
    <x v="4"/>
    <s v="Crime"/>
    <s v="Drama"/>
    <m/>
    <m/>
    <m/>
    <m/>
    <m/>
  </r>
  <r>
    <x v="2124"/>
    <x v="32"/>
    <n v="171320"/>
    <x v="4000"/>
    <x v="1"/>
    <s v="France"/>
    <n v="39751583.5"/>
    <x v="4"/>
    <x v="5"/>
    <s v="Drama"/>
    <m/>
    <m/>
    <m/>
    <m/>
    <m/>
    <m/>
  </r>
  <r>
    <x v="2125"/>
    <x v="10"/>
    <n v="169719"/>
    <x v="4001"/>
    <x v="0"/>
    <s v="USA"/>
    <n v="39751583.5"/>
    <x v="34"/>
    <x v="8"/>
    <s v="Horror"/>
    <m/>
    <m/>
    <m/>
    <m/>
    <m/>
    <m/>
  </r>
  <r>
    <x v="2126"/>
    <x v="65"/>
    <n v="169379"/>
    <x v="4002"/>
    <x v="16"/>
    <s v="Mexico"/>
    <n v="10000000"/>
    <x v="8"/>
    <x v="3"/>
    <s v="History"/>
    <s v="War"/>
    <m/>
    <m/>
    <m/>
    <m/>
    <m/>
  </r>
  <r>
    <x v="1618"/>
    <x v="41"/>
    <n v="163591"/>
    <x v="4003"/>
    <x v="0"/>
    <s v="South Korea"/>
    <n v="13400000"/>
    <x v="58"/>
    <x v="0"/>
    <m/>
    <m/>
    <m/>
    <m/>
    <m/>
    <m/>
    <m/>
  </r>
  <r>
    <x v="2127"/>
    <x v="54"/>
    <n v="163245"/>
    <x v="4004"/>
    <x v="0"/>
    <s v="USA"/>
    <n v="1500000"/>
    <x v="29"/>
    <x v="0"/>
    <s v="Drama"/>
    <s v="Family"/>
    <m/>
    <m/>
    <m/>
    <m/>
    <m/>
  </r>
  <r>
    <x v="2128"/>
    <x v="31"/>
    <n v="155984"/>
    <x v="4005"/>
    <x v="0"/>
    <s v="USA"/>
    <n v="160000"/>
    <x v="7"/>
    <x v="10"/>
    <m/>
    <m/>
    <m/>
    <m/>
    <m/>
    <m/>
    <m/>
  </r>
  <r>
    <x v="2129"/>
    <x v="10"/>
    <n v="155972"/>
    <x v="4006"/>
    <x v="34"/>
    <s v="Israel"/>
    <n v="1500000"/>
    <x v="4"/>
    <x v="0"/>
    <s v="Drama"/>
    <s v="Romance"/>
    <m/>
    <m/>
    <m/>
    <m/>
    <m/>
  </r>
  <r>
    <x v="1997"/>
    <x v="50"/>
    <n v="154077"/>
    <x v="4007"/>
    <x v="0"/>
    <s v="USA"/>
    <n v="500000"/>
    <x v="24"/>
    <x v="0"/>
    <s v="Drama"/>
    <m/>
    <m/>
    <m/>
    <m/>
    <m/>
    <m/>
  </r>
  <r>
    <x v="2130"/>
    <x v="28"/>
    <n v="152857"/>
    <x v="4008"/>
    <x v="0"/>
    <s v="UK"/>
    <n v="39751583.5"/>
    <x v="14"/>
    <x v="3"/>
    <m/>
    <m/>
    <m/>
    <m/>
    <m/>
    <m/>
    <m/>
  </r>
  <r>
    <x v="2131"/>
    <x v="60"/>
    <n v="151389"/>
    <x v="4009"/>
    <x v="0"/>
    <s v="USA"/>
    <n v="500000"/>
    <x v="6"/>
    <x v="10"/>
    <m/>
    <m/>
    <m/>
    <m/>
    <m/>
    <m/>
    <m/>
  </r>
  <r>
    <x v="2132"/>
    <x v="8"/>
    <n v="146402"/>
    <x v="4010"/>
    <x v="16"/>
    <s v="Spain"/>
    <n v="4000000"/>
    <x v="5"/>
    <x v="0"/>
    <s v="Drama"/>
    <m/>
    <m/>
    <m/>
    <m/>
    <m/>
    <m/>
  </r>
  <r>
    <x v="570"/>
    <x v="11"/>
    <n v="146083"/>
    <x v="4011"/>
    <x v="0"/>
    <s v="UK"/>
    <n v="39751583.5"/>
    <x v="2"/>
    <x v="3"/>
    <s v="Romance"/>
    <s v="War"/>
    <m/>
    <m/>
    <m/>
    <m/>
    <m/>
  </r>
  <r>
    <x v="2133"/>
    <x v="31"/>
    <n v="145540"/>
    <x v="4012"/>
    <x v="0"/>
    <s v="USA"/>
    <n v="500000"/>
    <x v="15"/>
    <x v="3"/>
    <s v="Horror"/>
    <m/>
    <m/>
    <m/>
    <m/>
    <m/>
    <m/>
  </r>
  <r>
    <x v="453"/>
    <x v="177"/>
    <n v="145118"/>
    <x v="4013"/>
    <x v="0"/>
    <s v="France"/>
    <n v="39751583.5"/>
    <x v="5"/>
    <x v="6"/>
    <s v="Crime"/>
    <s v="Drama"/>
    <s v="Thriller"/>
    <m/>
    <m/>
    <m/>
    <m/>
  </r>
  <r>
    <x v="2134"/>
    <x v="105"/>
    <n v="145109"/>
    <x v="4014"/>
    <x v="15"/>
    <s v="Denmark"/>
    <n v="45000000"/>
    <x v="4"/>
    <x v="3"/>
    <s v="History"/>
    <s v="Thriller"/>
    <s v="War"/>
    <m/>
    <m/>
    <m/>
    <m/>
  </r>
  <r>
    <x v="1458"/>
    <x v="44"/>
    <n v="144583"/>
    <x v="4015"/>
    <x v="0"/>
    <s v="France"/>
    <n v="800000"/>
    <x v="20"/>
    <x v="3"/>
    <s v="Thriller"/>
    <m/>
    <m/>
    <m/>
    <m/>
    <m/>
    <m/>
  </r>
  <r>
    <x v="2135"/>
    <x v="0"/>
    <n v="144431"/>
    <x v="4016"/>
    <x v="0"/>
    <s v="UK"/>
    <n v="1000000"/>
    <x v="4"/>
    <x v="10"/>
    <s v="Sport"/>
    <m/>
    <m/>
    <m/>
    <m/>
    <m/>
    <m/>
  </r>
  <r>
    <x v="2136"/>
    <x v="44"/>
    <n v="143653"/>
    <x v="4017"/>
    <x v="0"/>
    <s v="UK"/>
    <n v="4000000"/>
    <x v="27"/>
    <x v="6"/>
    <s v="Drama"/>
    <m/>
    <m/>
    <m/>
    <m/>
    <m/>
    <m/>
  </r>
  <r>
    <x v="2137"/>
    <x v="60"/>
    <n v="143000"/>
    <x v="4018"/>
    <x v="0"/>
    <s v="USA"/>
    <n v="5000000"/>
    <x v="30"/>
    <x v="1"/>
    <s v="Thriller"/>
    <m/>
    <m/>
    <m/>
    <m/>
    <m/>
    <m/>
  </r>
  <r>
    <x v="373"/>
    <x v="34"/>
    <n v="141853"/>
    <x v="4019"/>
    <x v="0"/>
    <s v="Australia"/>
    <n v="12000000"/>
    <x v="27"/>
    <x v="0"/>
    <s v="Drama"/>
    <m/>
    <m/>
    <m/>
    <m/>
    <m/>
    <m/>
  </r>
  <r>
    <x v="1958"/>
    <x v="20"/>
    <n v="140987"/>
    <x v="4020"/>
    <x v="0"/>
    <s v="Canada"/>
    <n v="39751583.5"/>
    <x v="41"/>
    <x v="3"/>
    <m/>
    <m/>
    <m/>
    <m/>
    <m/>
    <m/>
    <m/>
  </r>
  <r>
    <x v="122"/>
    <x v="37"/>
    <n v="140244"/>
    <x v="4021"/>
    <x v="0"/>
    <s v="USA"/>
    <n v="8500000"/>
    <x v="15"/>
    <x v="1"/>
    <s v="Musical"/>
    <s v="Sci-Fi"/>
    <m/>
    <m/>
    <m/>
    <m/>
    <m/>
  </r>
  <r>
    <x v="1691"/>
    <x v="3"/>
    <n v="140016"/>
    <x v="4022"/>
    <x v="0"/>
    <s v="USA"/>
    <n v="39751583.5"/>
    <x v="27"/>
    <x v="0"/>
    <s v="Drama"/>
    <s v="Horror"/>
    <s v="Romance"/>
    <m/>
    <m/>
    <m/>
    <m/>
  </r>
  <r>
    <x v="377"/>
    <x v="20"/>
    <n v="137945"/>
    <x v="4023"/>
    <x v="0"/>
    <s v="USA"/>
    <n v="39751583.5"/>
    <x v="1"/>
    <x v="0"/>
    <s v="Drama"/>
    <s v="Musical"/>
    <s v="Romance"/>
    <m/>
    <m/>
    <m/>
    <m/>
  </r>
  <r>
    <x v="655"/>
    <x v="10"/>
    <n v="136432"/>
    <x v="4024"/>
    <x v="0"/>
    <s v="UK"/>
    <n v="5000000"/>
    <x v="24"/>
    <x v="0"/>
    <s v="Horror"/>
    <s v="Thriller"/>
    <m/>
    <m/>
    <m/>
    <m/>
    <m/>
  </r>
  <r>
    <x v="1770"/>
    <x v="28"/>
    <n v="136007"/>
    <x v="4025"/>
    <x v="1"/>
    <s v="France"/>
    <n v="4500"/>
    <x v="26"/>
    <x v="3"/>
    <s v="Music"/>
    <s v="Romance"/>
    <m/>
    <m/>
    <m/>
    <m/>
    <m/>
  </r>
  <r>
    <x v="208"/>
    <x v="24"/>
    <n v="134904"/>
    <x v="4026"/>
    <x v="0"/>
    <s v="USA"/>
    <n v="25000000"/>
    <x v="21"/>
    <x v="0"/>
    <s v="Drama"/>
    <s v="Romance"/>
    <s v="Sport"/>
    <m/>
    <m/>
    <m/>
    <m/>
  </r>
  <r>
    <x v="2138"/>
    <x v="56"/>
    <n v="133778"/>
    <x v="4027"/>
    <x v="0"/>
    <s v="USA"/>
    <n v="500000"/>
    <x v="39"/>
    <x v="10"/>
    <s v="Sport"/>
    <m/>
    <m/>
    <m/>
    <m/>
    <m/>
    <m/>
  </r>
  <r>
    <x v="1708"/>
    <x v="68"/>
    <n v="131617"/>
    <x v="4028"/>
    <x v="0"/>
    <s v="USA"/>
    <n v="10000000"/>
    <x v="2"/>
    <x v="3"/>
    <s v="Thriller"/>
    <m/>
    <m/>
    <m/>
    <m/>
    <m/>
    <m/>
  </r>
  <r>
    <x v="2139"/>
    <x v="13"/>
    <n v="131175"/>
    <x v="4029"/>
    <x v="0"/>
    <s v="USA"/>
    <n v="8500000"/>
    <x v="37"/>
    <x v="3"/>
    <s v="Horror"/>
    <m/>
    <m/>
    <m/>
    <m/>
    <m/>
    <m/>
  </r>
  <r>
    <x v="2140"/>
    <x v="34"/>
    <n v="129319"/>
    <x v="4030"/>
    <x v="0"/>
    <s v="India"/>
    <n v="70000000"/>
    <x v="33"/>
    <x v="11"/>
    <m/>
    <m/>
    <m/>
    <m/>
    <m/>
    <m/>
    <m/>
  </r>
  <r>
    <x v="601"/>
    <x v="41"/>
    <n v="129115"/>
    <x v="4031"/>
    <x v="21"/>
    <s v="China"/>
    <n v="25000000"/>
    <x v="20"/>
    <x v="4"/>
    <s v="Drama"/>
    <m/>
    <m/>
    <m/>
    <m/>
    <m/>
    <m/>
  </r>
  <r>
    <x v="2141"/>
    <x v="8"/>
    <n v="128978"/>
    <x v="4032"/>
    <x v="7"/>
    <s v="Hong Kong"/>
    <n v="40000000"/>
    <x v="6"/>
    <x v="4"/>
    <s v="Drama"/>
    <s v="History"/>
    <s v="Romance"/>
    <s v="War"/>
    <m/>
    <m/>
    <m/>
  </r>
  <r>
    <x v="2142"/>
    <x v="89"/>
    <n v="128937"/>
    <x v="4033"/>
    <x v="0"/>
    <s v="Ireland"/>
    <n v="39751583.5"/>
    <x v="8"/>
    <x v="3"/>
    <s v="Horror"/>
    <s v="Romance"/>
    <m/>
    <m/>
    <m/>
    <m/>
    <m/>
  </r>
  <r>
    <x v="1595"/>
    <x v="74"/>
    <n v="128486"/>
    <x v="4034"/>
    <x v="9"/>
    <s v="South Korea"/>
    <n v="10000000"/>
    <x v="4"/>
    <x v="4"/>
    <s v="Adventure"/>
    <s v="Comedy"/>
    <s v="Western"/>
    <m/>
    <m/>
    <m/>
    <m/>
  </r>
  <r>
    <x v="2143"/>
    <x v="64"/>
    <n v="127437"/>
    <x v="4035"/>
    <x v="7"/>
    <s v="China"/>
    <n v="18000000"/>
    <x v="27"/>
    <x v="4"/>
    <s v="Adventure"/>
    <s v="Drama"/>
    <s v="History"/>
    <s v="War"/>
    <m/>
    <m/>
    <m/>
  </r>
  <r>
    <x v="2144"/>
    <x v="4"/>
    <n v="127144"/>
    <x v="4036"/>
    <x v="0"/>
    <s v="USA"/>
    <n v="8000000"/>
    <x v="3"/>
    <x v="0"/>
    <s v="Drama"/>
    <s v="Romance"/>
    <m/>
    <m/>
    <m/>
    <m/>
    <m/>
  </r>
  <r>
    <x v="2145"/>
    <x v="68"/>
    <n v="126387"/>
    <x v="4037"/>
    <x v="12"/>
    <s v="Italy"/>
    <n v="400000"/>
    <x v="26"/>
    <x v="1"/>
    <m/>
    <m/>
    <m/>
    <m/>
    <m/>
    <m/>
    <m/>
  </r>
  <r>
    <x v="2146"/>
    <x v="39"/>
    <n v="126247"/>
    <x v="4038"/>
    <x v="0"/>
    <s v="USA"/>
    <n v="6200000"/>
    <x v="68"/>
    <x v="0"/>
    <s v="Crime"/>
    <m/>
    <m/>
    <m/>
    <m/>
    <m/>
    <m/>
  </r>
  <r>
    <x v="2147"/>
    <x v="4"/>
    <n v="125169"/>
    <x v="4039"/>
    <x v="0"/>
    <s v="USA"/>
    <n v="10500000"/>
    <x v="16"/>
    <x v="0"/>
    <s v="Drama"/>
    <m/>
    <m/>
    <m/>
    <m/>
    <m/>
    <m/>
  </r>
  <r>
    <x v="2148"/>
    <x v="10"/>
    <n v="124720"/>
    <x v="4040"/>
    <x v="0"/>
    <s v="USA"/>
    <n v="5000000"/>
    <x v="4"/>
    <x v="3"/>
    <s v="Romance"/>
    <m/>
    <m/>
    <m/>
    <m/>
    <m/>
    <m/>
  </r>
  <r>
    <x v="2149"/>
    <x v="50"/>
    <n v="124494"/>
    <x v="4041"/>
    <x v="0"/>
    <s v="USA"/>
    <n v="2000000"/>
    <x v="15"/>
    <x v="4"/>
    <s v="Adventure"/>
    <s v="Comedy"/>
    <s v="Drama"/>
    <s v="Music"/>
    <s v="Sci-Fi"/>
    <m/>
    <m/>
  </r>
  <r>
    <x v="2150"/>
    <x v="51"/>
    <n v="123777"/>
    <x v="4042"/>
    <x v="0"/>
    <s v="Canada"/>
    <n v="3500000"/>
    <x v="47"/>
    <x v="4"/>
    <s v="Biography"/>
    <s v="Crime"/>
    <s v="Drama"/>
    <s v="Family"/>
    <s v="Fantasy"/>
    <m/>
    <m/>
  </r>
  <r>
    <x v="1333"/>
    <x v="0"/>
    <n v="122288"/>
    <x v="4043"/>
    <x v="0"/>
    <s v="UK"/>
    <n v="39751583.5"/>
    <x v="16"/>
    <x v="4"/>
    <s v="Adventure"/>
    <s v="Drama"/>
    <s v="History"/>
    <s v="Thriller"/>
    <s v="War"/>
    <m/>
    <m/>
  </r>
  <r>
    <x v="2151"/>
    <x v="41"/>
    <n v="121972"/>
    <x v="4044"/>
    <x v="0"/>
    <s v="USA"/>
    <n v="22000000"/>
    <x v="3"/>
    <x v="5"/>
    <s v="Drama"/>
    <s v="Mystery"/>
    <m/>
    <m/>
    <m/>
    <m/>
    <m/>
  </r>
  <r>
    <x v="1703"/>
    <x v="10"/>
    <n v="120620"/>
    <x v="4045"/>
    <x v="0"/>
    <s v="UK"/>
    <n v="39751583.5"/>
    <x v="7"/>
    <x v="6"/>
    <s v="Comedy"/>
    <s v="Drama"/>
    <s v="Music"/>
    <m/>
    <m/>
    <m/>
    <m/>
  </r>
  <r>
    <x v="2152"/>
    <x v="33"/>
    <n v="119922"/>
    <x v="4046"/>
    <x v="7"/>
    <s v="China"/>
    <n v="12000000"/>
    <x v="5"/>
    <x v="3"/>
    <s v="History"/>
    <s v="War"/>
    <m/>
    <m/>
    <m/>
    <m/>
    <m/>
  </r>
  <r>
    <x v="2153"/>
    <x v="50"/>
    <n v="119841"/>
    <x v="4047"/>
    <x v="0"/>
    <s v="USA"/>
    <n v="1500000"/>
    <x v="20"/>
    <x v="3"/>
    <m/>
    <m/>
    <m/>
    <m/>
    <m/>
    <m/>
    <m/>
  </r>
  <r>
    <x v="2154"/>
    <x v="41"/>
    <n v="118666"/>
    <x v="4048"/>
    <x v="0"/>
    <s v="USA"/>
    <n v="2500000"/>
    <x v="24"/>
    <x v="3"/>
    <m/>
    <m/>
    <m/>
    <m/>
    <m/>
    <m/>
    <m/>
  </r>
  <r>
    <x v="2155"/>
    <x v="0"/>
    <n v="117560"/>
    <x v="4049"/>
    <x v="0"/>
    <s v="USA"/>
    <n v="6000000"/>
    <x v="8"/>
    <x v="3"/>
    <s v="Romance"/>
    <m/>
    <m/>
    <m/>
    <m/>
    <m/>
    <m/>
  </r>
  <r>
    <x v="332"/>
    <x v="1"/>
    <n v="117190"/>
    <x v="4050"/>
    <x v="0"/>
    <s v="UK"/>
    <n v="8000000"/>
    <x v="26"/>
    <x v="4"/>
    <s v="Comedy"/>
    <s v="Crime"/>
    <m/>
    <m/>
    <m/>
    <m/>
    <m/>
  </r>
  <r>
    <x v="1372"/>
    <x v="49"/>
    <n v="115862"/>
    <x v="4051"/>
    <x v="0"/>
    <s v="USA"/>
    <n v="6000000"/>
    <x v="15"/>
    <x v="3"/>
    <s v="Romance"/>
    <m/>
    <m/>
    <m/>
    <m/>
    <m/>
    <m/>
  </r>
  <r>
    <x v="2156"/>
    <x v="40"/>
    <n v="115504"/>
    <x v="4052"/>
    <x v="0"/>
    <s v="UK"/>
    <n v="14000000"/>
    <x v="8"/>
    <x v="0"/>
    <s v="Drama"/>
    <s v="Romance"/>
    <m/>
    <m/>
    <m/>
    <m/>
    <m/>
  </r>
  <r>
    <x v="167"/>
    <x v="56"/>
    <n v="113155"/>
    <x v="4053"/>
    <x v="0"/>
    <s v="USA"/>
    <n v="39751583.5"/>
    <x v="0"/>
    <x v="2"/>
    <s v="Comedy"/>
    <s v="Sci-Fi"/>
    <m/>
    <m/>
    <m/>
    <m/>
    <m/>
  </r>
  <r>
    <x v="1727"/>
    <x v="64"/>
    <n v="112935"/>
    <x v="4054"/>
    <x v="0"/>
    <s v="UK"/>
    <n v="9000000"/>
    <x v="17"/>
    <x v="3"/>
    <m/>
    <m/>
    <m/>
    <m/>
    <m/>
    <m/>
    <m/>
  </r>
  <r>
    <x v="1081"/>
    <x v="10"/>
    <n v="112521"/>
    <x v="4055"/>
    <x v="0"/>
    <s v="USA"/>
    <n v="39751583.5"/>
    <x v="21"/>
    <x v="0"/>
    <s v="Drama"/>
    <m/>
    <m/>
    <m/>
    <m/>
    <m/>
    <m/>
  </r>
  <r>
    <x v="2157"/>
    <x v="89"/>
    <n v="111300"/>
    <x v="4056"/>
    <x v="0"/>
    <s v="USA"/>
    <n v="225000"/>
    <x v="31"/>
    <x v="10"/>
    <m/>
    <m/>
    <m/>
    <m/>
    <m/>
    <m/>
    <m/>
  </r>
  <r>
    <x v="2158"/>
    <x v="60"/>
    <n v="110720"/>
    <x v="4057"/>
    <x v="0"/>
    <s v="USA"/>
    <n v="1200000"/>
    <x v="4"/>
    <x v="0"/>
    <m/>
    <m/>
    <m/>
    <m/>
    <m/>
    <m/>
    <m/>
  </r>
  <r>
    <x v="2159"/>
    <x v="10"/>
    <n v="110536"/>
    <x v="4058"/>
    <x v="0"/>
    <s v="USA"/>
    <n v="40000"/>
    <x v="14"/>
    <x v="0"/>
    <s v="Horror"/>
    <s v="Sci-Fi"/>
    <m/>
    <m/>
    <m/>
    <m/>
    <m/>
  </r>
  <r>
    <x v="2160"/>
    <x v="20"/>
    <n v="110197"/>
    <x v="4059"/>
    <x v="41"/>
    <s v="Greece"/>
    <n v="39751583.5"/>
    <x v="4"/>
    <x v="3"/>
    <s v="Thriller"/>
    <m/>
    <m/>
    <m/>
    <m/>
    <m/>
    <m/>
  </r>
  <r>
    <x v="2161"/>
    <x v="60"/>
    <n v="110029"/>
    <x v="4060"/>
    <x v="0"/>
    <s v="Australia"/>
    <n v="6500000"/>
    <x v="2"/>
    <x v="0"/>
    <s v="Drama"/>
    <s v="Musical"/>
    <m/>
    <m/>
    <m/>
    <m/>
    <m/>
  </r>
  <r>
    <x v="2162"/>
    <x v="4"/>
    <n v="110000"/>
    <x v="4061"/>
    <x v="0"/>
    <s v="USA"/>
    <n v="39751583.5"/>
    <x v="4"/>
    <x v="5"/>
    <s v="Drama"/>
    <s v="Romance"/>
    <m/>
    <m/>
    <m/>
    <m/>
    <m/>
  </r>
  <r>
    <x v="2163"/>
    <x v="13"/>
    <n v="108662"/>
    <x v="4062"/>
    <x v="0"/>
    <s v="USA"/>
    <n v="8000000"/>
    <x v="27"/>
    <x v="5"/>
    <s v="Horror"/>
    <s v="Thriller"/>
    <m/>
    <m/>
    <m/>
    <m/>
    <m/>
  </r>
  <r>
    <x v="2164"/>
    <x v="44"/>
    <n v="108229"/>
    <x v="4063"/>
    <x v="0"/>
    <s v="USA"/>
    <n v="4500000"/>
    <x v="1"/>
    <x v="3"/>
    <s v="Horror"/>
    <s v="Mystery"/>
    <s v="Thriller"/>
    <m/>
    <m/>
    <m/>
    <m/>
  </r>
  <r>
    <x v="2165"/>
    <x v="35"/>
    <n v="106869"/>
    <x v="4064"/>
    <x v="0"/>
    <s v="France"/>
    <n v="17000000"/>
    <x v="24"/>
    <x v="5"/>
    <s v="Drama"/>
    <s v="Romance"/>
    <s v="Thriller"/>
    <m/>
    <m/>
    <m/>
    <m/>
  </r>
  <r>
    <x v="2166"/>
    <x v="1"/>
    <n v="105943"/>
    <x v="4065"/>
    <x v="0"/>
    <s v="USA"/>
    <n v="1500000"/>
    <x v="0"/>
    <x v="0"/>
    <m/>
    <m/>
    <m/>
    <m/>
    <m/>
    <m/>
    <m/>
  </r>
  <r>
    <x v="1209"/>
    <x v="22"/>
    <n v="104792"/>
    <x v="4066"/>
    <x v="0"/>
    <s v="UK"/>
    <n v="39751583.5"/>
    <x v="6"/>
    <x v="4"/>
    <s v="Biography"/>
    <s v="Crime"/>
    <s v="Drama"/>
    <m/>
    <m/>
    <m/>
    <m/>
  </r>
  <r>
    <x v="2167"/>
    <x v="4"/>
    <n v="104257"/>
    <x v="4067"/>
    <x v="0"/>
    <s v="UK"/>
    <n v="2200000"/>
    <x v="6"/>
    <x v="0"/>
    <s v="Music"/>
    <m/>
    <m/>
    <m/>
    <m/>
    <m/>
    <m/>
  </r>
  <r>
    <x v="2168"/>
    <x v="60"/>
    <n v="104077"/>
    <x v="4068"/>
    <x v="0"/>
    <s v="USA"/>
    <n v="1000000"/>
    <x v="7"/>
    <x v="0"/>
    <s v="Drama"/>
    <s v="Fantasy"/>
    <s v="Romance"/>
    <m/>
    <m/>
    <m/>
    <m/>
  </r>
  <r>
    <x v="2169"/>
    <x v="1"/>
    <n v="101228"/>
    <x v="4069"/>
    <x v="0"/>
    <s v="USA"/>
    <n v="3500000"/>
    <x v="16"/>
    <x v="0"/>
    <s v="Drama"/>
    <m/>
    <m/>
    <m/>
    <m/>
    <m/>
    <m/>
  </r>
  <r>
    <x v="705"/>
    <x v="10"/>
    <n v="101055"/>
    <x v="4070"/>
    <x v="0"/>
    <s v="USA"/>
    <n v="4000000"/>
    <x v="38"/>
    <x v="1"/>
    <m/>
    <m/>
    <m/>
    <m/>
    <m/>
    <m/>
    <m/>
  </r>
  <r>
    <x v="2170"/>
    <x v="31"/>
    <n v="100675"/>
    <x v="4071"/>
    <x v="0"/>
    <s v="USA"/>
    <n v="3000000"/>
    <x v="16"/>
    <x v="10"/>
    <m/>
    <m/>
    <m/>
    <m/>
    <m/>
    <m/>
    <m/>
  </r>
  <r>
    <x v="2171"/>
    <x v="63"/>
    <n v="100669"/>
    <x v="4072"/>
    <x v="0"/>
    <s v="USA"/>
    <n v="3800000"/>
    <x v="19"/>
    <x v="0"/>
    <s v="Drama"/>
    <m/>
    <m/>
    <m/>
    <m/>
    <m/>
    <m/>
  </r>
  <r>
    <x v="2172"/>
    <x v="13"/>
    <n v="100659"/>
    <x v="4073"/>
    <x v="0"/>
    <s v="USA"/>
    <n v="900000"/>
    <x v="16"/>
    <x v="1"/>
    <m/>
    <m/>
    <m/>
    <m/>
    <m/>
    <m/>
    <m/>
  </r>
  <r>
    <x v="2173"/>
    <x v="10"/>
    <n v="100503"/>
    <x v="4074"/>
    <x v="0"/>
    <s v="USA"/>
    <n v="8000000"/>
    <x v="1"/>
    <x v="0"/>
    <s v="Romance"/>
    <m/>
    <m/>
    <m/>
    <m/>
    <m/>
    <m/>
  </r>
  <r>
    <x v="2174"/>
    <x v="35"/>
    <n v="100412"/>
    <x v="4075"/>
    <x v="6"/>
    <s v="Mexico"/>
    <n v="4000000"/>
    <x v="5"/>
    <x v="3"/>
    <m/>
    <m/>
    <m/>
    <m/>
    <m/>
    <m/>
    <m/>
  </r>
  <r>
    <x v="2175"/>
    <x v="0"/>
    <n v="100358"/>
    <x v="4076"/>
    <x v="0"/>
    <s v="India"/>
    <n v="1500000"/>
    <x v="68"/>
    <x v="0"/>
    <s v="Musical"/>
    <s v="Romance"/>
    <m/>
    <m/>
    <m/>
    <m/>
    <m/>
  </r>
  <r>
    <x v="2176"/>
    <x v="31"/>
    <n v="100240"/>
    <x v="4077"/>
    <x v="0"/>
    <s v="Denmark"/>
    <n v="1000000"/>
    <x v="9"/>
    <x v="10"/>
    <m/>
    <m/>
    <m/>
    <m/>
    <m/>
    <m/>
    <m/>
  </r>
  <r>
    <x v="2177"/>
    <x v="42"/>
    <n v="99851"/>
    <x v="4078"/>
    <x v="0"/>
    <s v="USA"/>
    <n v="2500000"/>
    <x v="6"/>
    <x v="10"/>
    <m/>
    <m/>
    <m/>
    <m/>
    <m/>
    <m/>
    <m/>
  </r>
  <r>
    <x v="1070"/>
    <x v="51"/>
    <n v="99462"/>
    <x v="4079"/>
    <x v="0"/>
    <s v="France"/>
    <n v="33000000"/>
    <x v="6"/>
    <x v="4"/>
    <s v="Adventure"/>
    <s v="Drama"/>
    <s v="Family"/>
    <m/>
    <m/>
    <m/>
    <m/>
  </r>
  <r>
    <x v="2068"/>
    <x v="10"/>
    <n v="99147"/>
    <x v="4080"/>
    <x v="0"/>
    <s v="USA"/>
    <n v="2000000"/>
    <x v="8"/>
    <x v="3"/>
    <m/>
    <m/>
    <m/>
    <m/>
    <m/>
    <m/>
    <m/>
  </r>
  <r>
    <x v="2178"/>
    <x v="68"/>
    <n v="98017"/>
    <x v="4081"/>
    <x v="0"/>
    <s v="France"/>
    <n v="500000"/>
    <x v="19"/>
    <x v="0"/>
    <s v="Fantasy"/>
    <s v="Horror"/>
    <m/>
    <m/>
    <m/>
    <m/>
    <m/>
  </r>
  <r>
    <x v="270"/>
    <x v="50"/>
    <n v="96793"/>
    <x v="4082"/>
    <x v="0"/>
    <s v="USA"/>
    <n v="3500000"/>
    <x v="48"/>
    <x v="4"/>
    <s v="Comedy"/>
    <s v="Romance"/>
    <m/>
    <m/>
    <m/>
    <m/>
    <m/>
  </r>
  <r>
    <x v="2179"/>
    <x v="48"/>
    <n v="96734"/>
    <x v="4083"/>
    <x v="0"/>
    <s v="USA"/>
    <n v="1000000"/>
    <x v="37"/>
    <x v="4"/>
    <s v="Drama"/>
    <m/>
    <m/>
    <m/>
    <m/>
    <m/>
    <m/>
  </r>
  <r>
    <x v="2180"/>
    <x v="163"/>
    <n v="95236"/>
    <x v="4084"/>
    <x v="14"/>
    <s v="India"/>
    <n v="39751583.5"/>
    <x v="16"/>
    <x v="3"/>
    <s v="Musical"/>
    <m/>
    <m/>
    <m/>
    <m/>
    <m/>
    <m/>
  </r>
  <r>
    <x v="2108"/>
    <x v="1"/>
    <n v="95016"/>
    <x v="4085"/>
    <x v="6"/>
    <s v="Germany"/>
    <n v="2700000"/>
    <x v="7"/>
    <x v="0"/>
    <s v="Drama"/>
    <s v="Romance"/>
    <s v="Sport"/>
    <m/>
    <m/>
    <m/>
    <m/>
  </r>
  <r>
    <x v="2181"/>
    <x v="11"/>
    <n v="94596"/>
    <x v="4086"/>
    <x v="4"/>
    <s v="Japan"/>
    <n v="1000000"/>
    <x v="7"/>
    <x v="5"/>
    <s v="Horror"/>
    <s v="Mystery"/>
    <s v="Thriller"/>
    <m/>
    <m/>
    <m/>
    <m/>
  </r>
  <r>
    <x v="2182"/>
    <x v="10"/>
    <n v="92900"/>
    <x v="4087"/>
    <x v="0"/>
    <s v="USA"/>
    <n v="5000000"/>
    <x v="47"/>
    <x v="0"/>
    <s v="Drama"/>
    <m/>
    <m/>
    <m/>
    <m/>
    <m/>
    <m/>
  </r>
  <r>
    <x v="2183"/>
    <x v="51"/>
    <n v="92401"/>
    <x v="4088"/>
    <x v="0"/>
    <s v="USA"/>
    <n v="2000000"/>
    <x v="2"/>
    <x v="1"/>
    <s v="Thriller"/>
    <m/>
    <m/>
    <m/>
    <m/>
    <m/>
    <m/>
  </r>
  <r>
    <x v="1391"/>
    <x v="10"/>
    <n v="92362"/>
    <x v="4089"/>
    <x v="0"/>
    <s v="USA"/>
    <n v="1500000"/>
    <x v="49"/>
    <x v="0"/>
    <s v="Drama"/>
    <m/>
    <m/>
    <m/>
    <m/>
    <m/>
    <m/>
  </r>
  <r>
    <x v="2184"/>
    <x v="4"/>
    <n v="92191"/>
    <x v="4090"/>
    <x v="0"/>
    <s v="UK"/>
    <n v="2500000"/>
    <x v="20"/>
    <x v="0"/>
    <s v="Drama"/>
    <s v="Sport"/>
    <m/>
    <m/>
    <m/>
    <m/>
    <m/>
  </r>
  <r>
    <x v="2185"/>
    <x v="3"/>
    <n v="90820"/>
    <x v="4091"/>
    <x v="0"/>
    <s v="USA"/>
    <n v="39751583.5"/>
    <x v="27"/>
    <x v="3"/>
    <s v="Horror"/>
    <s v="Sci-Fi"/>
    <s v="Thriller"/>
    <m/>
    <m/>
    <m/>
    <m/>
  </r>
  <r>
    <x v="2186"/>
    <x v="25"/>
    <n v="85433"/>
    <x v="4092"/>
    <x v="0"/>
    <s v="Italy"/>
    <n v="13500000"/>
    <x v="22"/>
    <x v="5"/>
    <s v="Drama"/>
    <s v="Mystery"/>
    <s v="Romance"/>
    <m/>
    <m/>
    <m/>
    <m/>
  </r>
  <r>
    <x v="1578"/>
    <x v="10"/>
    <n v="85222"/>
    <x v="4093"/>
    <x v="0"/>
    <s v="USA"/>
    <n v="1100"/>
    <x v="24"/>
    <x v="10"/>
    <m/>
    <m/>
    <m/>
    <m/>
    <m/>
    <m/>
    <m/>
  </r>
  <r>
    <x v="1714"/>
    <x v="42"/>
    <n v="84961"/>
    <x v="4094"/>
    <x v="7"/>
    <s v="China"/>
    <n v="31000000"/>
    <x v="12"/>
    <x v="4"/>
    <s v="Adventure"/>
    <s v="History"/>
    <m/>
    <m/>
    <m/>
    <m/>
    <m/>
  </r>
  <r>
    <x v="2187"/>
    <x v="10"/>
    <n v="84689"/>
    <x v="4095"/>
    <x v="0"/>
    <s v="Germany"/>
    <n v="39751583.5"/>
    <x v="31"/>
    <x v="10"/>
    <m/>
    <m/>
    <m/>
    <m/>
    <m/>
    <m/>
    <m/>
  </r>
  <r>
    <x v="1720"/>
    <x v="15"/>
    <n v="82739"/>
    <x v="4096"/>
    <x v="0"/>
    <s v="USA"/>
    <n v="39751583.5"/>
    <x v="15"/>
    <x v="3"/>
    <m/>
    <m/>
    <m/>
    <m/>
    <m/>
    <m/>
    <m/>
  </r>
  <r>
    <x v="2188"/>
    <x v="20"/>
    <n v="81525"/>
    <x v="4097"/>
    <x v="1"/>
    <s v="France"/>
    <n v="15300000"/>
    <x v="24"/>
    <x v="4"/>
    <s v="Comedy"/>
    <s v="Crime"/>
    <s v="Drama"/>
    <s v="Thriller"/>
    <m/>
    <m/>
    <m/>
  </r>
  <r>
    <x v="2189"/>
    <x v="60"/>
    <n v="79043"/>
    <x v="4098"/>
    <x v="0"/>
    <s v="USA"/>
    <n v="39751583.5"/>
    <x v="2"/>
    <x v="5"/>
    <s v="Drama"/>
    <m/>
    <m/>
    <m/>
    <m/>
    <m/>
    <m/>
  </r>
  <r>
    <x v="389"/>
    <x v="0"/>
    <n v="78030"/>
    <x v="4099"/>
    <x v="0"/>
    <s v="USA"/>
    <n v="200000"/>
    <x v="20"/>
    <x v="3"/>
    <m/>
    <m/>
    <m/>
    <m/>
    <m/>
    <m/>
    <m/>
  </r>
  <r>
    <x v="2172"/>
    <x v="43"/>
    <n v="77501"/>
    <x v="4100"/>
    <x v="0"/>
    <s v="USA"/>
    <n v="750000"/>
    <x v="3"/>
    <x v="1"/>
    <m/>
    <m/>
    <m/>
    <m/>
    <m/>
    <m/>
    <m/>
  </r>
  <r>
    <x v="1747"/>
    <x v="48"/>
    <n v="77231"/>
    <x v="4101"/>
    <x v="42"/>
    <s v="France"/>
    <n v="25000000"/>
    <x v="27"/>
    <x v="3"/>
    <s v="History"/>
    <s v="War"/>
    <m/>
    <m/>
    <m/>
    <m/>
    <m/>
  </r>
  <r>
    <x v="2190"/>
    <x v="60"/>
    <n v="76382"/>
    <x v="4102"/>
    <x v="0"/>
    <s v="USA"/>
    <n v="15000"/>
    <x v="8"/>
    <x v="11"/>
    <m/>
    <m/>
    <m/>
    <m/>
    <m/>
    <m/>
    <m/>
  </r>
  <r>
    <x v="2191"/>
    <x v="10"/>
    <n v="75727"/>
    <x v="4103"/>
    <x v="16"/>
    <s v="USA"/>
    <n v="2500000"/>
    <x v="1"/>
    <x v="3"/>
    <s v="Romance"/>
    <s v="Sci-Fi"/>
    <s v="Thriller"/>
    <m/>
    <m/>
    <m/>
    <m/>
  </r>
  <r>
    <x v="147"/>
    <x v="18"/>
    <n v="75078"/>
    <x v="4104"/>
    <x v="0"/>
    <s v="USA"/>
    <n v="14000000"/>
    <x v="2"/>
    <x v="0"/>
    <m/>
    <m/>
    <m/>
    <m/>
    <m/>
    <m/>
    <m/>
  </r>
  <r>
    <x v="1797"/>
    <x v="29"/>
    <n v="74205"/>
    <x v="4105"/>
    <x v="0"/>
    <s v="Denmark"/>
    <n v="14200000"/>
    <x v="7"/>
    <x v="3"/>
    <m/>
    <m/>
    <m/>
    <m/>
    <m/>
    <m/>
    <m/>
  </r>
  <r>
    <x v="2192"/>
    <x v="41"/>
    <n v="73678"/>
    <x v="4106"/>
    <x v="0"/>
    <s v="USA"/>
    <n v="3000000"/>
    <x v="1"/>
    <x v="3"/>
    <s v="History"/>
    <s v="War"/>
    <m/>
    <m/>
    <m/>
    <m/>
    <m/>
  </r>
  <r>
    <x v="2193"/>
    <x v="18"/>
    <n v="73548"/>
    <x v="4107"/>
    <x v="0"/>
    <s v="USA"/>
    <n v="15000000"/>
    <x v="0"/>
    <x v="8"/>
    <s v="Horror"/>
    <s v="Mystery"/>
    <m/>
    <m/>
    <m/>
    <m/>
    <m/>
  </r>
  <r>
    <x v="596"/>
    <x v="18"/>
    <n v="72413"/>
    <x v="4108"/>
    <x v="7"/>
    <s v="China"/>
    <n v="65000000"/>
    <x v="0"/>
    <x v="4"/>
    <s v="Adventure"/>
    <s v="Drama"/>
    <s v="History"/>
    <m/>
    <m/>
    <m/>
    <m/>
  </r>
  <r>
    <x v="2194"/>
    <x v="41"/>
    <n v="71904"/>
    <x v="4109"/>
    <x v="0"/>
    <s v="USA"/>
    <n v="2500000"/>
    <x v="21"/>
    <x v="0"/>
    <s v="Drama"/>
    <s v="Family"/>
    <m/>
    <m/>
    <m/>
    <m/>
    <m/>
  </r>
  <r>
    <x v="2195"/>
    <x v="42"/>
    <n v="71442"/>
    <x v="4110"/>
    <x v="1"/>
    <s v="France"/>
    <n v="9600000"/>
    <x v="12"/>
    <x v="7"/>
    <s v="Comedy"/>
    <s v="Crime"/>
    <s v="Drama"/>
    <s v="Family"/>
    <m/>
    <m/>
    <m/>
  </r>
  <r>
    <x v="2196"/>
    <x v="63"/>
    <n v="70527"/>
    <x v="4111"/>
    <x v="0"/>
    <s v="USA"/>
    <n v="6500000"/>
    <x v="15"/>
    <x v="0"/>
    <s v="Drama"/>
    <m/>
    <m/>
    <m/>
    <m/>
    <m/>
    <m/>
  </r>
  <r>
    <x v="2197"/>
    <x v="42"/>
    <n v="70071"/>
    <x v="4112"/>
    <x v="0"/>
    <s v="Philippines"/>
    <n v="7000"/>
    <x v="2"/>
    <x v="14"/>
    <m/>
    <m/>
    <m/>
    <m/>
    <m/>
    <m/>
    <m/>
  </r>
  <r>
    <x v="2198"/>
    <x v="20"/>
    <n v="69582"/>
    <x v="4113"/>
    <x v="0"/>
    <s v="UK"/>
    <n v="39751583.5"/>
    <x v="16"/>
    <x v="0"/>
    <m/>
    <m/>
    <m/>
    <m/>
    <m/>
    <m/>
    <m/>
  </r>
  <r>
    <x v="2199"/>
    <x v="51"/>
    <n v="66637"/>
    <x v="4114"/>
    <x v="0"/>
    <s v="USA"/>
    <n v="6500000"/>
    <x v="11"/>
    <x v="3"/>
    <s v="Romance"/>
    <s v="War"/>
    <m/>
    <m/>
    <m/>
    <m/>
    <m/>
  </r>
  <r>
    <x v="2200"/>
    <x v="13"/>
    <n v="65804"/>
    <x v="4115"/>
    <x v="0"/>
    <s v="USA"/>
    <n v="12000000"/>
    <x v="2"/>
    <x v="5"/>
    <s v="Drama"/>
    <s v="Thriller"/>
    <m/>
    <m/>
    <m/>
    <m/>
    <m/>
  </r>
  <r>
    <x v="193"/>
    <x v="10"/>
    <n v="65087"/>
    <x v="4116"/>
    <x v="0"/>
    <s v="USA"/>
    <n v="5000000"/>
    <x v="8"/>
    <x v="5"/>
    <s v="Thriller"/>
    <s v="War"/>
    <m/>
    <m/>
    <m/>
    <m/>
    <m/>
  </r>
  <r>
    <x v="384"/>
    <x v="31"/>
    <n v="64359"/>
    <x v="4117"/>
    <x v="0"/>
    <s v="UK"/>
    <n v="2500000"/>
    <x v="1"/>
    <x v="0"/>
    <s v="Romance"/>
    <m/>
    <m/>
    <m/>
    <m/>
    <m/>
    <m/>
  </r>
  <r>
    <x v="137"/>
    <x v="21"/>
    <n v="64286"/>
    <x v="4118"/>
    <x v="0"/>
    <s v="USA"/>
    <n v="29000000"/>
    <x v="12"/>
    <x v="3"/>
    <s v="Romance"/>
    <m/>
    <m/>
    <m/>
    <m/>
    <m/>
    <m/>
  </r>
  <r>
    <x v="2201"/>
    <x v="40"/>
    <n v="64148"/>
    <x v="4119"/>
    <x v="0"/>
    <s v="UK"/>
    <n v="6500000"/>
    <x v="4"/>
    <x v="3"/>
    <m/>
    <m/>
    <m/>
    <m/>
    <m/>
    <m/>
    <m/>
  </r>
  <r>
    <x v="2202"/>
    <x v="51"/>
    <n v="63260"/>
    <x v="4120"/>
    <x v="0"/>
    <s v="France"/>
    <n v="14000000"/>
    <x v="15"/>
    <x v="4"/>
    <s v="Animation"/>
    <s v="Sci-Fi"/>
    <s v="Thriller"/>
    <m/>
    <m/>
    <m/>
    <m/>
  </r>
  <r>
    <x v="2203"/>
    <x v="0"/>
    <n v="62480"/>
    <x v="4121"/>
    <x v="0"/>
    <s v="USA"/>
    <n v="1000000"/>
    <x v="3"/>
    <x v="3"/>
    <s v="Sci-Fi"/>
    <m/>
    <m/>
    <m/>
    <m/>
    <m/>
    <m/>
  </r>
  <r>
    <x v="1348"/>
    <x v="5"/>
    <n v="59774"/>
    <x v="4122"/>
    <x v="6"/>
    <s v="Germany"/>
    <n v="39751583.5"/>
    <x v="9"/>
    <x v="0"/>
    <s v="Drama"/>
    <s v="Romance"/>
    <m/>
    <m/>
    <m/>
    <m/>
    <m/>
  </r>
  <r>
    <x v="2204"/>
    <x v="60"/>
    <n v="59379"/>
    <x v="4123"/>
    <x v="0"/>
    <s v="USA"/>
    <n v="200000"/>
    <x v="9"/>
    <x v="0"/>
    <s v="Crime"/>
    <s v="Drama"/>
    <s v="Horror"/>
    <s v="Thriller"/>
    <m/>
    <m/>
    <m/>
  </r>
  <r>
    <x v="2205"/>
    <x v="60"/>
    <n v="58936"/>
    <x v="4124"/>
    <x v="0"/>
    <s v="USA"/>
    <n v="1200000"/>
    <x v="0"/>
    <x v="0"/>
    <s v="Music"/>
    <m/>
    <m/>
    <m/>
    <m/>
    <m/>
    <m/>
  </r>
  <r>
    <x v="1738"/>
    <x v="40"/>
    <n v="58214"/>
    <x v="4125"/>
    <x v="0"/>
    <s v="USA"/>
    <n v="9500000"/>
    <x v="14"/>
    <x v="5"/>
    <s v="Drama"/>
    <s v="Thriller"/>
    <m/>
    <m/>
    <m/>
    <m/>
    <m/>
  </r>
  <r>
    <x v="2206"/>
    <x v="54"/>
    <n v="58163"/>
    <x v="4126"/>
    <x v="0"/>
    <s v="USA"/>
    <n v="39751583.5"/>
    <x v="41"/>
    <x v="3"/>
    <m/>
    <m/>
    <m/>
    <m/>
    <m/>
    <m/>
    <m/>
  </r>
  <r>
    <x v="1585"/>
    <x v="11"/>
    <n v="56692"/>
    <x v="4127"/>
    <x v="0"/>
    <s v="USA"/>
    <n v="25000000"/>
    <x v="4"/>
    <x v="2"/>
    <s v="Drama"/>
    <m/>
    <m/>
    <m/>
    <m/>
    <m/>
    <m/>
  </r>
  <r>
    <x v="2207"/>
    <x v="28"/>
    <n v="56129"/>
    <x v="4128"/>
    <x v="0"/>
    <s v="Canada"/>
    <n v="1100000"/>
    <x v="0"/>
    <x v="9"/>
    <s v="Thriller"/>
    <m/>
    <m/>
    <m/>
    <m/>
    <m/>
    <m/>
  </r>
  <r>
    <x v="1913"/>
    <x v="4"/>
    <n v="56007"/>
    <x v="4129"/>
    <x v="0"/>
    <s v="USA"/>
    <n v="5500000"/>
    <x v="35"/>
    <x v="0"/>
    <s v="Crime"/>
    <s v="Drama"/>
    <s v="Romance"/>
    <s v="Thriller"/>
    <m/>
    <m/>
    <m/>
  </r>
  <r>
    <x v="2208"/>
    <x v="31"/>
    <n v="55202"/>
    <x v="4130"/>
    <x v="14"/>
    <s v="India"/>
    <n v="39751583.5"/>
    <x v="48"/>
    <x v="7"/>
    <s v="Comedy"/>
    <s v="Family"/>
    <s v="Romance"/>
    <m/>
    <m/>
    <m/>
    <m/>
  </r>
  <r>
    <x v="71"/>
    <x v="40"/>
    <n v="54734"/>
    <x v="4131"/>
    <x v="0"/>
    <s v="Spain"/>
    <n v="39751583.5"/>
    <x v="21"/>
    <x v="5"/>
    <s v="Drama"/>
    <s v="Mystery"/>
    <s v="Thriller"/>
    <m/>
    <m/>
    <m/>
    <m/>
  </r>
  <r>
    <x v="1085"/>
    <x v="34"/>
    <n v="54606"/>
    <x v="4132"/>
    <x v="0"/>
    <s v="UK"/>
    <n v="6000000"/>
    <x v="8"/>
    <x v="0"/>
    <s v="Crime"/>
    <s v="Romance"/>
    <m/>
    <m/>
    <m/>
    <m/>
    <m/>
  </r>
  <r>
    <x v="2209"/>
    <x v="34"/>
    <n v="53481"/>
    <x v="4133"/>
    <x v="0"/>
    <s v="USA"/>
    <n v="8000000"/>
    <x v="16"/>
    <x v="5"/>
    <s v="Drama"/>
    <s v="Thriller"/>
    <m/>
    <m/>
    <m/>
    <m/>
    <m/>
  </r>
  <r>
    <x v="2210"/>
    <x v="0"/>
    <n v="52961"/>
    <x v="4134"/>
    <x v="0"/>
    <s v="Spain"/>
    <n v="8000000"/>
    <x v="48"/>
    <x v="3"/>
    <m/>
    <m/>
    <m/>
    <m/>
    <m/>
    <m/>
    <m/>
  </r>
  <r>
    <x v="292"/>
    <x v="3"/>
    <n v="52850"/>
    <x v="4135"/>
    <x v="0"/>
    <s v="USA"/>
    <n v="500000"/>
    <x v="8"/>
    <x v="0"/>
    <m/>
    <m/>
    <m/>
    <m/>
    <m/>
    <m/>
    <m/>
  </r>
  <r>
    <x v="2211"/>
    <x v="10"/>
    <n v="52166"/>
    <x v="4136"/>
    <x v="0"/>
    <s v="USA"/>
    <n v="2000000"/>
    <x v="15"/>
    <x v="3"/>
    <m/>
    <m/>
    <m/>
    <m/>
    <m/>
    <m/>
    <m/>
  </r>
  <r>
    <x v="1196"/>
    <x v="58"/>
    <n v="50000"/>
    <x v="4137"/>
    <x v="8"/>
    <s v="China"/>
    <n v="39751583.5"/>
    <x v="33"/>
    <x v="4"/>
    <s v="Adventure"/>
    <s v="Comedy"/>
    <s v="Romance"/>
    <m/>
    <m/>
    <m/>
    <m/>
  </r>
  <r>
    <x v="2212"/>
    <x v="7"/>
    <n v="49526"/>
    <x v="4138"/>
    <x v="0"/>
    <s v="USA"/>
    <n v="6800000"/>
    <x v="14"/>
    <x v="0"/>
    <s v="Drama"/>
    <m/>
    <m/>
    <m/>
    <m/>
    <m/>
    <m/>
  </r>
  <r>
    <x v="621"/>
    <x v="4"/>
    <n v="49494"/>
    <x v="4139"/>
    <x v="0"/>
    <s v="USA"/>
    <n v="250000"/>
    <x v="67"/>
    <x v="3"/>
    <s v="Thriller"/>
    <m/>
    <m/>
    <m/>
    <m/>
    <m/>
    <m/>
  </r>
  <r>
    <x v="2213"/>
    <x v="28"/>
    <n v="49413"/>
    <x v="4140"/>
    <x v="21"/>
    <s v="Hong Kong"/>
    <n v="35000000"/>
    <x v="4"/>
    <x v="4"/>
    <s v="Crime"/>
    <s v="Thriller"/>
    <m/>
    <m/>
    <m/>
    <m/>
    <m/>
  </r>
  <r>
    <x v="2214"/>
    <x v="163"/>
    <n v="49000"/>
    <x v="4141"/>
    <x v="14"/>
    <s v="India"/>
    <n v="1500000"/>
    <x v="46"/>
    <x v="14"/>
    <m/>
    <m/>
    <m/>
    <m/>
    <m/>
    <m/>
    <m/>
  </r>
  <r>
    <x v="2084"/>
    <x v="16"/>
    <n v="48856"/>
    <x v="4142"/>
    <x v="4"/>
    <s v="Japan"/>
    <n v="11900000"/>
    <x v="31"/>
    <x v="3"/>
    <m/>
    <m/>
    <m/>
    <m/>
    <m/>
    <m/>
    <m/>
  </r>
  <r>
    <x v="2215"/>
    <x v="31"/>
    <n v="48430"/>
    <x v="4143"/>
    <x v="0"/>
    <s v="USA"/>
    <n v="500000"/>
    <x v="9"/>
    <x v="0"/>
    <s v="Crime"/>
    <s v="Thriller"/>
    <m/>
    <m/>
    <m/>
    <m/>
    <m/>
  </r>
  <r>
    <x v="1148"/>
    <x v="60"/>
    <n v="47329"/>
    <x v="4144"/>
    <x v="0"/>
    <s v="USA"/>
    <n v="750000"/>
    <x v="24"/>
    <x v="3"/>
    <m/>
    <m/>
    <m/>
    <m/>
    <m/>
    <m/>
    <m/>
  </r>
  <r>
    <x v="2216"/>
    <x v="86"/>
    <n v="47111"/>
    <x v="4145"/>
    <x v="21"/>
    <s v="USA"/>
    <n v="39751583.5"/>
    <x v="9"/>
    <x v="0"/>
    <s v="Drama"/>
    <m/>
    <m/>
    <m/>
    <m/>
    <m/>
    <m/>
  </r>
  <r>
    <x v="1646"/>
    <x v="141"/>
    <n v="46495"/>
    <x v="4146"/>
    <x v="0"/>
    <s v="USA"/>
    <n v="14000000"/>
    <x v="20"/>
    <x v="3"/>
    <m/>
    <m/>
    <m/>
    <m/>
    <m/>
    <m/>
    <m/>
  </r>
  <r>
    <x v="2217"/>
    <x v="36"/>
    <n v="46451"/>
    <x v="4147"/>
    <x v="0"/>
    <s v="USA"/>
    <n v="7000000"/>
    <x v="27"/>
    <x v="0"/>
    <s v="Crime"/>
    <s v="Thriller"/>
    <m/>
    <m/>
    <m/>
    <m/>
    <m/>
  </r>
  <r>
    <x v="1398"/>
    <x v="22"/>
    <n v="45661"/>
    <x v="4148"/>
    <x v="0"/>
    <s v="USA"/>
    <n v="39751583.5"/>
    <x v="4"/>
    <x v="3"/>
    <s v="Thriller"/>
    <m/>
    <m/>
    <m/>
    <m/>
    <m/>
    <m/>
  </r>
  <r>
    <x v="180"/>
    <x v="64"/>
    <n v="45250"/>
    <x v="4149"/>
    <x v="0"/>
    <s v="USA"/>
    <n v="18000000"/>
    <x v="25"/>
    <x v="6"/>
    <s v="Drama"/>
    <s v="Sport"/>
    <m/>
    <m/>
    <m/>
    <m/>
    <m/>
  </r>
  <r>
    <x v="2218"/>
    <x v="35"/>
    <n v="42880"/>
    <x v="4150"/>
    <x v="0"/>
    <s v="UK"/>
    <n v="24000000"/>
    <x v="33"/>
    <x v="3"/>
    <s v="Romance"/>
    <m/>
    <m/>
    <m/>
    <m/>
    <m/>
    <m/>
  </r>
  <r>
    <x v="355"/>
    <x v="50"/>
    <n v="41709"/>
    <x v="4151"/>
    <x v="35"/>
    <s v="Norway"/>
    <n v="800000"/>
    <x v="16"/>
    <x v="0"/>
    <s v="Horror"/>
    <m/>
    <m/>
    <m/>
    <m/>
    <m/>
    <m/>
  </r>
  <r>
    <x v="2117"/>
    <x v="83"/>
    <n v="41229"/>
    <x v="4152"/>
    <x v="0"/>
    <s v="France"/>
    <n v="25500000"/>
    <x v="20"/>
    <x v="5"/>
    <s v="Drama"/>
    <s v="Thriller"/>
    <m/>
    <m/>
    <m/>
    <m/>
    <m/>
  </r>
  <r>
    <x v="2219"/>
    <x v="68"/>
    <n v="40557"/>
    <x v="4153"/>
    <x v="0"/>
    <s v="USA"/>
    <n v="60000"/>
    <x v="37"/>
    <x v="0"/>
    <m/>
    <m/>
    <m/>
    <m/>
    <m/>
    <m/>
    <m/>
  </r>
  <r>
    <x v="1358"/>
    <x v="20"/>
    <n v="40542"/>
    <x v="4154"/>
    <x v="0"/>
    <s v="USA"/>
    <n v="300000"/>
    <x v="3"/>
    <x v="3"/>
    <s v="Romance"/>
    <m/>
    <m/>
    <m/>
    <m/>
    <m/>
    <m/>
  </r>
  <r>
    <x v="2220"/>
    <x v="0"/>
    <n v="39852"/>
    <x v="4155"/>
    <x v="0"/>
    <s v="USA"/>
    <n v="3000000"/>
    <x v="15"/>
    <x v="0"/>
    <s v="Drama"/>
    <m/>
    <m/>
    <m/>
    <m/>
    <m/>
    <m/>
  </r>
  <r>
    <x v="2221"/>
    <x v="165"/>
    <n v="39659"/>
    <x v="4156"/>
    <x v="0"/>
    <s v="Canada"/>
    <n v="1600000"/>
    <x v="14"/>
    <x v="0"/>
    <s v="Horror"/>
    <s v="Musical"/>
    <m/>
    <m/>
    <m/>
    <m/>
    <m/>
  </r>
  <r>
    <x v="2222"/>
    <x v="145"/>
    <n v="38108"/>
    <x v="4157"/>
    <x v="16"/>
    <s v="Spain"/>
    <n v="2600000"/>
    <x v="11"/>
    <x v="1"/>
    <s v="Mystery"/>
    <s v="Sci-Fi"/>
    <s v="Thriller"/>
    <m/>
    <m/>
    <m/>
    <m/>
  </r>
  <r>
    <x v="2223"/>
    <x v="13"/>
    <n v="37606"/>
    <x v="4158"/>
    <x v="0"/>
    <s v="Canada"/>
    <n v="3500000"/>
    <x v="9"/>
    <x v="0"/>
    <s v="Crime"/>
    <s v="Drama"/>
    <m/>
    <m/>
    <m/>
    <m/>
    <m/>
  </r>
  <r>
    <x v="2224"/>
    <x v="51"/>
    <n v="37440"/>
    <x v="4159"/>
    <x v="0"/>
    <s v="USA"/>
    <n v="5000000"/>
    <x v="31"/>
    <x v="0"/>
    <s v="Drama"/>
    <s v="Music"/>
    <m/>
    <m/>
    <m/>
    <m/>
    <m/>
  </r>
  <r>
    <x v="2225"/>
    <x v="20"/>
    <n v="36830"/>
    <x v="4160"/>
    <x v="0"/>
    <s v="UK"/>
    <n v="1400000"/>
    <x v="24"/>
    <x v="2"/>
    <s v="Comedy"/>
    <s v="Horror"/>
    <m/>
    <m/>
    <m/>
    <m/>
    <m/>
  </r>
  <r>
    <x v="2226"/>
    <x v="63"/>
    <n v="36497"/>
    <x v="4161"/>
    <x v="0"/>
    <s v="USA"/>
    <n v="6000000"/>
    <x v="47"/>
    <x v="0"/>
    <m/>
    <m/>
    <m/>
    <m/>
    <m/>
    <m/>
    <m/>
  </r>
  <r>
    <x v="2227"/>
    <x v="31"/>
    <n v="35688"/>
    <x v="4162"/>
    <x v="0"/>
    <s v="USA"/>
    <n v="600000"/>
    <x v="33"/>
    <x v="0"/>
    <m/>
    <m/>
    <m/>
    <m/>
    <m/>
    <m/>
    <m/>
  </r>
  <r>
    <x v="2228"/>
    <x v="3"/>
    <n v="34151"/>
    <x v="4163"/>
    <x v="34"/>
    <s v="Israel"/>
    <n v="450000"/>
    <x v="11"/>
    <x v="10"/>
    <s v="History"/>
    <m/>
    <m/>
    <m/>
    <m/>
    <m/>
    <m/>
  </r>
  <r>
    <x v="2229"/>
    <x v="89"/>
    <n v="33598"/>
    <x v="4164"/>
    <x v="0"/>
    <s v="USA"/>
    <n v="39751583.5"/>
    <x v="18"/>
    <x v="0"/>
    <s v="Romance"/>
    <m/>
    <m/>
    <m/>
    <m/>
    <m/>
    <m/>
  </r>
  <r>
    <x v="180"/>
    <x v="48"/>
    <n v="32645"/>
    <x v="4165"/>
    <x v="0"/>
    <s v="USA"/>
    <n v="500000"/>
    <x v="7"/>
    <x v="5"/>
    <s v="Drama"/>
    <s v="Romance"/>
    <s v="Thriller"/>
    <m/>
    <m/>
    <m/>
    <m/>
  </r>
  <r>
    <x v="2230"/>
    <x v="44"/>
    <n v="32631"/>
    <x v="4166"/>
    <x v="0"/>
    <s v="Cameroon"/>
    <n v="39751583.5"/>
    <x v="31"/>
    <x v="10"/>
    <m/>
    <m/>
    <m/>
    <m/>
    <m/>
    <m/>
    <m/>
  </r>
  <r>
    <x v="1984"/>
    <x v="41"/>
    <n v="31937"/>
    <x v="4167"/>
    <x v="0"/>
    <s v="USA"/>
    <n v="500000"/>
    <x v="21"/>
    <x v="0"/>
    <s v="Romance"/>
    <m/>
    <m/>
    <m/>
    <m/>
    <m/>
    <m/>
  </r>
  <r>
    <x v="2231"/>
    <x v="61"/>
    <n v="31662"/>
    <x v="4168"/>
    <x v="0"/>
    <s v="South Korea"/>
    <n v="12620000"/>
    <x v="9"/>
    <x v="4"/>
    <s v="Drama"/>
    <s v="History"/>
    <s v="War"/>
    <m/>
    <m/>
    <m/>
    <m/>
  </r>
  <r>
    <x v="2066"/>
    <x v="68"/>
    <n v="30084"/>
    <x v="4169"/>
    <x v="0"/>
    <s v="USA"/>
    <n v="70000"/>
    <x v="37"/>
    <x v="0"/>
    <s v="Drama"/>
    <m/>
    <m/>
    <m/>
    <m/>
    <m/>
    <m/>
  </r>
  <r>
    <x v="1788"/>
    <x v="41"/>
    <n v="29233"/>
    <x v="4170"/>
    <x v="0"/>
    <s v="USA"/>
    <n v="3500000"/>
    <x v="14"/>
    <x v="10"/>
    <m/>
    <m/>
    <m/>
    <m/>
    <m/>
    <m/>
    <m/>
  </r>
  <r>
    <x v="2232"/>
    <x v="10"/>
    <n v="28870"/>
    <x v="4171"/>
    <x v="0"/>
    <s v="USA"/>
    <n v="15000000"/>
    <x v="33"/>
    <x v="5"/>
    <s v="Drama"/>
    <s v="Thriller"/>
    <m/>
    <m/>
    <m/>
    <m/>
    <m/>
  </r>
  <r>
    <x v="2233"/>
    <x v="49"/>
    <n v="27445"/>
    <x v="4172"/>
    <x v="0"/>
    <s v="USA"/>
    <n v="9000000"/>
    <x v="48"/>
    <x v="4"/>
    <s v="Comedy"/>
    <s v="Drama"/>
    <s v="Thriller"/>
    <m/>
    <m/>
    <m/>
    <m/>
  </r>
  <r>
    <x v="749"/>
    <x v="63"/>
    <n v="27024"/>
    <x v="4173"/>
    <x v="16"/>
    <s v="Spain"/>
    <n v="5600000"/>
    <x v="24"/>
    <x v="1"/>
    <m/>
    <m/>
    <m/>
    <m/>
    <m/>
    <m/>
    <m/>
  </r>
  <r>
    <x v="595"/>
    <x v="13"/>
    <n v="27012"/>
    <x v="4174"/>
    <x v="0"/>
    <s v="USA"/>
    <n v="39751583.5"/>
    <x v="1"/>
    <x v="3"/>
    <m/>
    <m/>
    <m/>
    <m/>
    <m/>
    <m/>
    <m/>
  </r>
  <r>
    <x v="2234"/>
    <x v="21"/>
    <n v="26893"/>
    <x v="4175"/>
    <x v="1"/>
    <s v="France"/>
    <n v="1600000"/>
    <x v="11"/>
    <x v="5"/>
    <s v="Drama"/>
    <s v="Romance"/>
    <m/>
    <m/>
    <m/>
    <m/>
    <m/>
  </r>
  <r>
    <x v="2235"/>
    <x v="80"/>
    <n v="26435"/>
    <x v="4176"/>
    <x v="6"/>
    <s v="Germany"/>
    <n v="6000000"/>
    <x v="25"/>
    <x v="3"/>
    <s v="Sci-Fi"/>
    <m/>
    <m/>
    <m/>
    <m/>
    <m/>
    <m/>
  </r>
  <r>
    <x v="942"/>
    <x v="48"/>
    <n v="26345"/>
    <x v="4177"/>
    <x v="0"/>
    <s v="UK"/>
    <n v="3000000"/>
    <x v="0"/>
    <x v="4"/>
    <s v="Crime"/>
    <s v="Drama"/>
    <m/>
    <m/>
    <m/>
    <m/>
    <m/>
  </r>
  <r>
    <x v="2236"/>
    <x v="13"/>
    <n v="26297"/>
    <x v="4178"/>
    <x v="0"/>
    <s v="UK"/>
    <n v="500000"/>
    <x v="2"/>
    <x v="5"/>
    <s v="Horror"/>
    <s v="Thriller"/>
    <m/>
    <m/>
    <m/>
    <m/>
    <m/>
  </r>
  <r>
    <x v="2237"/>
    <x v="3"/>
    <n v="25918"/>
    <x v="4179"/>
    <x v="0"/>
    <s v="USA"/>
    <n v="39751583.5"/>
    <x v="19"/>
    <x v="3"/>
    <s v="Horror"/>
    <s v="Mystery"/>
    <s v="Thriller"/>
    <m/>
    <m/>
    <m/>
    <m/>
  </r>
  <r>
    <x v="647"/>
    <x v="0"/>
    <n v="24784"/>
    <x v="4180"/>
    <x v="0"/>
    <s v="Canada"/>
    <n v="1200000"/>
    <x v="7"/>
    <x v="10"/>
    <m/>
    <m/>
    <m/>
    <m/>
    <m/>
    <m/>
    <m/>
  </r>
  <r>
    <x v="2238"/>
    <x v="124"/>
    <n v="24705"/>
    <x v="4181"/>
    <x v="0"/>
    <s v="USA"/>
    <n v="39751583.5"/>
    <x v="2"/>
    <x v="3"/>
    <m/>
    <m/>
    <m/>
    <m/>
    <m/>
    <m/>
    <m/>
  </r>
  <r>
    <x v="2239"/>
    <x v="35"/>
    <n v="23947"/>
    <x v="4182"/>
    <x v="0"/>
    <s v="USA"/>
    <n v="13000000"/>
    <x v="5"/>
    <x v="9"/>
    <s v="Thriller"/>
    <m/>
    <m/>
    <m/>
    <m/>
    <m/>
    <m/>
  </r>
  <r>
    <x v="2240"/>
    <x v="1"/>
    <n v="23838"/>
    <x v="4183"/>
    <x v="0"/>
    <s v="UK"/>
    <n v="7000000"/>
    <x v="3"/>
    <x v="1"/>
    <s v="Sci-Fi"/>
    <s v="Thriller"/>
    <m/>
    <m/>
    <m/>
    <m/>
    <m/>
  </r>
  <r>
    <x v="600"/>
    <x v="142"/>
    <n v="23807"/>
    <x v="4184"/>
    <x v="0"/>
    <s v="USA"/>
    <n v="39751583.5"/>
    <x v="25"/>
    <x v="10"/>
    <m/>
    <m/>
    <m/>
    <m/>
    <m/>
    <m/>
    <m/>
  </r>
  <r>
    <x v="2241"/>
    <x v="18"/>
    <n v="23616"/>
    <x v="4185"/>
    <x v="0"/>
    <s v="USA"/>
    <n v="600000"/>
    <x v="37"/>
    <x v="12"/>
    <s v="Thriller"/>
    <m/>
    <m/>
    <m/>
    <m/>
    <m/>
    <m/>
  </r>
  <r>
    <x v="1925"/>
    <x v="30"/>
    <n v="23106"/>
    <x v="4186"/>
    <x v="0"/>
    <s v="Italy"/>
    <n v="50000000"/>
    <x v="24"/>
    <x v="0"/>
    <s v="Crime"/>
    <s v="Drama"/>
    <s v="Romance"/>
    <m/>
    <m/>
    <m/>
    <m/>
  </r>
  <r>
    <x v="2242"/>
    <x v="22"/>
    <n v="23091"/>
    <x v="4187"/>
    <x v="0"/>
    <s v="UK"/>
    <n v="15000000"/>
    <x v="8"/>
    <x v="3"/>
    <s v="Romance"/>
    <s v="War"/>
    <m/>
    <m/>
    <m/>
    <m/>
    <m/>
  </r>
  <r>
    <x v="2243"/>
    <x v="18"/>
    <n v="23000"/>
    <x v="4188"/>
    <x v="0"/>
    <s v="USA"/>
    <n v="500000"/>
    <x v="8"/>
    <x v="0"/>
    <s v="Horror"/>
    <s v="Musical"/>
    <m/>
    <m/>
    <m/>
    <m/>
    <m/>
  </r>
  <r>
    <x v="2244"/>
    <x v="4"/>
    <n v="22770"/>
    <x v="4189"/>
    <x v="4"/>
    <s v="Japan"/>
    <n v="5500000"/>
    <x v="0"/>
    <x v="0"/>
    <s v="Drama"/>
    <m/>
    <m/>
    <m/>
    <m/>
    <m/>
    <m/>
  </r>
  <r>
    <x v="2200"/>
    <x v="51"/>
    <n v="22723"/>
    <x v="4190"/>
    <x v="0"/>
    <s v="Germany"/>
    <n v="25000000"/>
    <x v="36"/>
    <x v="4"/>
    <s v="Comedy"/>
    <s v="Drama"/>
    <s v="War"/>
    <m/>
    <m/>
    <m/>
    <m/>
  </r>
  <r>
    <x v="2245"/>
    <x v="36"/>
    <n v="22451"/>
    <x v="4191"/>
    <x v="0"/>
    <s v="USA"/>
    <n v="60000000"/>
    <x v="8"/>
    <x v="3"/>
    <s v="Fantasy"/>
    <s v="Mystery"/>
    <s v="Romance"/>
    <m/>
    <m/>
    <m/>
    <m/>
  </r>
  <r>
    <x v="2246"/>
    <x v="1"/>
    <n v="22434"/>
    <x v="4192"/>
    <x v="0"/>
    <s v="USA"/>
    <n v="39751583.5"/>
    <x v="26"/>
    <x v="0"/>
    <s v="Drama"/>
    <m/>
    <m/>
    <m/>
    <m/>
    <m/>
    <m/>
  </r>
  <r>
    <x v="1150"/>
    <x v="57"/>
    <n v="22000"/>
    <x v="4193"/>
    <x v="0"/>
    <s v="Germany"/>
    <n v="3000000"/>
    <x v="19"/>
    <x v="3"/>
    <s v="Sci-Fi"/>
    <s v="Thriller"/>
    <m/>
    <m/>
    <m/>
    <m/>
    <m/>
  </r>
  <r>
    <x v="118"/>
    <x v="60"/>
    <n v="21210"/>
    <x v="4194"/>
    <x v="0"/>
    <s v="USA"/>
    <n v="1000000"/>
    <x v="0"/>
    <x v="0"/>
    <s v="Crime"/>
    <m/>
    <m/>
    <m/>
    <m/>
    <m/>
    <m/>
  </r>
  <r>
    <x v="2247"/>
    <x v="68"/>
    <n v="21199"/>
    <x v="4195"/>
    <x v="0"/>
    <s v="USA"/>
    <n v="500000"/>
    <x v="9"/>
    <x v="4"/>
    <s v="Biography"/>
    <s v="Documentary"/>
    <s v="Sport"/>
    <m/>
    <m/>
    <m/>
    <m/>
  </r>
  <r>
    <x v="2248"/>
    <x v="31"/>
    <n v="20380"/>
    <x v="4196"/>
    <x v="0"/>
    <s v="USA"/>
    <n v="15000000"/>
    <x v="1"/>
    <x v="0"/>
    <s v="Drama"/>
    <s v="Fantasy"/>
    <s v="Music"/>
    <s v="Romance"/>
    <m/>
    <m/>
    <m/>
  </r>
  <r>
    <x v="2249"/>
    <x v="40"/>
    <n v="20262"/>
    <x v="4197"/>
    <x v="17"/>
    <s v="Brazil"/>
    <n v="4000000"/>
    <x v="0"/>
    <x v="3"/>
    <m/>
    <m/>
    <m/>
    <m/>
    <m/>
    <m/>
    <m/>
  </r>
  <r>
    <x v="1894"/>
    <x v="60"/>
    <n v="20218"/>
    <x v="4198"/>
    <x v="0"/>
    <s v="USA"/>
    <n v="24000000"/>
    <x v="48"/>
    <x v="4"/>
    <s v="Comedy"/>
    <s v="Crime"/>
    <s v="Thriller"/>
    <m/>
    <m/>
    <m/>
    <m/>
  </r>
  <r>
    <x v="2250"/>
    <x v="89"/>
    <n v="20200"/>
    <x v="4199"/>
    <x v="0"/>
    <s v="USA"/>
    <n v="6000000"/>
    <x v="19"/>
    <x v="3"/>
    <s v="Music"/>
    <m/>
    <m/>
    <m/>
    <m/>
    <m/>
    <m/>
  </r>
  <r>
    <x v="2251"/>
    <x v="41"/>
    <n v="20186"/>
    <x v="4200"/>
    <x v="0"/>
    <s v="USA"/>
    <n v="930000"/>
    <x v="21"/>
    <x v="0"/>
    <m/>
    <m/>
    <m/>
    <m/>
    <m/>
    <m/>
    <m/>
  </r>
  <r>
    <x v="2252"/>
    <x v="4"/>
    <n v="19959"/>
    <x v="4201"/>
    <x v="0"/>
    <s v="Iceland"/>
    <n v="3800000"/>
    <x v="26"/>
    <x v="3"/>
    <m/>
    <m/>
    <m/>
    <m/>
    <m/>
    <m/>
    <m/>
  </r>
  <r>
    <x v="2253"/>
    <x v="54"/>
    <n v="19539"/>
    <x v="4202"/>
    <x v="0"/>
    <s v="USA"/>
    <n v="1000000"/>
    <x v="8"/>
    <x v="0"/>
    <m/>
    <m/>
    <m/>
    <m/>
    <m/>
    <m/>
    <m/>
  </r>
  <r>
    <x v="2254"/>
    <x v="50"/>
    <n v="19348"/>
    <x v="4203"/>
    <x v="0"/>
    <s v="USA"/>
    <n v="10000000"/>
    <x v="3"/>
    <x v="0"/>
    <s v="Drama"/>
    <m/>
    <m/>
    <m/>
    <m/>
    <m/>
    <m/>
  </r>
  <r>
    <x v="2255"/>
    <x v="1"/>
    <n v="18469"/>
    <x v="4204"/>
    <x v="0"/>
    <s v="USA"/>
    <n v="650000"/>
    <x v="20"/>
    <x v="3"/>
    <s v="Horror"/>
    <s v="Sci-Fi"/>
    <m/>
    <m/>
    <m/>
    <m/>
    <m/>
  </r>
  <r>
    <x v="2256"/>
    <x v="13"/>
    <n v="18435"/>
    <x v="4205"/>
    <x v="1"/>
    <s v="France"/>
    <n v="1400000"/>
    <x v="19"/>
    <x v="3"/>
    <m/>
    <m/>
    <m/>
    <m/>
    <m/>
    <m/>
    <m/>
  </r>
  <r>
    <x v="514"/>
    <x v="10"/>
    <n v="18434"/>
    <x v="4206"/>
    <x v="0"/>
    <s v="UK"/>
    <n v="39751583.5"/>
    <x v="5"/>
    <x v="0"/>
    <s v="Drama"/>
    <m/>
    <m/>
    <m/>
    <m/>
    <m/>
    <m/>
  </r>
  <r>
    <x v="2257"/>
    <x v="4"/>
    <n v="18378"/>
    <x v="4207"/>
    <x v="0"/>
    <s v="UK"/>
    <n v="900000"/>
    <x v="34"/>
    <x v="5"/>
    <s v="Drama"/>
    <s v="Horror"/>
    <s v="Thriller"/>
    <m/>
    <m/>
    <m/>
    <m/>
  </r>
  <r>
    <x v="2258"/>
    <x v="81"/>
    <n v="18195"/>
    <x v="4208"/>
    <x v="0"/>
    <s v="USA"/>
    <n v="250000"/>
    <x v="2"/>
    <x v="9"/>
    <m/>
    <m/>
    <m/>
    <m/>
    <m/>
    <m/>
    <m/>
  </r>
  <r>
    <x v="2259"/>
    <x v="13"/>
    <n v="17580"/>
    <x v="4209"/>
    <x v="0"/>
    <s v="USA"/>
    <n v="1500000"/>
    <x v="8"/>
    <x v="3"/>
    <m/>
    <m/>
    <m/>
    <m/>
    <m/>
    <m/>
    <m/>
  </r>
  <r>
    <x v="2036"/>
    <x v="31"/>
    <n v="17311"/>
    <x v="4210"/>
    <x v="0"/>
    <s v="USA"/>
    <n v="39751583.5"/>
    <x v="15"/>
    <x v="5"/>
    <s v="Drama"/>
    <s v="Mystery"/>
    <m/>
    <m/>
    <m/>
    <m/>
    <m/>
  </r>
  <r>
    <x v="136"/>
    <x v="8"/>
    <n v="17149"/>
    <x v="4211"/>
    <x v="0"/>
    <s v="Georgia"/>
    <n v="20000000"/>
    <x v="37"/>
    <x v="4"/>
    <s v="Drama"/>
    <s v="War"/>
    <m/>
    <m/>
    <m/>
    <m/>
    <m/>
  </r>
  <r>
    <x v="965"/>
    <x v="30"/>
    <n v="16892"/>
    <x v="4212"/>
    <x v="0"/>
    <s v="India"/>
    <n v="300000"/>
    <x v="17"/>
    <x v="10"/>
    <m/>
    <m/>
    <m/>
    <m/>
    <m/>
    <m/>
    <m/>
  </r>
  <r>
    <x v="2260"/>
    <x v="18"/>
    <n v="16066"/>
    <x v="4213"/>
    <x v="0"/>
    <s v="Germany"/>
    <n v="5000000"/>
    <x v="68"/>
    <x v="12"/>
    <s v="Romance"/>
    <s v="Thriller"/>
    <m/>
    <m/>
    <m/>
    <m/>
    <m/>
  </r>
  <r>
    <x v="2261"/>
    <x v="30"/>
    <n v="15593"/>
    <x v="4214"/>
    <x v="0"/>
    <s v="USA"/>
    <n v="21000000"/>
    <x v="19"/>
    <x v="0"/>
    <s v="Drama"/>
    <s v="Romance"/>
    <m/>
    <m/>
    <m/>
    <m/>
    <m/>
  </r>
  <r>
    <x v="2262"/>
    <x v="89"/>
    <n v="15542"/>
    <x v="4215"/>
    <x v="0"/>
    <s v="USA"/>
    <n v="39751583.5"/>
    <x v="20"/>
    <x v="0"/>
    <s v="Drama"/>
    <s v="Romance"/>
    <m/>
    <m/>
    <m/>
    <m/>
    <m/>
  </r>
  <r>
    <x v="2263"/>
    <x v="89"/>
    <n v="15447"/>
    <x v="4216"/>
    <x v="0"/>
    <s v="USA"/>
    <n v="10000000"/>
    <x v="55"/>
    <x v="0"/>
    <m/>
    <m/>
    <m/>
    <m/>
    <m/>
    <m/>
    <m/>
  </r>
  <r>
    <x v="2264"/>
    <x v="13"/>
    <n v="15278"/>
    <x v="4217"/>
    <x v="0"/>
    <s v="USA"/>
    <n v="825000"/>
    <x v="37"/>
    <x v="3"/>
    <s v="Fantasy"/>
    <s v="Sci-Fi"/>
    <m/>
    <m/>
    <m/>
    <m/>
    <m/>
  </r>
  <r>
    <x v="2265"/>
    <x v="60"/>
    <n v="15059"/>
    <x v="4218"/>
    <x v="0"/>
    <s v="USA"/>
    <n v="39751583.5"/>
    <x v="18"/>
    <x v="3"/>
    <s v="Thriller"/>
    <m/>
    <m/>
    <m/>
    <m/>
    <m/>
    <m/>
  </r>
  <r>
    <x v="730"/>
    <x v="142"/>
    <n v="14873"/>
    <x v="4219"/>
    <x v="0"/>
    <s v="USA"/>
    <n v="3800000"/>
    <x v="9"/>
    <x v="2"/>
    <s v="War"/>
    <s v="Western"/>
    <m/>
    <m/>
    <m/>
    <m/>
    <m/>
  </r>
  <r>
    <x v="2266"/>
    <x v="11"/>
    <n v="14616"/>
    <x v="4220"/>
    <x v="0"/>
    <s v="USA"/>
    <n v="12000000"/>
    <x v="31"/>
    <x v="3"/>
    <m/>
    <m/>
    <m/>
    <m/>
    <m/>
    <m/>
    <m/>
  </r>
  <r>
    <x v="1085"/>
    <x v="89"/>
    <n v="13751"/>
    <x v="4221"/>
    <x v="0"/>
    <s v="Australia"/>
    <n v="11400000"/>
    <x v="24"/>
    <x v="3"/>
    <s v="Family"/>
    <m/>
    <m/>
    <m/>
    <m/>
    <m/>
    <m/>
  </r>
  <r>
    <x v="2267"/>
    <x v="10"/>
    <n v="13493"/>
    <x v="4222"/>
    <x v="0"/>
    <s v="USA"/>
    <n v="600000"/>
    <x v="24"/>
    <x v="3"/>
    <m/>
    <m/>
    <m/>
    <m/>
    <m/>
    <m/>
    <m/>
  </r>
  <r>
    <x v="2268"/>
    <x v="30"/>
    <n v="13220"/>
    <x v="4223"/>
    <x v="0"/>
    <s v="USA"/>
    <n v="39751583.5"/>
    <x v="67"/>
    <x v="14"/>
    <m/>
    <m/>
    <m/>
    <m/>
    <m/>
    <m/>
    <m/>
  </r>
  <r>
    <x v="2269"/>
    <x v="48"/>
    <n v="13134"/>
    <x v="4224"/>
    <x v="0"/>
    <s v="USA"/>
    <n v="500000"/>
    <x v="0"/>
    <x v="3"/>
    <s v="Sport"/>
    <m/>
    <m/>
    <m/>
    <m/>
    <m/>
    <m/>
  </r>
  <r>
    <x v="1337"/>
    <x v="68"/>
    <n v="12996"/>
    <x v="4225"/>
    <x v="0"/>
    <s v="USA"/>
    <n v="1000000"/>
    <x v="27"/>
    <x v="4"/>
    <s v="Comedy"/>
    <s v="Fantasy"/>
    <s v="Sci-Fi"/>
    <m/>
    <m/>
    <m/>
    <m/>
  </r>
  <r>
    <x v="2270"/>
    <x v="56"/>
    <n v="12843"/>
    <x v="4226"/>
    <x v="0"/>
    <s v="France"/>
    <n v="6000000"/>
    <x v="0"/>
    <x v="1"/>
    <s v="Thriller"/>
    <m/>
    <m/>
    <m/>
    <m/>
    <m/>
    <m/>
  </r>
  <r>
    <x v="1082"/>
    <x v="22"/>
    <n v="12836"/>
    <x v="4227"/>
    <x v="0"/>
    <s v="USA"/>
    <n v="4000000"/>
    <x v="19"/>
    <x v="6"/>
    <s v="Drama"/>
    <m/>
    <m/>
    <m/>
    <m/>
    <m/>
    <m/>
  </r>
  <r>
    <x v="2271"/>
    <x v="22"/>
    <n v="12667"/>
    <x v="4228"/>
    <x v="0"/>
    <s v="UK"/>
    <n v="14000"/>
    <x v="24"/>
    <x v="3"/>
    <s v="Romance"/>
    <m/>
    <m/>
    <m/>
    <m/>
    <m/>
    <m/>
  </r>
  <r>
    <x v="1631"/>
    <x v="41"/>
    <n v="12561"/>
    <x v="4229"/>
    <x v="0"/>
    <s v="USA"/>
    <n v="19000000"/>
    <x v="16"/>
    <x v="0"/>
    <s v="Romance"/>
    <m/>
    <m/>
    <m/>
    <m/>
    <m/>
    <m/>
  </r>
  <r>
    <x v="2272"/>
    <x v="13"/>
    <n v="12438"/>
    <x v="4230"/>
    <x v="0"/>
    <s v="USA"/>
    <n v="160000"/>
    <x v="23"/>
    <x v="3"/>
    <s v="Romance"/>
    <m/>
    <m/>
    <m/>
    <m/>
    <m/>
    <m/>
  </r>
  <r>
    <x v="2273"/>
    <x v="50"/>
    <n v="12055"/>
    <x v="4231"/>
    <x v="0"/>
    <s v="USA"/>
    <n v="500000"/>
    <x v="20"/>
    <x v="0"/>
    <m/>
    <m/>
    <m/>
    <m/>
    <m/>
    <m/>
    <m/>
  </r>
  <r>
    <x v="2274"/>
    <x v="81"/>
    <n v="11835"/>
    <x v="4232"/>
    <x v="5"/>
    <s v="Iceland"/>
    <n v="10000000"/>
    <x v="26"/>
    <x v="0"/>
    <s v="Drama"/>
    <s v="Romance"/>
    <m/>
    <m/>
    <m/>
    <m/>
    <m/>
  </r>
  <r>
    <x v="2275"/>
    <x v="49"/>
    <n v="11798"/>
    <x v="4233"/>
    <x v="0"/>
    <s v="USA"/>
    <n v="100000"/>
    <x v="47"/>
    <x v="0"/>
    <s v="Fantasy"/>
    <s v="Horror"/>
    <s v="Musical"/>
    <m/>
    <m/>
    <m/>
    <m/>
  </r>
  <r>
    <x v="2276"/>
    <x v="56"/>
    <n v="11278"/>
    <x v="4234"/>
    <x v="16"/>
    <s v="Mexico"/>
    <n v="1300000"/>
    <x v="14"/>
    <x v="0"/>
    <s v="Drama"/>
    <m/>
    <m/>
    <m/>
    <m/>
    <m/>
    <m/>
  </r>
  <r>
    <x v="2277"/>
    <x v="43"/>
    <n v="10696"/>
    <x v="4235"/>
    <x v="0"/>
    <s v="USA"/>
    <n v="6800000"/>
    <x v="16"/>
    <x v="5"/>
    <s v="Thriller"/>
    <m/>
    <m/>
    <m/>
    <m/>
    <m/>
    <m/>
  </r>
  <r>
    <x v="2278"/>
    <x v="34"/>
    <n v="10508"/>
    <x v="4236"/>
    <x v="0"/>
    <s v="USA"/>
    <n v="700000"/>
    <x v="20"/>
    <x v="3"/>
    <m/>
    <m/>
    <m/>
    <m/>
    <m/>
    <m/>
    <m/>
  </r>
  <r>
    <x v="2279"/>
    <x v="41"/>
    <n v="10443"/>
    <x v="4237"/>
    <x v="0"/>
    <s v="USA"/>
    <n v="39751583.5"/>
    <x v="2"/>
    <x v="0"/>
    <s v="Drama"/>
    <s v="Romance"/>
    <m/>
    <m/>
    <m/>
    <m/>
    <m/>
  </r>
  <r>
    <x v="1130"/>
    <x v="58"/>
    <n v="10230"/>
    <x v="4238"/>
    <x v="17"/>
    <s v="UK"/>
    <n v="39751583.5"/>
    <x v="11"/>
    <x v="2"/>
    <s v="Crime"/>
    <s v="Drama"/>
    <s v="Mystery"/>
    <s v="Thriller"/>
    <m/>
    <m/>
    <m/>
  </r>
  <r>
    <x v="2280"/>
    <x v="73"/>
    <n v="10018"/>
    <x v="4239"/>
    <x v="0"/>
    <s v="USA"/>
    <n v="1000000"/>
    <x v="0"/>
    <x v="5"/>
    <s v="Drama"/>
    <s v="Thriller"/>
    <m/>
    <m/>
    <m/>
    <m/>
    <m/>
  </r>
  <r>
    <x v="2281"/>
    <x v="28"/>
    <n v="9950"/>
    <x v="4240"/>
    <x v="6"/>
    <s v="Germany"/>
    <n v="39751583.5"/>
    <x v="13"/>
    <x v="5"/>
    <s v="Drama"/>
    <s v="Romance"/>
    <m/>
    <m/>
    <m/>
    <m/>
    <m/>
  </r>
  <r>
    <x v="2282"/>
    <x v="6"/>
    <n v="9910"/>
    <x v="4241"/>
    <x v="11"/>
    <s v="Sweden"/>
    <n v="25000000"/>
    <x v="17"/>
    <x v="0"/>
    <s v="Drama"/>
    <s v="Music"/>
    <s v="Romance"/>
    <m/>
    <m/>
    <m/>
    <m/>
  </r>
  <r>
    <x v="2236"/>
    <x v="31"/>
    <n v="9609"/>
    <x v="4242"/>
    <x v="0"/>
    <s v="UK"/>
    <n v="39751583.5"/>
    <x v="20"/>
    <x v="0"/>
    <s v="Crime"/>
    <s v="Drama"/>
    <m/>
    <m/>
    <m/>
    <m/>
    <m/>
  </r>
  <r>
    <x v="721"/>
    <x v="18"/>
    <n v="8691"/>
    <x v="4243"/>
    <x v="0"/>
    <s v="USA"/>
    <n v="4500000"/>
    <x v="19"/>
    <x v="4"/>
    <s v="Adventure"/>
    <m/>
    <m/>
    <m/>
    <m/>
    <m/>
    <m/>
  </r>
  <r>
    <x v="2283"/>
    <x v="116"/>
    <n v="8231"/>
    <x v="4244"/>
    <x v="0"/>
    <s v="USA"/>
    <n v="27000"/>
    <x v="15"/>
    <x v="3"/>
    <s v="Fantasy"/>
    <m/>
    <m/>
    <m/>
    <m/>
    <m/>
    <m/>
  </r>
  <r>
    <x v="2284"/>
    <x v="61"/>
    <n v="8060"/>
    <x v="4245"/>
    <x v="17"/>
    <s v="Brazil"/>
    <n v="4000000"/>
    <x v="23"/>
    <x v="4"/>
    <s v="Crime"/>
    <s v="Drama"/>
    <s v="Thriller"/>
    <m/>
    <m/>
    <m/>
    <m/>
  </r>
  <r>
    <x v="2285"/>
    <x v="22"/>
    <n v="7927"/>
    <x v="4246"/>
    <x v="0"/>
    <s v="USA"/>
    <n v="2300000"/>
    <x v="5"/>
    <x v="5"/>
    <s v="Drama"/>
    <s v="Film-Noir"/>
    <s v="Mystery"/>
    <s v="Thriller"/>
    <m/>
    <m/>
    <m/>
  </r>
  <r>
    <x v="2286"/>
    <x v="63"/>
    <n v="7826"/>
    <x v="4247"/>
    <x v="0"/>
    <s v="USA"/>
    <n v="1200000"/>
    <x v="8"/>
    <x v="0"/>
    <s v="Documentary"/>
    <m/>
    <m/>
    <m/>
    <m/>
    <m/>
    <m/>
  </r>
  <r>
    <x v="2287"/>
    <x v="22"/>
    <n v="7680"/>
    <x v="4248"/>
    <x v="0"/>
    <s v="USA"/>
    <n v="2000000"/>
    <x v="16"/>
    <x v="3"/>
    <s v="Romance"/>
    <m/>
    <m/>
    <m/>
    <m/>
    <m/>
    <m/>
  </r>
  <r>
    <x v="2288"/>
    <x v="43"/>
    <n v="6643"/>
    <x v="4249"/>
    <x v="0"/>
    <s v="USA"/>
    <n v="900000"/>
    <x v="16"/>
    <x v="0"/>
    <s v="Fantasy"/>
    <s v="Thriller"/>
    <m/>
    <m/>
    <m/>
    <m/>
    <m/>
  </r>
  <r>
    <x v="2289"/>
    <x v="81"/>
    <n v="6387"/>
    <x v="4250"/>
    <x v="0"/>
    <s v="USA"/>
    <n v="1000000"/>
    <x v="26"/>
    <x v="0"/>
    <s v="Drama"/>
    <s v="Sci-Fi"/>
    <m/>
    <m/>
    <m/>
    <m/>
    <m/>
  </r>
  <r>
    <x v="514"/>
    <x v="10"/>
    <n v="6013"/>
    <x v="4251"/>
    <x v="0"/>
    <s v="UK"/>
    <n v="695393"/>
    <x v="5"/>
    <x v="5"/>
    <s v="Drama"/>
    <s v="Thriller"/>
    <m/>
    <m/>
    <m/>
    <m/>
    <m/>
  </r>
  <r>
    <x v="2290"/>
    <x v="42"/>
    <n v="5858"/>
    <x v="4252"/>
    <x v="0"/>
    <s v="USA"/>
    <n v="150000"/>
    <x v="6"/>
    <x v="10"/>
    <m/>
    <m/>
    <m/>
    <m/>
    <m/>
    <m/>
    <m/>
  </r>
  <r>
    <x v="367"/>
    <x v="50"/>
    <n v="5824"/>
    <x v="4253"/>
    <x v="0"/>
    <s v="UK"/>
    <n v="39751583.5"/>
    <x v="9"/>
    <x v="1"/>
    <s v="Thriller"/>
    <m/>
    <m/>
    <m/>
    <m/>
    <m/>
    <m/>
  </r>
  <r>
    <x v="2200"/>
    <x v="18"/>
    <n v="5725"/>
    <x v="4254"/>
    <x v="6"/>
    <s v="Germany"/>
    <n v="8400000"/>
    <x v="0"/>
    <x v="1"/>
    <s v="Thriller"/>
    <m/>
    <m/>
    <m/>
    <m/>
    <m/>
    <m/>
  </r>
  <r>
    <x v="1787"/>
    <x v="31"/>
    <n v="5561"/>
    <x v="4255"/>
    <x v="0"/>
    <s v="USA"/>
    <n v="10000000"/>
    <x v="67"/>
    <x v="0"/>
    <s v="Romance"/>
    <m/>
    <m/>
    <m/>
    <m/>
    <m/>
    <m/>
  </r>
  <r>
    <x v="1850"/>
    <x v="10"/>
    <n v="5494"/>
    <x v="4256"/>
    <x v="0"/>
    <s v="USA"/>
    <n v="39751583.5"/>
    <x v="37"/>
    <x v="0"/>
    <s v="Drama"/>
    <m/>
    <m/>
    <m/>
    <m/>
    <m/>
    <m/>
  </r>
  <r>
    <x v="2291"/>
    <x v="17"/>
    <n v="5199"/>
    <x v="4257"/>
    <x v="0"/>
    <s v="USA"/>
    <n v="200000"/>
    <x v="24"/>
    <x v="3"/>
    <s v="Sport"/>
    <m/>
    <m/>
    <m/>
    <m/>
    <m/>
    <m/>
  </r>
  <r>
    <x v="2292"/>
    <x v="49"/>
    <n v="5005"/>
    <x v="4258"/>
    <x v="0"/>
    <s v="USA"/>
    <n v="3000000"/>
    <x v="1"/>
    <x v="3"/>
    <m/>
    <m/>
    <m/>
    <m/>
    <m/>
    <m/>
    <m/>
  </r>
  <r>
    <x v="2293"/>
    <x v="5"/>
    <n v="4958"/>
    <x v="4259"/>
    <x v="0"/>
    <s v="South Africa"/>
    <n v="2000000"/>
    <x v="22"/>
    <x v="4"/>
    <s v="Crime"/>
    <s v="Drama"/>
    <m/>
    <m/>
    <m/>
    <m/>
    <m/>
  </r>
  <r>
    <x v="2294"/>
    <x v="98"/>
    <n v="4914"/>
    <x v="4260"/>
    <x v="0"/>
    <s v="USA"/>
    <n v="150000"/>
    <x v="14"/>
    <x v="2"/>
    <s v="Documentary"/>
    <m/>
    <m/>
    <m/>
    <m/>
    <m/>
    <m/>
  </r>
  <r>
    <x v="2295"/>
    <x v="41"/>
    <n v="4756"/>
    <x v="4261"/>
    <x v="0"/>
    <s v="UK"/>
    <n v="25000000"/>
    <x v="18"/>
    <x v="2"/>
    <s v="Family"/>
    <s v="Fantasy"/>
    <m/>
    <m/>
    <m/>
    <m/>
    <m/>
  </r>
  <r>
    <x v="777"/>
    <x v="13"/>
    <n v="4584"/>
    <x v="4262"/>
    <x v="0"/>
    <s v="USA"/>
    <n v="9000"/>
    <x v="16"/>
    <x v="0"/>
    <s v="Drama"/>
    <m/>
    <m/>
    <m/>
    <m/>
    <m/>
    <m/>
  </r>
  <r>
    <x v="2296"/>
    <x v="34"/>
    <n v="4556"/>
    <x v="4263"/>
    <x v="0"/>
    <s v="USA"/>
    <n v="39751583.5"/>
    <x v="37"/>
    <x v="0"/>
    <s v="Drama"/>
    <m/>
    <m/>
    <m/>
    <m/>
    <m/>
    <m/>
  </r>
  <r>
    <x v="2297"/>
    <x v="63"/>
    <n v="4091"/>
    <x v="4264"/>
    <x v="0"/>
    <s v="Belgium"/>
    <n v="34000000"/>
    <x v="2"/>
    <x v="2"/>
    <s v="Animation"/>
    <s v="Comedy"/>
    <s v="Family"/>
    <s v="Fantasy"/>
    <m/>
    <m/>
    <m/>
  </r>
  <r>
    <x v="2298"/>
    <x v="31"/>
    <n v="4063"/>
    <x v="4265"/>
    <x v="0"/>
    <s v="Canada"/>
    <n v="4000000"/>
    <x v="34"/>
    <x v="3"/>
    <s v="Mystery"/>
    <s v="Romance"/>
    <s v="Thriller"/>
    <m/>
    <m/>
    <m/>
    <m/>
  </r>
  <r>
    <x v="2299"/>
    <x v="28"/>
    <n v="3830"/>
    <x v="4266"/>
    <x v="16"/>
    <s v="USA"/>
    <n v="1200000"/>
    <x v="11"/>
    <x v="0"/>
    <s v="Drama"/>
    <m/>
    <m/>
    <m/>
    <m/>
    <m/>
    <m/>
  </r>
  <r>
    <x v="2300"/>
    <x v="44"/>
    <n v="3607"/>
    <x v="4267"/>
    <x v="0"/>
    <s v="Spain"/>
    <n v="10000000"/>
    <x v="0"/>
    <x v="5"/>
    <s v="Mystery"/>
    <s v="Thriller"/>
    <m/>
    <m/>
    <m/>
    <m/>
    <m/>
  </r>
  <r>
    <x v="2301"/>
    <x v="13"/>
    <n v="3478"/>
    <x v="4268"/>
    <x v="0"/>
    <s v="Canada"/>
    <n v="1500000"/>
    <x v="15"/>
    <x v="8"/>
    <s v="Horror"/>
    <m/>
    <m/>
    <m/>
    <m/>
    <m/>
    <m/>
  </r>
  <r>
    <x v="2302"/>
    <x v="65"/>
    <n v="3330"/>
    <x v="4269"/>
    <x v="0"/>
    <s v="USA"/>
    <n v="2100000"/>
    <x v="11"/>
    <x v="5"/>
    <s v="Drama"/>
    <m/>
    <m/>
    <m/>
    <m/>
    <m/>
    <m/>
  </r>
  <r>
    <x v="342"/>
    <x v="22"/>
    <n v="2964"/>
    <x v="4270"/>
    <x v="0"/>
    <s v="USA"/>
    <n v="16000000"/>
    <x v="33"/>
    <x v="0"/>
    <s v="Horror"/>
    <s v="Romance"/>
    <m/>
    <m/>
    <m/>
    <m/>
    <m/>
  </r>
  <r>
    <x v="2303"/>
    <x v="51"/>
    <n v="2874"/>
    <x v="4271"/>
    <x v="1"/>
    <s v="France"/>
    <n v="39751583.5"/>
    <x v="27"/>
    <x v="3"/>
    <m/>
    <m/>
    <m/>
    <m/>
    <m/>
    <m/>
    <m/>
  </r>
  <r>
    <x v="1173"/>
    <x v="4"/>
    <n v="2843"/>
    <x v="4272"/>
    <x v="0"/>
    <s v="USA"/>
    <n v="39751583.5"/>
    <x v="18"/>
    <x v="14"/>
    <m/>
    <m/>
    <m/>
    <m/>
    <m/>
    <m/>
    <m/>
  </r>
  <r>
    <x v="2304"/>
    <x v="11"/>
    <n v="2580"/>
    <x v="4273"/>
    <x v="0"/>
    <s v="USA"/>
    <n v="1650000"/>
    <x v="18"/>
    <x v="3"/>
    <s v="Mystery"/>
    <m/>
    <m/>
    <m/>
    <m/>
    <m/>
    <m/>
  </r>
  <r>
    <x v="2305"/>
    <x v="13"/>
    <n v="2468"/>
    <x v="4274"/>
    <x v="0"/>
    <s v="USA"/>
    <n v="300000"/>
    <x v="46"/>
    <x v="14"/>
    <m/>
    <m/>
    <m/>
    <m/>
    <m/>
    <m/>
    <m/>
  </r>
  <r>
    <x v="2306"/>
    <x v="40"/>
    <n v="2436"/>
    <x v="4275"/>
    <x v="0"/>
    <s v="USA"/>
    <n v="2000000"/>
    <x v="21"/>
    <x v="0"/>
    <s v="Fantasy"/>
    <s v="Musical"/>
    <s v="Sci-Fi"/>
    <m/>
    <m/>
    <m/>
    <m/>
  </r>
  <r>
    <x v="2307"/>
    <x v="42"/>
    <n v="2245"/>
    <x v="4276"/>
    <x v="0"/>
    <s v="USA"/>
    <n v="560000"/>
    <x v="11"/>
    <x v="10"/>
    <m/>
    <m/>
    <m/>
    <m/>
    <m/>
    <m/>
    <m/>
  </r>
  <r>
    <x v="2308"/>
    <x v="28"/>
    <n v="1711"/>
    <x v="4277"/>
    <x v="0"/>
    <s v="USA"/>
    <n v="39751583.5"/>
    <x v="24"/>
    <x v="3"/>
    <s v="Music"/>
    <m/>
    <m/>
    <m/>
    <m/>
    <m/>
    <m/>
  </r>
  <r>
    <x v="2309"/>
    <x v="39"/>
    <n v="1521"/>
    <x v="4278"/>
    <x v="0"/>
    <s v="Canada"/>
    <n v="1500000"/>
    <x v="21"/>
    <x v="0"/>
    <s v="Horror"/>
    <m/>
    <m/>
    <m/>
    <m/>
    <m/>
    <m/>
  </r>
  <r>
    <x v="2310"/>
    <x v="54"/>
    <n v="1332"/>
    <x v="4279"/>
    <x v="0"/>
    <s v="USA"/>
    <n v="500000"/>
    <x v="28"/>
    <x v="0"/>
    <s v="Horror"/>
    <m/>
    <m/>
    <m/>
    <m/>
    <m/>
    <m/>
  </r>
  <r>
    <x v="2311"/>
    <x v="40"/>
    <n v="1111"/>
    <x v="4280"/>
    <x v="0"/>
    <s v="USA"/>
    <n v="200000"/>
    <x v="5"/>
    <x v="5"/>
    <s v="Documentary"/>
    <m/>
    <m/>
    <m/>
    <m/>
    <m/>
    <m/>
  </r>
  <r>
    <x v="2312"/>
    <x v="60"/>
    <n v="828"/>
    <x v="4281"/>
    <x v="0"/>
    <s v="Ireland"/>
    <n v="39751583.5"/>
    <x v="16"/>
    <x v="4"/>
    <s v="Comedy"/>
    <s v="Crime"/>
    <s v="Drama"/>
    <s v="Romance"/>
    <s v="Thriller"/>
    <m/>
    <m/>
  </r>
  <r>
    <x v="2313"/>
    <x v="41"/>
    <n v="728"/>
    <x v="1296"/>
    <x v="0"/>
    <s v="New Zealand"/>
    <n v="39751583.5"/>
    <x v="4"/>
    <x v="5"/>
    <s v="Drama"/>
    <m/>
    <m/>
    <m/>
    <m/>
    <m/>
    <m/>
  </r>
  <r>
    <x v="658"/>
    <x v="60"/>
    <n v="721"/>
    <x v="4282"/>
    <x v="0"/>
    <s v="Germany"/>
    <n v="1000000"/>
    <x v="30"/>
    <x v="4"/>
    <s v="Drama"/>
    <m/>
    <m/>
    <m/>
    <m/>
    <m/>
    <m/>
  </r>
  <r>
    <x v="2314"/>
    <x v="49"/>
    <n v="703"/>
    <x v="4283"/>
    <x v="0"/>
    <s v="USA"/>
    <n v="1500000"/>
    <x v="18"/>
    <x v="0"/>
    <s v="Drama"/>
    <m/>
    <m/>
    <m/>
    <m/>
    <m/>
    <m/>
  </r>
  <r>
    <x v="2315"/>
    <x v="49"/>
    <n v="162"/>
    <x v="4284"/>
    <x v="0"/>
    <s v="Thailand"/>
    <n v="9000000"/>
    <x v="21"/>
    <x v="4"/>
    <s v="Crime"/>
    <s v="Thriller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35ACA-513A-4B57-9FF9-AD4F21F17B00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3:L21" firstHeaderRow="0" firstDataRow="1" firstDataCol="1"/>
  <pivotFields count="16"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22">
        <item x="4"/>
        <item x="2"/>
        <item x="7"/>
        <item x="6"/>
        <item x="0"/>
        <item x="5"/>
        <item x="10"/>
        <item x="3"/>
        <item x="16"/>
        <item x="8"/>
        <item h="1" x="19"/>
        <item h="1" x="18"/>
        <item h="1" x="15"/>
        <item x="1"/>
        <item h="1" x="20"/>
        <item x="13"/>
        <item x="12"/>
        <item x="11"/>
        <item x="9"/>
        <item x="1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3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db_score" fld="7" subtotal="average" baseField="8" baseItem="0"/>
    <dataField name="Min of imdb_score2" fld="7" subtotal="min" baseField="8" baseItem="0"/>
    <dataField name="Max of imdb_score3" fld="7" subtotal="max" baseField="8" baseItem="0"/>
  </dataFields>
  <formats count="2">
    <format dxfId="73">
      <pivotArea outline="0" collapsedLevelsAreSubtotals="1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B6BB6-6ED4-47ED-9143-0D53725BBEF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21" firstHeaderRow="0" firstDataRow="1" firstDataCol="1"/>
  <pivotFields count="16"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22">
        <item x="4"/>
        <item x="2"/>
        <item x="7"/>
        <item x="6"/>
        <item x="0"/>
        <item x="5"/>
        <item x="10"/>
        <item x="3"/>
        <item x="16"/>
        <item x="8"/>
        <item h="1" x="19"/>
        <item h="1" x="18"/>
        <item h="1" x="15"/>
        <item x="1"/>
        <item h="1" x="20"/>
        <item x="13"/>
        <item x="12"/>
        <item x="11"/>
        <item x="9"/>
        <item x="1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3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db_score" fld="7" subtotal="average" baseField="8" baseItem="0"/>
    <dataField name="Var of imdb_score2" fld="7" subtotal="var" baseField="8" baseItem="0"/>
    <dataField name="StdDev of imdb_score3" fld="7" subtotal="stdDev" baseField="8" baseItem="0"/>
  </dataFields>
  <formats count="2">
    <format dxfId="76">
      <pivotArea outline="0" collapsedLevelsAreSubtotals="1" fieldPosition="0"/>
    </format>
    <format dxfId="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07F90-8256-4DE6-A402-79D6E321AF1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1" firstHeaderRow="0" firstDataRow="1" firstDataCol="1"/>
  <pivotFields count="16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mdb_score" fld="7" subtotal="average" baseField="1" baseItem="0"/>
    <dataField name="Min of imdb_score" fld="7" subtotal="min" baseField="1" baseItem="1"/>
    <dataField name="Max of imdb_score2" fld="7" subtotal="max" baseField="1" baseItem="1"/>
    <dataField name="StdDev of imdb_score2" fld="7" subtotal="stdDev" baseField="1" baseItem="0"/>
  </dataFields>
  <formats count="2"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4DD2C-4F1B-4031-86B5-1205AC8DE06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1" firstHeaderRow="0" firstDataRow="1" firstDataCol="1"/>
  <pivotFields count="16"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axis="axisRow" showAll="0">
      <items count="44">
        <item x="2"/>
        <item x="20"/>
        <item h="1" x="39"/>
        <item h="1" x="40"/>
        <item x="21"/>
        <item x="8"/>
        <item h="1" x="37"/>
        <item x="15"/>
        <item x="28"/>
        <item x="23"/>
        <item h="1" x="38"/>
        <item x="0"/>
        <item h="1" x="29"/>
        <item x="1"/>
        <item x="6"/>
        <item h="1" x="41"/>
        <item x="34"/>
        <item x="14"/>
        <item x="5"/>
        <item x="33"/>
        <item x="12"/>
        <item x="4"/>
        <item h="1" x="13"/>
        <item h="1" x="42"/>
        <item x="9"/>
        <item x="7"/>
        <item h="1" x="3"/>
        <item h="1" x="32"/>
        <item x="35"/>
        <item h="1" x="22"/>
        <item x="30"/>
        <item x="10"/>
        <item x="17"/>
        <item x="26"/>
        <item x="18"/>
        <item n="a" h="1" x="25"/>
        <item x="16"/>
        <item h="1" x="27"/>
        <item x="11"/>
        <item h="1" x="31"/>
        <item h="1" x="24"/>
        <item h="1" x="36"/>
        <item x="1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8">
    <i>
      <x/>
    </i>
    <i>
      <x v="1"/>
    </i>
    <i>
      <x v="4"/>
    </i>
    <i>
      <x v="5"/>
    </i>
    <i>
      <x v="7"/>
    </i>
    <i>
      <x v="8"/>
    </i>
    <i>
      <x v="9"/>
    </i>
    <i>
      <x v="11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4"/>
    </i>
    <i>
      <x v="25"/>
    </i>
    <i>
      <x v="28"/>
    </i>
    <i>
      <x v="30"/>
    </i>
    <i>
      <x v="31"/>
    </i>
    <i>
      <x v="32"/>
    </i>
    <i>
      <x v="33"/>
    </i>
    <i>
      <x v="34"/>
    </i>
    <i>
      <x v="36"/>
    </i>
    <i>
      <x v="38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mdb_score" fld="7" subtotal="average" baseField="4" baseItem="0"/>
    <dataField name="StdDev of imdb_score2" fld="7" subtotal="stdDev" baseField="4" baseItem="0"/>
  </dataFields>
  <formats count="2">
    <format dxfId="60">
      <pivotArea outline="0" collapsedLevelsAreSubtotals="1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27">
              <x v="0"/>
              <x v="1"/>
              <x v="4"/>
              <x v="5"/>
              <x v="7"/>
              <x v="8"/>
              <x v="9"/>
              <x v="11"/>
              <x v="13"/>
              <x v="14"/>
              <x v="16"/>
              <x v="17"/>
              <x v="18"/>
              <x v="19"/>
              <x v="20"/>
              <x v="21"/>
              <x v="24"/>
              <x v="25"/>
              <x v="28"/>
              <x v="30"/>
              <x v="31"/>
              <x v="32"/>
              <x v="33"/>
              <x v="34"/>
              <x v="36"/>
              <x v="38"/>
              <x v="4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27">
              <x v="0"/>
              <x v="1"/>
              <x v="4"/>
              <x v="5"/>
              <x v="7"/>
              <x v="8"/>
              <x v="9"/>
              <x v="11"/>
              <x v="13"/>
              <x v="14"/>
              <x v="16"/>
              <x v="17"/>
              <x v="18"/>
              <x v="19"/>
              <x v="20"/>
              <x v="21"/>
              <x v="24"/>
              <x v="25"/>
              <x v="28"/>
              <x v="30"/>
              <x v="31"/>
              <x v="32"/>
              <x v="33"/>
              <x v="34"/>
              <x v="36"/>
              <x v="38"/>
              <x v="4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27">
              <x v="0"/>
              <x v="1"/>
              <x v="4"/>
              <x v="5"/>
              <x v="7"/>
              <x v="8"/>
              <x v="9"/>
              <x v="11"/>
              <x v="13"/>
              <x v="14"/>
              <x v="16"/>
              <x v="17"/>
              <x v="18"/>
              <x v="19"/>
              <x v="20"/>
              <x v="21"/>
              <x v="24"/>
              <x v="25"/>
              <x v="28"/>
              <x v="30"/>
              <x v="31"/>
              <x v="32"/>
              <x v="33"/>
              <x v="34"/>
              <x v="36"/>
              <x v="38"/>
              <x v="4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27">
              <x v="0"/>
              <x v="1"/>
              <x v="4"/>
              <x v="5"/>
              <x v="7"/>
              <x v="8"/>
              <x v="9"/>
              <x v="11"/>
              <x v="13"/>
              <x v="14"/>
              <x v="16"/>
              <x v="17"/>
              <x v="18"/>
              <x v="19"/>
              <x v="20"/>
              <x v="21"/>
              <x v="24"/>
              <x v="25"/>
              <x v="28"/>
              <x v="30"/>
              <x v="31"/>
              <x v="32"/>
              <x v="33"/>
              <x v="34"/>
              <x v="36"/>
              <x v="38"/>
              <x v="4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CEE65-B9EF-4130-BBD9-4CA7CD0B3132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316" firstHeaderRow="1" firstDataRow="1" firstDataCol="1" rowPageCount="1" colPageCount="1"/>
  <pivotFields count="16">
    <pivotField axis="axisRow" showAll="0">
      <items count="2317">
        <item x="922"/>
        <item x="1726"/>
        <item x="799"/>
        <item x="979"/>
        <item x="2300"/>
        <item x="516"/>
        <item x="1647"/>
        <item x="440"/>
        <item x="1943"/>
        <item x="1251"/>
        <item x="2166"/>
        <item x="2304"/>
        <item x="882"/>
        <item x="527"/>
        <item x="1502"/>
        <item x="61"/>
        <item x="2169"/>
        <item x="1008"/>
        <item x="4"/>
        <item x="79"/>
        <item x="1443"/>
        <item x="2062"/>
        <item x="2164"/>
        <item x="599"/>
        <item x="2008"/>
        <item x="2084"/>
        <item x="2245"/>
        <item x="1219"/>
        <item x="998"/>
        <item x="1031"/>
        <item x="2048"/>
        <item x="487"/>
        <item x="1526"/>
        <item x="58"/>
        <item x="503"/>
        <item x="2146"/>
        <item x="431"/>
        <item x="1176"/>
        <item x="2120"/>
        <item x="1429"/>
        <item x="464"/>
        <item x="1606"/>
        <item x="80"/>
        <item x="976"/>
        <item x="386"/>
        <item x="71"/>
        <item x="1122"/>
        <item x="1666"/>
        <item x="775"/>
        <item x="723"/>
        <item x="880"/>
        <item x="2310"/>
        <item x="1349"/>
        <item x="2082"/>
        <item x="1055"/>
        <item x="174"/>
        <item x="868"/>
        <item x="2191"/>
        <item x="2269"/>
        <item x="826"/>
        <item x="2073"/>
        <item x="148"/>
        <item x="416"/>
        <item x="1129"/>
        <item x="1205"/>
        <item x="736"/>
        <item x="1948"/>
        <item x="1940"/>
        <item x="1377"/>
        <item x="673"/>
        <item x="919"/>
        <item x="1445"/>
        <item x="1434"/>
        <item x="1790"/>
        <item x="945"/>
        <item x="1024"/>
        <item x="786"/>
        <item x="923"/>
        <item x="342"/>
        <item x="964"/>
        <item x="760"/>
        <item x="1631"/>
        <item x="2086"/>
        <item x="2303"/>
        <item x="706"/>
        <item x="231"/>
        <item x="2060"/>
        <item x="2165"/>
        <item x="913"/>
        <item x="1591"/>
        <item x="1026"/>
        <item x="1237"/>
        <item x="564"/>
        <item x="2077"/>
        <item x="254"/>
        <item x="1530"/>
        <item x="278"/>
        <item x="1628"/>
        <item x="1343"/>
        <item x="2033"/>
        <item x="1004"/>
        <item x="2015"/>
        <item x="1045"/>
        <item x="1556"/>
        <item x="1175"/>
        <item x="912"/>
        <item x="478"/>
        <item x="2144"/>
        <item x="285"/>
        <item x="2029"/>
        <item x="715"/>
        <item x="351"/>
        <item x="1593"/>
        <item x="104"/>
        <item x="1878"/>
        <item x="239"/>
        <item x="146"/>
        <item x="270"/>
        <item x="2024"/>
        <item x="1893"/>
        <item x="1723"/>
        <item x="958"/>
        <item x="2058"/>
        <item x="1413"/>
        <item x="189"/>
        <item x="1732"/>
        <item x="1356"/>
        <item x="914"/>
        <item x="432"/>
        <item x="1813"/>
        <item x="616"/>
        <item x="75"/>
        <item x="848"/>
        <item x="2079"/>
        <item x="201"/>
        <item x="612"/>
        <item x="1061"/>
        <item x="51"/>
        <item x="1200"/>
        <item x="1904"/>
        <item x="1911"/>
        <item x="792"/>
        <item x="1471"/>
        <item x="1889"/>
        <item x="2237"/>
        <item x="1221"/>
        <item x="2212"/>
        <item x="1544"/>
        <item x="2175"/>
        <item x="2263"/>
        <item x="1452"/>
        <item x="1696"/>
        <item x="568"/>
        <item x="2063"/>
        <item x="1760"/>
        <item x="1110"/>
        <item x="389"/>
        <item x="915"/>
        <item x="1816"/>
        <item x="294"/>
        <item x="991"/>
        <item x="204"/>
        <item x="1253"/>
        <item x="211"/>
        <item x="688"/>
        <item x="1192"/>
        <item x="147"/>
        <item x="2184"/>
        <item x="227"/>
        <item x="1905"/>
        <item x="1483"/>
        <item x="331"/>
        <item x="921"/>
        <item x="1142"/>
        <item x="92"/>
        <item x="131"/>
        <item x="1739"/>
        <item x="462"/>
        <item x="305"/>
        <item x="2236"/>
        <item x="1481"/>
        <item x="784"/>
        <item x="2274"/>
        <item x="1582"/>
        <item x="2203"/>
        <item x="1062"/>
        <item x="200"/>
        <item x="835"/>
        <item x="1640"/>
        <item x="1654"/>
        <item x="954"/>
        <item x="1935"/>
        <item x="1183"/>
        <item x="587"/>
        <item x="2089"/>
        <item x="959"/>
        <item x="36"/>
        <item x="1622"/>
        <item x="1021"/>
        <item x="2020"/>
        <item x="1517"/>
        <item x="2111"/>
        <item x="576"/>
        <item x="1189"/>
        <item x="1360"/>
        <item x="747"/>
        <item x="613"/>
        <item x="770"/>
        <item x="944"/>
        <item x="1764"/>
        <item x="739"/>
        <item x="967"/>
        <item x="472"/>
        <item x="1116"/>
        <item x="26"/>
        <item x="1275"/>
        <item x="456"/>
        <item x="2162"/>
        <item x="1933"/>
        <item x="1777"/>
        <item x="652"/>
        <item x="492"/>
        <item x="1289"/>
        <item x="105"/>
        <item x="506"/>
        <item x="2105"/>
        <item x="1240"/>
        <item x="2309"/>
        <item x="392"/>
        <item x="1376"/>
        <item x="860"/>
        <item x="327"/>
        <item x="1877"/>
        <item x="35"/>
        <item x="63"/>
        <item x="1459"/>
        <item x="2238"/>
        <item x="1380"/>
        <item x="798"/>
        <item x="1057"/>
        <item x="2219"/>
        <item x="1157"/>
        <item x="53"/>
        <item x="1554"/>
        <item x="905"/>
        <item x="1249"/>
        <item x="1037"/>
        <item x="91"/>
        <item x="620"/>
        <item x="1819"/>
        <item x="819"/>
        <item x="1657"/>
        <item x="193"/>
        <item x="824"/>
        <item x="1094"/>
        <item x="77"/>
        <item x="1315"/>
        <item x="1612"/>
        <item x="1605"/>
        <item x="153"/>
        <item x="1403"/>
        <item x="299"/>
        <item x="658"/>
        <item x="853"/>
        <item x="1503"/>
        <item x="1327"/>
        <item x="24"/>
        <item x="2123"/>
        <item x="2305"/>
        <item x="1531"/>
        <item x="781"/>
        <item x="743"/>
        <item x="1270"/>
        <item x="2301"/>
        <item x="1775"/>
        <item x="562"/>
        <item x="1589"/>
        <item x="145"/>
        <item x="281"/>
        <item x="1013"/>
        <item x="1984"/>
        <item x="1814"/>
        <item x="333"/>
        <item x="248"/>
        <item x="59"/>
        <item x="1425"/>
        <item x="1131"/>
        <item x="554"/>
        <item x="1746"/>
        <item x="2119"/>
        <item x="771"/>
        <item x="1728"/>
        <item x="825"/>
        <item x="1472"/>
        <item x="1017"/>
        <item x="941"/>
        <item x="948"/>
        <item x="2247"/>
        <item x="1173"/>
        <item x="2206"/>
        <item x="1629"/>
        <item x="1147"/>
        <item x="1195"/>
        <item x="1050"/>
        <item x="990"/>
        <item x="1899"/>
        <item x="649"/>
        <item x="787"/>
        <item x="711"/>
        <item x="2127"/>
        <item x="1788"/>
        <item x="113"/>
        <item x="223"/>
        <item x="735"/>
        <item x="1799"/>
        <item x="1743"/>
        <item x="1565"/>
        <item x="347"/>
        <item x="1600"/>
        <item x="1849"/>
        <item x="930"/>
        <item x="1474"/>
        <item x="1608"/>
        <item x="983"/>
        <item x="350"/>
        <item x="1412"/>
        <item x="102"/>
        <item x="507"/>
        <item x="1709"/>
        <item x="1406"/>
        <item x="1272"/>
        <item x="309"/>
        <item x="1020"/>
        <item x="1185"/>
        <item x="264"/>
        <item x="1923"/>
        <item x="1607"/>
        <item x="1409"/>
        <item x="1168"/>
        <item x="855"/>
        <item x="779"/>
        <item x="280"/>
        <item x="1571"/>
        <item x="1961"/>
        <item x="1079"/>
        <item x="1278"/>
        <item x="1179"/>
        <item x="817"/>
        <item x="2202"/>
        <item x="1594"/>
        <item x="496"/>
        <item x="1823"/>
        <item x="1078"/>
        <item x="454"/>
        <item x="1096"/>
        <item x="1266"/>
        <item x="1451"/>
        <item x="955"/>
        <item x="1242"/>
        <item x="1676"/>
        <item x="2265"/>
        <item x="170"/>
        <item x="2074"/>
        <item x="256"/>
        <item x="1887"/>
        <item x="655"/>
        <item x="312"/>
        <item x="2152"/>
        <item x="878"/>
        <item x="112"/>
        <item x="1186"/>
        <item x="1310"/>
        <item x="1258"/>
        <item x="534"/>
        <item x="1862"/>
        <item x="1190"/>
        <item x="2096"/>
        <item x="2110"/>
        <item x="2210"/>
        <item x="2276"/>
        <item x="17"/>
        <item x="54"/>
        <item x="1535"/>
        <item x="247"/>
        <item x="1029"/>
        <item x="1128"/>
        <item x="1807"/>
        <item x="1048"/>
        <item x="491"/>
        <item x="518"/>
        <item x="2142"/>
        <item x="1001"/>
        <item x="873"/>
        <item x="2031"/>
        <item x="407"/>
        <item x="1624"/>
        <item x="1876"/>
        <item x="1490"/>
        <item x="1744"/>
        <item x="1392"/>
        <item x="1188"/>
        <item x="1758"/>
        <item x="1337"/>
        <item x="813"/>
        <item x="1427"/>
        <item x="2070"/>
        <item x="1949"/>
        <item x="275"/>
        <item x="1721"/>
        <item x="935"/>
        <item x="55"/>
        <item x="986"/>
        <item x="2252"/>
        <item x="1671"/>
        <item x="2277"/>
        <item x="1573"/>
        <item x="1341"/>
        <item x="1796"/>
        <item x="1043"/>
        <item x="1625"/>
        <item x="468"/>
        <item x="1352"/>
        <item x="1756"/>
        <item x="1246"/>
        <item x="2101"/>
        <item x="773"/>
        <item x="1202"/>
        <item x="768"/>
        <item x="847"/>
        <item x="874"/>
        <item x="1871"/>
        <item x="230"/>
        <item x="2246"/>
        <item x="2151"/>
        <item x="1917"/>
        <item x="1308"/>
        <item x="997"/>
        <item x="949"/>
        <item x="1946"/>
        <item x="2279"/>
        <item x="596"/>
        <item x="563"/>
        <item x="790"/>
        <item x="1461"/>
        <item x="560"/>
        <item x="1136"/>
        <item x="1597"/>
        <item x="634"/>
        <item x="1091"/>
        <item x="1146"/>
        <item x="1363"/>
        <item x="1080"/>
        <item x="465"/>
        <item x="791"/>
        <item x="515"/>
        <item x="1408"/>
        <item x="663"/>
        <item x="816"/>
        <item x="2064"/>
        <item x="1665"/>
        <item x="632"/>
        <item x="19"/>
        <item x="423"/>
        <item x="122"/>
        <item x="1850"/>
        <item x="2190"/>
        <item x="970"/>
        <item x="1693"/>
        <item x="1046"/>
        <item x="1159"/>
        <item x="1979"/>
        <item x="1735"/>
        <item x="858"/>
        <item x="887"/>
        <item x="2059"/>
        <item x="1906"/>
        <item x="126"/>
        <item x="383"/>
        <item x="1863"/>
        <item x="526"/>
        <item x="198"/>
        <item x="670"/>
        <item x="926"/>
        <item x="931"/>
        <item x="302"/>
        <item x="2061"/>
        <item x="1400"/>
        <item x="344"/>
        <item x="42"/>
        <item x="284"/>
        <item x="1880"/>
        <item x="1339"/>
        <item x="120"/>
        <item x="336"/>
        <item x="619"/>
        <item x="1027"/>
        <item x="875"/>
        <item x="2016"/>
        <item x="70"/>
        <item x="1069"/>
        <item x="1839"/>
        <item x="725"/>
        <item x="1316"/>
        <item x="570"/>
        <item x="446"/>
        <item x="740"/>
        <item x="1874"/>
        <item x="1632"/>
        <item x="262"/>
        <item x="1139"/>
        <item x="1265"/>
        <item x="1865"/>
        <item x="1473"/>
        <item x="86"/>
        <item x="717"/>
        <item x="1560"/>
        <item x="2185"/>
        <item x="267"/>
        <item x="886"/>
        <item x="1441"/>
        <item x="1534"/>
        <item x="385"/>
        <item x="433"/>
        <item x="1738"/>
        <item x="1952"/>
        <item x="1151"/>
        <item x="1126"/>
        <item x="255"/>
        <item x="1976"/>
        <item x="888"/>
        <item x="656"/>
        <item x="893"/>
        <item x="3"/>
        <item x="1369"/>
        <item x="1389"/>
        <item x="233"/>
        <item x="1748"/>
        <item x="1776"/>
        <item x="1022"/>
        <item x="1715"/>
        <item x="1841"/>
        <item x="1507"/>
        <item x="2294"/>
        <item x="300"/>
        <item x="1196"/>
        <item x="37"/>
        <item x="738"/>
        <item x="843"/>
        <item x="1238"/>
        <item x="1832"/>
        <item x="1277"/>
        <item x="2137"/>
        <item x="1407"/>
        <item x="863"/>
        <item x="1930"/>
        <item x="639"/>
        <item x="1334"/>
        <item x="1772"/>
        <item x="1506"/>
        <item x="1319"/>
        <item x="1193"/>
        <item x="1966"/>
        <item x="1234"/>
        <item x="2232"/>
        <item x="1638"/>
        <item x="837"/>
        <item x="50"/>
        <item x="1603"/>
        <item x="325"/>
        <item x="714"/>
        <item x="1450"/>
        <item x="1478"/>
        <item x="1516"/>
        <item x="1385"/>
        <item x="1187"/>
        <item x="833"/>
        <item x="20"/>
        <item x="1448"/>
        <item x="2187"/>
        <item x="1741"/>
        <item x="168"/>
        <item x="449"/>
        <item x="683"/>
        <item x="901"/>
        <item x="1642"/>
        <item x="916"/>
        <item x="1833"/>
        <item x="1575"/>
        <item x="1125"/>
        <item x="1881"/>
        <item x="764"/>
        <item x="1831"/>
        <item x="364"/>
        <item x="1652"/>
        <item x="1455"/>
        <item x="1262"/>
        <item x="908"/>
        <item x="1658"/>
        <item x="2204"/>
        <item x="1293"/>
        <item x="1520"/>
        <item x="1428"/>
        <item x="2291"/>
        <item x="1263"/>
        <item x="777"/>
        <item x="892"/>
        <item x="484"/>
        <item x="1182"/>
        <item x="265"/>
        <item x="2080"/>
        <item x="2315"/>
        <item x="1537"/>
        <item x="505"/>
        <item x="2104"/>
        <item x="1076"/>
        <item x="851"/>
        <item x="1330"/>
        <item x="1656"/>
        <item x="1475"/>
        <item x="1902"/>
        <item x="1615"/>
        <item x="536"/>
        <item x="695"/>
        <item x="2109"/>
        <item x="1846"/>
        <item x="1926"/>
        <item x="2239"/>
        <item x="49"/>
        <item x="750"/>
        <item x="557"/>
        <item x="1053"/>
        <item x="544"/>
        <item x="666"/>
        <item x="480"/>
        <item x="992"/>
        <item x="2280"/>
        <item x="2078"/>
        <item x="2287"/>
        <item x="646"/>
        <item x="709"/>
        <item x="1359"/>
        <item x="1410"/>
        <item x="721"/>
        <item x="2100"/>
        <item x="111"/>
        <item x="214"/>
        <item x="1325"/>
        <item x="1765"/>
        <item x="1101"/>
        <item x="52"/>
        <item x="2129"/>
        <item x="25"/>
        <item x="1944"/>
        <item x="2083"/>
        <item x="368"/>
        <item x="581"/>
        <item x="2002"/>
        <item x="973"/>
        <item x="2132"/>
        <item x="1229"/>
        <item x="2092"/>
        <item x="479"/>
        <item x="1762"/>
        <item x="2035"/>
        <item x="2230"/>
        <item x="1216"/>
        <item x="1825"/>
        <item x="1613"/>
        <item x="2147"/>
        <item x="308"/>
        <item x="598"/>
        <item x="443"/>
        <item x="1644"/>
        <item x="1637"/>
        <item x="2234"/>
        <item x="2292"/>
        <item x="150"/>
        <item x="321"/>
        <item x="2270"/>
        <item x="1539"/>
        <item x="950"/>
        <item x="800"/>
        <item x="163"/>
        <item x="1302"/>
        <item x="1921"/>
        <item x="866"/>
        <item x="158"/>
        <item x="215"/>
        <item x="1460"/>
        <item x="235"/>
        <item x="741"/>
        <item x="2032"/>
        <item x="2314"/>
        <item x="650"/>
        <item x="1620"/>
        <item x="1610"/>
        <item x="1572"/>
        <item x="1885"/>
        <item x="1579"/>
        <item x="1063"/>
        <item x="716"/>
        <item x="434"/>
        <item x="2235"/>
        <item x="2188"/>
        <item x="722"/>
        <item x="155"/>
        <item x="759"/>
        <item x="244"/>
        <item x="2094"/>
        <item x="1800"/>
        <item x="11"/>
        <item x="409"/>
        <item x="1436"/>
        <item x="1105"/>
        <item x="301"/>
        <item x="1604"/>
        <item x="1312"/>
        <item x="1355"/>
        <item x="605"/>
        <item x="1956"/>
        <item x="1422"/>
        <item x="1547"/>
        <item x="352"/>
        <item x="2198"/>
        <item x="151"/>
        <item x="1991"/>
        <item x="1641"/>
        <item x="277"/>
        <item x="1932"/>
        <item x="1306"/>
        <item x="2241"/>
        <item x="429"/>
        <item x="353"/>
        <item x="2281"/>
        <item x="705"/>
        <item x="1305"/>
        <item x="185"/>
        <item x="228"/>
        <item x="1894"/>
        <item x="1924"/>
        <item x="1440"/>
        <item x="785"/>
        <item x="293"/>
        <item x="345"/>
        <item x="2233"/>
        <item x="45"/>
        <item x="841"/>
        <item x="1672"/>
        <item x="438"/>
        <item x="542"/>
        <item x="692"/>
        <item x="989"/>
        <item x="633"/>
        <item x="1992"/>
        <item x="504"/>
        <item x="1163"/>
        <item x="217"/>
        <item x="1684"/>
        <item x="430"/>
        <item x="1844"/>
        <item x="1169"/>
        <item x="898"/>
        <item x="476"/>
        <item x="2186"/>
        <item x="1494"/>
        <item x="135"/>
        <item x="463"/>
        <item x="1466"/>
        <item x="2168"/>
        <item x="1395"/>
        <item x="260"/>
        <item x="414"/>
        <item x="1243"/>
        <item x="1919"/>
        <item x="1300"/>
        <item x="1954"/>
        <item x="733"/>
        <item x="1178"/>
        <item x="615"/>
        <item x="617"/>
        <item x="1093"/>
        <item x="269"/>
        <item x="1203"/>
        <item x="1563"/>
        <item x="1498"/>
        <item x="1081"/>
        <item x="2117"/>
        <item x="662"/>
        <item x="157"/>
        <item x="679"/>
        <item x="395"/>
        <item x="405"/>
        <item x="2221"/>
        <item x="1090"/>
        <item x="956"/>
        <item x="2289"/>
        <item x="1757"/>
        <item x="2003"/>
        <item x="822"/>
        <item x="2057"/>
        <item x="2201"/>
        <item x="638"/>
        <item x="519"/>
        <item x="1075"/>
        <item x="1639"/>
        <item x="1851"/>
        <item x="903"/>
        <item x="1546"/>
        <item x="322"/>
        <item x="1416"/>
        <item x="22"/>
        <item x="1867"/>
        <item x="1350"/>
        <item x="1858"/>
        <item x="2087"/>
        <item x="1786"/>
        <item x="1524"/>
        <item x="844"/>
        <item x="2170"/>
        <item x="1928"/>
        <item x="2047"/>
        <item x="902"/>
        <item x="2139"/>
        <item x="1983"/>
        <item x="34"/>
        <item x="852"/>
        <item x="1194"/>
        <item x="209"/>
        <item x="1000"/>
        <item x="173"/>
        <item x="451"/>
        <item x="196"/>
        <item x="2258"/>
        <item x="2244"/>
        <item x="1989"/>
        <item x="1095"/>
        <item x="805"/>
        <item x="783"/>
        <item x="245"/>
        <item x="2007"/>
        <item x="2023"/>
        <item x="2171"/>
        <item x="320"/>
        <item x="1614"/>
        <item x="27"/>
        <item x="2271"/>
        <item x="1618"/>
        <item x="426"/>
        <item x="2312"/>
        <item x="1697"/>
        <item x="729"/>
        <item x="1378"/>
        <item x="60"/>
        <item x="985"/>
        <item x="592"/>
        <item x="883"/>
        <item x="356"/>
        <item x="417"/>
        <item x="820"/>
        <item x="2052"/>
        <item x="1682"/>
        <item x="763"/>
        <item x="1060"/>
        <item x="95"/>
        <item x="1212"/>
        <item x="869"/>
        <item x="1446"/>
        <item x="1752"/>
        <item x="1725"/>
        <item x="1707"/>
        <item x="591"/>
        <item x="629"/>
        <item x="877"/>
        <item x="972"/>
        <item x="996"/>
        <item x="1283"/>
        <item x="624"/>
        <item x="728"/>
        <item x="838"/>
        <item x="2011"/>
        <item x="1438"/>
        <item x="1999"/>
        <item x="884"/>
        <item x="489"/>
        <item x="64"/>
        <item x="2248"/>
        <item x="1250"/>
        <item x="2130"/>
        <item x="1032"/>
        <item x="2040"/>
        <item x="458"/>
        <item x="41"/>
        <item x="2283"/>
        <item x="116"/>
        <item x="1497"/>
        <item x="129"/>
        <item x="644"/>
        <item x="2286"/>
        <item x="183"/>
        <item x="2156"/>
        <item x="1965"/>
        <item x="1519"/>
        <item x="190"/>
        <item x="1117"/>
        <item x="1298"/>
        <item x="1680"/>
        <item x="1586"/>
        <item x="704"/>
        <item x="839"/>
        <item x="1124"/>
        <item x="1982"/>
        <item x="378"/>
        <item x="1198"/>
        <item x="1543"/>
        <item x="236"/>
        <item x="1687"/>
        <item x="2211"/>
        <item x="485"/>
        <item x="1007"/>
        <item x="1704"/>
        <item x="2019"/>
        <item x="1913"/>
        <item x="44"/>
        <item x="367"/>
        <item x="372"/>
        <item x="1897"/>
        <item x="1165"/>
        <item x="660"/>
        <item x="1942"/>
        <item x="550"/>
        <item x="99"/>
        <item x="1144"/>
        <item x="1059"/>
        <item x="1482"/>
        <item x="167"/>
        <item x="2220"/>
        <item x="1681"/>
        <item x="680"/>
        <item x="1996"/>
        <item x="1149"/>
        <item x="1035"/>
        <item x="274"/>
        <item x="551"/>
        <item x="139"/>
        <item x="510"/>
        <item x="1056"/>
        <item x="1326"/>
        <item x="749"/>
        <item x="97"/>
        <item x="907"/>
        <item x="166"/>
        <item x="1691"/>
        <item x="1729"/>
        <item x="788"/>
        <item x="222"/>
        <item x="212"/>
        <item x="1431"/>
        <item x="402"/>
        <item x="1688"/>
        <item x="993"/>
        <item x="1167"/>
        <item x="1773"/>
        <item x="40"/>
        <item x="1883"/>
        <item x="1070"/>
        <item x="1720"/>
        <item x="1595"/>
        <item x="1934"/>
        <item x="857"/>
        <item x="1869"/>
        <item x="2116"/>
        <item x="1660"/>
        <item x="1686"/>
        <item x="2037"/>
        <item x="1398"/>
        <item x="1465"/>
        <item x="47"/>
        <item x="1296"/>
        <item x="936"/>
        <item x="1808"/>
        <item x="879"/>
        <item x="1955"/>
        <item x="1044"/>
        <item x="794"/>
        <item x="1066"/>
        <item x="2278"/>
        <item x="2093"/>
        <item x="2297"/>
        <item x="1393"/>
        <item x="1842"/>
        <item x="696"/>
        <item x="995"/>
        <item x="1109"/>
        <item x="746"/>
        <item x="864"/>
        <item x="1700"/>
        <item x="842"/>
        <item x="1583"/>
        <item x="343"/>
        <item x="31"/>
        <item x="1358"/>
        <item x="1562"/>
        <item x="1320"/>
        <item x="1140"/>
        <item x="1553"/>
        <item x="720"/>
        <item x="1769"/>
        <item x="1838"/>
        <item x="142"/>
        <item x="493"/>
        <item x="1058"/>
        <item x="1114"/>
        <item x="1259"/>
        <item x="225"/>
        <item x="1886"/>
        <item x="1601"/>
        <item x="682"/>
        <item x="1836"/>
        <item x="2255"/>
        <item x="1267"/>
        <item x="1426"/>
        <item x="354"/>
        <item x="2005"/>
        <item x="467"/>
        <item x="573"/>
        <item x="1171"/>
        <item x="1538"/>
        <item x="1135"/>
        <item x="1367"/>
        <item x="1328"/>
        <item x="1152"/>
        <item x="398"/>
        <item x="1521"/>
        <item x="1294"/>
        <item x="1964"/>
        <item x="832"/>
        <item x="374"/>
        <item x="982"/>
        <item x="910"/>
        <item x="1602"/>
        <item x="108"/>
        <item x="85"/>
        <item x="2066"/>
        <item x="410"/>
        <item x="895"/>
        <item x="1089"/>
        <item x="1108"/>
        <item x="1166"/>
        <item x="974"/>
        <item x="9"/>
        <item x="1064"/>
        <item x="2155"/>
        <item x="984"/>
        <item x="161"/>
        <item x="177"/>
        <item x="471"/>
        <item x="1447"/>
        <item x="643"/>
        <item x="1479"/>
        <item x="1855"/>
        <item x="1442"/>
        <item x="1495"/>
        <item x="1077"/>
        <item x="7"/>
        <item x="474"/>
        <item x="1161"/>
        <item x="1669"/>
        <item x="2308"/>
        <item x="1382"/>
        <item x="2261"/>
        <item x="1154"/>
        <item x="1228"/>
        <item x="796"/>
        <item x="1273"/>
        <item x="319"/>
        <item x="651"/>
        <item x="103"/>
        <item x="1239"/>
        <item x="252"/>
        <item x="1421"/>
        <item x="589"/>
        <item x="797"/>
        <item x="2231"/>
        <item x="118"/>
        <item x="603"/>
        <item x="1585"/>
        <item x="1174"/>
        <item x="762"/>
        <item x="1299"/>
        <item x="520"/>
        <item x="109"/>
        <item x="143"/>
        <item x="329"/>
        <item x="2099"/>
        <item x="65"/>
        <item x="1724"/>
        <item x="1286"/>
        <item x="66"/>
        <item x="1755"/>
        <item x="627"/>
        <item x="317"/>
        <item x="834"/>
        <item x="1405"/>
        <item x="441"/>
        <item x="1232"/>
        <item x="406"/>
        <item x="1835"/>
        <item x="134"/>
        <item x="558"/>
        <item x="1570"/>
        <item x="380"/>
        <item x="400"/>
        <item x="854"/>
        <item x="213"/>
        <item x="1301"/>
        <item x="1896"/>
        <item x="626"/>
        <item x="772"/>
        <item x="1981"/>
        <item x="1677"/>
        <item x="1172"/>
        <item x="240"/>
        <item x="238"/>
        <item x="2213"/>
        <item x="2179"/>
        <item x="119"/>
        <item x="408"/>
        <item x="661"/>
        <item x="1304"/>
        <item x="1578"/>
        <item x="1947"/>
        <item x="337"/>
        <item x="1617"/>
        <item x="488"/>
        <item x="357"/>
        <item x="221"/>
        <item x="1811"/>
        <item x="1963"/>
        <item x="1848"/>
        <item x="30"/>
        <item x="769"/>
        <item x="859"/>
        <item x="1484"/>
        <item x="2013"/>
        <item x="311"/>
        <item x="187"/>
        <item x="593"/>
        <item x="93"/>
        <item x="1702"/>
        <item x="1226"/>
        <item x="611"/>
        <item x="1636"/>
        <item x="2253"/>
        <item x="268"/>
        <item x="140"/>
        <item x="332"/>
        <item x="939"/>
        <item x="188"/>
        <item x="2295"/>
        <item x="539"/>
        <item x="1783"/>
        <item x="870"/>
        <item x="1779"/>
        <item x="1123"/>
        <item x="952"/>
        <item x="427"/>
        <item x="2174"/>
        <item x="1662"/>
        <item x="2043"/>
        <item x="2284"/>
        <item x="1513"/>
        <item x="1972"/>
        <item x="1361"/>
        <item x="1041"/>
        <item x="687"/>
        <item x="535"/>
        <item x="328"/>
        <item x="1052"/>
        <item x="1204"/>
        <item x="1417"/>
        <item x="671"/>
        <item x="1309"/>
        <item x="1645"/>
        <item x="276"/>
        <item x="606"/>
        <item x="1717"/>
        <item x="1492"/>
        <item x="2030"/>
        <item x="2014"/>
        <item x="2122"/>
        <item x="1351"/>
        <item x="1297"/>
        <item x="602"/>
        <item x="2"/>
        <item x="2208"/>
        <item x="686"/>
        <item x="481"/>
        <item x="1740"/>
        <item x="288"/>
        <item x="2229"/>
        <item x="1340"/>
        <item x="636"/>
        <item x="2173"/>
        <item x="1088"/>
        <item x="470"/>
        <item x="1321"/>
        <item x="2107"/>
        <item x="2167"/>
        <item x="292"/>
        <item x="533"/>
        <item x="543"/>
        <item x="904"/>
        <item x="483"/>
        <item x="1397"/>
        <item x="938"/>
        <item x="499"/>
        <item x="2001"/>
        <item x="1806"/>
        <item x="2036"/>
        <item x="1500"/>
        <item x="731"/>
        <item x="2249"/>
        <item x="1713"/>
        <item x="1338"/>
        <item x="1532"/>
        <item x="2251"/>
        <item x="2250"/>
        <item x="2192"/>
        <item x="925"/>
        <item x="2182"/>
        <item x="74"/>
        <item x="531"/>
        <item x="1828"/>
        <item x="1463"/>
        <item x="2282"/>
        <item x="234"/>
        <item x="2067"/>
        <item x="712"/>
        <item x="219"/>
        <item x="1222"/>
        <item x="1969"/>
        <item x="668"/>
        <item x="999"/>
        <item x="83"/>
        <item x="1916"/>
        <item x="1015"/>
        <item x="1269"/>
        <item x="708"/>
        <item x="421"/>
        <item x="1922"/>
        <item x="1646"/>
        <item x="106"/>
        <item x="1230"/>
        <item x="1170"/>
        <item x="1374"/>
        <item x="1084"/>
        <item x="1900"/>
        <item x="757"/>
        <item x="324"/>
        <item x="425"/>
        <item x="1087"/>
        <item x="966"/>
        <item x="1477"/>
        <item x="2081"/>
        <item x="258"/>
        <item x="1184"/>
        <item x="371"/>
        <item x="369"/>
        <item x="251"/>
        <item x="754"/>
        <item x="1730"/>
        <item x="1388"/>
        <item x="1694"/>
        <item x="2009"/>
        <item x="469"/>
        <item x="2028"/>
        <item x="2176"/>
        <item x="676"/>
        <item x="700"/>
        <item x="1206"/>
        <item x="575"/>
        <item x="744"/>
        <item x="1287"/>
        <item x="1279"/>
        <item x="314"/>
        <item x="1038"/>
        <item x="1317"/>
        <item x="1255"/>
        <item x="2181"/>
        <item x="2260"/>
        <item x="1430"/>
        <item x="1005"/>
        <item x="702"/>
        <item x="513"/>
        <item x="630"/>
        <item x="1941"/>
        <item x="2205"/>
        <item x="1453"/>
        <item x="647"/>
        <item x="1818"/>
        <item x="2098"/>
        <item x="811"/>
        <item x="962"/>
        <item x="2149"/>
        <item x="1609"/>
        <item x="2159"/>
        <item x="310"/>
        <item x="1692"/>
        <item x="1797"/>
        <item x="559"/>
        <item x="172"/>
        <item x="1683"/>
        <item x="1771"/>
        <item x="891"/>
        <item x="1820"/>
        <item x="459"/>
        <item x="2114"/>
        <item x="88"/>
        <item x="445"/>
        <item x="1225"/>
        <item x="1073"/>
        <item x="216"/>
        <item x="1120"/>
        <item x="388"/>
        <item x="296"/>
        <item x="2053"/>
        <item x="1533"/>
        <item x="508"/>
        <item x="1456"/>
        <item x="756"/>
        <item x="5"/>
        <item x="500"/>
        <item x="90"/>
        <item x="896"/>
        <item x="1247"/>
        <item x="2046"/>
        <item x="1261"/>
        <item x="290"/>
        <item x="1674"/>
        <item x="2143"/>
        <item x="475"/>
        <item x="579"/>
        <item x="1731"/>
        <item x="1552"/>
        <item x="665"/>
        <item x="1414"/>
        <item x="1033"/>
        <item x="737"/>
        <item x="553"/>
        <item x="1215"/>
        <item x="1888"/>
        <item x="2243"/>
        <item x="523"/>
        <item x="1558"/>
        <item x="1711"/>
        <item x="529"/>
        <item x="547"/>
        <item x="1837"/>
        <item x="1112"/>
        <item x="1634"/>
        <item x="1010"/>
        <item x="625"/>
        <item x="186"/>
        <item x="1763"/>
        <item x="457"/>
        <item x="2145"/>
        <item x="2133"/>
        <item x="2075"/>
        <item x="272"/>
        <item x="382"/>
        <item x="370"/>
        <item x="2118"/>
        <item x="975"/>
        <item x="152"/>
        <item x="1927"/>
        <item x="1920"/>
        <item x="78"/>
        <item x="295"/>
        <item x="2124"/>
        <item x="657"/>
        <item x="1821"/>
        <item x="1830"/>
        <item x="1852"/>
        <item x="1971"/>
        <item x="578"/>
        <item x="237"/>
        <item x="1049"/>
        <item x="1643"/>
        <item x="1793"/>
        <item x="752"/>
        <item x="2026"/>
        <item x="1975"/>
        <item x="396"/>
        <item x="89"/>
        <item x="1967"/>
        <item x="2163"/>
        <item x="1244"/>
        <item x="812"/>
        <item x="2108"/>
        <item x="1248"/>
        <item x="1750"/>
        <item x="1706"/>
        <item x="566"/>
        <item x="477"/>
        <item x="1910"/>
        <item x="2262"/>
        <item x="1929"/>
        <item x="947"/>
        <item x="1670"/>
        <item x="595"/>
        <item x="2138"/>
        <item x="360"/>
        <item x="1391"/>
        <item x="1487"/>
        <item x="1826"/>
        <item x="780"/>
        <item x="1211"/>
        <item x="1651"/>
        <item x="1914"/>
        <item x="669"/>
        <item x="1551"/>
        <item x="394"/>
        <item x="1937"/>
        <item x="1207"/>
        <item x="1626"/>
        <item x="1257"/>
        <item x="401"/>
        <item x="1290"/>
        <item x="1857"/>
        <item x="1457"/>
        <item x="1785"/>
        <item x="1256"/>
        <item x="0"/>
        <item x="789"/>
        <item x="2018"/>
        <item x="1303"/>
        <item x="1098"/>
        <item x="23"/>
        <item x="2021"/>
        <item x="1214"/>
        <item x="1529"/>
        <item x="664"/>
        <item h="1" x="180"/>
        <item x="1415"/>
        <item x="482"/>
        <item x="1527"/>
        <item x="330"/>
        <item x="2218"/>
        <item x="929"/>
        <item x="2041"/>
        <item x="1336"/>
        <item x="2113"/>
        <item x="2097"/>
        <item x="313"/>
        <item x="1505"/>
        <item x="452"/>
        <item x="552"/>
        <item x="2069"/>
        <item x="977"/>
        <item x="561"/>
        <item x="1751"/>
        <item x="1742"/>
        <item x="169"/>
        <item x="538"/>
        <item x="1224"/>
        <item x="808"/>
        <item x="1959"/>
        <item x="748"/>
        <item x="323"/>
        <item x="909"/>
        <item x="1737"/>
        <item x="1065"/>
        <item x="981"/>
        <item x="1655"/>
        <item x="1437"/>
        <item x="2055"/>
        <item x="1970"/>
        <item x="1824"/>
        <item x="1890"/>
        <item x="362"/>
        <item x="1962"/>
        <item x="123"/>
        <item x="202"/>
        <item x="2103"/>
        <item x="806"/>
        <item x="830"/>
        <item x="1518"/>
        <item x="1068"/>
        <item x="1690"/>
        <item x="718"/>
        <item x="1627"/>
        <item x="1357"/>
        <item x="175"/>
        <item x="271"/>
        <item x="953"/>
        <item x="361"/>
        <item x="1912"/>
        <item x="631"/>
        <item x="2196"/>
        <item x="585"/>
        <item x="1695"/>
        <item x="732"/>
        <item x="1493"/>
        <item x="1879"/>
        <item x="742"/>
        <item x="2194"/>
        <item x="1576"/>
        <item x="1119"/>
        <item x="1703"/>
        <item x="1549"/>
        <item x="1895"/>
        <item x="980"/>
        <item x="1323"/>
        <item x="971"/>
        <item x="1469"/>
        <item x="814"/>
        <item x="2216"/>
        <item x="2056"/>
        <item x="1118"/>
        <item x="1668"/>
        <item x="67"/>
        <item x="1630"/>
        <item x="1411"/>
        <item x="304"/>
        <item x="1987"/>
        <item x="2254"/>
        <item x="861"/>
        <item x="1566"/>
        <item x="1623"/>
        <item x="821"/>
        <item x="184"/>
        <item x="675"/>
        <item x="176"/>
        <item x="2272"/>
        <item x="1274"/>
        <item x="803"/>
        <item x="1284"/>
        <item x="933"/>
        <item x="1145"/>
        <item x="387"/>
        <item x="1569"/>
        <item x="963"/>
        <item x="710"/>
        <item x="713"/>
        <item x="461"/>
        <item x="1220"/>
        <item x="1097"/>
        <item x="2025"/>
        <item x="2128"/>
        <item x="1074"/>
        <item x="1568"/>
        <item x="257"/>
        <item x="1559"/>
        <item x="229"/>
        <item x="1432"/>
        <item x="608"/>
        <item x="1390"/>
        <item x="1399"/>
        <item x="2090"/>
        <item x="1938"/>
        <item x="1635"/>
        <item x="1252"/>
        <item x="1040"/>
        <item x="604"/>
        <item x="287"/>
        <item x="1727"/>
        <item x="1829"/>
        <item x="753"/>
        <item x="242"/>
        <item x="1745"/>
        <item x="273"/>
        <item x="1344"/>
        <item x="282"/>
        <item x="263"/>
        <item x="1993"/>
        <item x="530"/>
        <item x="397"/>
        <item x="1134"/>
        <item x="1496"/>
        <item x="1815"/>
        <item x="494"/>
        <item x="522"/>
        <item x="2065"/>
        <item x="2131"/>
        <item x="911"/>
        <item x="818"/>
        <item x="2228"/>
        <item x="765"/>
        <item x="2068"/>
        <item x="1767"/>
        <item x="1295"/>
        <item x="1659"/>
        <item x="100"/>
        <item x="571"/>
        <item x="2022"/>
        <item x="2222"/>
        <item x="1012"/>
        <item x="1960"/>
        <item x="758"/>
        <item x="210"/>
        <item x="1908"/>
        <item x="1462"/>
        <item x="1401"/>
        <item x="1030"/>
        <item x="690"/>
        <item x="793"/>
        <item x="1028"/>
        <item x="1522"/>
        <item x="2091"/>
        <item x="1148"/>
        <item x="28"/>
        <item x="1156"/>
        <item x="1333"/>
        <item x="512"/>
        <item x="1260"/>
        <item x="2197"/>
        <item x="1107"/>
        <item x="1598"/>
        <item x="545"/>
        <item x="2148"/>
        <item x="1291"/>
        <item x="1675"/>
        <item x="181"/>
        <item x="693"/>
        <item x="289"/>
        <item x="1733"/>
        <item x="137"/>
        <item x="1514"/>
        <item x="1541"/>
        <item x="1420"/>
        <item x="942"/>
        <item x="801"/>
        <item x="2215"/>
        <item x="920"/>
        <item x="1018"/>
        <item x="1209"/>
        <item x="1468"/>
        <item x="473"/>
        <item x="1396"/>
        <item x="1100"/>
        <item x="447"/>
        <item x="363"/>
        <item x="391"/>
        <item x="1698"/>
        <item x="1685"/>
        <item x="2259"/>
        <item x="1909"/>
        <item x="82"/>
        <item x="133"/>
        <item x="418"/>
        <item x="540"/>
        <item x="1347"/>
        <item x="435"/>
        <item x="2134"/>
        <item x="586"/>
        <item x="2257"/>
        <item x="1525"/>
        <item x="645"/>
        <item x="205"/>
        <item x="1770"/>
        <item x="577"/>
        <item x="114"/>
        <item x="2199"/>
        <item x="15"/>
        <item x="2285"/>
        <item x="906"/>
        <item x="965"/>
        <item x="2207"/>
        <item x="815"/>
        <item x="1866"/>
        <item x="2256"/>
        <item x="623"/>
        <item x="556"/>
        <item x="1353"/>
        <item x="846"/>
        <item x="297"/>
        <item x="1467"/>
        <item x="1845"/>
        <item x="541"/>
        <item x="1329"/>
        <item x="1155"/>
        <item x="399"/>
        <item x="1047"/>
        <item x="1485"/>
        <item x="1034"/>
        <item x="1679"/>
        <item x="1086"/>
        <item x="1218"/>
        <item x="1508"/>
        <item x="831"/>
        <item x="994"/>
        <item x="1512"/>
        <item x="2306"/>
        <item x="2135"/>
        <item x="876"/>
        <item x="1486"/>
        <item x="2088"/>
        <item x="978"/>
        <item x="18"/>
        <item x="607"/>
        <item x="365"/>
        <item x="1379"/>
        <item x="194"/>
        <item x="1903"/>
        <item x="1386"/>
        <item x="1164"/>
        <item x="621"/>
        <item x="1141"/>
        <item x="1424"/>
        <item x="164"/>
        <item x="1083"/>
        <item x="48"/>
        <item x="1817"/>
        <item x="546"/>
        <item x="1580"/>
        <item x="16"/>
        <item x="1138"/>
        <item x="701"/>
        <item x="2153"/>
        <item x="224"/>
        <item x="1419"/>
        <item x="1071"/>
        <item x="8"/>
        <item x="1918"/>
        <item x="1085"/>
        <item x="178"/>
        <item x="640"/>
        <item x="766"/>
        <item x="597"/>
        <item x="776"/>
        <item x="1480"/>
        <item x="393"/>
        <item x="207"/>
        <item x="2141"/>
        <item x="1307"/>
        <item x="259"/>
        <item x="1104"/>
        <item x="1766"/>
        <item x="1489"/>
        <item x="1217"/>
        <item x="279"/>
        <item x="21"/>
        <item x="1798"/>
        <item x="376"/>
        <item x="1840"/>
        <item x="1383"/>
        <item x="404"/>
        <item x="1264"/>
        <item x="2223"/>
        <item x="1311"/>
        <item x="73"/>
        <item x="583"/>
        <item x="2072"/>
        <item x="69"/>
        <item x="517"/>
        <item x="778"/>
        <item x="2296"/>
        <item x="1223"/>
        <item x="1387"/>
        <item x="1402"/>
        <item x="1802"/>
        <item x="810"/>
        <item x="144"/>
        <item x="1285"/>
        <item x="1373"/>
        <item x="1973"/>
        <item x="444"/>
        <item x="436"/>
        <item x="525"/>
        <item x="2178"/>
        <item x="14"/>
        <item x="422"/>
        <item x="549"/>
        <item x="2161"/>
        <item x="1213"/>
        <item x="2126"/>
        <item x="81"/>
        <item x="767"/>
        <item x="674"/>
        <item x="1898"/>
        <item x="1990"/>
        <item x="532"/>
        <item x="2293"/>
        <item x="2288"/>
        <item x="1621"/>
        <item x="761"/>
        <item x="1805"/>
        <item x="927"/>
        <item x="96"/>
        <item x="2125"/>
        <item x="555"/>
        <item x="2044"/>
        <item x="2049"/>
        <item x="1710"/>
        <item x="1994"/>
        <item x="2177"/>
        <item x="689"/>
        <item x="241"/>
        <item x="460"/>
        <item x="2180"/>
        <item x="1995"/>
        <item x="136"/>
        <item x="266"/>
        <item x="1113"/>
        <item x="2264"/>
        <item x="2010"/>
        <item x="415"/>
        <item x="2034"/>
        <item x="1555"/>
        <item x="865"/>
        <item x="521"/>
        <item x="315"/>
        <item x="195"/>
        <item x="1986"/>
        <item x="2095"/>
        <item x="1470"/>
        <item x="622"/>
        <item x="1449"/>
        <item x="1689"/>
        <item x="1528"/>
        <item x="1875"/>
        <item x="377"/>
        <item x="12"/>
        <item x="159"/>
        <item x="439"/>
        <item x="2189"/>
        <item x="2136"/>
        <item x="727"/>
        <item x="943"/>
        <item x="1588"/>
        <item x="795"/>
        <item x="2000"/>
        <item x="2050"/>
        <item x="1822"/>
        <item x="1313"/>
        <item x="1318"/>
        <item x="1276"/>
        <item x="2311"/>
        <item x="1454"/>
        <item x="182"/>
        <item x="1548"/>
        <item x="1705"/>
        <item x="840"/>
        <item x="1794"/>
        <item x="138"/>
        <item x="403"/>
        <item x="584"/>
        <item x="1540"/>
        <item x="171"/>
        <item x="334"/>
        <item x="1499"/>
        <item x="197"/>
        <item x="1368"/>
        <item x="87"/>
        <item x="1515"/>
        <item x="1233"/>
        <item x="1968"/>
        <item x="677"/>
        <item x="1133"/>
        <item x="1870"/>
        <item x="1423"/>
        <item x="928"/>
        <item x="1611"/>
        <item x="486"/>
        <item x="2106"/>
        <item x="918"/>
        <item x="1418"/>
        <item x="1354"/>
        <item x="2302"/>
        <item x="885"/>
        <item x="937"/>
        <item x="1394"/>
        <item x="934"/>
        <item x="286"/>
        <item x="1784"/>
        <item x="2085"/>
        <item x="1199"/>
        <item x="76"/>
        <item x="900"/>
        <item x="1587"/>
        <item x="2209"/>
        <item x="849"/>
        <item x="206"/>
        <item x="127"/>
        <item x="850"/>
        <item x="2313"/>
        <item x="110"/>
        <item x="46"/>
        <item x="1988"/>
        <item x="1759"/>
        <item x="154"/>
        <item x="57"/>
        <item x="442"/>
        <item x="2158"/>
        <item x="1458"/>
        <item x="1809"/>
        <item x="642"/>
        <item x="1856"/>
        <item x="132"/>
        <item x="1716"/>
        <item x="1404"/>
        <item x="307"/>
        <item x="1162"/>
        <item x="261"/>
        <item x="2006"/>
        <item x="653"/>
        <item x="697"/>
        <item x="2017"/>
        <item x="2102"/>
        <item x="823"/>
        <item x="1781"/>
        <item x="450"/>
        <item x="699"/>
        <item x="590"/>
        <item x="2140"/>
        <item x="1873"/>
        <item x="246"/>
        <item x="1581"/>
        <item x="375"/>
        <item x="420"/>
        <item x="628"/>
        <item x="1801"/>
        <item x="156"/>
        <item x="659"/>
        <item x="1281"/>
        <item x="2240"/>
        <item x="2298"/>
        <item x="203"/>
        <item x="1985"/>
        <item x="428"/>
        <item x="1227"/>
        <item x="1653"/>
        <item x="1795"/>
        <item x="867"/>
        <item x="1834"/>
        <item x="419"/>
        <item x="1599"/>
        <item x="2193"/>
        <item x="6"/>
        <item x="1872"/>
        <item x="1939"/>
        <item x="162"/>
        <item x="960"/>
        <item x="1511"/>
        <item x="2226"/>
        <item x="1718"/>
        <item x="719"/>
        <item x="894"/>
        <item x="1023"/>
        <item x="1951"/>
        <item x="1180"/>
        <item x="2051"/>
        <item x="1974"/>
        <item x="412"/>
        <item x="1810"/>
        <item x="774"/>
        <item x="1003"/>
        <item x="33"/>
        <item x="384"/>
        <item x="730"/>
        <item x="987"/>
        <item x="1931"/>
        <item x="29"/>
        <item x="1584"/>
        <item x="1103"/>
        <item x="946"/>
        <item x="2290"/>
        <item x="1288"/>
        <item x="1957"/>
        <item x="685"/>
        <item x="1557"/>
        <item x="2004"/>
        <item x="1701"/>
        <item x="291"/>
        <item x="179"/>
        <item x="899"/>
        <item x="755"/>
        <item x="1335"/>
        <item x="303"/>
        <item x="1734"/>
        <item x="614"/>
        <item x="1787"/>
        <item x="569"/>
        <item x="1208"/>
        <item x="1143"/>
        <item x="582"/>
        <item x="1111"/>
        <item x="2267"/>
        <item x="366"/>
        <item x="502"/>
        <item x="1859"/>
        <item x="1106"/>
        <item x="1433"/>
        <item x="703"/>
        <item x="1747"/>
        <item x="594"/>
        <item x="745"/>
        <item x="160"/>
        <item x="1372"/>
        <item x="1254"/>
        <item x="1792"/>
        <item x="2045"/>
        <item x="2227"/>
        <item x="514"/>
        <item x="1736"/>
        <item x="1014"/>
        <item x="232"/>
        <item x="988"/>
        <item x="68"/>
        <item x="497"/>
        <item x="1282"/>
        <item x="1280"/>
        <item x="2121"/>
        <item x="528"/>
        <item x="580"/>
        <item x="667"/>
        <item x="1936"/>
        <item x="511"/>
        <item x="1977"/>
        <item x="1953"/>
        <item x="1509"/>
        <item x="373"/>
        <item x="881"/>
        <item x="1235"/>
        <item x="856"/>
        <item x="340"/>
        <item x="56"/>
        <item x="1342"/>
        <item x="2268"/>
        <item x="1749"/>
        <item x="1099"/>
        <item x="2273"/>
        <item x="2054"/>
        <item x="1345"/>
        <item x="117"/>
        <item x="2195"/>
        <item x="1891"/>
        <item x="829"/>
        <item x="804"/>
        <item x="338"/>
        <item x="1245"/>
        <item x="495"/>
        <item x="932"/>
        <item x="2200"/>
        <item x="2076"/>
        <item x="1488"/>
        <item x="1847"/>
        <item x="1464"/>
        <item x="1476"/>
        <item x="1130"/>
        <item x="346"/>
        <item x="413"/>
        <item x="149"/>
        <item x="128"/>
        <item x="249"/>
        <item x="1324"/>
        <item x="1082"/>
        <item x="969"/>
        <item x="1054"/>
        <item x="2217"/>
        <item x="243"/>
        <item x="1365"/>
        <item x="1907"/>
        <item x="1011"/>
        <item x="1153"/>
        <item x="1523"/>
        <item x="1127"/>
        <item x="1241"/>
        <item x="349"/>
        <item x="1789"/>
        <item x="1997"/>
        <item x="32"/>
        <item x="1592"/>
        <item x="1616"/>
        <item x="1678"/>
        <item x="341"/>
        <item x="1191"/>
        <item x="10"/>
        <item x="424"/>
        <item x="1661"/>
        <item x="2012"/>
        <item x="1067"/>
        <item x="326"/>
        <item x="1231"/>
        <item x="1072"/>
        <item x="2183"/>
        <item x="1160"/>
        <item x="1804"/>
        <item x="199"/>
        <item x="72"/>
        <item x="339"/>
        <item x="1596"/>
        <item x="694"/>
        <item x="192"/>
        <item x="411"/>
        <item x="250"/>
        <item x="1444"/>
        <item x="1115"/>
        <item x="1708"/>
        <item x="548"/>
        <item x="2275"/>
        <item x="1843"/>
        <item x="1439"/>
        <item x="1292"/>
        <item x="1864"/>
        <item x="1039"/>
        <item x="121"/>
        <item x="1699"/>
        <item x="298"/>
        <item x="39"/>
        <item x="1978"/>
        <item x="567"/>
        <item x="678"/>
        <item x="1"/>
        <item x="654"/>
        <item x="2039"/>
        <item x="1712"/>
        <item x="1181"/>
        <item x="862"/>
        <item x="890"/>
        <item x="141"/>
        <item x="1271"/>
        <item x="845"/>
        <item x="208"/>
        <item x="381"/>
        <item x="641"/>
        <item x="802"/>
        <item x="601"/>
        <item x="1854"/>
        <item x="283"/>
        <item x="807"/>
        <item x="1042"/>
        <item x="1371"/>
        <item x="1121"/>
        <item x="306"/>
        <item x="2115"/>
        <item x="348"/>
        <item x="1102"/>
        <item x="1590"/>
        <item x="1375"/>
        <item x="101"/>
        <item x="1016"/>
        <item x="537"/>
        <item x="1925"/>
        <item x="220"/>
        <item x="509"/>
        <item x="2172"/>
        <item x="1501"/>
        <item x="2154"/>
        <item x="218"/>
        <item x="1915"/>
        <item x="1362"/>
        <item x="2112"/>
        <item x="13"/>
        <item x="1778"/>
        <item x="1132"/>
        <item x="1158"/>
        <item x="94"/>
        <item x="1719"/>
        <item x="2266"/>
        <item x="889"/>
        <item x="455"/>
        <item x="1649"/>
        <item x="191"/>
        <item x="130"/>
        <item x="1197"/>
        <item x="1268"/>
        <item x="1504"/>
        <item x="1768"/>
        <item x="62"/>
        <item x="1774"/>
        <item x="1210"/>
        <item x="1884"/>
        <item x="115"/>
        <item x="968"/>
        <item x="698"/>
        <item x="1648"/>
        <item x="1332"/>
        <item x="1545"/>
        <item x="1201"/>
        <item x="1236"/>
        <item x="2038"/>
        <item x="2042"/>
        <item x="1092"/>
        <item x="1435"/>
        <item x="2157"/>
        <item x="574"/>
        <item x="2299"/>
        <item x="1827"/>
        <item x="1002"/>
        <item x="226"/>
        <item x="1348"/>
        <item x="165"/>
        <item x="610"/>
        <item x="1364"/>
        <item x="1998"/>
        <item x="1761"/>
        <item x="1536"/>
        <item x="1381"/>
        <item x="940"/>
        <item x="355"/>
        <item x="1574"/>
        <item x="828"/>
        <item x="437"/>
        <item x="1314"/>
        <item h="1" x="600"/>
        <item x="871"/>
        <item x="1754"/>
        <item x="917"/>
        <item x="98"/>
        <item x="618"/>
        <item x="1384"/>
        <item x="1051"/>
        <item x="961"/>
        <item x="524"/>
        <item x="1510"/>
        <item x="390"/>
        <item x="724"/>
        <item x="1331"/>
        <item x="1366"/>
        <item x="1561"/>
        <item x="635"/>
        <item x="897"/>
        <item x="107"/>
        <item x="2307"/>
        <item x="2071"/>
        <item x="1564"/>
        <item x="1567"/>
        <item h="1" x="453"/>
        <item x="565"/>
        <item x="1577"/>
        <item x="1025"/>
        <item x="691"/>
        <item x="1980"/>
        <item x="1550"/>
        <item x="681"/>
        <item x="2242"/>
        <item x="1722"/>
        <item x="751"/>
        <item x="827"/>
        <item x="1650"/>
        <item x="1177"/>
        <item x="637"/>
        <item x="1882"/>
        <item x="1782"/>
        <item x="358"/>
        <item x="1860"/>
        <item x="501"/>
        <item x="1945"/>
        <item x="2214"/>
        <item x="726"/>
        <item x="1791"/>
        <item x="872"/>
        <item x="1036"/>
        <item x="924"/>
        <item x="1633"/>
        <item x="125"/>
        <item x="672"/>
        <item x="498"/>
        <item x="588"/>
        <item x="1346"/>
        <item x="1009"/>
        <item x="572"/>
        <item x="2150"/>
        <item x="1019"/>
        <item x="1950"/>
        <item x="1664"/>
        <item x="609"/>
        <item x="84"/>
        <item x="1753"/>
        <item x="316"/>
        <item x="43"/>
        <item x="38"/>
        <item x="1861"/>
        <item x="1667"/>
        <item x="809"/>
        <item x="1663"/>
        <item x="124"/>
        <item x="1491"/>
        <item x="1673"/>
        <item x="1868"/>
        <item x="1619"/>
        <item x="2027"/>
        <item x="379"/>
        <item x="1958"/>
        <item x="782"/>
        <item x="648"/>
        <item x="957"/>
        <item x="2224"/>
        <item x="734"/>
        <item x="1137"/>
        <item x="684"/>
        <item x="490"/>
        <item x="359"/>
        <item x="1370"/>
        <item x="1901"/>
        <item x="1803"/>
        <item x="253"/>
        <item x="335"/>
        <item x="707"/>
        <item x="1542"/>
        <item x="1812"/>
        <item x="1150"/>
        <item x="1853"/>
        <item x="1714"/>
        <item x="2160"/>
        <item x="951"/>
        <item x="448"/>
        <item x="1322"/>
        <item x="1780"/>
        <item x="318"/>
        <item x="466"/>
        <item x="836"/>
        <item x="2225"/>
        <item x="1892"/>
        <item x="1006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axis="axisPage" dataField="1" multipleItemSelectionAllowed="1" showAll="0">
      <items count="78">
        <item x="44"/>
        <item x="52"/>
        <item x="72"/>
        <item x="65"/>
        <item x="76"/>
        <item x="62"/>
        <item x="73"/>
        <item x="75"/>
        <item x="63"/>
        <item x="70"/>
        <item x="51"/>
        <item x="60"/>
        <item x="64"/>
        <item x="71"/>
        <item x="69"/>
        <item x="59"/>
        <item x="68"/>
        <item x="43"/>
        <item x="55"/>
        <item x="58"/>
        <item x="32"/>
        <item x="61"/>
        <item x="67"/>
        <item x="56"/>
        <item x="30"/>
        <item x="41"/>
        <item x="49"/>
        <item x="45"/>
        <item x="36"/>
        <item x="28"/>
        <item x="47"/>
        <item x="46"/>
        <item x="35"/>
        <item x="38"/>
        <item x="33"/>
        <item x="34"/>
        <item x="48"/>
        <item x="18"/>
        <item x="3"/>
        <item x="37"/>
        <item x="21"/>
        <item x="19"/>
        <item x="1"/>
        <item x="27"/>
        <item x="0"/>
        <item x="8"/>
        <item x="2"/>
        <item x="16"/>
        <item x="20"/>
        <item x="24"/>
        <item x="15"/>
        <item x="9"/>
        <item x="26"/>
        <item x="14"/>
        <item x="6"/>
        <item x="11"/>
        <item x="4"/>
        <item x="7"/>
        <item x="31"/>
        <item x="17"/>
        <item x="5"/>
        <item x="22"/>
        <item x="12"/>
        <item x="13"/>
        <item x="23"/>
        <item x="40"/>
        <item x="25"/>
        <item x="39"/>
        <item x="42"/>
        <item x="29"/>
        <item x="54"/>
        <item x="53"/>
        <item x="10"/>
        <item x="50"/>
        <item x="66"/>
        <item x="74"/>
        <item x="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</rowItems>
  <colItems count="1">
    <i/>
  </colItems>
  <pageFields count="1">
    <pageField fld="7" hier="-1"/>
  </pageFields>
  <dataFields count="1">
    <dataField name="Average of imdb_score" fld="7" subtotal="average" baseField="0" baseItem="0" numFmtId="2"/>
  </dataFields>
  <formats count="2">
    <format dxfId="24">
      <pivotArea outline="0" collapsedLevelsAreSubtotals="1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1F0B4-DBC3-4AAE-8F21-911A8DF9889D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289" firstHeaderRow="0" firstDataRow="1" firstDataCol="1"/>
  <pivotFields count="16"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Row" showAll="0">
      <items count="4286">
        <item x="1365"/>
        <item x="4173"/>
        <item x="1352"/>
        <item x="307"/>
        <item x="4220"/>
        <item x="1817"/>
        <item x="722"/>
        <item x="372"/>
        <item x="4133"/>
        <item x="1137"/>
        <item x="1486"/>
        <item x="758"/>
        <item x="2864"/>
        <item x="531"/>
        <item x="2538"/>
        <item x="544"/>
        <item x="611"/>
        <item x="306"/>
        <item x="2313"/>
        <item x="1872"/>
        <item x="1406"/>
        <item x="418"/>
        <item x="1203"/>
        <item x="4035"/>
        <item x="938"/>
        <item x="1426"/>
        <item x="267"/>
        <item x="1222"/>
        <item x="3822"/>
        <item x="3299"/>
        <item x="1148"/>
        <item x="3156"/>
        <item x="528"/>
        <item x="1984"/>
        <item x="3936"/>
        <item x="2252"/>
        <item x="2642"/>
        <item x="202"/>
        <item x="865"/>
        <item x="2818"/>
        <item x="245"/>
        <item x="1637"/>
        <item x="1866"/>
        <item x="2148"/>
        <item x="1489"/>
        <item x="2083"/>
        <item x="2885"/>
        <item x="2994"/>
        <item x="598"/>
        <item x="1773"/>
        <item x="1863"/>
        <item x="1256"/>
        <item x="2668"/>
        <item x="4122"/>
        <item x="747"/>
        <item x="3680"/>
        <item x="1826"/>
        <item x="88"/>
        <item x="3545"/>
        <item x="4211"/>
        <item x="1931"/>
        <item x="2018"/>
        <item x="4095"/>
        <item x="2628"/>
        <item x="1088"/>
        <item x="1287"/>
        <item x="3417"/>
        <item x="3463"/>
        <item x="4078"/>
        <item x="2613"/>
        <item x="1886"/>
        <item x="3320"/>
        <item x="2046"/>
        <item x="3164"/>
        <item x="875"/>
        <item x="3607"/>
        <item x="663"/>
        <item x="1522"/>
        <item x="1209"/>
        <item x="645"/>
        <item x="529"/>
        <item x="3244"/>
        <item x="3566"/>
        <item x="1528"/>
        <item x="1437"/>
        <item x="1425"/>
        <item x="3422"/>
        <item x="1321"/>
        <item x="3114"/>
        <item x="1275"/>
        <item x="2685"/>
        <item x="3832"/>
        <item x="2587"/>
        <item x="1763"/>
        <item x="2061"/>
        <item x="3715"/>
        <item x="542"/>
        <item x="17"/>
        <item x="4077"/>
        <item x="1201"/>
        <item x="2392"/>
        <item x="2124"/>
        <item x="618"/>
        <item x="2231"/>
        <item x="1303"/>
        <item x="3022"/>
        <item x="2576"/>
        <item x="1697"/>
        <item x="960"/>
        <item x="3240"/>
        <item x="2594"/>
        <item x="2094"/>
        <item x="2114"/>
        <item x="1644"/>
        <item x="694"/>
        <item x="2387"/>
        <item x="2218"/>
        <item x="2225"/>
        <item x="2681"/>
        <item x="1005"/>
        <item x="1568"/>
        <item x="2454"/>
        <item x="4206"/>
        <item x="2431"/>
        <item x="3260"/>
        <item x="3135"/>
        <item x="3019"/>
        <item x="1138"/>
        <item x="2634"/>
        <item x="3067"/>
        <item x="3024"/>
        <item x="3596"/>
        <item x="1332"/>
        <item x="1044"/>
        <item x="1935"/>
        <item x="2535"/>
        <item x="10"/>
        <item x="739"/>
        <item x="1553"/>
        <item x="765"/>
        <item x="1927"/>
        <item x="3203"/>
        <item x="675"/>
        <item x="2239"/>
        <item x="3315"/>
        <item x="1734"/>
        <item x="946"/>
        <item x="3981"/>
        <item x="2245"/>
        <item x="2935"/>
        <item x="873"/>
        <item x="4084"/>
        <item x="2161"/>
        <item x="4119"/>
        <item x="1745"/>
        <item x="703"/>
        <item x="403"/>
        <item x="2689"/>
        <item x="1849"/>
        <item x="1544"/>
        <item x="684"/>
        <item x="958"/>
        <item x="303"/>
        <item x="11"/>
        <item x="2315"/>
        <item x="340"/>
        <item x="2461"/>
        <item x="1072"/>
        <item x="3547"/>
        <item x="2381"/>
        <item x="2583"/>
        <item x="2551"/>
        <item x="3911"/>
        <item x="1446"/>
        <item x="2657"/>
        <item x="2158"/>
        <item x="4063"/>
        <item x="1450"/>
        <item x="3232"/>
        <item x="1326"/>
        <item x="2341"/>
        <item x="1593"/>
        <item x="3796"/>
        <item x="3734"/>
        <item x="2304"/>
        <item x="3498"/>
        <item x="1188"/>
        <item x="174"/>
        <item x="3795"/>
        <item x="2517"/>
        <item x="3476"/>
        <item x="3906"/>
        <item x="2750"/>
        <item x="2244"/>
        <item x="3789"/>
        <item x="371"/>
        <item x="1310"/>
        <item x="2797"/>
        <item x="3971"/>
        <item x="559"/>
        <item x="1286"/>
        <item x="1483"/>
        <item x="1585"/>
        <item x="229"/>
        <item x="2278"/>
        <item x="1720"/>
        <item x="158"/>
        <item x="1876"/>
        <item x="1964"/>
        <item x="2264"/>
        <item x="3810"/>
        <item x="1171"/>
        <item x="4263"/>
        <item x="3196"/>
        <item x="4054"/>
        <item x="1562"/>
        <item x="725"/>
        <item x="1443"/>
        <item x="3127"/>
        <item x="2677"/>
        <item x="4190"/>
        <item x="3818"/>
        <item x="1468"/>
        <item x="2014"/>
        <item x="4134"/>
        <item x="2429"/>
        <item x="3282"/>
        <item x="4239"/>
        <item x="285"/>
        <item x="142"/>
        <item x="1504"/>
        <item x="1128"/>
        <item x="2286"/>
        <item x="153"/>
        <item x="1290"/>
        <item x="1989"/>
        <item x="639"/>
        <item x="900"/>
        <item x="3737"/>
        <item x="3133"/>
        <item x="1079"/>
        <item x="1428"/>
        <item x="3167"/>
        <item x="3389"/>
        <item x="2808"/>
        <item x="50"/>
        <item x="2705"/>
        <item x="527"/>
        <item x="3217"/>
        <item x="33"/>
        <item x="99"/>
        <item x="1494"/>
        <item x="3987"/>
        <item x="1659"/>
        <item x="1265"/>
        <item x="4117"/>
        <item x="3266"/>
        <item x="3960"/>
        <item x="4216"/>
        <item x="3144"/>
        <item x="1513"/>
        <item x="2636"/>
        <item x="1524"/>
        <item x="2850"/>
        <item x="4104"/>
        <item x="2530"/>
        <item x="2330"/>
        <item x="3049"/>
        <item x="396"/>
        <item x="2058"/>
        <item x="2028"/>
        <item x="23"/>
        <item x="503"/>
        <item x="4254"/>
        <item x="3564"/>
        <item x="166"/>
        <item x="2695"/>
        <item x="1429"/>
        <item x="1492"/>
        <item x="2325"/>
        <item x="2820"/>
        <item x="737"/>
        <item x="745"/>
        <item x="838"/>
        <item x="757"/>
        <item x="825"/>
        <item x="1785"/>
        <item x="2834"/>
        <item x="163"/>
        <item x="837"/>
        <item x="3082"/>
        <item x="1787"/>
        <item x="152"/>
        <item x="3425"/>
        <item x="3339"/>
        <item x="3652"/>
        <item x="1200"/>
        <item x="3446"/>
        <item x="4260"/>
        <item x="3925"/>
        <item x="1227"/>
        <item x="2923"/>
        <item x="1235"/>
        <item x="2423"/>
        <item x="268"/>
        <item x="3447"/>
        <item x="2522"/>
        <item x="231"/>
        <item x="658"/>
        <item x="2565"/>
        <item x="2465"/>
        <item x="2829"/>
        <item x="3256"/>
        <item x="2527"/>
        <item x="605"/>
        <item x="3628"/>
        <item x="3086"/>
        <item x="1515"/>
        <item x="188"/>
        <item x="1160"/>
        <item x="2314"/>
        <item x="2660"/>
        <item x="2904"/>
        <item x="971"/>
        <item x="4185"/>
        <item x="1523"/>
        <item x="2697"/>
        <item x="746"/>
        <item x="2417"/>
        <item x="4241"/>
        <item x="1432"/>
        <item x="2097"/>
        <item x="2471"/>
        <item x="708"/>
        <item x="2482"/>
        <item x="2378"/>
        <item x="2419"/>
        <item x="3433"/>
        <item x="3754"/>
        <item x="657"/>
        <item x="3720"/>
        <item x="2049"/>
        <item x="1838"/>
        <item x="848"/>
        <item x="592"/>
        <item x="3574"/>
        <item x="1121"/>
        <item x="1837"/>
        <item x="208"/>
        <item x="2737"/>
        <item x="3013"/>
        <item x="1261"/>
        <item x="4212"/>
        <item x="3182"/>
        <item x="2540"/>
        <item x="379"/>
        <item x="1951"/>
        <item x="2145"/>
        <item x="2194"/>
        <item x="469"/>
        <item x="2366"/>
        <item x="2624"/>
        <item x="3865"/>
        <item x="144"/>
        <item x="393"/>
        <item x="2102"/>
        <item x="49"/>
        <item x="3615"/>
        <item x="560"/>
        <item x="473"/>
        <item x="68"/>
        <item x="3095"/>
        <item x="2397"/>
        <item x="4022"/>
        <item x="942"/>
        <item x="2744"/>
        <item x="43"/>
        <item x="3562"/>
        <item x="1315"/>
        <item x="940"/>
        <item x="1726"/>
        <item x="3280"/>
        <item x="1422"/>
        <item x="932"/>
        <item x="2691"/>
        <item x="1431"/>
        <item x="1093"/>
        <item x="802"/>
        <item x="406"/>
        <item x="274"/>
        <item x="833"/>
        <item x="2915"/>
        <item x="3111"/>
        <item x="296"/>
        <item x="1054"/>
        <item x="855"/>
        <item x="3234"/>
        <item x="2216"/>
        <item x="3483"/>
        <item x="1291"/>
        <item x="786"/>
        <item x="1223"/>
        <item x="1373"/>
        <item x="2977"/>
        <item x="1334"/>
        <item x="172"/>
        <item x="3035"/>
        <item x="2404"/>
        <item x="550"/>
        <item x="2913"/>
        <item x="2169"/>
        <item x="3747"/>
        <item x="2839"/>
        <item x="2486"/>
        <item x="1885"/>
        <item x="432"/>
        <item x="1695"/>
        <item x="2008"/>
        <item x="2519"/>
        <item x="1831"/>
        <item x="4"/>
        <item x="3845"/>
        <item x="2497"/>
        <item x="290"/>
        <item x="3482"/>
        <item x="3068"/>
        <item x="3265"/>
        <item x="3236"/>
        <item x="2646"/>
        <item x="3237"/>
        <item x="490"/>
        <item x="2357"/>
        <item x="3097"/>
        <item x="3070"/>
        <item x="2358"/>
        <item x="1388"/>
        <item x="2013"/>
        <item x="1550"/>
        <item x="1092"/>
        <item x="1243"/>
        <item x="723"/>
        <item x="1774"/>
        <item x="3018"/>
        <item x="2525"/>
        <item x="3399"/>
        <item x="92"/>
        <item x="1698"/>
        <item x="727"/>
        <item x="3343"/>
        <item x="4128"/>
        <item x="2723"/>
        <item x="3576"/>
        <item x="3206"/>
        <item x="3034"/>
        <item x="895"/>
        <item x="2731"/>
        <item x="1582"/>
        <item x="388"/>
        <item x="2467"/>
        <item x="336"/>
        <item x="1827"/>
        <item x="2916"/>
        <item x="3126"/>
        <item x="1825"/>
        <item x="1747"/>
        <item x="2390"/>
        <item x="1706"/>
        <item x="3292"/>
        <item x="3302"/>
        <item x="3286"/>
        <item x="1474"/>
        <item x="3346"/>
        <item x="2644"/>
        <item x="1979"/>
        <item x="438"/>
        <item x="3141"/>
        <item x="1119"/>
        <item x="2396"/>
        <item x="1625"/>
        <item x="889"/>
        <item x="3015"/>
        <item x="20"/>
        <item x="974"/>
        <item x="3136"/>
        <item x="3974"/>
        <item x="194"/>
        <item x="2199"/>
        <item x="621"/>
        <item x="342"/>
        <item x="2219"/>
        <item x="1444"/>
        <item x="1392"/>
        <item x="1617"/>
        <item x="2125"/>
        <item x="3465"/>
        <item x="4255"/>
        <item x="3418"/>
        <item x="3701"/>
        <item x="4096"/>
        <item x="3336"/>
        <item x="4152"/>
        <item x="2230"/>
        <item x="3629"/>
        <item x="2882"/>
        <item x="3767"/>
        <item x="997"/>
        <item x="608"/>
        <item x="3849"/>
        <item x="1758"/>
        <item x="1981"/>
        <item x="3806"/>
        <item x="3937"/>
        <item x="360"/>
        <item x="2998"/>
        <item x="3047"/>
        <item x="3515"/>
        <item x="2912"/>
        <item x="1064"/>
        <item x="1782"/>
        <item x="975"/>
        <item x="3349"/>
        <item x="2612"/>
        <item x="1105"/>
        <item x="3537"/>
        <item x="797"/>
        <item x="1614"/>
        <item x="2226"/>
        <item x="2221"/>
        <item x="1347"/>
        <item x="338"/>
        <item x="1165"/>
        <item x="341"/>
        <item x="4195"/>
        <item x="3713"/>
        <item x="3381"/>
        <item x="3400"/>
        <item x="386"/>
        <item x="2415"/>
        <item x="2270"/>
        <item x="3453"/>
        <item x="2443"/>
        <item x="2901"/>
        <item x="514"/>
        <item x="478"/>
        <item x="851"/>
        <item x="185"/>
        <item x="4060"/>
        <item x="852"/>
        <item x="264"/>
        <item x="2993"/>
        <item x="680"/>
        <item x="3995"/>
        <item x="2881"/>
        <item x="4102"/>
        <item x="3696"/>
        <item x="2458"/>
        <item x="3173"/>
        <item x="2019"/>
        <item x="496"/>
        <item x="299"/>
        <item x="190"/>
        <item x="1754"/>
        <item x="312"/>
        <item x="3760"/>
        <item x="2649"/>
        <item x="3341"/>
        <item x="1046"/>
        <item x="358"/>
        <item x="2627"/>
        <item x="178"/>
        <item x="2982"/>
        <item x="328"/>
        <item x="2478"/>
        <item x="1020"/>
        <item x="4222"/>
        <item x="4066"/>
        <item x="3875"/>
        <item x="1812"/>
        <item x="2193"/>
        <item x="3853"/>
        <item x="3856"/>
        <item x="2152"/>
        <item x="2185"/>
        <item x="1404"/>
        <item x="3294"/>
        <item x="3540"/>
        <item x="4075"/>
        <item x="3535"/>
        <item x="3893"/>
        <item x="1292"/>
        <item x="3009"/>
        <item x="2351"/>
        <item x="2799"/>
        <item x="3835"/>
        <item x="2217"/>
        <item x="3716"/>
        <item x="1780"/>
        <item x="467"/>
        <item x="4056"/>
        <item x="2783"/>
        <item x="3560"/>
        <item x="47"/>
        <item x="1518"/>
        <item x="915"/>
        <item x="3828"/>
        <item x="1382"/>
        <item x="4147"/>
        <item x="877"/>
        <item x="1767"/>
        <item x="3065"/>
        <item x="3966"/>
        <item x="832"/>
        <item x="2271"/>
        <item x="3581"/>
        <item x="227"/>
        <item x="2738"/>
        <item x="2144"/>
        <item x="1166"/>
        <item x="973"/>
        <item x="2262"/>
        <item x="19"/>
        <item x="3522"/>
        <item x="3706"/>
        <item x="3725"/>
        <item x="1182"/>
        <item x="4013"/>
        <item x="964"/>
        <item x="1916"/>
        <item x="4091"/>
        <item x="3230"/>
        <item x="1430"/>
        <item x="2809"/>
        <item x="3714"/>
        <item x="1702"/>
        <item x="67"/>
        <item x="1242"/>
        <item x="1003"/>
        <item x="3357"/>
        <item x="2621"/>
        <item x="996"/>
        <item x="1674"/>
        <item x="102"/>
        <item x="3416"/>
        <item x="4112"/>
        <item x="3663"/>
        <item x="3151"/>
        <item x="3288"/>
        <item x="3460"/>
        <item x="2035"/>
        <item x="4163"/>
        <item x="2597"/>
        <item x="3253"/>
        <item x="4043"/>
        <item x="4247"/>
        <item x="3512"/>
        <item x="4018"/>
        <item x="1172"/>
        <item x="2445"/>
        <item x="3915"/>
        <item x="1904"/>
        <item x="375"/>
        <item x="2056"/>
        <item x="3775"/>
        <item x="495"/>
        <item x="3391"/>
        <item x="2072"/>
        <item x="378"/>
        <item x="186"/>
        <item x="890"/>
        <item x="2875"/>
        <item x="2867"/>
        <item x="3218"/>
        <item x="3207"/>
        <item x="4123"/>
        <item x="183"/>
        <item x="1364"/>
        <item x="2548"/>
        <item x="1017"/>
        <item x="1263"/>
        <item x="22"/>
        <item x="1385"/>
        <item x="3673"/>
        <item x="1415"/>
        <item x="3735"/>
        <item x="1915"/>
        <item x="2153"/>
        <item x="1988"/>
        <item x="2911"/>
        <item x="3464"/>
        <item x="316"/>
        <item x="4141"/>
        <item x="3489"/>
        <item x="830"/>
        <item x="1283"/>
        <item x="286"/>
        <item x="410"/>
        <item x="3709"/>
        <item x="4002"/>
        <item x="447"/>
        <item x="868"/>
        <item x="3858"/>
        <item x="2771"/>
        <item x="2856"/>
        <item x="2374"/>
        <item x="2457"/>
        <item x="3169"/>
        <item x="233"/>
        <item x="3090"/>
        <item x="3907"/>
        <item x="3107"/>
        <item x="4046"/>
        <item x="3945"/>
        <item x="3970"/>
        <item x="1189"/>
        <item x="3604"/>
        <item x="4025"/>
        <item x="511"/>
        <item x="2320"/>
        <item x="3450"/>
        <item x="167"/>
        <item x="1868"/>
        <item x="3855"/>
        <item x="1264"/>
        <item x="1173"/>
        <item x="1961"/>
        <item x="1340"/>
        <item x="215"/>
        <item x="3297"/>
        <item x="532"/>
        <item x="368"/>
        <item x="221"/>
        <item x="3209"/>
        <item x="3976"/>
        <item x="3071"/>
        <item x="1111"/>
        <item x="1319"/>
        <item x="84"/>
        <item x="1762"/>
        <item x="74"/>
        <item x="3321"/>
        <item x="1878"/>
        <item x="4049"/>
        <item x="3884"/>
        <item x="1060"/>
        <item x="3457"/>
        <item x="3910"/>
        <item x="59"/>
        <item x="1846"/>
        <item x="2224"/>
        <item x="1944"/>
        <item x="950"/>
        <item x="2126"/>
        <item x="2865"/>
        <item x="204"/>
        <item x="3075"/>
        <item x="1343"/>
        <item x="254"/>
        <item x="729"/>
        <item x="60"/>
        <item x="260"/>
        <item x="860"/>
        <item x="381"/>
        <item x="3745"/>
        <item x="3883"/>
        <item x="353"/>
        <item x="1641"/>
        <item x="1642"/>
        <item x="2032"/>
        <item x="3894"/>
        <item x="272"/>
        <item x="3770"/>
        <item x="2329"/>
        <item x="599"/>
        <item x="1390"/>
        <item x="1548"/>
        <item x="2464"/>
        <item x="9"/>
        <item x="492"/>
        <item x="3551"/>
        <item x="1945"/>
        <item x="459"/>
        <item x="1940"/>
        <item x="3492"/>
        <item x="2785"/>
        <item x="2170"/>
        <item x="574"/>
        <item x="1778"/>
        <item x="3590"/>
        <item x="1269"/>
        <item x="164"/>
        <item x="2615"/>
        <item x="4121"/>
        <item x="850"/>
        <item x="6"/>
        <item x="2761"/>
        <item x="1101"/>
        <item x="1480"/>
        <item x="1130"/>
        <item x="2746"/>
        <item x="114"/>
        <item x="4019"/>
        <item x="7"/>
        <item x="2257"/>
        <item x="2784"/>
        <item x="1447"/>
        <item x="3142"/>
        <item x="1861"/>
        <item x="1389"/>
        <item x="1815"/>
        <item x="3229"/>
        <item x="2989"/>
        <item x="892"/>
        <item x="3840"/>
        <item x="501"/>
        <item x="3176"/>
        <item x="2493"/>
        <item x="1117"/>
        <item x="3115"/>
        <item x="4082"/>
        <item x="1368"/>
        <item x="3755"/>
        <item x="2810"/>
        <item x="34"/>
        <item x="2188"/>
        <item x="1006"/>
        <item x="3723"/>
        <item x="2254"/>
        <item x="3370"/>
        <item x="3812"/>
        <item x="1043"/>
        <item x="1937"/>
        <item x="3271"/>
        <item x="726"/>
        <item x="814"/>
        <item x="3028"/>
        <item x="2742"/>
        <item x="2265"/>
        <item x="2027"/>
        <item x="2388"/>
        <item x="3762"/>
        <item x="3295"/>
        <item x="2907"/>
        <item x="704"/>
        <item x="76"/>
        <item x="2888"/>
        <item x="1542"/>
        <item x="493"/>
        <item x="1226"/>
        <item x="1216"/>
        <item x="1230"/>
        <item x="2116"/>
        <item x="1999"/>
        <item x="1250"/>
        <item x="181"/>
        <item x="3084"/>
        <item x="1162"/>
        <item x="2929"/>
        <item x="2704"/>
        <item x="1794"/>
        <item x="4251"/>
        <item x="82"/>
        <item x="4151"/>
        <item x="4115"/>
        <item x="874"/>
        <item x="1021"/>
        <item x="3648"/>
        <item x="218"/>
        <item x="4186"/>
        <item x="3048"/>
        <item x="499"/>
        <item x="1496"/>
        <item x="1491"/>
        <item x="1891"/>
        <item x="3008"/>
        <item x="3060"/>
        <item x="4009"/>
        <item x="1923"/>
        <item x="2942"/>
        <item x="1159"/>
        <item x="288"/>
        <item x="2914"/>
        <item x="1342"/>
        <item x="4158"/>
        <item x="741"/>
        <item x="2039"/>
        <item x="3854"/>
        <item x="791"/>
        <item x="3834"/>
        <item x="2089"/>
        <item x="2085"/>
        <item x="2804"/>
        <item x="1252"/>
        <item x="1396"/>
        <item x="1894"/>
        <item x="4080"/>
        <item x="4017"/>
        <item x="2253"/>
        <item x="894"/>
        <item x="4279"/>
        <item x="1082"/>
        <item x="4015"/>
        <item x="3366"/>
        <item x="2380"/>
        <item x="397"/>
        <item x="3215"/>
        <item x="1972"/>
        <item x="2665"/>
        <item x="1471"/>
        <item x="1669"/>
        <item x="674"/>
        <item x="700"/>
        <item x="615"/>
        <item x="419"/>
        <item x="3733"/>
        <item x="3197"/>
        <item x="2363"/>
        <item x="2122"/>
        <item x="73"/>
        <item x="197"/>
        <item x="3004"/>
        <item x="4030"/>
        <item x="2755"/>
        <item x="294"/>
        <item x="4061"/>
        <item x="1909"/>
        <item x="3069"/>
        <item x="2992"/>
        <item x="2751"/>
        <item x="179"/>
        <item x="3675"/>
        <item x="214"/>
        <item x="2582"/>
        <item x="349"/>
        <item x="2180"/>
        <item x="2828"/>
        <item x="3843"/>
        <item x="1419"/>
        <item x="2086"/>
        <item x="4059"/>
        <item x="3657"/>
        <item x="1714"/>
        <item x="300"/>
        <item x="3110"/>
        <item x="3831"/>
        <item x="1634"/>
        <item x="2980"/>
        <item x="2308"/>
        <item x="2385"/>
        <item x="821"/>
        <item x="4207"/>
        <item x="1716"/>
        <item x="3773"/>
        <item x="1273"/>
        <item x="2326"/>
        <item x="567"/>
        <item x="3119"/>
        <item x="2163"/>
        <item x="2925"/>
        <item x="2578"/>
        <item x="2105"/>
        <item x="4198"/>
        <item x="1980"/>
        <item x="2487"/>
        <item x="4124"/>
        <item x="843"/>
        <item x="3811"/>
        <item x="4242"/>
        <item x="417"/>
        <item x="2470"/>
        <item x="3258"/>
        <item x="2654"/>
        <item x="1333"/>
        <item x="1995"/>
        <item x="547"/>
        <item x="4156"/>
        <item x="2142"/>
        <item x="1711"/>
        <item x="4108"/>
        <item x="1050"/>
        <item x="715"/>
        <item x="2924"/>
        <item x="3016"/>
        <item x="2108"/>
        <item x="647"/>
        <item x="3219"/>
        <item x="2414"/>
        <item x="3848"/>
        <item x="1968"/>
        <item x="2005"/>
        <item x="38"/>
        <item x="4248"/>
        <item x="2796"/>
        <item x="2041"/>
        <item x="2000"/>
        <item x="3898"/>
        <item x="2936"/>
        <item x="1045"/>
        <item x="2555"/>
        <item x="1926"/>
        <item x="2009"/>
        <item x="3948"/>
        <item x="25"/>
        <item x="2944"/>
        <item x="2683"/>
        <item x="538"/>
        <item x="1558"/>
        <item x="1608"/>
        <item x="1560"/>
        <item x="2999"/>
        <item x="65"/>
        <item x="2450"/>
        <item x="3316"/>
        <item x="3813"/>
        <item x="3750"/>
        <item x="150"/>
        <item x="2233"/>
        <item x="2184"/>
        <item x="1016"/>
        <item x="3002"/>
        <item x="1746"/>
        <item x="1556"/>
        <item x="987"/>
        <item x="1164"/>
        <item x="3681"/>
        <item x="1339"/>
        <item x="3552"/>
        <item x="58"/>
        <item x="1797"/>
        <item x="3830"/>
        <item x="3369"/>
        <item x="2599"/>
        <item x="500"/>
        <item x="3983"/>
        <item x="3516"/>
        <item x="206"/>
        <item x="1538"/>
        <item x="1335"/>
        <item x="3231"/>
        <item x="2667"/>
        <item x="4278"/>
        <item x="4253"/>
        <item x="859"/>
        <item x="1680"/>
        <item x="4028"/>
        <item x="2375"/>
        <item x="539"/>
        <item x="195"/>
        <item x="2593"/>
        <item x="3243"/>
        <item x="3577"/>
        <item x="2716"/>
        <item x="2310"/>
        <item x="4245"/>
        <item x="2640"/>
        <item x="2113"/>
        <item x="2205"/>
        <item x="2354"/>
        <item x="3914"/>
        <item x="1246"/>
        <item x="1067"/>
        <item x="1434"/>
        <item x="822"/>
        <item x="845"/>
        <item x="2154"/>
        <item x="373"/>
        <item x="2886"/>
        <item x="1739"/>
        <item x="2335"/>
        <item x="646"/>
        <item x="2573"/>
        <item x="1789"/>
        <item x="1466"/>
        <item x="1438"/>
        <item x="3899"/>
        <item x="754"/>
        <item x="143"/>
        <item x="2869"/>
        <item x="1769"/>
        <item x="3677"/>
        <item x="1559"/>
        <item x="4110"/>
        <item x="1881"/>
        <item x="2269"/>
        <item x="2276"/>
        <item x="521"/>
        <item x="1281"/>
        <item x="4001"/>
        <item x="2282"/>
        <item x="4064"/>
        <item x="1955"/>
        <item x="4111"/>
        <item x="866"/>
        <item x="2564"/>
        <item x="2212"/>
        <item x="394"/>
        <item x="1681"/>
        <item x="3038"/>
        <item x="2997"/>
        <item x="3511"/>
        <item x="1534"/>
        <item x="1306"/>
        <item x="2717"/>
        <item x="3227"/>
        <item x="579"/>
        <item x="687"/>
        <item x="728"/>
        <item x="2268"/>
        <item x="911"/>
        <item x="3674"/>
        <item x="354"/>
        <item x="930"/>
        <item x="4140"/>
        <item x="3501"/>
        <item x="636"/>
        <item x="1027"/>
        <item x="1719"/>
        <item x="3283"/>
        <item x="2931"/>
        <item x="2880"/>
        <item x="2588"/>
        <item x="883"/>
        <item x="3309"/>
        <item x="2044"/>
        <item x="604"/>
        <item x="2630"/>
        <item x="4109"/>
        <item x="713"/>
        <item x="556"/>
        <item x="1053"/>
        <item x="4179"/>
        <item x="2974"/>
        <item x="3620"/>
        <item x="138"/>
        <item x="3007"/>
        <item x="1457"/>
        <item x="1084"/>
        <item x="3570"/>
        <item x="4243"/>
        <item x="2372"/>
        <item x="1185"/>
        <item x="462"/>
        <item x="250"/>
        <item x="2427"/>
        <item x="2664"/>
        <item x="1115"/>
        <item x="827"/>
        <item x="812"/>
        <item x="4213"/>
        <item x="1179"/>
        <item x="2340"/>
        <item x="1574"/>
        <item x="1280"/>
        <item x="2943"/>
        <item x="1423"/>
        <item x="2813"/>
        <item x="1234"/>
        <item x="3757"/>
        <item x="3175"/>
        <item x="1361"/>
        <item x="1710"/>
        <item x="686"/>
        <item x="3922"/>
        <item x="1135"/>
        <item x="2889"/>
        <item x="1867"/>
        <item x="1520"/>
        <item x="956"/>
        <item x="4257"/>
        <item x="3503"/>
        <item x="1612"/>
        <item x="587"/>
        <item x="1700"/>
        <item x="600"/>
        <item x="3683"/>
        <item x="635"/>
        <item x="638"/>
        <item x="4135"/>
        <item x="769"/>
        <item x="1609"/>
        <item x="1977"/>
        <item x="2700"/>
        <item x="774"/>
        <item x="702"/>
        <item x="1025"/>
        <item x="1845"/>
        <item x="4154"/>
        <item x="3888"/>
        <item x="3801"/>
        <item x="1973"/>
        <item x="4014"/>
        <item x="979"/>
        <item x="3364"/>
        <item x="90"/>
        <item x="448"/>
        <item x="3337"/>
        <item x="2601"/>
        <item x="2428"/>
        <item x="2726"/>
        <item x="2424"/>
        <item x="98"/>
        <item x="134"/>
        <item x="3608"/>
        <item x="2469"/>
        <item x="2714"/>
        <item x="951"/>
        <item x="104"/>
        <item x="2817"/>
        <item x="828"/>
        <item x="1561"/>
        <item x="594"/>
        <item x="1433"/>
        <item x="3344"/>
        <item x="710"/>
        <item x="3216"/>
        <item x="335"/>
        <item x="219"/>
        <item x="3667"/>
        <item x="1839"/>
        <item x="3248"/>
        <item x="1920"/>
        <item x="3254"/>
        <item x="445"/>
        <item x="1155"/>
        <item x="1375"/>
        <item x="435"/>
        <item x="3281"/>
        <item x="1049"/>
        <item x="4106"/>
        <item x="3163"/>
        <item x="1358"/>
        <item x="280"/>
        <item x="3917"/>
        <item x="3356"/>
        <item x="1259"/>
        <item x="614"/>
        <item x="2814"/>
        <item x="3379"/>
        <item x="1914"/>
        <item x="1413"/>
        <item x="4071"/>
        <item x="1140"/>
        <item x="0"/>
        <item x="2748"/>
        <item x="192"/>
        <item x="1933"/>
        <item x="553"/>
        <item x="2451"/>
        <item x="4020"/>
        <item x="1880"/>
        <item x="1024"/>
        <item x="3825"/>
        <item x="1251"/>
        <item x="1312"/>
        <item x="1304"/>
        <item x="1640"/>
        <item x="2249"/>
        <item x="1997"/>
        <item x="752"/>
        <item x="2502"/>
        <item x="1889"/>
        <item x="2498"/>
        <item x="2741"/>
        <item x="2413"/>
        <item x="2010"/>
        <item x="2167"/>
        <item x="551"/>
        <item x="2801"/>
        <item x="2543"/>
        <item x="3644"/>
        <item x="2250"/>
        <item x="2052"/>
        <item x="1345"/>
        <item x="3301"/>
        <item x="2337"/>
        <item x="2299"/>
        <item x="2528"/>
        <item x="3524"/>
        <item x="2652"/>
        <item x="3997"/>
        <item x="836"/>
        <item x="3526"/>
        <item x="3014"/>
        <item x="3656"/>
        <item x="928"/>
        <item x="633"/>
        <item x="3964"/>
        <item x="2570"/>
        <item x="154"/>
        <item x="4197"/>
        <item x="1573"/>
        <item x="925"/>
        <item x="824"/>
        <item x="313"/>
        <item x="2446"/>
        <item x="3947"/>
        <item x="976"/>
        <item x="1619"/>
        <item x="4259"/>
        <item x="2208"/>
        <item x="2155"/>
        <item x="270"/>
        <item x="2860"/>
        <item x="1309"/>
        <item x="4053"/>
        <item x="941"/>
        <item x="31"/>
        <item x="3946"/>
        <item x="2513"/>
        <item x="3950"/>
        <item x="2710"/>
        <item x="130"/>
        <item x="457"/>
        <item x="3021"/>
        <item x="3242"/>
        <item x="2090"/>
        <item x="2897"/>
        <item x="863"/>
        <item x="2077"/>
        <item x="304"/>
        <item x="2951"/>
        <item x="2932"/>
        <item x="3435"/>
        <item x="788"/>
        <item x="634"/>
        <item x="2107"/>
        <item x="2812"/>
        <item x="3200"/>
        <item x="3054"/>
        <item x="2819"/>
        <item x="3250"/>
        <item x="3303"/>
        <item x="1238"/>
        <item x="2892"/>
        <item x="2140"/>
        <item x="1465"/>
        <item x="1503"/>
        <item x="2879"/>
        <item x="2934"/>
        <item x="3359"/>
        <item x="1694"/>
        <item x="2206"/>
        <item x="3993"/>
        <item x="2617"/>
        <item x="3358"/>
        <item x="820"/>
        <item x="2832"/>
        <item x="3191"/>
        <item x="2438"/>
        <item x="2743"/>
        <item x="718"/>
        <item x="2558"/>
        <item x="24"/>
        <item x="652"/>
        <item x="817"/>
        <item x="52"/>
        <item x="773"/>
        <item x="1847"/>
        <item x="3378"/>
        <item x="1928"/>
        <item x="4215"/>
        <item x="1076"/>
        <item x="3913"/>
        <item x="1930"/>
        <item x="2059"/>
        <item x="4187"/>
        <item x="1604"/>
        <item x="217"/>
        <item x="4233"/>
        <item x="1731"/>
        <item x="3285"/>
        <item x="485"/>
        <item x="1192"/>
        <item x="945"/>
        <item x="3525"/>
        <item x="3486"/>
        <item x="1497"/>
        <item x="882"/>
        <item x="3212"/>
        <item x="1532"/>
        <item x="3444"/>
        <item x="811"/>
        <item x="1727"/>
        <item x="1806"/>
        <item x="856"/>
        <item x="2290"/>
        <item x="3690"/>
        <item x="2164"/>
        <item x="323"/>
        <item x="1327"/>
        <item x="2118"/>
        <item x="361"/>
        <item x="3958"/>
        <item x="3625"/>
        <item x="1078"/>
        <item x="918"/>
        <item x="1011"/>
        <item x="3105"/>
        <item x="2115"/>
        <item x="2592"/>
        <item x="3514"/>
        <item x="2687"/>
        <item x="1638"/>
        <item x="2560"/>
        <item x="2890"/>
        <item x="1982"/>
        <item x="2734"/>
        <item x="2098"/>
        <item x="2698"/>
        <item x="1600"/>
        <item x="3305"/>
        <item x="3345"/>
        <item x="988"/>
        <item x="1336"/>
        <item x="1893"/>
        <item x="1751"/>
        <item x="225"/>
        <item x="2177"/>
        <item x="724"/>
        <item x="1183"/>
        <item x="554"/>
        <item x="2679"/>
        <item x="3477"/>
        <item x="4169"/>
        <item x="1799"/>
        <item x="909"/>
        <item x="3593"/>
        <item x="3722"/>
        <item x="2473"/>
        <item x="1123"/>
        <item x="1752"/>
        <item x="4083"/>
        <item x="3117"/>
        <item x="948"/>
        <item x="1823"/>
        <item x="2546"/>
        <item x="1220"/>
        <item x="2215"/>
        <item x="1436"/>
        <item x="3602"/>
        <item x="720"/>
        <item x="719"/>
        <item x="3432"/>
        <item x="2504"/>
        <item x="4129"/>
        <item x="1357"/>
        <item x="3544"/>
        <item x="1546"/>
        <item x="2512"/>
        <item x="2399"/>
        <item x="1833"/>
        <item x="2959"/>
        <item x="3676"/>
        <item x="1065"/>
        <item x="1749"/>
        <item x="2319"/>
        <item x="112"/>
        <item x="3470"/>
        <item x="3635"/>
        <item x="1087"/>
        <item x="3475"/>
        <item x="992"/>
        <item x="3322"/>
        <item x="1408"/>
        <item x="258"/>
        <item x="491"/>
        <item x="2728"/>
        <item x="1211"/>
        <item x="1083"/>
        <item x="2976"/>
        <item x="1547"/>
        <item x="2260"/>
        <item x="391"/>
        <item x="1633"/>
        <item x="2952"/>
        <item x="2003"/>
        <item x="4094"/>
        <item x="920"/>
        <item x="904"/>
        <item x="95"/>
        <item x="3879"/>
        <item x="2781"/>
        <item x="888"/>
        <item x="653"/>
        <item x="1229"/>
        <item x="1725"/>
        <item x="2191"/>
        <item x="3959"/>
        <item x="1445"/>
        <item x="1143"/>
        <item x="897"/>
        <item x="1129"/>
        <item x="124"/>
        <item x="1190"/>
        <item x="3410"/>
        <item x="3752"/>
        <item x="2835"/>
        <item x="2772"/>
        <item x="3228"/>
        <item x="1029"/>
        <item x="1052"/>
        <item x="2780"/>
        <item x="749"/>
        <item x="1771"/>
        <item x="1411"/>
        <item x="3778"/>
        <item x="1776"/>
        <item x="2317"/>
        <item x="365"/>
        <item x="3308"/>
        <item x="2112"/>
        <item x="3278"/>
        <item x="2872"/>
        <item x="839"/>
        <item x="2575"/>
        <item x="2954"/>
        <item x="905"/>
        <item x="3496"/>
        <item x="2474"/>
        <item x="2100"/>
        <item x="2981"/>
        <item x="654"/>
        <item x="3092"/>
        <item x="3073"/>
        <item x="14"/>
        <item x="475"/>
        <item x="425"/>
        <item x="576"/>
        <item x="1502"/>
        <item x="1939"/>
        <item x="2572"/>
        <item x="1594"/>
        <item x="2332"/>
        <item x="1946"/>
        <item x="2767"/>
        <item x="2861"/>
        <item x="676"/>
        <item x="292"/>
        <item x="2334"/>
        <item x="1370"/>
        <item x="2050"/>
        <item x="2849"/>
        <item x="3890"/>
        <item x="2824"/>
        <item x="1113"/>
        <item x="2033"/>
        <item x="1743"/>
        <item x="2495"/>
        <item x="1484"/>
        <item x="3684"/>
        <item x="1384"/>
        <item x="2070"/>
        <item x="3137"/>
        <item x="1841"/>
        <item x="2765"/>
        <item x="1606"/>
        <item x="2754"/>
        <item x="1207"/>
        <item x="27"/>
        <item x="3509"/>
        <item x="2637"/>
        <item x="2240"/>
        <item x="3319"/>
        <item x="1282"/>
        <item x="2596"/>
        <item x="864"/>
        <item x="4067"/>
        <item x="3902"/>
        <item x="2384"/>
        <item x="3293"/>
        <item x="566"/>
        <item x="1750"/>
        <item x="1000"/>
        <item x="637"/>
        <item x="999"/>
        <item x="3003"/>
        <item x="3178"/>
        <item x="2963"/>
        <item x="2838"/>
        <item x="3642"/>
        <item x="302"/>
        <item x="3578"/>
        <item x="2718"/>
        <item x="4164"/>
        <item x="314"/>
        <item x="4273"/>
        <item x="3972"/>
        <item x="3901"/>
        <item x="3797"/>
        <item x="4088"/>
        <item x="1991"/>
        <item x="1764"/>
        <item x="2853"/>
        <item x="3978"/>
        <item x="3862"/>
        <item x="2506"/>
        <item x="2312"/>
        <item x="3398"/>
        <item x="643"/>
        <item x="3859"/>
        <item x="3386"/>
        <item x="2854"/>
        <item x="673"/>
        <item x="3323"/>
        <item x="1262"/>
        <item x="3753"/>
        <item x="3387"/>
        <item x="3957"/>
        <item x="3785"/>
        <item x="2653"/>
        <item x="173"/>
        <item x="1297"/>
        <item x="3208"/>
        <item x="422"/>
        <item x="3096"/>
        <item x="1218"/>
        <item x="2877"/>
        <item x="1630"/>
        <item x="4282"/>
        <item x="1899"/>
        <item x="3497"/>
        <item x="3318"/>
        <item x="861"/>
        <item x="3921"/>
        <item x="2917"/>
        <item x="3334"/>
        <item x="1224"/>
        <item x="3688"/>
        <item x="3159"/>
        <item x="1848"/>
        <item x="2760"/>
        <item x="3152"/>
        <item x="714"/>
        <item x="4160"/>
        <item x="1338"/>
        <item x="1537"/>
        <item x="3815"/>
        <item x="4265"/>
        <item x="3686"/>
        <item x="3072"/>
        <item x="913"/>
        <item x="2591"/>
        <item x="3788"/>
        <item x="3353"/>
        <item x="2811"/>
        <item x="140"/>
        <item x="171"/>
        <item x="627"/>
        <item x="589"/>
        <item x="1463"/>
        <item x="367"/>
        <item x="78"/>
        <item x="1957"/>
        <item x="1655"/>
        <item x="4144"/>
        <item x="30"/>
        <item x="2533"/>
        <item x="1081"/>
        <item x="1587"/>
        <item x="2537"/>
        <item x="1922"/>
        <item x="1481"/>
        <item x="3304"/>
        <item x="1062"/>
        <item x="1852"/>
        <item x="3567"/>
        <item x="3965"/>
        <item x="1441"/>
        <item x="3659"/>
        <item x="967"/>
        <item x="896"/>
        <item x="3771"/>
        <item x="2736"/>
        <item x="3487"/>
        <item x="2721"/>
        <item x="1488"/>
        <item x="1616"/>
        <item x="1073"/>
        <item x="1237"/>
        <item x="4045"/>
        <item x="761"/>
        <item x="3193"/>
        <item x="1858"/>
        <item x="3471"/>
        <item x="283"/>
        <item x="1288"/>
        <item x="216"/>
        <item x="672"/>
        <item x="295"/>
        <item x="414"/>
        <item x="1772"/>
        <item x="2996"/>
        <item x="3298"/>
        <item x="3632"/>
        <item x="437"/>
        <item x="2662"/>
        <item x="2484"/>
        <item x="2846"/>
        <item x="3466"/>
        <item x="42"/>
        <item x="2440"/>
        <item x="2109"/>
        <item x="1921"/>
        <item x="1853"/>
        <item x="3361"/>
        <item x="3528"/>
        <item x="1157"/>
        <item x="2645"/>
        <item x="1598"/>
        <item x="2275"/>
        <item x="891"/>
        <item x="914"/>
        <item x="3660"/>
        <item x="329"/>
        <item x="1412"/>
        <item x="205"/>
        <item x="3872"/>
        <item x="461"/>
        <item x="2195"/>
        <item x="2360"/>
        <item x="3889"/>
        <item x="321"/>
        <item x="3066"/>
        <item x="2166"/>
        <item x="1461"/>
        <item x="2068"/>
        <item x="2948"/>
        <item x="2259"/>
        <item x="2747"/>
        <item x="37"/>
        <item x="3790"/>
        <item x="857"/>
        <item x="51"/>
        <item x="2391"/>
        <item x="536"/>
        <item x="3710"/>
        <item x="2078"/>
        <item x="1247"/>
        <item x="1114"/>
        <item x="94"/>
        <item x="1460"/>
        <item x="212"/>
        <item x="1860"/>
        <item x="1071"/>
        <item x="39"/>
        <item x="1569"/>
        <item x="4155"/>
        <item x="541"/>
        <item x="2585"/>
        <item x="3313"/>
        <item x="2400"/>
        <item x="293"/>
        <item x="2789"/>
        <item x="3373"/>
        <item x="376"/>
        <item x="3658"/>
        <item x="1409"/>
        <item x="1597"/>
        <item x="2277"/>
        <item x="2444"/>
        <item x="1864"/>
        <item x="3352"/>
        <item x="3099"/>
        <item x="2023"/>
        <item x="3895"/>
        <item x="990"/>
        <item x="2143"/>
        <item x="1577"/>
        <item x="1008"/>
        <item x="616"/>
        <item x="806"/>
        <item x="3118"/>
        <item x="339"/>
        <item x="389"/>
        <item x="4178"/>
        <item x="3529"/>
        <item x="2284"/>
        <item x="3584"/>
        <item x="1599"/>
        <item x="2713"/>
        <item x="3864"/>
        <item x="111"/>
        <item x="2606"/>
        <item x="2295"/>
        <item x="3385"/>
        <item x="2970"/>
        <item x="3363"/>
        <item x="2712"/>
        <item x="1874"/>
        <item x="4167"/>
        <item x="463"/>
        <item x="3140"/>
        <item x="2566"/>
        <item x="2986"/>
        <item x="2893"/>
        <item x="220"/>
        <item x="678"/>
        <item x="1699"/>
        <item x="1066"/>
        <item x="953"/>
        <item x="1245"/>
        <item x="3255"/>
        <item x="2600"/>
        <item x="4031"/>
        <item x="2655"/>
        <item x="4200"/>
        <item x="409"/>
        <item x="3687"/>
        <item x="583"/>
        <item x="1057"/>
        <item x="3739"/>
        <item x="2802"/>
        <item x="279"/>
        <item x="1707"/>
        <item x="3613"/>
        <item x="982"/>
        <item x="1372"/>
        <item x="4184"/>
        <item x="2045"/>
        <item x="1784"/>
        <item x="2447"/>
        <item x="1908"/>
        <item x="2673"/>
        <item x="3225"/>
        <item x="683"/>
        <item x="1810"/>
        <item x="732"/>
        <item x="3541"/>
        <item x="421"/>
        <item x="3756"/>
        <item x="3395"/>
        <item x="289"/>
        <item x="3220"/>
        <item x="2554"/>
        <item x="3539"/>
        <item x="3800"/>
        <item x="4229"/>
        <item x="2067"/>
        <item x="2040"/>
        <item x="2762"/>
        <item x="691"/>
        <item x="133"/>
        <item x="87"/>
        <item x="794"/>
        <item x="555"/>
        <item x="3599"/>
        <item x="3053"/>
        <item x="380"/>
        <item x="1755"/>
        <item x="3779"/>
        <item x="2870"/>
        <item x="187"/>
        <item x="3325"/>
        <item x="1170"/>
        <item x="2778"/>
        <item x="3500"/>
        <item x="607"/>
        <item x="1938"/>
        <item x="1670"/>
        <item x="1299"/>
        <item x="2675"/>
        <item x="3927"/>
        <item x="2733"/>
        <item x="730"/>
        <item x="962"/>
        <item x="1454"/>
        <item x="3233"/>
        <item x="3694"/>
        <item x="534"/>
        <item x="3429"/>
        <item x="644"/>
        <item x="3991"/>
        <item x="939"/>
        <item x="3583"/>
        <item x="759"/>
        <item x="936"/>
        <item x="2707"/>
        <item x="4055"/>
        <item x="785"/>
        <item x="1508"/>
        <item x="2448"/>
        <item x="3188"/>
        <item x="3262"/>
        <item x="479"/>
        <item x="756"/>
        <item x="1779"/>
        <item x="1798"/>
        <item x="3328"/>
        <item x="3986"/>
        <item x="685"/>
        <item x="504"/>
        <item x="1911"/>
        <item x="1439"/>
        <item x="1341"/>
        <item x="2830"/>
        <item x="2165"/>
        <item x="3409"/>
        <item x="4274"/>
        <item x="2745"/>
        <item x="2292"/>
        <item x="1056"/>
        <item x="1302"/>
        <item x="442"/>
        <item x="1459"/>
        <item x="4228"/>
        <item x="2807"/>
        <item x="2866"/>
        <item x="4007"/>
        <item x="2432"/>
        <item x="383"/>
        <item x="800"/>
        <item x="2321"/>
        <item x="2920"/>
        <item x="1228"/>
        <item x="2682"/>
        <item x="1122"/>
        <item x="352"/>
        <item x="1651"/>
        <item x="2620"/>
        <item x="2303"/>
        <item x="2183"/>
        <item x="2020"/>
        <item x="488"/>
        <item x="3523"/>
        <item x="3969"/>
        <item x="2353"/>
        <item x="3329"/>
        <item x="1472"/>
        <item x="2855"/>
        <item x="1456"/>
        <item x="1402"/>
        <item x="4026"/>
        <item x="3508"/>
        <item x="2228"/>
        <item x="3368"/>
        <item x="4040"/>
        <item x="3939"/>
        <item x="796"/>
        <item x="1410"/>
        <item x="4132"/>
        <item x="2370"/>
        <item x="2991"/>
        <item x="3239"/>
        <item x="3861"/>
        <item x="751"/>
        <item x="844"/>
        <item x="3052"/>
        <item x="3124"/>
        <item x="2213"/>
        <item x="795"/>
        <item x="3821"/>
        <item x="2945"/>
        <item x="3077"/>
        <item x="3033"/>
        <item x="1888"/>
        <item x="1509"/>
        <item x="2442"/>
        <item x="4142"/>
        <item x="3697"/>
        <item x="1618"/>
        <item x="125"/>
        <item x="3273"/>
        <item x="430"/>
        <item x="395"/>
        <item x="3836"/>
        <item x="4029"/>
        <item x="390"/>
        <item x="2373"/>
        <item x="96"/>
        <item x="4219"/>
        <item x="692"/>
        <item x="1572"/>
        <item x="1511"/>
        <item x="1950"/>
        <item x="3568"/>
        <item x="3468"/>
        <item x="309"/>
        <item x="3198"/>
        <item x="2501"/>
        <item x="1854"/>
        <item x="2526"/>
        <item x="239"/>
        <item x="1941"/>
        <item x="3484"/>
        <item x="3062"/>
        <item x="4105"/>
        <item x="4226"/>
        <item x="1557"/>
        <item x="3312"/>
        <item x="240"/>
        <item x="3726"/>
        <item x="3623"/>
        <item x="4146"/>
        <item x="3270"/>
        <item x="3181"/>
        <item x="2661"/>
        <item x="3904"/>
        <item x="1970"/>
        <item x="3634"/>
        <item x="1836"/>
        <item x="3480"/>
        <item x="3113"/>
        <item x="2496"/>
        <item x="2840"/>
        <item x="48"/>
        <item x="3252"/>
        <item x="3824"/>
        <item x="2347"/>
        <item x="3452"/>
        <item x="2590"/>
        <item x="1744"/>
        <item x="1693"/>
        <item x="2756"/>
        <item x="4012"/>
        <item x="1654"/>
        <item x="744"/>
        <item x="3678"/>
        <item x="3396"/>
        <item x="540"/>
        <item x="1359"/>
        <item x="123"/>
        <item x="3804"/>
        <item x="151"/>
        <item x="4090"/>
        <item x="4165"/>
        <item x="1629"/>
        <item x="3731"/>
        <item x="2883"/>
        <item x="1650"/>
        <item x="767"/>
        <item x="3354"/>
        <item x="1813"/>
        <item x="3272"/>
        <item x="3224"/>
        <item x="3474"/>
        <item x="2261"/>
        <item x="522"/>
        <item x="2739"/>
        <item x="701"/>
        <item x="1097"/>
        <item x="3362"/>
        <item x="2168"/>
        <item x="1998"/>
        <item x="3999"/>
        <item x="612"/>
        <item x="3428"/>
        <item x="1010"/>
        <item x="4176"/>
        <item x="3488"/>
        <item x="4269"/>
        <item x="1350"/>
        <item x="699"/>
        <item x="2919"/>
        <item x="2523"/>
        <item x="1963"/>
        <item x="3664"/>
        <item x="4099"/>
        <item x="908"/>
        <item x="1215"/>
        <item x="525"/>
        <item x="2285"/>
        <item x="1807"/>
        <item x="3407"/>
        <item x="670"/>
        <item x="2043"/>
        <item x="1882"/>
        <item x="66"/>
        <item x="3338"/>
        <item x="3087"/>
        <item x="413"/>
        <item x="446"/>
        <item x="407"/>
        <item x="3749"/>
        <item x="2082"/>
        <item x="1058"/>
        <item x="705"/>
        <item x="21"/>
        <item x="1144"/>
        <item x="3333"/>
        <item x="3481"/>
        <item x="458"/>
        <item x="4175"/>
        <item x="2647"/>
        <item x="1180"/>
        <item x="1104"/>
        <item x="4004"/>
        <item x="3792"/>
        <item x="4214"/>
        <item x="1150"/>
        <item x="2956"/>
        <item x="423"/>
        <item x="4010"/>
        <item x="1737"/>
        <item x="1736"/>
        <item x="1913"/>
        <item x="262"/>
        <item x="3245"/>
        <item x="3264"/>
        <item x="2769"/>
        <item x="287"/>
        <item x="1947"/>
        <item x="180"/>
        <item x="2066"/>
        <item x="3949"/>
        <item x="2345"/>
        <item x="3668"/>
        <item x="3291"/>
        <item x="3158"/>
        <item x="436"/>
        <item x="1627"/>
        <item x="878"/>
        <item x="2076"/>
        <item x="1898"/>
        <item x="330"/>
        <item x="3103"/>
        <item x="3933"/>
        <item x="3692"/>
        <item x="4087"/>
        <item x="516"/>
        <item x="3039"/>
        <item x="3777"/>
        <item x="2393"/>
        <item x="2012"/>
        <item x="1110"/>
        <item x="184"/>
        <item x="2844"/>
        <item x="359"/>
        <item x="1354"/>
        <item x="3390"/>
        <item x="2918"/>
        <item x="2987"/>
        <item x="2365"/>
        <item x="2395"/>
        <item x="3128"/>
        <item x="2468"/>
        <item x="3332"/>
        <item x="1591"/>
        <item x="2638"/>
        <item x="650"/>
        <item x="2042"/>
        <item x="3631"/>
        <item x="671"/>
        <item x="1665"/>
        <item x="1363"/>
        <item x="927"/>
        <item x="1476"/>
        <item x="2586"/>
        <item x="1452"/>
        <item x="2500"/>
        <item x="486"/>
        <item x="1253"/>
        <item x="641"/>
        <item x="3748"/>
        <item x="2676"/>
        <item x="609"/>
        <item x="4093"/>
        <item x="1956"/>
        <item x="3942"/>
        <item x="305"/>
        <item x="1875"/>
        <item x="2379"/>
        <item x="480"/>
        <item x="1417"/>
        <item x="3044"/>
        <item x="3877"/>
        <item x="4137"/>
        <item x="3998"/>
        <item x="3383"/>
        <item x="3190"/>
        <item x="696"/>
        <item x="2722"/>
        <item x="2770"/>
        <item x="3727"/>
        <item x="2367"/>
        <item x="2724"/>
        <item x="2121"/>
        <item x="3036"/>
        <item x="2837"/>
        <item x="132"/>
        <item x="211"/>
        <item x="651"/>
        <item x="3672"/>
        <item x="2258"/>
        <item x="2134"/>
        <item x="1595"/>
        <item x="1652"/>
        <item x="2953"/>
        <item x="449"/>
        <item x="4236"/>
        <item x="831"/>
        <item x="4076"/>
        <item x="2567"/>
        <item x="1675"/>
        <item x="562"/>
        <item x="2138"/>
        <item x="1212"/>
        <item x="3924"/>
        <item x="1257"/>
        <item x="2297"/>
        <item x="3533"/>
        <item x="558"/>
        <item x="2622"/>
        <item x="2549"/>
        <item x="575"/>
        <item x="2758"/>
        <item x="2933"/>
        <item x="1028"/>
        <item x="4262"/>
        <item x="2990"/>
        <item x="520"/>
        <item x="3430"/>
        <item x="1383"/>
        <item x="3654"/>
        <item x="2062"/>
        <item x="1530"/>
        <item x="3636"/>
        <item x="2022"/>
        <item x="1152"/>
        <item x="813"/>
        <item x="1578"/>
        <item x="1313"/>
        <item x="3671"/>
        <item x="2479"/>
        <item x="1821"/>
        <item x="2791"/>
        <item x="282"/>
        <item x="3640"/>
        <item x="2189"/>
        <item x="617"/>
        <item x="1317"/>
        <item x="1684"/>
        <item x="325"/>
        <item x="1206"/>
        <item x="4101"/>
        <item x="113"/>
        <item x="2539"/>
        <item x="3643"/>
        <item x="1830"/>
        <item x="4162"/>
        <item x="2941"/>
        <item x="2577"/>
        <item x="4230"/>
        <item x="1656"/>
        <item x="841"/>
        <item x="3980"/>
        <item x="3579"/>
        <item x="899"/>
        <item x="408"/>
        <item x="3639"/>
        <item x="3202"/>
        <item x="2386"/>
        <item x="3521"/>
        <item x="1077"/>
        <item x="2280"/>
        <item x="1628"/>
        <item x="2658"/>
        <item x="949"/>
        <item x="2328"/>
        <item x="3454"/>
        <item x="2488"/>
        <item x="3268"/>
        <item x="362"/>
        <item x="2175"/>
        <item x="3392"/>
        <item x="4232"/>
        <item x="2930"/>
        <item x="693"/>
        <item x="3938"/>
        <item x="278"/>
        <item x="3563"/>
        <item x="3585"/>
        <item x="2619"/>
        <item x="75"/>
        <item x="1800"/>
        <item x="2359"/>
        <item x="931"/>
        <item x="3350"/>
        <item x="910"/>
        <item x="3774"/>
        <item x="3005"/>
        <item x="4016"/>
        <item x="3276"/>
        <item x="549"/>
        <item x="1362"/>
        <item x="1156"/>
        <item x="3012"/>
        <item x="3817"/>
        <item x="2776"/>
        <item x="2139"/>
        <item x="2223"/>
        <item x="2053"/>
        <item x="3954"/>
        <item x="2203"/>
        <item x="2798"/>
        <item x="4205"/>
        <item x="2344"/>
        <item x="3764"/>
        <item x="3440"/>
        <item x="4221"/>
        <item x="502"/>
        <item x="1255"/>
        <item x="161"/>
        <item x="921"/>
        <item x="2091"/>
        <item x="4168"/>
        <item x="917"/>
        <item x="570"/>
        <item x="3808"/>
        <item x="2641"/>
        <item x="1724"/>
        <item x="3689"/>
        <item x="3633"/>
        <item x="2787"/>
        <item x="659"/>
        <item x="3146"/>
        <item x="2462"/>
        <item x="2298"/>
        <item x="3456"/>
        <item x="2768"/>
        <item x="146"/>
        <item x="775"/>
        <item x="1857"/>
        <item x="1296"/>
        <item x="876"/>
        <item x="2909"/>
        <item x="1742"/>
        <item x="363"/>
        <item x="742"/>
        <item x="1118"/>
        <item x="3122"/>
        <item x="3106"/>
        <item x="3479"/>
        <item x="3721"/>
        <item x="597"/>
        <item x="253"/>
        <item x="690"/>
        <item x="981"/>
        <item x="1729"/>
        <item x="3772"/>
        <item x="1019"/>
        <item x="4240"/>
        <item x="2961"/>
        <item x="85"/>
        <item x="1843"/>
        <item x="2669"/>
        <item x="2038"/>
        <item x="159"/>
        <item x="36"/>
        <item x="591"/>
        <item x="2016"/>
        <item x="16"/>
        <item x="545"/>
        <item x="242"/>
        <item x="3307"/>
        <item x="2568"/>
        <item x="1075"/>
        <item x="3923"/>
        <item x="984"/>
        <item x="1177"/>
        <item x="4062"/>
        <item x="176"/>
        <item x="1036"/>
        <item x="320"/>
        <item x="2435"/>
        <item x="1856"/>
        <item x="1975"/>
        <item x="196"/>
        <item x="595"/>
        <item x="3351"/>
        <item x="1543"/>
        <item x="3708"/>
        <item x="3025"/>
        <item x="1730"/>
        <item x="1536"/>
        <item x="4044"/>
        <item x="770"/>
        <item x="355"/>
        <item x="1516"/>
        <item x="3557"/>
        <item x="4281"/>
        <item x="3340"/>
        <item x="515"/>
        <item x="711"/>
        <item x="3123"/>
        <item x="3139"/>
        <item x="32"/>
        <item x="241"/>
        <item x="1840"/>
        <item x="1611"/>
        <item x="3445"/>
        <item x="3536"/>
        <item x="1490"/>
        <item x="145"/>
        <item x="3992"/>
        <item x="4244"/>
        <item x="4180"/>
        <item x="162"/>
        <item x="2291"/>
        <item x="3083"/>
        <item x="1786"/>
        <item x="405"/>
        <item x="232"/>
        <item x="1708"/>
        <item x="1080"/>
        <item x="3055"/>
        <item x="2815"/>
        <item x="3382"/>
        <item x="4272"/>
        <item x="1270"/>
        <item x="2181"/>
        <item x="1258"/>
        <item x="1013"/>
        <item x="4038"/>
        <item x="201"/>
        <item x="4000"/>
        <item x="3046"/>
        <item x="2753"/>
        <item x="247"/>
        <item x="2342"/>
        <item x="4268"/>
        <item x="2702"/>
        <item x="2550"/>
        <item x="3814"/>
        <item x="3436"/>
        <item x="28"/>
        <item x="3192"/>
        <item x="4188"/>
        <item x="1120"/>
        <item x="1610"/>
        <item x="808"/>
        <item x="1588"/>
        <item x="2084"/>
        <item x="481"/>
        <item x="630"/>
        <item x="3826"/>
        <item x="2459"/>
        <item x="1581"/>
        <item x="1809"/>
        <item x="2670"/>
        <item x="2928"/>
        <item x="2129"/>
        <item x="1796"/>
        <item x="3863"/>
        <item x="3740"/>
        <item x="3892"/>
        <item x="456"/>
        <item x="344"/>
        <item x="2377"/>
        <item x="572"/>
        <item x="1668"/>
        <item x="2983"/>
        <item x="3109"/>
        <item x="2011"/>
        <item x="1037"/>
        <item x="1414"/>
        <item x="829"/>
        <item x="3934"/>
        <item x="2037"/>
        <item x="15"/>
        <item x="2460"/>
        <item x="2559"/>
        <item x="3085"/>
        <item x="1204"/>
        <item x="3056"/>
        <item x="1366"/>
        <item x="2047"/>
        <item x="2536"/>
        <item x="1541"/>
        <item x="2095"/>
        <item x="1371"/>
        <item x="1032"/>
        <item x="2408"/>
        <item x="3138"/>
        <item x="3616"/>
        <item x="1116"/>
        <item x="1186"/>
        <item x="4189"/>
        <item x="3555"/>
        <item x="3204"/>
        <item x="369"/>
        <item x="2503"/>
        <item x="2836"/>
        <item x="695"/>
        <item x="2719"/>
        <item x="3324"/>
        <item x="626"/>
        <item x="4149"/>
        <item x="3145"/>
        <item x="2957"/>
        <item x="2412"/>
        <item x="1850"/>
        <item x="3573"/>
        <item x="772"/>
        <item x="596"/>
        <item x="2232"/>
        <item x="929"/>
        <item x="2074"/>
        <item x="3561"/>
        <item x="3916"/>
        <item x="533"/>
        <item x="3575"/>
        <item x="271"/>
        <item x="1555"/>
        <item x="2859"/>
        <item x="3235"/>
        <item x="1378"/>
        <item x="1877"/>
        <item x="603"/>
        <item x="1009"/>
        <item x="1098"/>
        <item x="105"/>
        <item x="510"/>
        <item x="1026"/>
        <item x="2579"/>
        <item x="1842"/>
        <item x="803"/>
        <item x="1248"/>
        <item x="969"/>
        <item x="1004"/>
        <item x="1198"/>
        <item x="689"/>
        <item x="129"/>
        <item x="4116"/>
        <item x="3538"/>
        <item x="4174"/>
        <item x="937"/>
        <item x="4131"/>
        <item x="1035"/>
        <item x="1686"/>
        <item x="2480"/>
        <item x="2336"/>
        <item x="1086"/>
        <item x="2826"/>
        <item x="3961"/>
        <item x="2507"/>
        <item x="2316"/>
        <item x="4120"/>
        <item x="3000"/>
        <item x="2453"/>
        <item x="2132"/>
        <item x="1355"/>
        <item x="2777"/>
        <item x="4021"/>
        <item x="3412"/>
        <item x="3259"/>
        <item x="3505"/>
        <item x="471"/>
        <item x="665"/>
        <item x="669"/>
        <item x="1705"/>
        <item x="1775"/>
        <item x="809"/>
        <item x="778"/>
        <item x="3449"/>
        <item x="1311"/>
        <item x="2007"/>
        <item x="707"/>
        <item x="961"/>
        <item x="3507"/>
        <item x="906"/>
        <item x="2356"/>
        <item x="1822"/>
        <item x="3520"/>
        <item x="1715"/>
        <item x="119"/>
        <item x="3793"/>
        <item x="3548"/>
        <item x="2119"/>
        <item x="1759"/>
        <item x="947"/>
        <item x="1477"/>
        <item x="1873"/>
        <item x="3326"/>
        <item x="3438"/>
        <item x="4065"/>
        <item x="2110"/>
        <item x="35"/>
        <item x="356"/>
        <item x="4130"/>
        <item x="903"/>
        <item x="3582"/>
        <item x="2051"/>
        <item x="1154"/>
        <item x="2937"/>
        <item x="3434"/>
        <item x="849"/>
        <item x="1805"/>
        <item x="2608"/>
        <item x="1316"/>
        <item x="885"/>
        <item x="3246"/>
        <item x="332"/>
        <item x="1469"/>
        <item x="3168"/>
        <item x="766"/>
        <item x="366"/>
        <item x="2584"/>
        <item x="2509"/>
        <item x="3820"/>
        <item x="1526"/>
        <item x="1615"/>
        <item x="3439"/>
        <item x="546"/>
        <item x="1722"/>
        <item x="2720"/>
        <item x="1293"/>
        <item x="3461"/>
        <item x="1485"/>
        <item x="2355"/>
        <item x="1487"/>
        <item x="4081"/>
        <item x="3724"/>
        <item x="4159"/>
        <item x="1781"/>
        <item x="248"/>
        <item x="734"/>
        <item x="2021"/>
        <item x="2220"/>
        <item x="3125"/>
        <item x="3221"/>
        <item x="1552"/>
        <item x="2492"/>
        <item x="1168"/>
        <item x="3153"/>
        <item x="3162"/>
        <item x="748"/>
        <item x="2201"/>
        <item x="2602"/>
        <item x="1498"/>
        <item x="2950"/>
        <item x="1239"/>
        <item x="315"/>
        <item x="4194"/>
        <item x="2598"/>
        <item x="3384"/>
        <item x="4072"/>
        <item x="3761"/>
        <item x="3653"/>
        <item x="1181"/>
        <item x="4172"/>
        <item x="3519"/>
        <item x="1517"/>
        <item x="2349"/>
        <item x="1403"/>
        <item x="3100"/>
        <item x="1267"/>
        <item x="993"/>
        <item x="3860"/>
        <item x="1592"/>
        <item x="117"/>
        <item x="3040"/>
        <item x="3679"/>
        <item x="826"/>
        <item x="175"/>
        <item x="3645"/>
        <item x="2491"/>
        <item x="1624"/>
        <item x="147"/>
        <item x="213"/>
        <item x="429"/>
        <item x="526"/>
        <item x="2176"/>
        <item x="565"/>
        <item x="3257"/>
        <item x="1647"/>
        <item x="317"/>
        <item x="3"/>
        <item x="121"/>
        <item x="2034"/>
        <item x="81"/>
        <item x="2729"/>
        <item x="2557"/>
        <item x="199"/>
        <item x="165"/>
        <item x="2949"/>
        <item x="2060"/>
        <item x="1462"/>
        <item x="55"/>
        <item x="136"/>
        <item x="1816"/>
        <item x="780"/>
        <item x="40"/>
        <item x="3147"/>
        <item x="468"/>
        <item x="71"/>
        <item x="498"/>
        <item x="3375"/>
        <item x="1728"/>
        <item x="991"/>
        <item x="1584"/>
        <item x="482"/>
        <item x="3380"/>
        <item x="834"/>
        <item x="1983"/>
        <item x="2604"/>
        <item x="3170"/>
        <item x="1910"/>
        <item x="2863"/>
        <item x="628"/>
        <item x="1976"/>
        <item x="1690"/>
        <item x="3704"/>
        <item x="688"/>
        <item x="2272"/>
        <item x="3089"/>
        <item x="2614"/>
        <item x="3887"/>
        <item x="1892"/>
        <item x="343"/>
        <item x="2708"/>
        <item x="3932"/>
        <item x="1828"/>
        <item x="4024"/>
        <item x="736"/>
        <item x="3057"/>
        <item x="1802"/>
        <item x="3941"/>
        <item x="2302"/>
        <item x="3148"/>
        <item x="2092"/>
        <item x="4235"/>
        <item x="3565"/>
        <item x="3063"/>
        <item x="2246"/>
        <item x="331"/>
        <item x="69"/>
        <item x="1367"/>
        <item x="509"/>
        <item x="324"/>
        <item x="3388"/>
        <item x="4237"/>
        <item x="464"/>
        <item x="523"/>
        <item x="3543"/>
        <item x="3841"/>
        <item x="1325"/>
        <item x="2514"/>
        <item x="1398"/>
        <item x="1300"/>
        <item x="3558"/>
        <item x="985"/>
        <item x="2795"/>
        <item x="763"/>
        <item x="1510"/>
        <item x="1348"/>
        <item x="963"/>
        <item x="3975"/>
        <item x="428"/>
        <item x="3134"/>
        <item x="2055"/>
        <item x="1967"/>
        <item x="3011"/>
        <item x="3269"/>
        <item x="1901"/>
        <item x="1018"/>
        <item x="712"/>
        <item x="3736"/>
        <item x="1602"/>
        <item x="3920"/>
        <item x="1506"/>
        <item x="2966"/>
        <item x="3880"/>
        <item x="3587"/>
        <item x="2433"/>
        <item x="4148"/>
        <item x="1167"/>
        <item x="1295"/>
        <item x="1435"/>
        <item x="3549"/>
        <item x="2456"/>
        <item x="2241"/>
        <item x="1603"/>
        <item x="2305"/>
        <item x="2026"/>
        <item x="311"/>
        <item x="933"/>
        <item x="2574"/>
        <item x="1601"/>
        <item x="2852"/>
        <item x="1187"/>
        <item x="1400"/>
        <item x="1089"/>
        <item x="1103"/>
        <item x="1022"/>
        <item x="1990"/>
        <item x="2545"/>
        <item x="3347"/>
        <item x="2779"/>
        <item x="284"/>
        <item x="2227"/>
        <item x="1277"/>
        <item x="2174"/>
        <item x="1576"/>
        <item x="4166"/>
        <item x="281"/>
        <item x="4041"/>
        <item x="4284"/>
        <item x="1835"/>
        <item x="420"/>
        <item x="2411"/>
        <item x="1322"/>
        <item x="3669"/>
        <item x="3311"/>
        <item x="3729"/>
        <item x="4103"/>
        <item x="1161"/>
        <item x="1305"/>
        <item x="601"/>
        <item x="3074"/>
        <item x="731"/>
        <item x="2878"/>
        <item x="2307"/>
        <item x="3094"/>
        <item x="3682"/>
        <item x="3955"/>
        <item x="3261"/>
        <item x="1318"/>
        <item x="590"/>
        <item x="2603"/>
        <item x="3928"/>
        <item x="3554"/>
        <item x="3165"/>
        <item x="1905"/>
        <item x="557"/>
        <item x="1960"/>
        <item x="2106"/>
        <item x="1688"/>
        <item x="3871"/>
        <item x="476"/>
        <item x="203"/>
        <item x="2735"/>
        <item x="3647"/>
        <item x="1127"/>
        <item x="1416"/>
        <item x="957"/>
        <item x="3331"/>
        <item x="1397"/>
        <item x="2727"/>
        <item x="3348"/>
        <item x="916"/>
        <item x="1153"/>
        <item x="1493"/>
        <item x="2293"/>
        <item x="2187"/>
        <item x="1793"/>
        <item x="1260"/>
        <item x="1145"/>
        <item x="3606"/>
        <item x="483"/>
        <item x="2605"/>
        <item x="4199"/>
        <item x="3469"/>
        <item x="840"/>
        <item x="1034"/>
        <item x="2973"/>
        <item x="2876"/>
        <item x="1677"/>
        <item x="3930"/>
        <item x="2871"/>
        <item x="2766"/>
        <item x="1666"/>
        <item x="3459"/>
        <item x="3868"/>
        <item x="573"/>
        <item x="629"/>
        <item x="3931"/>
        <item x="620"/>
        <item x="1041"/>
        <item x="2104"/>
        <item x="126"/>
        <item x="966"/>
        <item x="127"/>
        <item x="1174"/>
        <item x="1820"/>
        <item x="2686"/>
        <item x="1712"/>
        <item x="2311"/>
        <item x="4256"/>
        <item x="793"/>
        <item x="568"/>
        <item x="4250"/>
        <item x="474"/>
        <item x="1405"/>
        <item x="1344"/>
        <item x="1869"/>
        <item x="3758"/>
        <item x="2127"/>
        <item x="3624"/>
        <item x="291"/>
        <item x="2988"/>
        <item x="345"/>
        <item x="2607"/>
        <item x="3263"/>
        <item x="1639"/>
        <item x="2752"/>
        <item x="3866"/>
        <item x="2200"/>
        <item x="155"/>
        <item x="1804"/>
        <item x="1030"/>
        <item x="1660"/>
        <item x="4204"/>
        <item x="789"/>
        <item x="625"/>
        <item x="3956"/>
        <item x="3827"/>
        <item x="228"/>
        <item x="249"/>
        <item x="5"/>
        <item x="563"/>
        <item x="276"/>
        <item x="109"/>
        <item x="259"/>
        <item x="337"/>
        <item x="1682"/>
        <item x="189"/>
        <item x="716"/>
        <item x="805"/>
        <item x="1811"/>
        <item x="1369"/>
        <item x="815"/>
        <item x="141"/>
        <item x="1478"/>
        <item x="835"/>
        <item x="1870"/>
        <item x="2348"/>
        <item x="2764"/>
        <item x="3617"/>
        <item x="64"/>
        <item x="507"/>
        <item x="1703"/>
        <item x="1925"/>
        <item x="399"/>
        <item x="118"/>
        <item x="1418"/>
        <item x="2562"/>
        <item x="2204"/>
        <item x="4113"/>
        <item x="681"/>
        <item x="2520"/>
        <item x="2420"/>
        <item x="870"/>
        <item x="3614"/>
        <item x="4047"/>
        <item x="3988"/>
        <item x="450"/>
        <item x="3017"/>
        <item x="3603"/>
        <item x="3984"/>
        <item x="2927"/>
        <item x="1564"/>
        <item x="1320"/>
        <item x="3510"/>
        <item x="3177"/>
        <item x="1757"/>
        <item x="1068"/>
        <item x="862"/>
        <item x="2962"/>
        <item x="3041"/>
        <item x="1978"/>
        <item x="2222"/>
        <item x="157"/>
        <item x="2001"/>
        <item x="1965"/>
        <item x="1284"/>
        <item x="901"/>
        <item x="1337"/>
        <item x="3847"/>
        <item x="1007"/>
        <item x="1884"/>
        <item x="2544"/>
        <item x="3994"/>
        <item x="2477"/>
        <item x="2494"/>
        <item x="4085"/>
        <item x="912"/>
        <item x="2873"/>
        <item x="3467"/>
        <item x="3408"/>
        <item x="1031"/>
        <item x="2434"/>
        <item x="2902"/>
        <item x="2532"/>
        <item x="3908"/>
        <item x="3026"/>
        <item x="4223"/>
        <item x="3458"/>
        <item x="2243"/>
        <item x="13"/>
        <item x="477"/>
        <item x="2672"/>
        <item x="2749"/>
        <item x="2087"/>
        <item x="923"/>
        <item x="1236"/>
        <item x="4161"/>
        <item x="1803"/>
        <item x="4070"/>
        <item x="989"/>
        <item x="3043"/>
        <item x="983"/>
        <item x="2279"/>
        <item x="2692"/>
        <item x="1109"/>
        <item x="3805"/>
        <item x="2149"/>
        <item x="2984"/>
        <item x="2639"/>
        <item x="3335"/>
        <item x="3184"/>
        <item x="346"/>
        <item x="2887"/>
        <item x="3462"/>
        <item x="661"/>
        <item x="3744"/>
        <item x="3494"/>
        <item x="3693"/>
        <item x="3149"/>
        <item x="3611"/>
        <item x="1936"/>
        <item x="135"/>
        <item x="512"/>
        <item x="3116"/>
        <item x="2422"/>
        <item x="2884"/>
        <item x="3423"/>
        <item x="160"/>
        <item x="427"/>
        <item x="3377"/>
        <item x="4258"/>
        <item x="3807"/>
        <item x="1377"/>
        <item x="3929"/>
        <item x="1399"/>
        <item x="2740"/>
        <item x="3183"/>
        <item x="2002"/>
        <item x="1678"/>
        <item x="200"/>
        <item x="3088"/>
        <item x="234"/>
        <item x="1692"/>
        <item x="1495"/>
        <item x="3897"/>
        <item x="1949"/>
        <item x="3794"/>
        <item x="2300"/>
        <item x="2235"/>
        <item x="2247"/>
        <item x="1871"/>
        <item x="2006"/>
        <item x="2868"/>
        <item x="8"/>
        <item x="1374"/>
        <item x="3874"/>
        <item x="1932"/>
        <item x="1943"/>
        <item x="582"/>
        <item x="3842"/>
        <item x="441"/>
        <item x="4261"/>
        <item x="2891"/>
        <item x="2407"/>
        <item x="2323"/>
        <item x="2701"/>
        <item x="2238"/>
        <item x="1788"/>
        <item x="1701"/>
        <item x="2036"/>
        <item x="1376"/>
        <item x="4234"/>
        <item x="404"/>
        <item x="1907"/>
        <item x="415"/>
        <item x="1132"/>
        <item x="18"/>
        <item x="552"/>
        <item x="2160"/>
        <item x="1244"/>
        <item x="2441"/>
        <item x="3300"/>
        <item x="3641"/>
        <item x="2101"/>
        <item x="1648"/>
        <item x="3799"/>
        <item x="3393"/>
        <item x="2921"/>
        <item x="2939"/>
        <item x="721"/>
        <item x="1241"/>
        <item x="3844"/>
        <item x="1240"/>
        <item x="1851"/>
        <item x="750"/>
        <item x="1213"/>
        <item x="1380"/>
        <item x="3776"/>
        <item x="2096"/>
        <item x="2111"/>
        <item x="3426"/>
        <item x="3759"/>
        <item x="3803"/>
        <item x="3926"/>
        <item x="1768"/>
        <item x="3296"/>
        <item x="1112"/>
        <item x="3732"/>
        <item x="3867"/>
        <item x="513"/>
        <item x="1613"/>
        <item x="347"/>
        <item x="327"/>
        <item x="1958"/>
        <item x="2209"/>
        <item x="4092"/>
        <item x="2331"/>
        <item x="1221"/>
        <item x="4037"/>
        <item x="3185"/>
        <item x="2198"/>
        <item x="2580"/>
        <item x="1507"/>
        <item x="334"/>
        <item x="907"/>
        <item x="3985"/>
        <item x="2394"/>
        <item x="3129"/>
        <item x="1085"/>
        <item x="2369"/>
        <item x="980"/>
        <item x="1272"/>
        <item x="3742"/>
        <item x="1527"/>
        <item x="881"/>
        <item x="1033"/>
        <item x="1178"/>
        <item x="3953"/>
        <item x="584"/>
        <item x="801"/>
        <item x="382"/>
        <item x="91"/>
        <item x="679"/>
        <item x="3695"/>
        <item x="2403"/>
        <item x="2967"/>
        <item x="1124"/>
        <item x="790"/>
        <item x="2376"/>
        <item x="433"/>
        <item x="370"/>
        <item x="3045"/>
        <item x="2706"/>
        <item x="662"/>
        <item x="3030"/>
        <item x="1912"/>
        <item x="1902"/>
        <item x="1038"/>
        <item x="1525"/>
        <item x="1545"/>
        <item x="4249"/>
        <item x="1294"/>
        <item x="4150"/>
        <item x="2192"/>
        <item x="322"/>
        <item x="3506"/>
        <item x="3609"/>
        <item x="3419"/>
        <item x="1829"/>
        <item x="2969"/>
        <item x="3738"/>
        <item x="2182"/>
        <item x="3891"/>
        <item x="4006"/>
        <item x="101"/>
        <item x="3996"/>
        <item x="3717"/>
        <item x="4182"/>
        <item x="1713"/>
        <item x="470"/>
        <item x="898"/>
        <item x="1549"/>
        <item x="631"/>
        <item x="858"/>
        <item x="4139"/>
        <item x="1521"/>
        <item x="2715"/>
        <item x="3781"/>
        <item x="3622"/>
        <item x="452"/>
        <item x="3943"/>
        <item x="1865"/>
        <item x="1387"/>
        <item x="3718"/>
        <item x="3411"/>
        <item x="1499"/>
        <item x="3556"/>
        <item x="4138"/>
        <item x="3784"/>
        <item x="1100"/>
        <item x="3869"/>
        <item x="3591"/>
        <item x="3402"/>
        <item x="108"/>
        <item x="3405"/>
        <item x="3157"/>
        <item x="944"/>
        <item x="624"/>
        <item x="93"/>
        <item x="784"/>
        <item x="1442"/>
        <item x="46"/>
        <item x="2900"/>
        <item x="1974"/>
        <item x="2556"/>
        <item x="1349"/>
        <item x="2899"/>
        <item x="3064"/>
        <item x="2073"/>
        <item x="2694"/>
        <item x="1279"/>
        <item x="2242"/>
        <item x="2610"/>
        <item x="581"/>
        <item x="2609"/>
        <item x="2338"/>
        <item x="2296"/>
        <item x="1791"/>
        <item x="2822"/>
        <item x="2156"/>
        <item x="667"/>
        <item x="1048"/>
        <item x="439"/>
        <item x="4086"/>
        <item x="1324"/>
        <item x="3112"/>
        <item x="543"/>
        <item x="3852"/>
        <item x="3605"/>
        <item x="1473"/>
        <item x="2406"/>
        <item x="226"/>
        <item x="4210"/>
        <item x="1393"/>
        <item x="1061"/>
        <item x="782"/>
        <item x="978"/>
        <item x="2071"/>
        <item x="2800"/>
        <item x="1014"/>
        <item x="1254"/>
        <item x="182"/>
        <item x="2236"/>
        <item x="602"/>
        <item x="455"/>
        <item x="3646"/>
        <item x="1689"/>
        <item x="2616"/>
        <item x="1074"/>
        <item x="3637"/>
        <item x="484"/>
        <item x="706"/>
        <item x="924"/>
        <item x="4193"/>
        <item x="3223"/>
        <item x="1329"/>
        <item x="771"/>
        <item x="1919"/>
        <item x="1274"/>
        <item x="2773"/>
        <item x="1959"/>
        <item x="210"/>
        <item x="3550"/>
        <item x="4033"/>
        <item x="2172"/>
        <item x="1151"/>
        <item x="1149"/>
        <item x="2757"/>
        <item x="2938"/>
        <item x="235"/>
        <item x="53"/>
        <item x="1482"/>
        <item x="275"/>
        <item x="1783"/>
        <item x="41"/>
        <item x="4181"/>
        <item x="3006"/>
        <item x="3851"/>
        <item x="2065"/>
        <item x="762"/>
        <item x="1761"/>
        <item x="995"/>
        <item x="257"/>
        <item x="3213"/>
        <item x="753"/>
        <item x="2529"/>
        <item x="440"/>
        <item x="3441"/>
        <item x="100"/>
        <item x="384"/>
        <item x="2179"/>
        <item x="29"/>
        <item x="1717"/>
        <item x="2147"/>
        <item x="1917"/>
        <item x="3990"/>
        <item x="2410"/>
        <item x="934"/>
        <item x="2289"/>
        <item x="2214"/>
        <item x="3161"/>
        <item x="2978"/>
        <item x="2542"/>
        <item x="816"/>
        <item x="2266"/>
        <item x="4153"/>
        <item x="1331"/>
        <item x="1193"/>
        <item x="952"/>
        <item x="1501"/>
        <item x="1621"/>
        <item x="3670"/>
        <item x="2361"/>
        <item x="1971"/>
        <item x="3886"/>
        <item x="122"/>
        <item x="1570"/>
        <item x="3534"/>
        <item x="1202"/>
        <item x="4275"/>
        <item x="1801"/>
        <item x="2678"/>
        <item x="1671"/>
        <item x="2725"/>
        <item x="4271"/>
        <item x="44"/>
        <item x="880"/>
        <item x="1636"/>
        <item x="2553"/>
        <item x="2449"/>
        <item x="518"/>
        <item x="377"/>
        <item x="223"/>
        <item x="3655"/>
        <item x="2759"/>
        <item x="4074"/>
        <item x="4201"/>
        <item x="4196"/>
        <item x="3420"/>
        <item x="3211"/>
        <item x="4034"/>
        <item x="2699"/>
        <item x="3531"/>
        <item x="489"/>
        <item x="853"/>
        <item x="3174"/>
        <item x="3502"/>
        <item x="2099"/>
        <item x="1195"/>
        <item x="2975"/>
        <item x="1136"/>
        <item x="2688"/>
        <item x="3791"/>
        <item x="1896"/>
        <item x="3080"/>
        <item x="4051"/>
        <item x="3130"/>
        <item x="640"/>
        <item x="1790"/>
        <item x="1"/>
        <item x="3267"/>
        <item x="1862"/>
        <item x="2940"/>
        <item x="3473"/>
        <item x="1449"/>
        <item x="3857"/>
        <item x="411"/>
        <item x="4276"/>
        <item x="586"/>
        <item x="256"/>
        <item x="1094"/>
        <item x="2803"/>
        <item x="115"/>
        <item x="3977"/>
        <item x="4202"/>
        <item x="1407"/>
        <item x="2437"/>
        <item x="1721"/>
        <item x="3513"/>
        <item x="1139"/>
        <item x="656"/>
        <item x="3132"/>
        <item x="1047"/>
        <item x="431"/>
        <item x="3918"/>
        <item x="3530"/>
        <item x="760"/>
        <item x="1268"/>
        <item x="4005"/>
        <item x="269"/>
        <item x="3598"/>
        <item x="2211"/>
        <item x="3287"/>
        <item x="1723"/>
        <item x="1571"/>
        <item x="3472"/>
        <item x="4073"/>
        <item x="2552"/>
        <item x="3495"/>
        <item x="580"/>
        <item x="3802"/>
        <item x="1953"/>
        <item x="3743"/>
        <item x="668"/>
        <item x="2671"/>
        <item x="1308"/>
        <item x="1095"/>
        <item x="1090"/>
        <item x="3091"/>
        <item x="3594"/>
        <item x="1740"/>
        <item x="1766"/>
        <item x="1551"/>
        <item x="3101"/>
        <item x="116"/>
        <item x="3586"/>
        <item x="3058"/>
        <item x="2508"/>
        <item x="3279"/>
        <item x="823"/>
        <item x="2368"/>
        <item x="3589"/>
        <item x="1906"/>
        <item x="2711"/>
        <item x="1986"/>
        <item x="998"/>
        <item x="3037"/>
        <item x="4100"/>
        <item x="2136"/>
        <item x="273"/>
        <item x="2267"/>
        <item x="1649"/>
        <item x="297"/>
        <item x="3210"/>
        <item x="2703"/>
        <item x="2534"/>
        <item x="2346"/>
        <item x="2117"/>
        <item x="2178"/>
        <item x="26"/>
        <item x="569"/>
        <item x="3194"/>
        <item x="798"/>
        <item x="3108"/>
        <item x="4283"/>
        <item x="3638"/>
        <item x="1596"/>
        <item x="1579"/>
        <item x="1643"/>
        <item x="120"/>
        <item x="1451"/>
        <item x="348"/>
        <item x="2436"/>
        <item x="3967"/>
        <item x="1467"/>
        <item x="1590"/>
        <item x="2666"/>
        <item x="4266"/>
        <item x="2788"/>
        <item x="4246"/>
        <item x="1770"/>
        <item x="623"/>
        <item x="1575"/>
        <item x="4011"/>
        <item x="4192"/>
        <item x="2547"/>
        <item x="4183"/>
        <item x="1996"/>
        <item x="1662"/>
        <item x="2696"/>
        <item x="1738"/>
        <item x="4023"/>
        <item x="4003"/>
        <item x="2004"/>
        <item x="2569"/>
        <item x="3226"/>
        <item x="298"/>
        <item x="3850"/>
        <item x="3882"/>
        <item x="434"/>
        <item x="2874"/>
        <item x="3171"/>
        <item x="3059"/>
        <item x="4227"/>
        <item x="3909"/>
        <item x="2186"/>
        <item x="2029"/>
        <item x="2248"/>
        <item x="385"/>
        <item x="2081"/>
        <item x="2898"/>
        <item x="3944"/>
        <item x="1323"/>
        <item x="2516"/>
        <item x="3081"/>
        <item x="1632"/>
        <item x="3310"/>
        <item x="2327"/>
        <item x="3919"/>
        <item x="2481"/>
        <item x="3448"/>
        <item x="508"/>
        <item x="1023"/>
        <item x="1470"/>
        <item x="3649"/>
        <item x="2793"/>
        <item x="2910"/>
        <item x="649"/>
        <item x="4231"/>
        <item x="1691"/>
        <item x="1985"/>
        <item x="1063"/>
        <item x="1059"/>
        <item x="1855"/>
        <item x="2903"/>
        <item x="4277"/>
        <item x="3685"/>
        <item x="2333"/>
        <item x="3873"/>
        <item x="2024"/>
        <item x="3527"/>
        <item x="3816"/>
        <item x="4058"/>
        <item x="1381"/>
        <item x="2025"/>
        <item x="783"/>
        <item x="842"/>
        <item x="1663"/>
        <item x="717"/>
        <item x="465"/>
        <item x="3989"/>
        <item x="3365"/>
        <item x="3700"/>
        <item x="955"/>
        <item x="2364"/>
        <item x="1455"/>
        <item x="2171"/>
        <item x="1512"/>
        <item x="1217"/>
        <item x="1631"/>
        <item x="524"/>
        <item x="2774"/>
        <item x="1233"/>
        <item x="2426"/>
        <item x="2674"/>
        <item x="3061"/>
        <item x="392"/>
        <item x="1330"/>
        <item x="2515"/>
        <item x="97"/>
        <item x="4042"/>
        <item x="1748"/>
        <item x="2631"/>
        <item x="2851"/>
        <item x="45"/>
        <item x="2130"/>
        <item x="2389"/>
        <item x="2017"/>
        <item x="3404"/>
        <item x="4114"/>
        <item x="779"/>
        <item x="374"/>
        <item x="4107"/>
        <item x="664"/>
        <item x="3597"/>
        <item x="3517"/>
        <item x="1733"/>
        <item x="1196"/>
        <item x="4209"/>
        <item x="733"/>
        <item x="2256"/>
        <item x="1055"/>
        <item x="1567"/>
        <item x="237"/>
        <item x="2069"/>
        <item x="4145"/>
        <item x="1918"/>
        <item x="1440"/>
        <item x="2190"/>
        <item x="246"/>
        <item x="139"/>
        <item x="2895"/>
        <item x="2197"/>
        <item x="926"/>
        <item x="148"/>
        <item x="3833"/>
        <item x="2790"/>
        <item x="1844"/>
        <item x="1653"/>
        <item x="3650"/>
        <item x="666"/>
        <item x="954"/>
        <item x="2135"/>
        <item x="2841"/>
        <item x="2965"/>
        <item x="2709"/>
        <item x="2421"/>
        <item x="3093"/>
        <item x="922"/>
        <item x="2521"/>
        <item x="4118"/>
        <item x="2294"/>
        <item x="1924"/>
        <item x="1219"/>
        <item x="416"/>
        <item x="3982"/>
        <item x="3569"/>
        <item x="776"/>
        <item x="2131"/>
        <item x="632"/>
        <item x="1158"/>
        <item x="2847"/>
        <item x="1271"/>
        <item x="1664"/>
        <item x="3705"/>
        <item x="4203"/>
        <item x="1231"/>
        <item x="3102"/>
        <item x="1818"/>
        <item x="3131"/>
        <item x="2207"/>
        <item x="4027"/>
        <item x="4052"/>
        <item x="3317"/>
        <item x="168"/>
        <item x="80"/>
        <item x="2151"/>
        <item x="1464"/>
        <item x="2255"/>
        <item x="4267"/>
        <item x="3076"/>
        <item x="1106"/>
        <item x="886"/>
        <item x="3839"/>
        <item x="1539"/>
        <item x="1732"/>
        <item x="61"/>
        <item x="3504"/>
        <item x="3698"/>
        <item x="4143"/>
        <item x="2643"/>
        <item x="3001"/>
        <item x="1208"/>
        <item x="2563"/>
        <item x="1421"/>
        <item x="648"/>
        <item x="2589"/>
        <item x="2015"/>
        <item x="1756"/>
        <item x="191"/>
        <item x="3485"/>
        <item x="2842"/>
        <item x="2075"/>
        <item x="2409"/>
        <item x="807"/>
        <item x="2350"/>
        <item x="2476"/>
        <item x="887"/>
        <item x="697"/>
        <item x="1039"/>
        <item x="2571"/>
        <item x="764"/>
        <item x="606"/>
        <item x="2159"/>
        <item x="56"/>
        <item x="277"/>
        <item x="1002"/>
        <item x="3786"/>
        <item x="2080"/>
        <item x="86"/>
        <item x="12"/>
        <item x="792"/>
        <item x="2490"/>
        <item x="3787"/>
        <item x="2650"/>
        <item x="3595"/>
        <item x="3979"/>
        <item x="1969"/>
        <item x="310"/>
        <item x="230"/>
        <item x="412"/>
        <item x="1040"/>
        <item x="537"/>
        <item x="2524"/>
        <item x="2827"/>
        <item x="3881"/>
        <item x="3691"/>
        <item x="2561"/>
        <item x="3374"/>
        <item x="3342"/>
        <item x="1622"/>
        <item x="2659"/>
        <item x="1954"/>
        <item x="3406"/>
        <item x="2283"/>
        <item x="3010"/>
        <item x="799"/>
        <item x="1962"/>
        <item x="2352"/>
        <item x="2510"/>
        <item x="1645"/>
        <item x="1191"/>
        <item x="1147"/>
        <item x="3838"/>
        <item x="743"/>
        <item x="1563"/>
        <item x="735"/>
        <item x="2402"/>
        <item x="255"/>
        <item x="1285"/>
        <item x="1994"/>
        <item x="1605"/>
        <item x="4127"/>
        <item x="1895"/>
        <item x="3189"/>
        <item x="1108"/>
        <item x="265"/>
        <item x="1859"/>
        <item x="2128"/>
        <item x="622"/>
        <item x="63"/>
        <item x="2581"/>
        <item x="3180"/>
        <item x="3415"/>
        <item x="1586"/>
        <item x="1819"/>
        <item x="451"/>
        <item x="4089"/>
        <item x="3783"/>
        <item x="3172"/>
        <item x="2958"/>
        <item x="193"/>
        <item x="319"/>
        <item x="131"/>
        <item x="3571"/>
        <item x="1992"/>
        <item x="3885"/>
        <item x="2466"/>
        <item x="1834"/>
        <item x="505"/>
        <item x="3782"/>
        <item x="847"/>
        <item x="1887"/>
        <item x="3222"/>
        <item x="2031"/>
        <item x="453"/>
        <item x="578"/>
        <item x="2157"/>
        <item x="994"/>
        <item x="2908"/>
        <item x="1741"/>
        <item x="1210"/>
        <item x="3900"/>
        <item x="3665"/>
        <item x="1427"/>
        <item x="1661"/>
        <item x="1795"/>
        <item x="2088"/>
        <item x="1583"/>
        <item x="3277"/>
        <item x="1929"/>
        <item x="4224"/>
        <item x="1395"/>
        <item x="79"/>
        <item x="2048"/>
        <item x="4171"/>
        <item x="902"/>
        <item x="2972"/>
        <item x="517"/>
        <item x="4225"/>
        <item x="3155"/>
        <item x="318"/>
        <item x="2475"/>
        <item x="156"/>
        <item x="2318"/>
        <item x="1607"/>
        <item x="1353"/>
        <item x="3121"/>
        <item x="3769"/>
        <item x="3241"/>
        <item x="2133"/>
        <item x="487"/>
        <item x="1535"/>
        <item x="4208"/>
        <item x="2196"/>
        <item x="3201"/>
        <item x="879"/>
        <item x="4177"/>
        <item x="3355"/>
        <item x="2309"/>
        <item x="3952"/>
        <item x="2173"/>
        <item x="2794"/>
        <item x="660"/>
        <item x="198"/>
        <item x="3935"/>
        <item x="3768"/>
        <item x="244"/>
        <item x="1808"/>
        <item x="2079"/>
        <item x="3079"/>
        <item x="1777"/>
        <item x="1900"/>
        <item x="1883"/>
        <item x="2775"/>
        <item x="2680"/>
        <item x="350"/>
        <item x="2455"/>
        <item x="1658"/>
        <item x="1626"/>
        <item x="1301"/>
        <item x="530"/>
        <item x="426"/>
        <item x="3424"/>
        <item x="1351"/>
        <item x="872"/>
        <item x="1565"/>
        <item x="107"/>
        <item x="3763"/>
        <item x="1475"/>
        <item x="1131"/>
        <item x="2656"/>
        <item x="2273"/>
        <item x="2805"/>
        <item x="4280"/>
        <item x="3143"/>
        <item x="1386"/>
        <item x="965"/>
        <item x="677"/>
        <item x="137"/>
        <item x="3427"/>
        <item x="1696"/>
        <item x="251"/>
        <item x="2518"/>
        <item x="2339"/>
        <item x="1298"/>
        <item x="1394"/>
        <item x="3612"/>
        <item x="1205"/>
        <item x="1199"/>
        <item x="588"/>
        <item x="3306"/>
        <item x="3823"/>
        <item x="401"/>
        <item x="3376"/>
        <item x="3572"/>
        <item x="3766"/>
        <item x="2979"/>
        <item x="1379"/>
        <item x="4032"/>
        <item x="3249"/>
        <item x="2985"/>
        <item x="1948"/>
        <item x="2137"/>
        <item x="3367"/>
        <item x="1146"/>
        <item x="3214"/>
        <item x="2401"/>
        <item x="2857"/>
        <item x="2054"/>
        <item x="466"/>
        <item x="4036"/>
        <item x="3619"/>
        <item x="3553"/>
        <item x="519"/>
        <item x="2633"/>
        <item x="1107"/>
        <item x="1391"/>
        <item x="1134"/>
        <item x="1765"/>
        <item x="3600"/>
        <item x="2281"/>
        <item x="2825"/>
        <item x="2383"/>
        <item x="4057"/>
        <item x="577"/>
        <item x="2202"/>
        <item x="2288"/>
        <item x="2906"/>
        <item x="3580"/>
        <item x="3431"/>
        <item x="1531"/>
        <item x="1519"/>
        <item x="2237"/>
        <item x="3284"/>
        <item x="3421"/>
        <item x="2229"/>
        <item x="2430"/>
        <item x="169"/>
        <item x="3741"/>
        <item x="3912"/>
        <item x="4079"/>
        <item x="3186"/>
        <item x="4126"/>
        <item x="2922"/>
        <item x="3703"/>
        <item x="4039"/>
        <item x="1753"/>
        <item x="1514"/>
        <item x="854"/>
        <item x="2823"/>
        <item x="1479"/>
        <item x="2843"/>
        <item x="3829"/>
        <item x="3499"/>
        <item x="400"/>
        <item x="110"/>
        <item x="2693"/>
        <item x="1718"/>
        <item x="3437"/>
        <item x="1942"/>
        <item x="3327"/>
        <item x="698"/>
        <item x="364"/>
        <item x="3905"/>
        <item x="308"/>
        <item x="1554"/>
        <item x="54"/>
        <item x="1952"/>
        <item x="571"/>
        <item x="867"/>
        <item x="2663"/>
        <item x="3730"/>
        <item x="3289"/>
        <item x="970"/>
        <item x="460"/>
        <item x="2947"/>
        <item x="3651"/>
        <item x="4264"/>
        <item x="424"/>
        <item x="3160"/>
        <item x="781"/>
        <item x="1540"/>
        <item x="3973"/>
        <item x="1276"/>
        <item x="1704"/>
        <item x="4217"/>
        <item x="4170"/>
        <item x="1657"/>
        <item x="4157"/>
        <item x="2483"/>
        <item x="1566"/>
        <item x="593"/>
        <item x="2322"/>
        <item x="3878"/>
        <item x="2362"/>
        <item x="585"/>
        <item x="1314"/>
        <item x="2416"/>
        <item x="1307"/>
        <item x="2623"/>
        <item x="3401"/>
        <item x="1401"/>
        <item x="535"/>
        <item x="2792"/>
        <item x="1102"/>
        <item x="2274"/>
        <item x="3478"/>
        <item x="4252"/>
        <item x="1197"/>
        <item x="3199"/>
        <item x="2730"/>
        <item x="1141"/>
        <item x="2418"/>
        <item x="3330"/>
        <item x="238"/>
        <item x="787"/>
        <item x="3166"/>
        <item x="1133"/>
        <item x="4218"/>
        <item x="3968"/>
        <item x="128"/>
        <item x="846"/>
        <item x="252"/>
        <item x="2629"/>
        <item x="2"/>
        <item x="3542"/>
        <item x="3032"/>
        <item x="1685"/>
        <item x="3559"/>
        <item x="1194"/>
        <item x="755"/>
        <item x="4238"/>
        <item x="3837"/>
        <item x="1453"/>
        <item x="1176"/>
        <item x="3780"/>
        <item x="3798"/>
        <item x="2625"/>
        <item x="1042"/>
        <item x="2845"/>
        <item x="3031"/>
        <item x="3666"/>
        <item x="3940"/>
        <item x="3050"/>
        <item x="1903"/>
        <item x="4136"/>
        <item x="2862"/>
        <item x="3630"/>
        <item x="4125"/>
        <item x="1420"/>
        <item x="3491"/>
        <item x="2499"/>
        <item x="3962"/>
        <item x="3661"/>
        <item x="3098"/>
        <item x="2905"/>
        <item x="3601"/>
        <item x="2123"/>
        <item x="3728"/>
        <item x="740"/>
        <item x="1126"/>
        <item x="2511"/>
        <item x="2382"/>
        <item x="3896"/>
        <item x="3592"/>
        <item x="1096"/>
        <item x="3451"/>
        <item x="103"/>
        <item x="1232"/>
        <item x="2960"/>
        <item x="243"/>
        <item x="3205"/>
        <item x="3029"/>
        <item x="804"/>
        <item x="2531"/>
        <item x="2626"/>
        <item x="89"/>
        <item x="682"/>
        <item x="3051"/>
        <item x="2848"/>
        <item x="3518"/>
        <item x="1673"/>
        <item x="3251"/>
        <item x="1814"/>
        <item x="977"/>
        <item x="443"/>
        <item x="444"/>
        <item x="1623"/>
        <item x="642"/>
        <item x="3711"/>
        <item x="2858"/>
        <item x="1500"/>
        <item x="1529"/>
        <item x="613"/>
        <item x="2971"/>
        <item x="777"/>
        <item x="57"/>
        <item x="738"/>
        <item x="2057"/>
        <item x="2063"/>
        <item x="972"/>
        <item x="2955"/>
        <item x="454"/>
        <item x="2306"/>
        <item x="1266"/>
        <item x="1356"/>
        <item x="2146"/>
        <item x="655"/>
        <item x="170"/>
        <item x="1824"/>
        <item x="2405"/>
        <item x="3719"/>
        <item x="326"/>
        <item x="494"/>
        <item x="2452"/>
        <item x="2485"/>
        <item x="177"/>
        <item x="4048"/>
        <item x="1099"/>
        <item x="2472"/>
        <item x="869"/>
        <item x="1879"/>
        <item x="2463"/>
        <item x="4270"/>
        <item x="2425"/>
        <item x="62"/>
        <item x="2648"/>
        <item x="301"/>
        <item x="610"/>
        <item x="3490"/>
        <item x="3712"/>
        <item x="3403"/>
        <item x="3627"/>
        <item x="819"/>
        <item x="1091"/>
        <item x="357"/>
        <item x="2995"/>
        <item x="893"/>
        <item x="2343"/>
        <item x="3238"/>
        <item x="1142"/>
        <item x="935"/>
        <item x="2324"/>
        <item x="959"/>
        <item x="1589"/>
        <item x="2831"/>
        <item x="2263"/>
        <item x="1687"/>
        <item x="3951"/>
        <item x="3493"/>
        <item x="2651"/>
        <item x="2505"/>
        <item x="2301"/>
        <item x="2541"/>
        <item x="3662"/>
        <item x="1620"/>
        <item x="1890"/>
        <item x="619"/>
        <item x="1667"/>
        <item x="1360"/>
        <item x="1448"/>
        <item x="3546"/>
        <item x="2595"/>
        <item x="818"/>
        <item x="222"/>
        <item x="3809"/>
        <item x="2371"/>
        <item x="224"/>
        <item x="3394"/>
        <item x="3027"/>
        <item x="387"/>
        <item x="2782"/>
        <item x="3187"/>
        <item x="4097"/>
        <item x="4098"/>
        <item x="497"/>
        <item x="3443"/>
        <item x="968"/>
        <item x="1676"/>
        <item x="3413"/>
        <item x="261"/>
        <item x="1163"/>
        <item x="3610"/>
        <item x="2150"/>
        <item x="236"/>
        <item x="3846"/>
        <item x="1709"/>
        <item x="3903"/>
        <item x="2732"/>
        <item x="3314"/>
        <item x="4008"/>
        <item x="1051"/>
        <item x="3751"/>
        <item x="2946"/>
        <item x="1672"/>
        <item x="1505"/>
        <item x="2439"/>
        <item x="1897"/>
        <item x="561"/>
        <item x="209"/>
        <item x="3699"/>
        <item x="3195"/>
        <item x="2926"/>
        <item x="1735"/>
        <item x="3042"/>
        <item x="3275"/>
        <item x="3023"/>
        <item x="1792"/>
        <item x="2030"/>
        <item x="2763"/>
        <item x="1580"/>
        <item x="3702"/>
        <item x="106"/>
        <item x="3621"/>
        <item x="2103"/>
        <item x="919"/>
        <item x="1966"/>
        <item x="3746"/>
        <item x="3104"/>
        <item x="2821"/>
        <item x="2816"/>
        <item x="3371"/>
        <item x="351"/>
        <item x="1934"/>
        <item x="1069"/>
        <item x="548"/>
        <item x="2632"/>
        <item x="2964"/>
        <item x="2968"/>
        <item x="3618"/>
        <item x="3247"/>
        <item x="472"/>
        <item x="564"/>
        <item x="1225"/>
        <item x="2833"/>
        <item x="943"/>
        <item x="3870"/>
        <item x="4050"/>
        <item x="2120"/>
        <item x="1832"/>
        <item x="3154"/>
        <item x="1249"/>
        <item x="2618"/>
        <item x="2611"/>
        <item x="1328"/>
        <item x="1533"/>
        <item x="2896"/>
        <item x="871"/>
        <item x="1015"/>
        <item x="2210"/>
        <item x="3819"/>
        <item x="4069"/>
        <item x="3179"/>
        <item x="4191"/>
        <item x="3414"/>
        <item x="3120"/>
        <item x="506"/>
        <item x="3765"/>
        <item x="1175"/>
        <item x="3372"/>
        <item x="398"/>
        <item x="884"/>
        <item x="402"/>
        <item x="1001"/>
        <item x="1987"/>
        <item x="3290"/>
        <item x="3150"/>
        <item x="1214"/>
        <item x="2489"/>
        <item x="3707"/>
        <item x="3274"/>
        <item x="3078"/>
        <item x="2806"/>
        <item x="3455"/>
        <item x="333"/>
        <item x="3963"/>
        <item x="4068"/>
        <item x="2684"/>
        <item x="810"/>
        <item x="2287"/>
        <item x="709"/>
        <item x="2234"/>
        <item x="2786"/>
        <item x="1679"/>
        <item x="3397"/>
        <item x="2093"/>
        <item x="77"/>
        <item x="3876"/>
        <item x="1289"/>
        <item x="1169"/>
        <item x="70"/>
        <item x="2251"/>
        <item x="3020"/>
        <item x="1346"/>
        <item x="72"/>
        <item x="1070"/>
        <item x="1760"/>
        <item x="3532"/>
        <item x="1683"/>
        <item x="3442"/>
        <item x="263"/>
        <item x="2635"/>
        <item x="149"/>
        <item x="1646"/>
        <item x="3360"/>
        <item x="2398"/>
        <item x="3626"/>
        <item x="1278"/>
        <item x="2690"/>
        <item x="768"/>
        <item x="1125"/>
        <item x="2064"/>
        <item x="986"/>
        <item x="2162"/>
        <item x="83"/>
        <item x="3588"/>
        <item x="1184"/>
        <item x="1458"/>
        <item x="1993"/>
        <item x="1424"/>
        <item x="266"/>
        <item x="207"/>
        <item x="2141"/>
        <item x="1635"/>
        <item x="2894"/>
        <item x="10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2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2" baseField="0" baseItem="0"/>
    <dataField name="Sum of budget" fld="6" baseField="0" baseItem="0"/>
  </dataFields>
  <formats count="2">
    <format dxfId="3">
      <pivotArea outline="0" collapsedLevelsAreSubtotals="1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ACC8-5B15-43BD-9736-8BC5576A597E}">
  <dimension ref="A1:L27"/>
  <sheetViews>
    <sheetView topLeftCell="D13" workbookViewId="0">
      <selection activeCell="I3" sqref="I3:L21"/>
    </sheetView>
  </sheetViews>
  <sheetFormatPr defaultRowHeight="15" x14ac:dyDescent="0.25"/>
  <cols>
    <col min="1" max="1" width="13.140625" bestFit="1" customWidth="1"/>
    <col min="2" max="2" width="21.7109375" style="3" bestFit="1" customWidth="1"/>
    <col min="3" max="3" width="18.28515625" style="3" bestFit="1" customWidth="1"/>
    <col min="4" max="4" width="21.7109375" style="3" bestFit="1" customWidth="1"/>
    <col min="6" max="6" width="12.85546875" bestFit="1" customWidth="1"/>
    <col min="7" max="7" width="14.85546875" bestFit="1" customWidth="1"/>
    <col min="9" max="9" width="13.140625" bestFit="1" customWidth="1"/>
    <col min="10" max="10" width="21.7109375" bestFit="1" customWidth="1"/>
    <col min="11" max="11" width="18.85546875" bestFit="1" customWidth="1"/>
    <col min="12" max="12" width="19.140625" bestFit="1" customWidth="1"/>
  </cols>
  <sheetData>
    <row r="1" spans="1:12" x14ac:dyDescent="0.25">
      <c r="F1" t="s">
        <v>9</v>
      </c>
      <c r="G1" t="s">
        <v>10</v>
      </c>
    </row>
    <row r="2" spans="1:12" x14ac:dyDescent="0.25">
      <c r="F2" t="s">
        <v>15</v>
      </c>
      <c r="G2">
        <v>1614</v>
      </c>
    </row>
    <row r="3" spans="1:12" x14ac:dyDescent="0.25">
      <c r="A3" s="1" t="s">
        <v>6746</v>
      </c>
      <c r="B3" s="3" t="s">
        <v>6748</v>
      </c>
      <c r="C3" s="3" t="s">
        <v>6749</v>
      </c>
      <c r="D3" s="3" t="s">
        <v>6750</v>
      </c>
      <c r="F3" t="s">
        <v>22</v>
      </c>
      <c r="G3">
        <v>543</v>
      </c>
      <c r="I3" s="1" t="s">
        <v>6746</v>
      </c>
      <c r="J3" s="3" t="s">
        <v>6748</v>
      </c>
      <c r="K3" s="3" t="s">
        <v>6751</v>
      </c>
      <c r="L3" s="3" t="s">
        <v>6752</v>
      </c>
    </row>
    <row r="4" spans="1:12" x14ac:dyDescent="0.25">
      <c r="A4" s="2" t="s">
        <v>34</v>
      </c>
      <c r="B4" s="3">
        <v>6.0571428571428569</v>
      </c>
      <c r="C4" s="3">
        <v>1.2403428571428627</v>
      </c>
      <c r="D4" s="3">
        <v>1.1137068093276896</v>
      </c>
      <c r="F4" t="s">
        <v>28</v>
      </c>
      <c r="G4">
        <v>570</v>
      </c>
      <c r="I4" s="2" t="s">
        <v>34</v>
      </c>
      <c r="J4" s="3">
        <v>6.0571428571428569</v>
      </c>
      <c r="K4" s="3">
        <v>1.7</v>
      </c>
      <c r="L4" s="3">
        <v>9.1</v>
      </c>
    </row>
    <row r="5" spans="1:12" x14ac:dyDescent="0.25">
      <c r="A5" s="2" t="s">
        <v>28</v>
      </c>
      <c r="B5" s="3">
        <v>6.3541401273885336</v>
      </c>
      <c r="C5" s="3">
        <v>1.3209572454773453</v>
      </c>
      <c r="D5" s="3">
        <v>1.1493290414312802</v>
      </c>
      <c r="F5" t="s">
        <v>31</v>
      </c>
      <c r="G5">
        <v>2363</v>
      </c>
      <c r="I5" s="2" t="s">
        <v>28</v>
      </c>
      <c r="J5" s="3">
        <v>6.3541401273885336</v>
      </c>
      <c r="K5" s="3">
        <v>2.2999999999999998</v>
      </c>
      <c r="L5" s="3">
        <v>8.6</v>
      </c>
    </row>
    <row r="6" spans="1:12" x14ac:dyDescent="0.25">
      <c r="A6" s="2" t="s">
        <v>46</v>
      </c>
      <c r="B6" s="3">
        <v>6.6023809523809529</v>
      </c>
      <c r="C6" s="3">
        <v>1.7085307781649191</v>
      </c>
      <c r="D6" s="3">
        <v>1.3071077913335682</v>
      </c>
      <c r="F6" t="s">
        <v>34</v>
      </c>
      <c r="G6">
        <v>826</v>
      </c>
      <c r="I6" s="2" t="s">
        <v>46</v>
      </c>
      <c r="J6" s="3">
        <v>6.6023809523809529</v>
      </c>
      <c r="K6" s="3">
        <v>3.7</v>
      </c>
      <c r="L6" s="3">
        <v>8.4</v>
      </c>
    </row>
    <row r="7" spans="1:12" x14ac:dyDescent="0.25">
      <c r="A7" s="2" t="s">
        <v>42</v>
      </c>
      <c r="B7" s="3">
        <v>7.117903930131007</v>
      </c>
      <c r="C7" s="3">
        <v>0.49200260476515578</v>
      </c>
      <c r="D7" s="3">
        <v>0.70142897342863997</v>
      </c>
      <c r="F7" t="s">
        <v>38</v>
      </c>
      <c r="G7">
        <v>805</v>
      </c>
      <c r="I7" s="2" t="s">
        <v>42</v>
      </c>
      <c r="J7" s="3">
        <v>7.117903930131007</v>
      </c>
      <c r="K7" s="3">
        <v>4.5</v>
      </c>
      <c r="L7" s="3">
        <v>8.9</v>
      </c>
    </row>
    <row r="8" spans="1:12" x14ac:dyDescent="0.25">
      <c r="A8" s="2" t="s">
        <v>15</v>
      </c>
      <c r="B8" s="3">
        <v>6.1695829926410548</v>
      </c>
      <c r="C8" s="3">
        <v>1.2029365690066134</v>
      </c>
      <c r="D8" s="3">
        <v>1.0967846502420671</v>
      </c>
      <c r="F8" t="s">
        <v>42</v>
      </c>
      <c r="G8">
        <v>265</v>
      </c>
      <c r="I8" s="2" t="s">
        <v>15</v>
      </c>
      <c r="J8" s="3">
        <v>6.1695829926410548</v>
      </c>
      <c r="K8" s="3">
        <v>1.9</v>
      </c>
      <c r="L8" s="3">
        <v>9.5</v>
      </c>
    </row>
    <row r="9" spans="1:12" x14ac:dyDescent="0.25">
      <c r="A9" s="2" t="s">
        <v>38</v>
      </c>
      <c r="B9" s="3">
        <v>6.8710843373493988</v>
      </c>
      <c r="C9" s="3">
        <v>0.94478069377205665</v>
      </c>
      <c r="D9" s="3">
        <v>0.9719982992639733</v>
      </c>
      <c r="F9" t="s">
        <v>46</v>
      </c>
      <c r="G9">
        <v>137</v>
      </c>
      <c r="I9" s="2" t="s">
        <v>38</v>
      </c>
      <c r="J9" s="3">
        <v>6.8710843373493988</v>
      </c>
      <c r="K9" s="3">
        <v>3.1</v>
      </c>
      <c r="L9" s="3">
        <v>9.3000000000000007</v>
      </c>
    </row>
    <row r="10" spans="1:12" x14ac:dyDescent="0.25">
      <c r="A10" s="2" t="s">
        <v>52</v>
      </c>
      <c r="B10" s="3">
        <v>7.1536585365853664</v>
      </c>
      <c r="C10" s="3">
        <v>1.4346160794941372</v>
      </c>
      <c r="D10" s="3">
        <v>1.1977545990285894</v>
      </c>
      <c r="F10" t="s">
        <v>17</v>
      </c>
      <c r="G10">
        <v>428</v>
      </c>
      <c r="I10" s="2" t="s">
        <v>52</v>
      </c>
      <c r="J10" s="3">
        <v>7.1536585365853664</v>
      </c>
      <c r="K10" s="3">
        <v>1.6</v>
      </c>
      <c r="L10" s="3">
        <v>8.6999999999999993</v>
      </c>
    </row>
    <row r="11" spans="1:12" x14ac:dyDescent="0.25">
      <c r="A11" s="2" t="s">
        <v>31</v>
      </c>
      <c r="B11" s="3">
        <v>6.7415570175438546</v>
      </c>
      <c r="C11" s="3">
        <v>0.99518659608686844</v>
      </c>
      <c r="D11" s="3">
        <v>0.9975903949451741</v>
      </c>
      <c r="F11" t="s">
        <v>37</v>
      </c>
      <c r="G11">
        <v>443</v>
      </c>
      <c r="I11" s="2" t="s">
        <v>31</v>
      </c>
      <c r="J11" s="3">
        <v>6.7415570175438546</v>
      </c>
      <c r="K11" s="3">
        <v>2</v>
      </c>
      <c r="L11" s="3">
        <v>9.1</v>
      </c>
    </row>
    <row r="12" spans="1:12" x14ac:dyDescent="0.25">
      <c r="A12" s="2" t="s">
        <v>16</v>
      </c>
      <c r="B12" s="3">
        <v>5.49</v>
      </c>
      <c r="C12" s="3">
        <v>3.7143333333333239</v>
      </c>
      <c r="D12" s="3">
        <v>1.9272605774345419</v>
      </c>
      <c r="F12" t="s">
        <v>52</v>
      </c>
      <c r="G12">
        <v>118</v>
      </c>
      <c r="I12" s="2" t="s">
        <v>16</v>
      </c>
      <c r="J12" s="3">
        <v>5.49</v>
      </c>
      <c r="K12" s="3">
        <v>2.8</v>
      </c>
      <c r="L12" s="3">
        <v>8.6</v>
      </c>
    </row>
    <row r="13" spans="1:12" x14ac:dyDescent="0.25">
      <c r="A13" s="2" t="s">
        <v>17</v>
      </c>
      <c r="B13" s="3">
        <v>6.4333333333333336</v>
      </c>
      <c r="C13" s="3">
        <v>0.82026666666666648</v>
      </c>
      <c r="D13" s="3">
        <v>0.90568574387955703</v>
      </c>
      <c r="F13" t="s">
        <v>19</v>
      </c>
      <c r="G13">
        <v>975</v>
      </c>
      <c r="I13" s="2" t="s">
        <v>17</v>
      </c>
      <c r="J13" s="3">
        <v>6.4333333333333336</v>
      </c>
      <c r="K13" s="3">
        <v>4.3</v>
      </c>
      <c r="L13" s="3">
        <v>7.9</v>
      </c>
    </row>
    <row r="14" spans="1:12" x14ac:dyDescent="0.25">
      <c r="A14" s="2" t="s">
        <v>22</v>
      </c>
      <c r="B14" s="3">
        <v>5.6410714285714274</v>
      </c>
      <c r="C14" s="3">
        <v>1.2446732863549179</v>
      </c>
      <c r="D14" s="3">
        <v>1.1156492667298796</v>
      </c>
      <c r="F14" t="s">
        <v>23</v>
      </c>
      <c r="G14">
        <v>448</v>
      </c>
      <c r="I14" s="2" t="s">
        <v>22</v>
      </c>
      <c r="J14" s="3">
        <v>5.6410714285714274</v>
      </c>
      <c r="K14" s="3">
        <v>2.2000000000000002</v>
      </c>
      <c r="L14" s="3">
        <v>8.5</v>
      </c>
    </row>
    <row r="15" spans="1:12" x14ac:dyDescent="0.25">
      <c r="A15" s="2" t="s">
        <v>59</v>
      </c>
      <c r="B15" s="3">
        <v>5.5999999999999988</v>
      </c>
      <c r="C15" s="3">
        <v>3.7900000000000134</v>
      </c>
      <c r="D15" s="3">
        <v>1.946792233393182</v>
      </c>
      <c r="F15" t="s">
        <v>59</v>
      </c>
      <c r="G15">
        <v>111</v>
      </c>
      <c r="I15" s="2" t="s">
        <v>59</v>
      </c>
      <c r="J15" s="3">
        <v>5.5999999999999988</v>
      </c>
      <c r="K15" s="3">
        <v>3.4</v>
      </c>
      <c r="L15" s="3">
        <v>7.1</v>
      </c>
    </row>
    <row r="16" spans="1:12" x14ac:dyDescent="0.25">
      <c r="A16" s="2" t="s">
        <v>23</v>
      </c>
      <c r="B16" s="3">
        <v>6.4724137931034473</v>
      </c>
      <c r="C16" s="3">
        <v>1.3613546798029657</v>
      </c>
      <c r="D16" s="3">
        <v>1.1667710485793541</v>
      </c>
      <c r="F16" t="s">
        <v>24</v>
      </c>
      <c r="G16">
        <v>1231</v>
      </c>
      <c r="I16" s="2" t="s">
        <v>23</v>
      </c>
      <c r="J16" s="3">
        <v>6.4724137931034473</v>
      </c>
      <c r="K16" s="3">
        <v>3.2</v>
      </c>
      <c r="L16" s="3">
        <v>8.5</v>
      </c>
    </row>
    <row r="17" spans="1:12" x14ac:dyDescent="0.25">
      <c r="A17" s="2" t="s">
        <v>19</v>
      </c>
      <c r="B17" s="3">
        <v>5.8833333333333329</v>
      </c>
      <c r="C17" s="3">
        <v>0.75766666666667104</v>
      </c>
      <c r="D17" s="3">
        <v>0.87044050150867347</v>
      </c>
      <c r="F17" t="s">
        <v>64</v>
      </c>
      <c r="G17">
        <v>178</v>
      </c>
      <c r="I17" s="2" t="s">
        <v>19</v>
      </c>
      <c r="J17" s="3">
        <v>5.8833333333333329</v>
      </c>
      <c r="K17" s="3">
        <v>5.0999999999999996</v>
      </c>
      <c r="L17" s="3">
        <v>7.1</v>
      </c>
    </row>
    <row r="18" spans="1:12" x14ac:dyDescent="0.25">
      <c r="A18" s="2" t="s">
        <v>37</v>
      </c>
      <c r="B18" s="3">
        <v>5.9999999999999991</v>
      </c>
      <c r="C18" s="3">
        <v>2.2116666666666731</v>
      </c>
      <c r="D18" s="3">
        <v>1.4871673297469499</v>
      </c>
      <c r="F18" t="s">
        <v>16</v>
      </c>
      <c r="G18">
        <v>371</v>
      </c>
      <c r="I18" s="2" t="s">
        <v>37</v>
      </c>
      <c r="J18" s="3">
        <v>5.9999999999999991</v>
      </c>
      <c r="K18" s="3">
        <v>2.8</v>
      </c>
      <c r="L18" s="3">
        <v>8.1999999999999993</v>
      </c>
    </row>
    <row r="19" spans="1:12" x14ac:dyDescent="0.25">
      <c r="A19" s="2" t="s">
        <v>24</v>
      </c>
      <c r="B19" s="3">
        <v>5.5809523809523807</v>
      </c>
      <c r="C19" s="3">
        <v>1.773619047619053</v>
      </c>
      <c r="D19" s="3">
        <v>1.3317728964125426</v>
      </c>
      <c r="F19" t="s">
        <v>69</v>
      </c>
      <c r="G19">
        <v>83</v>
      </c>
      <c r="I19" s="2" t="s">
        <v>24</v>
      </c>
      <c r="J19" s="3">
        <v>5.5809523809523807</v>
      </c>
      <c r="K19" s="3">
        <v>3.4</v>
      </c>
      <c r="L19" s="3">
        <v>8.1</v>
      </c>
    </row>
    <row r="20" spans="1:12" x14ac:dyDescent="0.25">
      <c r="A20" s="2" t="s">
        <v>69</v>
      </c>
      <c r="B20" s="3">
        <v>6.583333333333333</v>
      </c>
      <c r="C20" s="3">
        <v>2.5596969696969669</v>
      </c>
      <c r="D20" s="3">
        <v>1.5999053002277874</v>
      </c>
      <c r="F20" t="s">
        <v>72</v>
      </c>
      <c r="G20">
        <v>1</v>
      </c>
      <c r="I20" s="2" t="s">
        <v>69</v>
      </c>
      <c r="J20" s="3">
        <v>6.583333333333333</v>
      </c>
      <c r="K20" s="3">
        <v>3.8</v>
      </c>
      <c r="L20" s="3">
        <v>8.9</v>
      </c>
    </row>
    <row r="21" spans="1:12" x14ac:dyDescent="0.25">
      <c r="A21" s="2" t="s">
        <v>6747</v>
      </c>
      <c r="B21" s="3">
        <v>6.3820281820281792</v>
      </c>
      <c r="C21" s="3">
        <v>1.2896122441224567</v>
      </c>
      <c r="D21" s="3">
        <v>1.1356109563237125</v>
      </c>
      <c r="F21" t="s">
        <v>75</v>
      </c>
      <c r="G21">
        <v>6</v>
      </c>
      <c r="I21" s="2" t="s">
        <v>6747</v>
      </c>
      <c r="J21" s="3">
        <v>6.3820281820281792</v>
      </c>
      <c r="K21" s="3">
        <v>1.6</v>
      </c>
      <c r="L21" s="3">
        <v>9.5</v>
      </c>
    </row>
    <row r="22" spans="1:12" x14ac:dyDescent="0.25">
      <c r="F22" t="s">
        <v>18</v>
      </c>
      <c r="G22">
        <v>197</v>
      </c>
    </row>
    <row r="23" spans="1:12" x14ac:dyDescent="0.25">
      <c r="F23" t="s">
        <v>41</v>
      </c>
      <c r="G23">
        <v>158</v>
      </c>
    </row>
    <row r="24" spans="1:12" x14ac:dyDescent="0.25">
      <c r="F24" t="s">
        <v>83</v>
      </c>
      <c r="G24">
        <v>177</v>
      </c>
    </row>
    <row r="25" spans="1:12" x14ac:dyDescent="0.25">
      <c r="F25" t="s">
        <v>86</v>
      </c>
      <c r="G25">
        <v>5</v>
      </c>
    </row>
    <row r="26" spans="1:12" x14ac:dyDescent="0.25">
      <c r="F26" t="s">
        <v>89</v>
      </c>
      <c r="G26">
        <v>2</v>
      </c>
    </row>
    <row r="27" spans="1:12" x14ac:dyDescent="0.25">
      <c r="F27" t="s">
        <v>92</v>
      </c>
      <c r="G27">
        <v>3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6541-A98A-41F6-9BDA-176A04E67930}">
  <dimension ref="A3:E11"/>
  <sheetViews>
    <sheetView topLeftCell="A8" workbookViewId="0">
      <selection activeCell="E15" sqref="E15"/>
    </sheetView>
  </sheetViews>
  <sheetFormatPr defaultRowHeight="15" x14ac:dyDescent="0.25"/>
  <cols>
    <col min="1" max="1" width="13.140625" bestFit="1" customWidth="1"/>
    <col min="2" max="2" width="21.7109375" style="3" bestFit="1" customWidth="1"/>
    <col min="3" max="3" width="17.85546875" style="3" bestFit="1" customWidth="1"/>
    <col min="4" max="4" width="19.140625" bestFit="1" customWidth="1"/>
    <col min="5" max="5" width="21.7109375" bestFit="1" customWidth="1"/>
  </cols>
  <sheetData>
    <row r="3" spans="1:5" x14ac:dyDescent="0.25">
      <c r="A3" s="1" t="s">
        <v>6746</v>
      </c>
      <c r="B3" s="3" t="s">
        <v>6748</v>
      </c>
      <c r="C3" t="s">
        <v>6762</v>
      </c>
      <c r="D3" t="s">
        <v>6761</v>
      </c>
      <c r="E3" s="3" t="s">
        <v>6753</v>
      </c>
    </row>
    <row r="4" spans="1:5" x14ac:dyDescent="0.25">
      <c r="A4" s="2" t="s">
        <v>6754</v>
      </c>
      <c r="B4" s="3">
        <v>7.3450704225352093</v>
      </c>
      <c r="C4" s="3">
        <v>3.5</v>
      </c>
      <c r="D4" s="3">
        <v>8.8000000000000007</v>
      </c>
      <c r="E4" s="3">
        <v>1.004104253607512</v>
      </c>
    </row>
    <row r="5" spans="1:5" x14ac:dyDescent="0.25">
      <c r="A5" s="2" t="s">
        <v>6755</v>
      </c>
      <c r="B5" s="3">
        <v>5.9989685404847872</v>
      </c>
      <c r="C5" s="3">
        <v>1.7</v>
      </c>
      <c r="D5" s="3">
        <v>9.5</v>
      </c>
      <c r="E5" s="3">
        <v>1.2086286647551134</v>
      </c>
    </row>
    <row r="6" spans="1:5" x14ac:dyDescent="0.25">
      <c r="A6" s="2" t="s">
        <v>6756</v>
      </c>
      <c r="B6" s="3">
        <v>6.6270159453303012</v>
      </c>
      <c r="C6" s="3">
        <v>1.6</v>
      </c>
      <c r="D6" s="3">
        <v>9.3000000000000007</v>
      </c>
      <c r="E6" s="3">
        <v>0.94711767190305218</v>
      </c>
    </row>
    <row r="7" spans="1:5" x14ac:dyDescent="0.25">
      <c r="A7" s="2" t="s">
        <v>6757</v>
      </c>
      <c r="B7" s="3">
        <v>7.3921568627450958</v>
      </c>
      <c r="C7" s="3">
        <v>3.8</v>
      </c>
      <c r="D7" s="3">
        <v>8.9</v>
      </c>
      <c r="E7" s="3">
        <v>0.9003504570152242</v>
      </c>
    </row>
    <row r="8" spans="1:5" x14ac:dyDescent="0.25">
      <c r="A8" s="2" t="s">
        <v>6758</v>
      </c>
      <c r="B8" s="3">
        <v>7.6928571428571422</v>
      </c>
      <c r="C8" s="3">
        <v>5.8</v>
      </c>
      <c r="D8" s="3">
        <v>9</v>
      </c>
      <c r="E8" s="3">
        <v>0.88792262805190181</v>
      </c>
    </row>
    <row r="9" spans="1:5" x14ac:dyDescent="0.25">
      <c r="A9" s="2" t="s">
        <v>6759</v>
      </c>
      <c r="B9" s="3">
        <v>7.6</v>
      </c>
      <c r="C9" s="3">
        <v>6.3</v>
      </c>
      <c r="D9" s="3">
        <v>8.5</v>
      </c>
      <c r="E9" s="3">
        <v>0.86520022455581336</v>
      </c>
    </row>
    <row r="10" spans="1:5" x14ac:dyDescent="0.25">
      <c r="A10" s="2" t="s">
        <v>6760</v>
      </c>
      <c r="B10" s="3">
        <v>7.5</v>
      </c>
      <c r="C10" s="3">
        <v>6.8</v>
      </c>
      <c r="D10" s="3">
        <v>8</v>
      </c>
      <c r="E10" s="3">
        <v>0.62449979983984027</v>
      </c>
    </row>
    <row r="11" spans="1:5" x14ac:dyDescent="0.25">
      <c r="A11" s="2" t="s">
        <v>6747</v>
      </c>
      <c r="B11" s="3">
        <v>6.3815327793167098</v>
      </c>
      <c r="C11" s="3">
        <v>1.6</v>
      </c>
      <c r="D11" s="3">
        <v>9.5</v>
      </c>
      <c r="E11" s="3">
        <v>1.1364597069474576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6585-2581-42E8-8861-528ADAFF4D0E}">
  <dimension ref="A3:C47"/>
  <sheetViews>
    <sheetView topLeftCell="A12" workbookViewId="0">
      <selection activeCell="F32" sqref="F32"/>
    </sheetView>
  </sheetViews>
  <sheetFormatPr defaultRowHeight="15" x14ac:dyDescent="0.25"/>
  <cols>
    <col min="1" max="1" width="13.140625" bestFit="1" customWidth="1"/>
    <col min="2" max="3" width="21.7109375" style="3" bestFit="1" customWidth="1"/>
  </cols>
  <sheetData>
    <row r="3" spans="1:3" x14ac:dyDescent="0.25">
      <c r="A3" s="1" t="s">
        <v>6746</v>
      </c>
      <c r="B3" s="3" t="s">
        <v>6748</v>
      </c>
      <c r="C3" s="3" t="s">
        <v>6753</v>
      </c>
    </row>
    <row r="4" spans="1:3" x14ac:dyDescent="0.25">
      <c r="A4" s="2" t="s">
        <v>567</v>
      </c>
      <c r="B4" s="3">
        <v>6.95</v>
      </c>
      <c r="C4" s="3">
        <v>0.77781745930520485</v>
      </c>
    </row>
    <row r="5" spans="1:3" x14ac:dyDescent="0.25">
      <c r="A5" s="2" t="s">
        <v>1893</v>
      </c>
      <c r="B5" s="3">
        <v>7.38</v>
      </c>
      <c r="C5" s="3">
        <v>0.88430763877736374</v>
      </c>
    </row>
    <row r="6" spans="1:3" x14ac:dyDescent="0.25">
      <c r="A6" s="2" t="s">
        <v>1946</v>
      </c>
      <c r="B6" s="3">
        <v>6.9545454545454541</v>
      </c>
      <c r="C6" s="3">
        <v>0.70478881427508178</v>
      </c>
    </row>
    <row r="7" spans="1:3" x14ac:dyDescent="0.25">
      <c r="A7" s="2" t="s">
        <v>1303</v>
      </c>
      <c r="B7" s="3">
        <v>5.666666666666667</v>
      </c>
      <c r="C7" s="3">
        <v>0.55075705472861136</v>
      </c>
    </row>
    <row r="8" spans="1:3" x14ac:dyDescent="0.25">
      <c r="A8" s="2" t="s">
        <v>1441</v>
      </c>
      <c r="B8" s="3">
        <v>7.5</v>
      </c>
      <c r="C8" s="3">
        <v>1.0770329614268992</v>
      </c>
    </row>
    <row r="9" spans="1:3" x14ac:dyDescent="0.25">
      <c r="A9" s="2" t="s">
        <v>4287</v>
      </c>
      <c r="B9" s="3">
        <v>7.5</v>
      </c>
      <c r="C9" s="3">
        <v>0.14142135623734567</v>
      </c>
    </row>
    <row r="10" spans="1:3" x14ac:dyDescent="0.25">
      <c r="A10" s="2" t="s">
        <v>2200</v>
      </c>
      <c r="B10" s="3">
        <v>7.4250000000000007</v>
      </c>
      <c r="C10" s="3">
        <v>0.43493294502331697</v>
      </c>
    </row>
    <row r="11" spans="1:3" x14ac:dyDescent="0.25">
      <c r="A11" s="2" t="s">
        <v>13</v>
      </c>
      <c r="B11" s="3">
        <v>6.3323412698412618</v>
      </c>
      <c r="C11" s="3">
        <v>1.1319104250001202</v>
      </c>
    </row>
    <row r="12" spans="1:3" x14ac:dyDescent="0.25">
      <c r="A12" s="2" t="s">
        <v>473</v>
      </c>
      <c r="B12" s="3">
        <v>7.0492957746478861</v>
      </c>
      <c r="C12" s="3">
        <v>0.72602110151086952</v>
      </c>
    </row>
    <row r="13" spans="1:3" x14ac:dyDescent="0.25">
      <c r="A13" s="2" t="s">
        <v>1277</v>
      </c>
      <c r="B13" s="3">
        <v>7.3421052631578947</v>
      </c>
      <c r="C13" s="3">
        <v>0.95412309331290213</v>
      </c>
    </row>
    <row r="14" spans="1:3" x14ac:dyDescent="0.25">
      <c r="A14" s="2" t="s">
        <v>5544</v>
      </c>
      <c r="B14" s="3">
        <v>7.58</v>
      </c>
      <c r="C14" s="3">
        <v>0.33466401061364365</v>
      </c>
    </row>
    <row r="15" spans="1:3" x14ac:dyDescent="0.25">
      <c r="A15" s="2" t="s">
        <v>1409</v>
      </c>
      <c r="B15" s="3">
        <v>6.5720000000000027</v>
      </c>
      <c r="C15" s="3">
        <v>1.4371615543609904</v>
      </c>
    </row>
    <row r="16" spans="1:3" x14ac:dyDescent="0.25">
      <c r="A16" s="2" t="s">
        <v>1271</v>
      </c>
      <c r="B16" s="3">
        <v>7.55</v>
      </c>
      <c r="C16" s="3">
        <v>0.91923881554251119</v>
      </c>
    </row>
    <row r="17" spans="1:3" x14ac:dyDescent="0.25">
      <c r="A17" s="2" t="s">
        <v>5300</v>
      </c>
      <c r="B17" s="3">
        <v>7.8999999999999995</v>
      </c>
      <c r="C17" s="3">
        <v>0.42426406871195332</v>
      </c>
    </row>
    <row r="18" spans="1:3" x14ac:dyDescent="0.25">
      <c r="A18" s="2" t="s">
        <v>1351</v>
      </c>
      <c r="B18" s="3">
        <v>7.2272727272727275</v>
      </c>
      <c r="C18" s="3">
        <v>1.2442595461485597</v>
      </c>
    </row>
    <row r="19" spans="1:3" x14ac:dyDescent="0.25">
      <c r="A19" s="2" t="s">
        <v>1226</v>
      </c>
      <c r="B19" s="3">
        <v>7.3461538461538458</v>
      </c>
      <c r="C19" s="3">
        <v>1.0129292379162746</v>
      </c>
    </row>
    <row r="20" spans="1:3" x14ac:dyDescent="0.25">
      <c r="A20" s="2" t="s">
        <v>1312</v>
      </c>
      <c r="B20" s="3">
        <v>7.3999999999999995</v>
      </c>
      <c r="C20" s="3">
        <v>0.95078914592038111</v>
      </c>
    </row>
    <row r="21" spans="1:3" x14ac:dyDescent="0.25">
      <c r="A21" s="2" t="s">
        <v>1300</v>
      </c>
      <c r="B21" s="3">
        <v>6.62</v>
      </c>
      <c r="C21" s="3">
        <v>1.057106278578708</v>
      </c>
    </row>
    <row r="22" spans="1:3" x14ac:dyDescent="0.25">
      <c r="A22" s="2" t="s">
        <v>5755</v>
      </c>
      <c r="B22" s="3">
        <v>7.15</v>
      </c>
      <c r="C22" s="3">
        <v>0.57445626465379729</v>
      </c>
    </row>
    <row r="23" spans="1:3" x14ac:dyDescent="0.25">
      <c r="A23" s="2" t="s">
        <v>4951</v>
      </c>
      <c r="B23" s="3">
        <v>7.5749999999999993</v>
      </c>
      <c r="C23" s="3">
        <v>1.2038133853162976</v>
      </c>
    </row>
    <row r="24" spans="1:3" x14ac:dyDescent="0.25">
      <c r="A24" s="2" t="s">
        <v>1329</v>
      </c>
      <c r="B24" s="3">
        <v>8.25</v>
      </c>
      <c r="C24" s="3">
        <v>0.98149545762236146</v>
      </c>
    </row>
    <row r="25" spans="1:3" x14ac:dyDescent="0.25">
      <c r="A25" s="2" t="s">
        <v>1568</v>
      </c>
      <c r="B25" s="3">
        <v>7.4875000000000007</v>
      </c>
      <c r="C25" s="3">
        <v>0.88388347648317978</v>
      </c>
    </row>
    <row r="26" spans="1:3" x14ac:dyDescent="0.25">
      <c r="A26" s="2" t="s">
        <v>2647</v>
      </c>
      <c r="B26" s="3">
        <v>7.2</v>
      </c>
      <c r="C26" s="3">
        <v>0.98994949366116136</v>
      </c>
    </row>
    <row r="27" spans="1:3" x14ac:dyDescent="0.25">
      <c r="A27" s="2" t="s">
        <v>1609</v>
      </c>
      <c r="B27" s="3">
        <v>6.3636363636363633</v>
      </c>
      <c r="C27" s="3">
        <v>1.3836710066144546</v>
      </c>
    </row>
    <row r="28" spans="1:3" x14ac:dyDescent="0.25">
      <c r="A28" s="2" t="s">
        <v>1498</v>
      </c>
      <c r="B28" s="3">
        <v>6.9307692307692292</v>
      </c>
      <c r="C28" s="3">
        <v>0.86516011482933208</v>
      </c>
    </row>
    <row r="29" spans="1:3" x14ac:dyDescent="0.25">
      <c r="A29" s="2" t="s">
        <v>1333</v>
      </c>
      <c r="B29" s="3">
        <v>7.4399999999999995</v>
      </c>
      <c r="C29" s="3">
        <v>0.75696763471102746</v>
      </c>
    </row>
    <row r="30" spans="1:3" x14ac:dyDescent="0.25">
      <c r="A30" s="2" t="s">
        <v>1863</v>
      </c>
      <c r="B30" s="3">
        <v>7.1</v>
      </c>
      <c r="C30" s="3">
        <v>0.2828427124746411</v>
      </c>
    </row>
    <row r="31" spans="1:3" x14ac:dyDescent="0.25">
      <c r="A31" s="2" t="s">
        <v>6747</v>
      </c>
      <c r="B31" s="3">
        <v>6.3797312948807035</v>
      </c>
      <c r="C31" s="3">
        <v>1.1369170066274439</v>
      </c>
    </row>
    <row r="32" spans="1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</sheetData>
  <conditionalFormatting pivot="1" sqref="B4:B30">
    <cfRule type="cellIs" dxfId="31" priority="4" operator="greaterThan">
      <formula>7.28</formula>
    </cfRule>
  </conditionalFormatting>
  <conditionalFormatting pivot="1" sqref="B4:B30">
    <cfRule type="cellIs" dxfId="30" priority="3" operator="lessThan">
      <formula>7.28</formula>
    </cfRule>
  </conditionalFormatting>
  <conditionalFormatting pivot="1" sqref="C4:C30">
    <cfRule type="cellIs" dxfId="29" priority="2" operator="greaterThan">
      <formula>0.55</formula>
    </cfRule>
  </conditionalFormatting>
  <conditionalFormatting pivot="1" sqref="C4:C30">
    <cfRule type="cellIs" dxfId="25" priority="1" operator="lessThan">
      <formula>0.55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5858-59C1-4E83-9222-3BD5F5AB168A}">
  <dimension ref="A1:E2320"/>
  <sheetViews>
    <sheetView workbookViewId="0">
      <selection activeCell="C9" sqref="C9"/>
    </sheetView>
  </sheetViews>
  <sheetFormatPr defaultRowHeight="15" x14ac:dyDescent="0.25"/>
  <cols>
    <col min="1" max="1" width="32.28515625" bestFit="1" customWidth="1"/>
    <col min="2" max="2" width="21.7109375" style="3" bestFit="1" customWidth="1"/>
    <col min="4" max="4" width="46" bestFit="1" customWidth="1"/>
    <col min="5" max="5" width="25.5703125" bestFit="1" customWidth="1"/>
  </cols>
  <sheetData>
    <row r="1" spans="1:5" x14ac:dyDescent="0.25">
      <c r="A1" s="1" t="s">
        <v>7</v>
      </c>
      <c r="B1" t="s">
        <v>6763</v>
      </c>
    </row>
    <row r="3" spans="1:5" ht="15.75" x14ac:dyDescent="0.25">
      <c r="A3" s="1" t="s">
        <v>6746</v>
      </c>
      <c r="B3" s="3" t="s">
        <v>6748</v>
      </c>
      <c r="D3" s="4" t="s">
        <v>6764</v>
      </c>
      <c r="E3" s="4" t="s">
        <v>6765</v>
      </c>
    </row>
    <row r="4" spans="1:5" ht="15.75" x14ac:dyDescent="0.25">
      <c r="A4" s="2" t="s">
        <v>2431</v>
      </c>
      <c r="B4" s="3">
        <v>1.9</v>
      </c>
      <c r="D4" s="5" t="s">
        <v>6156</v>
      </c>
      <c r="E4" s="6">
        <v>8.6999999999999993</v>
      </c>
    </row>
    <row r="5" spans="1:5" ht="15.75" x14ac:dyDescent="0.25">
      <c r="A5" s="2" t="s">
        <v>5047</v>
      </c>
      <c r="B5" s="3">
        <v>6.7</v>
      </c>
      <c r="D5" s="5" t="s">
        <v>367</v>
      </c>
      <c r="E5" s="6">
        <v>8.6</v>
      </c>
    </row>
    <row r="6" spans="1:5" ht="15.75" x14ac:dyDescent="0.25">
      <c r="A6" s="2" t="s">
        <v>2132</v>
      </c>
      <c r="B6" s="3">
        <v>6.6</v>
      </c>
      <c r="D6" s="5" t="s">
        <v>2643</v>
      </c>
      <c r="E6" s="6">
        <v>8.6999999999999993</v>
      </c>
    </row>
    <row r="7" spans="1:5" ht="15.75" x14ac:dyDescent="0.25">
      <c r="A7" s="2" t="s">
        <v>2561</v>
      </c>
      <c r="B7" s="3">
        <v>4.3</v>
      </c>
      <c r="D7" s="5" t="s">
        <v>6271</v>
      </c>
      <c r="E7" s="6">
        <v>8.6</v>
      </c>
    </row>
    <row r="8" spans="1:5" ht="15.75" x14ac:dyDescent="0.25">
      <c r="A8" s="2" t="s">
        <v>6712</v>
      </c>
      <c r="B8" s="3">
        <v>6.1</v>
      </c>
      <c r="D8" s="5" t="s">
        <v>129</v>
      </c>
      <c r="E8" s="6">
        <v>8.6999999999999993</v>
      </c>
    </row>
    <row r="9" spans="1:5" ht="15.75" x14ac:dyDescent="0.25">
      <c r="A9" s="2" t="s">
        <v>1459</v>
      </c>
      <c r="B9" s="3">
        <v>6</v>
      </c>
      <c r="D9" s="5" t="s">
        <v>3315</v>
      </c>
      <c r="E9" s="6">
        <v>8.6999999999999993</v>
      </c>
    </row>
    <row r="10" spans="1:5" ht="15.75" x14ac:dyDescent="0.25">
      <c r="A10" s="2" t="s">
        <v>4786</v>
      </c>
      <c r="B10" s="3">
        <v>7.1</v>
      </c>
      <c r="D10" s="5" t="s">
        <v>380</v>
      </c>
      <c r="E10" s="6">
        <v>8.75</v>
      </c>
    </row>
    <row r="11" spans="1:5" ht="15.75" x14ac:dyDescent="0.25">
      <c r="A11" s="2" t="s">
        <v>1195</v>
      </c>
      <c r="B11" s="3">
        <v>2.7</v>
      </c>
      <c r="D11" s="5" t="s">
        <v>2134</v>
      </c>
      <c r="E11" s="6">
        <v>8.6</v>
      </c>
    </row>
    <row r="12" spans="1:5" ht="15.75" x14ac:dyDescent="0.25">
      <c r="A12" s="2" t="s">
        <v>5743</v>
      </c>
      <c r="B12" s="3">
        <v>6.6</v>
      </c>
      <c r="D12" s="5" t="s">
        <v>3571</v>
      </c>
      <c r="E12" s="6">
        <v>9.3000000000000007</v>
      </c>
    </row>
    <row r="13" spans="1:5" ht="15.75" x14ac:dyDescent="0.25">
      <c r="A13" s="2" t="s">
        <v>3402</v>
      </c>
      <c r="B13" s="3">
        <v>7.2</v>
      </c>
      <c r="D13" s="5" t="s">
        <v>4341</v>
      </c>
      <c r="E13" s="6">
        <v>8.6</v>
      </c>
    </row>
    <row r="14" spans="1:5" ht="15.75" x14ac:dyDescent="0.25">
      <c r="A14" s="2" t="s">
        <v>6372</v>
      </c>
      <c r="B14" s="3">
        <v>6.1</v>
      </c>
      <c r="D14" s="5" t="s">
        <v>1323</v>
      </c>
      <c r="E14" s="6">
        <v>9.5</v>
      </c>
    </row>
    <row r="15" spans="1:5" ht="15.75" x14ac:dyDescent="0.25">
      <c r="A15" s="2" t="s">
        <v>6722</v>
      </c>
      <c r="B15" s="3">
        <v>5.4</v>
      </c>
      <c r="D15" s="5" t="s">
        <v>1722</v>
      </c>
      <c r="E15" s="6">
        <v>9.1</v>
      </c>
    </row>
    <row r="16" spans="1:5" ht="15.75" x14ac:dyDescent="0.25">
      <c r="A16" s="2" t="s">
        <v>2339</v>
      </c>
      <c r="B16" s="3">
        <v>5.7</v>
      </c>
      <c r="D16" s="5" t="s">
        <v>1988</v>
      </c>
      <c r="E16" s="6">
        <v>8.6</v>
      </c>
    </row>
    <row r="17" spans="1:5" ht="15.75" x14ac:dyDescent="0.25">
      <c r="A17" s="2" t="s">
        <v>1488</v>
      </c>
      <c r="B17" s="3">
        <v>3.8</v>
      </c>
      <c r="D17" s="5" t="s">
        <v>2017</v>
      </c>
      <c r="E17" s="6">
        <v>8.6</v>
      </c>
    </row>
    <row r="18" spans="1:5" ht="15.75" x14ac:dyDescent="0.25">
      <c r="A18" s="2" t="s">
        <v>4278</v>
      </c>
      <c r="B18" s="3">
        <v>4.3</v>
      </c>
      <c r="D18" s="5" t="s">
        <v>1475</v>
      </c>
      <c r="E18" s="6">
        <v>8.6999999999999993</v>
      </c>
    </row>
    <row r="19" spans="1:5" ht="15.75" x14ac:dyDescent="0.25">
      <c r="A19" s="2" t="s">
        <v>168</v>
      </c>
      <c r="B19" s="3">
        <v>7.0500000000000007</v>
      </c>
      <c r="D19" s="5" t="s">
        <v>62</v>
      </c>
      <c r="E19" s="6">
        <v>8.65</v>
      </c>
    </row>
    <row r="20" spans="1:5" ht="15.75" x14ac:dyDescent="0.25">
      <c r="A20" s="2" t="s">
        <v>6379</v>
      </c>
      <c r="B20" s="3">
        <v>6.4</v>
      </c>
      <c r="D20" s="5" t="s">
        <v>2365</v>
      </c>
      <c r="E20" s="6">
        <v>8.6999999999999993</v>
      </c>
    </row>
    <row r="21" spans="1:5" ht="15.75" x14ac:dyDescent="0.25">
      <c r="A21" s="2" t="s">
        <v>2622</v>
      </c>
      <c r="B21" s="3">
        <v>6.5</v>
      </c>
      <c r="D21" s="5" t="s">
        <v>1996</v>
      </c>
      <c r="E21" s="6">
        <v>8.6300000000000008</v>
      </c>
    </row>
    <row r="22" spans="1:5" ht="15.75" x14ac:dyDescent="0.25">
      <c r="A22" s="2" t="s">
        <v>32</v>
      </c>
      <c r="B22" s="3">
        <v>6</v>
      </c>
      <c r="D22" s="5" t="s">
        <v>1011</v>
      </c>
      <c r="E22" s="6">
        <v>8.9</v>
      </c>
    </row>
    <row r="23" spans="1:5" ht="15.75" x14ac:dyDescent="0.25">
      <c r="A23" s="2" t="s">
        <v>212</v>
      </c>
      <c r="B23" s="3">
        <v>6.2333333333333343</v>
      </c>
      <c r="D23" s="5" t="s">
        <v>196</v>
      </c>
      <c r="E23" s="6">
        <v>8.9</v>
      </c>
    </row>
    <row r="24" spans="1:5" x14ac:dyDescent="0.25">
      <c r="A24" s="2" t="s">
        <v>4062</v>
      </c>
      <c r="B24" s="3">
        <v>7.1</v>
      </c>
    </row>
    <row r="25" spans="1:5" x14ac:dyDescent="0.25">
      <c r="A25" s="2" t="s">
        <v>6095</v>
      </c>
      <c r="B25" s="3">
        <v>6.8</v>
      </c>
    </row>
    <row r="26" spans="1:5" x14ac:dyDescent="0.25">
      <c r="A26" s="2" t="s">
        <v>6368</v>
      </c>
      <c r="B26" s="3">
        <v>5.9</v>
      </c>
    </row>
    <row r="27" spans="1:5" x14ac:dyDescent="0.25">
      <c r="A27" s="2" t="s">
        <v>1657</v>
      </c>
      <c r="B27" s="3">
        <v>6.1</v>
      </c>
    </row>
    <row r="28" spans="1:5" x14ac:dyDescent="0.25">
      <c r="A28" s="2" t="s">
        <v>5943</v>
      </c>
      <c r="B28" s="3">
        <v>7.2</v>
      </c>
    </row>
    <row r="29" spans="1:5" x14ac:dyDescent="0.25">
      <c r="A29" s="2" t="s">
        <v>6156</v>
      </c>
      <c r="B29" s="3">
        <v>8.1</v>
      </c>
    </row>
    <row r="30" spans="1:5" x14ac:dyDescent="0.25">
      <c r="A30" s="2" t="s">
        <v>6580</v>
      </c>
      <c r="B30" s="3">
        <v>6.2</v>
      </c>
    </row>
    <row r="31" spans="1:5" x14ac:dyDescent="0.25">
      <c r="A31" s="2" t="s">
        <v>3279</v>
      </c>
      <c r="B31" s="3">
        <v>6.0333333333333341</v>
      </c>
    </row>
    <row r="32" spans="1:5" x14ac:dyDescent="0.25">
      <c r="A32" s="2" t="s">
        <v>2601</v>
      </c>
      <c r="B32" s="3">
        <v>4.3</v>
      </c>
    </row>
    <row r="33" spans="1:2" x14ac:dyDescent="0.25">
      <c r="A33" s="2" t="s">
        <v>2676</v>
      </c>
      <c r="B33" s="3">
        <v>4</v>
      </c>
    </row>
    <row r="34" spans="1:2" x14ac:dyDescent="0.25">
      <c r="A34" s="2" t="s">
        <v>6057</v>
      </c>
      <c r="B34" s="3">
        <v>6.3</v>
      </c>
    </row>
    <row r="35" spans="1:2" x14ac:dyDescent="0.25">
      <c r="A35" s="2" t="s">
        <v>1374</v>
      </c>
      <c r="B35" s="3">
        <v>7.2</v>
      </c>
    </row>
    <row r="36" spans="1:2" x14ac:dyDescent="0.25">
      <c r="A36" s="2" t="s">
        <v>4345</v>
      </c>
      <c r="B36" s="3">
        <v>6</v>
      </c>
    </row>
    <row r="37" spans="1:2" x14ac:dyDescent="0.25">
      <c r="A37" s="2" t="s">
        <v>162</v>
      </c>
      <c r="B37" s="3">
        <v>6.3</v>
      </c>
    </row>
    <row r="38" spans="1:2" x14ac:dyDescent="0.25">
      <c r="A38" s="2" t="s">
        <v>1419</v>
      </c>
      <c r="B38" s="3">
        <v>7.3</v>
      </c>
    </row>
    <row r="39" spans="1:2" x14ac:dyDescent="0.25">
      <c r="A39" s="2" t="s">
        <v>6324</v>
      </c>
      <c r="B39" s="3">
        <v>3.3</v>
      </c>
    </row>
    <row r="40" spans="1:2" x14ac:dyDescent="0.25">
      <c r="A40" s="2" t="s">
        <v>1169</v>
      </c>
      <c r="B40" s="3">
        <v>7.0333333333333341</v>
      </c>
    </row>
    <row r="41" spans="1:2" x14ac:dyDescent="0.25">
      <c r="A41" s="2" t="s">
        <v>3139</v>
      </c>
      <c r="B41" s="3">
        <v>5.3</v>
      </c>
    </row>
    <row r="42" spans="1:2" x14ac:dyDescent="0.25">
      <c r="A42" s="2" t="s">
        <v>6255</v>
      </c>
      <c r="B42" s="3">
        <v>4.5999999999999996</v>
      </c>
    </row>
    <row r="43" spans="1:2" x14ac:dyDescent="0.25">
      <c r="A43" s="2" t="s">
        <v>4012</v>
      </c>
      <c r="B43" s="3">
        <v>5.2</v>
      </c>
    </row>
    <row r="44" spans="1:2" x14ac:dyDescent="0.25">
      <c r="A44" s="2" t="s">
        <v>1298</v>
      </c>
      <c r="B44" s="3">
        <v>6.2</v>
      </c>
    </row>
    <row r="45" spans="1:2" x14ac:dyDescent="0.25">
      <c r="A45" s="2" t="s">
        <v>4617</v>
      </c>
      <c r="B45" s="3">
        <v>5.6</v>
      </c>
    </row>
    <row r="46" spans="1:2" x14ac:dyDescent="0.25">
      <c r="A46" s="2" t="s">
        <v>214</v>
      </c>
      <c r="B46" s="3">
        <v>7.0666666666666664</v>
      </c>
    </row>
    <row r="47" spans="1:2" x14ac:dyDescent="0.25">
      <c r="A47" s="2" t="s">
        <v>2555</v>
      </c>
      <c r="B47" s="3">
        <v>4.3</v>
      </c>
    </row>
    <row r="48" spans="1:2" x14ac:dyDescent="0.25">
      <c r="A48" s="2" t="s">
        <v>1059</v>
      </c>
      <c r="B48" s="3">
        <v>6.8</v>
      </c>
    </row>
    <row r="49" spans="1:2" x14ac:dyDescent="0.25">
      <c r="A49" s="2" t="s">
        <v>194</v>
      </c>
      <c r="B49" s="3">
        <v>7.1499999999999995</v>
      </c>
    </row>
    <row r="50" spans="1:2" x14ac:dyDescent="0.25">
      <c r="A50" s="2" t="s">
        <v>2940</v>
      </c>
      <c r="B50" s="3">
        <v>7.7200000000000006</v>
      </c>
    </row>
    <row r="51" spans="1:2" x14ac:dyDescent="0.25">
      <c r="A51" s="2" t="s">
        <v>4854</v>
      </c>
      <c r="B51" s="3">
        <v>7.4</v>
      </c>
    </row>
    <row r="52" spans="1:2" x14ac:dyDescent="0.25">
      <c r="A52" s="2" t="s">
        <v>2074</v>
      </c>
      <c r="B52" s="3">
        <v>7.5</v>
      </c>
    </row>
    <row r="53" spans="1:2" x14ac:dyDescent="0.25">
      <c r="A53" s="2" t="s">
        <v>1940</v>
      </c>
      <c r="B53" s="3">
        <v>6.7</v>
      </c>
    </row>
    <row r="54" spans="1:2" x14ac:dyDescent="0.25">
      <c r="A54" s="2" t="s">
        <v>2335</v>
      </c>
      <c r="B54" s="3">
        <v>6.9</v>
      </c>
    </row>
    <row r="55" spans="1:2" x14ac:dyDescent="0.25">
      <c r="A55" s="2" t="s">
        <v>6734</v>
      </c>
      <c r="B55" s="3">
        <v>4.5999999999999996</v>
      </c>
    </row>
    <row r="56" spans="1:2" x14ac:dyDescent="0.25">
      <c r="A56" s="2" t="s">
        <v>3729</v>
      </c>
      <c r="B56" s="3">
        <v>7.7</v>
      </c>
    </row>
    <row r="57" spans="1:2" x14ac:dyDescent="0.25">
      <c r="A57" s="2" t="s">
        <v>6151</v>
      </c>
      <c r="B57" s="3">
        <v>7.7</v>
      </c>
    </row>
    <row r="58" spans="1:2" x14ac:dyDescent="0.25">
      <c r="A58" s="2" t="s">
        <v>2726</v>
      </c>
      <c r="B58" s="3">
        <v>6.7749999999999995</v>
      </c>
    </row>
    <row r="59" spans="1:2" x14ac:dyDescent="0.25">
      <c r="A59" s="2" t="s">
        <v>439</v>
      </c>
      <c r="B59" s="3">
        <v>7.166666666666667</v>
      </c>
    </row>
    <row r="60" spans="1:2" x14ac:dyDescent="0.25">
      <c r="A60" s="2" t="s">
        <v>2296</v>
      </c>
      <c r="B60" s="3">
        <v>4.8</v>
      </c>
    </row>
    <row r="61" spans="1:2" x14ac:dyDescent="0.25">
      <c r="A61" s="2" t="s">
        <v>6436</v>
      </c>
      <c r="B61" s="3">
        <v>5.9</v>
      </c>
    </row>
    <row r="62" spans="1:2" x14ac:dyDescent="0.25">
      <c r="A62" s="2" t="s">
        <v>6638</v>
      </c>
      <c r="B62" s="3">
        <v>6.1</v>
      </c>
    </row>
    <row r="63" spans="1:2" x14ac:dyDescent="0.25">
      <c r="A63" s="2" t="s">
        <v>2198</v>
      </c>
      <c r="B63" s="3">
        <v>7</v>
      </c>
    </row>
    <row r="64" spans="1:2" x14ac:dyDescent="0.25">
      <c r="A64" s="2" t="s">
        <v>6127</v>
      </c>
      <c r="B64" s="3">
        <v>2.2999999999999998</v>
      </c>
    </row>
    <row r="65" spans="1:2" x14ac:dyDescent="0.25">
      <c r="A65" s="2" t="s">
        <v>375</v>
      </c>
      <c r="B65" s="3">
        <v>7.42</v>
      </c>
    </row>
    <row r="66" spans="1:2" x14ac:dyDescent="0.25">
      <c r="A66" s="2" t="s">
        <v>1132</v>
      </c>
      <c r="B66" s="3">
        <v>6.2</v>
      </c>
    </row>
    <row r="67" spans="1:2" x14ac:dyDescent="0.25">
      <c r="A67" s="2" t="s">
        <v>2962</v>
      </c>
      <c r="B67" s="3">
        <v>6.2250000000000005</v>
      </c>
    </row>
    <row r="68" spans="1:2" x14ac:dyDescent="0.25">
      <c r="A68" s="2" t="s">
        <v>3232</v>
      </c>
      <c r="B68" s="3">
        <v>7.8000000000000007</v>
      </c>
    </row>
    <row r="69" spans="1:2" x14ac:dyDescent="0.25">
      <c r="A69" s="2" t="s">
        <v>1972</v>
      </c>
      <c r="B69" s="3">
        <v>7.35</v>
      </c>
    </row>
    <row r="70" spans="1:2" x14ac:dyDescent="0.25">
      <c r="A70" s="2" t="s">
        <v>5758</v>
      </c>
      <c r="B70" s="3">
        <v>7.6</v>
      </c>
    </row>
    <row r="71" spans="1:2" x14ac:dyDescent="0.25">
      <c r="A71" s="2" t="s">
        <v>5730</v>
      </c>
      <c r="B71" s="3">
        <v>7</v>
      </c>
    </row>
    <row r="72" spans="1:2" x14ac:dyDescent="0.25">
      <c r="A72" s="2" t="s">
        <v>3839</v>
      </c>
      <c r="B72" s="3">
        <v>5.9</v>
      </c>
    </row>
    <row r="73" spans="1:2" x14ac:dyDescent="0.25">
      <c r="A73" s="2" t="s">
        <v>1826</v>
      </c>
      <c r="B73" s="3">
        <v>4.2</v>
      </c>
    </row>
    <row r="74" spans="1:2" x14ac:dyDescent="0.25">
      <c r="A74" s="2" t="s">
        <v>2424</v>
      </c>
      <c r="B74" s="3">
        <v>7.2</v>
      </c>
    </row>
    <row r="75" spans="1:2" x14ac:dyDescent="0.25">
      <c r="A75" s="2" t="s">
        <v>4066</v>
      </c>
      <c r="B75" s="3">
        <v>7.2</v>
      </c>
    </row>
    <row r="76" spans="1:2" x14ac:dyDescent="0.25">
      <c r="A76" s="2" t="s">
        <v>4026</v>
      </c>
      <c r="B76" s="3">
        <v>6.2</v>
      </c>
    </row>
    <row r="77" spans="1:2" x14ac:dyDescent="0.25">
      <c r="A77" s="2" t="s">
        <v>5270</v>
      </c>
      <c r="B77" s="3">
        <v>6.4</v>
      </c>
    </row>
    <row r="78" spans="1:2" x14ac:dyDescent="0.25">
      <c r="A78" s="2" t="s">
        <v>2481</v>
      </c>
      <c r="B78" s="3">
        <v>6</v>
      </c>
    </row>
    <row r="79" spans="1:2" x14ac:dyDescent="0.25">
      <c r="A79" s="2" t="s">
        <v>2658</v>
      </c>
      <c r="B79" s="3">
        <v>8.1999999999999993</v>
      </c>
    </row>
    <row r="80" spans="1:2" x14ac:dyDescent="0.25">
      <c r="A80" s="2" t="s">
        <v>2104</v>
      </c>
      <c r="B80" s="3">
        <v>6.1</v>
      </c>
    </row>
    <row r="81" spans="1:2" x14ac:dyDescent="0.25">
      <c r="A81" s="2" t="s">
        <v>2433</v>
      </c>
      <c r="B81" s="3">
        <v>6.8</v>
      </c>
    </row>
    <row r="82" spans="1:2" x14ac:dyDescent="0.25">
      <c r="A82" s="2" t="s">
        <v>923</v>
      </c>
      <c r="B82" s="3">
        <v>6.1</v>
      </c>
    </row>
    <row r="83" spans="1:2" x14ac:dyDescent="0.25">
      <c r="A83" s="2" t="s">
        <v>2525</v>
      </c>
      <c r="B83" s="3">
        <v>6.1</v>
      </c>
    </row>
    <row r="84" spans="1:2" x14ac:dyDescent="0.25">
      <c r="A84" s="2" t="s">
        <v>2033</v>
      </c>
      <c r="B84" s="3">
        <v>6.2</v>
      </c>
    </row>
    <row r="85" spans="1:2" x14ac:dyDescent="0.25">
      <c r="A85" s="2" t="s">
        <v>4713</v>
      </c>
      <c r="B85" s="3">
        <v>6.5666666666666673</v>
      </c>
    </row>
    <row r="86" spans="1:2" x14ac:dyDescent="0.25">
      <c r="A86" s="2" t="s">
        <v>6166</v>
      </c>
      <c r="B86" s="3">
        <v>7</v>
      </c>
    </row>
    <row r="87" spans="1:2" x14ac:dyDescent="0.25">
      <c r="A87" s="2" t="s">
        <v>6719</v>
      </c>
      <c r="B87" s="3">
        <v>6</v>
      </c>
    </row>
    <row r="88" spans="1:2" x14ac:dyDescent="0.25">
      <c r="A88" s="2" t="s">
        <v>1899</v>
      </c>
      <c r="B88" s="3">
        <v>4.4000000000000004</v>
      </c>
    </row>
    <row r="89" spans="1:2" x14ac:dyDescent="0.25">
      <c r="A89" s="2" t="s">
        <v>587</v>
      </c>
      <c r="B89" s="3">
        <v>6.2</v>
      </c>
    </row>
    <row r="90" spans="1:2" x14ac:dyDescent="0.25">
      <c r="A90" s="2" t="s">
        <v>6087</v>
      </c>
      <c r="B90" s="3">
        <v>7.3</v>
      </c>
    </row>
    <row r="91" spans="1:2" x14ac:dyDescent="0.25">
      <c r="A91" s="2" t="s">
        <v>6370</v>
      </c>
      <c r="B91" s="3">
        <v>6.6</v>
      </c>
    </row>
    <row r="92" spans="1:2" x14ac:dyDescent="0.25">
      <c r="A92" s="2" t="s">
        <v>2411</v>
      </c>
      <c r="B92" s="3">
        <v>8.1</v>
      </c>
    </row>
    <row r="93" spans="1:2" x14ac:dyDescent="0.25">
      <c r="A93" s="2" t="s">
        <v>4562</v>
      </c>
      <c r="B93" s="3">
        <v>6.8</v>
      </c>
    </row>
    <row r="94" spans="1:2" x14ac:dyDescent="0.25">
      <c r="A94" s="2" t="s">
        <v>2663</v>
      </c>
      <c r="B94" s="3">
        <v>6.6</v>
      </c>
    </row>
    <row r="95" spans="1:2" x14ac:dyDescent="0.25">
      <c r="A95" s="2" t="s">
        <v>3350</v>
      </c>
      <c r="B95" s="3">
        <v>4.8</v>
      </c>
    </row>
    <row r="96" spans="1:2" x14ac:dyDescent="0.25">
      <c r="A96" s="2" t="s">
        <v>1572</v>
      </c>
      <c r="B96" s="3">
        <v>6.65</v>
      </c>
    </row>
    <row r="97" spans="1:2" x14ac:dyDescent="0.25">
      <c r="A97" s="2" t="s">
        <v>6139</v>
      </c>
      <c r="B97" s="3">
        <v>6.8</v>
      </c>
    </row>
    <row r="98" spans="1:2" x14ac:dyDescent="0.25">
      <c r="A98" s="2" t="s">
        <v>666</v>
      </c>
      <c r="B98" s="3">
        <v>6.0666666666666664</v>
      </c>
    </row>
    <row r="99" spans="1:2" x14ac:dyDescent="0.25">
      <c r="A99" s="2" t="s">
        <v>4358</v>
      </c>
      <c r="B99" s="3">
        <v>6.85</v>
      </c>
    </row>
    <row r="100" spans="1:2" x14ac:dyDescent="0.25">
      <c r="A100" s="2" t="s">
        <v>740</v>
      </c>
      <c r="B100" s="3">
        <v>6</v>
      </c>
    </row>
    <row r="101" spans="1:2" x14ac:dyDescent="0.25">
      <c r="A101" s="2" t="s">
        <v>4700</v>
      </c>
      <c r="B101" s="3">
        <v>6.1</v>
      </c>
    </row>
    <row r="102" spans="1:2" x14ac:dyDescent="0.25">
      <c r="A102" s="2" t="s">
        <v>3713</v>
      </c>
      <c r="B102" s="3">
        <v>6.15</v>
      </c>
    </row>
    <row r="103" spans="1:2" x14ac:dyDescent="0.25">
      <c r="A103" s="2" t="s">
        <v>6018</v>
      </c>
      <c r="B103" s="3">
        <v>7.7</v>
      </c>
    </row>
    <row r="104" spans="1:2" x14ac:dyDescent="0.25">
      <c r="A104" s="2" t="s">
        <v>2613</v>
      </c>
      <c r="B104" s="3">
        <v>4.4000000000000004</v>
      </c>
    </row>
    <row r="105" spans="1:2" x14ac:dyDescent="0.25">
      <c r="A105" s="2" t="s">
        <v>5961</v>
      </c>
      <c r="B105" s="3">
        <v>6.3</v>
      </c>
    </row>
    <row r="106" spans="1:2" x14ac:dyDescent="0.25">
      <c r="A106" s="2" t="s">
        <v>2704</v>
      </c>
      <c r="B106" s="3">
        <v>7.3</v>
      </c>
    </row>
    <row r="107" spans="1:2" x14ac:dyDescent="0.25">
      <c r="A107" s="2" t="s">
        <v>4443</v>
      </c>
      <c r="B107" s="3">
        <v>4.3</v>
      </c>
    </row>
    <row r="108" spans="1:2" x14ac:dyDescent="0.25">
      <c r="A108" s="2" t="s">
        <v>3135</v>
      </c>
      <c r="B108" s="3">
        <v>6.8800000000000008</v>
      </c>
    </row>
    <row r="109" spans="1:2" x14ac:dyDescent="0.25">
      <c r="A109" s="2" t="s">
        <v>2409</v>
      </c>
      <c r="B109" s="3">
        <v>7</v>
      </c>
    </row>
    <row r="110" spans="1:2" x14ac:dyDescent="0.25">
      <c r="A110" s="2" t="s">
        <v>1347</v>
      </c>
      <c r="B110" s="3">
        <v>5.8</v>
      </c>
    </row>
    <row r="111" spans="1:2" x14ac:dyDescent="0.25">
      <c r="A111" s="2" t="s">
        <v>6320</v>
      </c>
      <c r="B111" s="3">
        <v>5.5</v>
      </c>
    </row>
    <row r="112" spans="1:2" x14ac:dyDescent="0.25">
      <c r="A112" s="2" t="s">
        <v>759</v>
      </c>
      <c r="B112" s="3">
        <v>5.35</v>
      </c>
    </row>
    <row r="113" spans="1:2" x14ac:dyDescent="0.25">
      <c r="A113" s="2" t="s">
        <v>6005</v>
      </c>
      <c r="B113" s="3">
        <v>8</v>
      </c>
    </row>
    <row r="114" spans="1:2" x14ac:dyDescent="0.25">
      <c r="A114" s="2" t="s">
        <v>1920</v>
      </c>
      <c r="B114" s="3">
        <v>7.5</v>
      </c>
    </row>
    <row r="115" spans="1:2" x14ac:dyDescent="0.25">
      <c r="A115" s="2" t="s">
        <v>946</v>
      </c>
      <c r="B115" s="3">
        <v>5.26</v>
      </c>
    </row>
    <row r="116" spans="1:2" x14ac:dyDescent="0.25">
      <c r="A116" s="2" t="s">
        <v>4575</v>
      </c>
      <c r="B116" s="3">
        <v>6.1</v>
      </c>
    </row>
    <row r="117" spans="1:2" x14ac:dyDescent="0.25">
      <c r="A117" s="2" t="s">
        <v>270</v>
      </c>
      <c r="B117" s="3">
        <v>5.7666666666666666</v>
      </c>
    </row>
    <row r="118" spans="1:2" x14ac:dyDescent="0.25">
      <c r="A118" s="2" t="s">
        <v>5532</v>
      </c>
      <c r="B118" s="3">
        <v>6.7</v>
      </c>
    </row>
    <row r="119" spans="1:2" x14ac:dyDescent="0.25">
      <c r="A119" s="2" t="s">
        <v>621</v>
      </c>
      <c r="B119" s="3">
        <v>6.2</v>
      </c>
    </row>
    <row r="120" spans="1:2" x14ac:dyDescent="0.25">
      <c r="A120" s="2" t="s">
        <v>369</v>
      </c>
      <c r="B120" s="3">
        <v>7.2799999999999994</v>
      </c>
    </row>
    <row r="121" spans="1:2" x14ac:dyDescent="0.25">
      <c r="A121" s="2" t="s">
        <v>708</v>
      </c>
      <c r="B121" s="3">
        <v>5</v>
      </c>
    </row>
    <row r="122" spans="1:2" x14ac:dyDescent="0.25">
      <c r="A122" s="2" t="s">
        <v>5989</v>
      </c>
      <c r="B122" s="3">
        <v>4.8</v>
      </c>
    </row>
    <row r="123" spans="1:2" x14ac:dyDescent="0.25">
      <c r="A123" s="2" t="s">
        <v>5573</v>
      </c>
      <c r="B123" s="3">
        <v>7</v>
      </c>
    </row>
    <row r="124" spans="1:2" x14ac:dyDescent="0.25">
      <c r="A124" s="2" t="s">
        <v>5039</v>
      </c>
      <c r="B124" s="3">
        <v>7.2</v>
      </c>
    </row>
    <row r="125" spans="1:2" x14ac:dyDescent="0.25">
      <c r="A125" s="2" t="s">
        <v>2511</v>
      </c>
      <c r="B125" s="3">
        <v>5.3</v>
      </c>
    </row>
    <row r="126" spans="1:2" x14ac:dyDescent="0.25">
      <c r="A126" s="2" t="s">
        <v>6082</v>
      </c>
      <c r="B126" s="3">
        <v>7.9</v>
      </c>
    </row>
    <row r="127" spans="1:2" x14ac:dyDescent="0.25">
      <c r="A127" s="2" t="s">
        <v>3960</v>
      </c>
      <c r="B127" s="3">
        <v>4</v>
      </c>
    </row>
    <row r="128" spans="1:2" x14ac:dyDescent="0.25">
      <c r="A128" s="2" t="s">
        <v>480</v>
      </c>
      <c r="B128" s="3">
        <v>5.875</v>
      </c>
    </row>
    <row r="129" spans="1:2" x14ac:dyDescent="0.25">
      <c r="A129" s="2" t="s">
        <v>5064</v>
      </c>
      <c r="B129" s="3">
        <v>6.45</v>
      </c>
    </row>
    <row r="130" spans="1:2" x14ac:dyDescent="0.25">
      <c r="A130" s="2" t="s">
        <v>3754</v>
      </c>
      <c r="B130" s="3">
        <v>5.3</v>
      </c>
    </row>
    <row r="131" spans="1:2" x14ac:dyDescent="0.25">
      <c r="A131" s="2" t="s">
        <v>2414</v>
      </c>
      <c r="B131" s="3">
        <v>3.3</v>
      </c>
    </row>
    <row r="132" spans="1:2" x14ac:dyDescent="0.25">
      <c r="A132" s="2" t="s">
        <v>1172</v>
      </c>
      <c r="B132" s="3">
        <v>5.9</v>
      </c>
    </row>
    <row r="133" spans="1:2" x14ac:dyDescent="0.25">
      <c r="A133" s="2" t="s">
        <v>5333</v>
      </c>
      <c r="B133" s="3">
        <v>5.3</v>
      </c>
    </row>
    <row r="134" spans="1:2" x14ac:dyDescent="0.25">
      <c r="A134" s="2" t="s">
        <v>1698</v>
      </c>
      <c r="B134" s="3">
        <v>6.7</v>
      </c>
    </row>
    <row r="135" spans="1:2" x14ac:dyDescent="0.25">
      <c r="A135" s="2" t="s">
        <v>202</v>
      </c>
      <c r="B135" s="3">
        <v>7.3</v>
      </c>
    </row>
    <row r="136" spans="1:2" x14ac:dyDescent="0.25">
      <c r="A136" s="2" t="s">
        <v>2248</v>
      </c>
      <c r="B136" s="3">
        <v>5.5</v>
      </c>
    </row>
    <row r="137" spans="1:2" x14ac:dyDescent="0.25">
      <c r="A137" s="2" t="s">
        <v>6144</v>
      </c>
      <c r="B137" s="3">
        <v>7.6</v>
      </c>
    </row>
    <row r="138" spans="1:2" x14ac:dyDescent="0.25">
      <c r="A138" s="2" t="s">
        <v>510</v>
      </c>
      <c r="B138" s="3">
        <v>6</v>
      </c>
    </row>
    <row r="139" spans="1:2" x14ac:dyDescent="0.25">
      <c r="A139" s="2" t="s">
        <v>1689</v>
      </c>
      <c r="B139" s="3">
        <v>5.8</v>
      </c>
    </row>
    <row r="140" spans="1:2" x14ac:dyDescent="0.25">
      <c r="A140" s="2" t="s">
        <v>2740</v>
      </c>
      <c r="B140" s="3">
        <v>7.8</v>
      </c>
    </row>
    <row r="141" spans="1:2" x14ac:dyDescent="0.25">
      <c r="A141" s="2" t="s">
        <v>147</v>
      </c>
      <c r="B141" s="3">
        <v>6.9375000000000009</v>
      </c>
    </row>
    <row r="142" spans="1:2" x14ac:dyDescent="0.25">
      <c r="A142" s="2" t="s">
        <v>3219</v>
      </c>
      <c r="B142" s="3">
        <v>6.9333333333333336</v>
      </c>
    </row>
    <row r="143" spans="1:2" x14ac:dyDescent="0.25">
      <c r="A143" s="2" t="s">
        <v>5608</v>
      </c>
      <c r="B143" s="3">
        <v>7.1</v>
      </c>
    </row>
    <row r="144" spans="1:2" x14ac:dyDescent="0.25">
      <c r="A144" s="2" t="s">
        <v>5631</v>
      </c>
      <c r="B144" s="3">
        <v>6.3</v>
      </c>
    </row>
    <row r="145" spans="1:2" x14ac:dyDescent="0.25">
      <c r="A145" s="2" t="s">
        <v>2117</v>
      </c>
      <c r="B145" s="3">
        <v>3.1</v>
      </c>
    </row>
    <row r="146" spans="1:2" x14ac:dyDescent="0.25">
      <c r="A146" s="2" t="s">
        <v>4164</v>
      </c>
      <c r="B146" s="3">
        <v>5.7</v>
      </c>
    </row>
    <row r="147" spans="1:2" x14ac:dyDescent="0.25">
      <c r="A147" s="2" t="s">
        <v>5564</v>
      </c>
      <c r="B147" s="3">
        <v>8</v>
      </c>
    </row>
    <row r="148" spans="1:2" x14ac:dyDescent="0.25">
      <c r="A148" s="2" t="s">
        <v>6560</v>
      </c>
      <c r="B148" s="3">
        <v>5.8</v>
      </c>
    </row>
    <row r="149" spans="1:2" x14ac:dyDescent="0.25">
      <c r="A149" s="2" t="s">
        <v>3292</v>
      </c>
      <c r="B149" s="3">
        <v>6.5</v>
      </c>
    </row>
    <row r="150" spans="1:2" x14ac:dyDescent="0.25">
      <c r="A150" s="2" t="s">
        <v>6493</v>
      </c>
      <c r="B150" s="3">
        <v>7</v>
      </c>
    </row>
    <row r="151" spans="1:2" x14ac:dyDescent="0.25">
      <c r="A151" s="2" t="s">
        <v>4405</v>
      </c>
      <c r="B151" s="3">
        <v>6.6</v>
      </c>
    </row>
    <row r="152" spans="1:2" x14ac:dyDescent="0.25">
      <c r="A152" s="2" t="s">
        <v>6392</v>
      </c>
      <c r="B152" s="3">
        <v>3.3</v>
      </c>
    </row>
    <row r="153" spans="1:2" x14ac:dyDescent="0.25">
      <c r="A153" s="2" t="s">
        <v>6624</v>
      </c>
      <c r="B153" s="3">
        <v>3.5</v>
      </c>
    </row>
    <row r="154" spans="1:2" x14ac:dyDescent="0.25">
      <c r="A154" s="2" t="s">
        <v>4092</v>
      </c>
      <c r="B154" s="3">
        <v>6.6</v>
      </c>
    </row>
    <row r="155" spans="1:2" x14ac:dyDescent="0.25">
      <c r="A155" s="2" t="s">
        <v>4949</v>
      </c>
      <c r="B155" s="3">
        <v>8.4</v>
      </c>
    </row>
    <row r="156" spans="1:2" x14ac:dyDescent="0.25">
      <c r="A156" s="2" t="s">
        <v>1581</v>
      </c>
      <c r="B156" s="3">
        <v>6.4</v>
      </c>
    </row>
    <row r="157" spans="1:2" x14ac:dyDescent="0.25">
      <c r="A157" s="2" t="s">
        <v>6097</v>
      </c>
      <c r="B157" s="3">
        <v>4.3</v>
      </c>
    </row>
    <row r="158" spans="1:2" x14ac:dyDescent="0.25">
      <c r="A158" s="2" t="s">
        <v>5167</v>
      </c>
      <c r="B158" s="3">
        <v>6.8833333333333329</v>
      </c>
    </row>
    <row r="159" spans="1:2" x14ac:dyDescent="0.25">
      <c r="A159" s="2" t="s">
        <v>2895</v>
      </c>
      <c r="B159" s="3">
        <v>6.7</v>
      </c>
    </row>
    <row r="160" spans="1:2" x14ac:dyDescent="0.25">
      <c r="A160" s="2" t="s">
        <v>1067</v>
      </c>
      <c r="B160" s="3">
        <v>7</v>
      </c>
    </row>
    <row r="161" spans="1:2" x14ac:dyDescent="0.25">
      <c r="A161" s="2" t="s">
        <v>2416</v>
      </c>
      <c r="B161" s="3">
        <v>5.5</v>
      </c>
    </row>
    <row r="162" spans="1:2" x14ac:dyDescent="0.25">
      <c r="A162" s="2" t="s">
        <v>5339</v>
      </c>
      <c r="B162" s="3">
        <v>6.9</v>
      </c>
    </row>
    <row r="163" spans="1:2" x14ac:dyDescent="0.25">
      <c r="A163" s="2" t="s">
        <v>783</v>
      </c>
      <c r="B163" s="3">
        <v>5.9</v>
      </c>
    </row>
    <row r="164" spans="1:2" x14ac:dyDescent="0.25">
      <c r="A164" s="2" t="s">
        <v>2586</v>
      </c>
      <c r="B164" s="3">
        <v>3.2</v>
      </c>
    </row>
    <row r="165" spans="1:2" x14ac:dyDescent="0.25">
      <c r="A165" s="2" t="s">
        <v>517</v>
      </c>
      <c r="B165" s="3">
        <v>6.7666666666666657</v>
      </c>
    </row>
    <row r="166" spans="1:2" x14ac:dyDescent="0.25">
      <c r="A166" s="2" t="s">
        <v>3407</v>
      </c>
      <c r="B166" s="3">
        <v>6.0333333333333341</v>
      </c>
    </row>
    <row r="167" spans="1:2" x14ac:dyDescent="0.25">
      <c r="A167" s="2" t="s">
        <v>534</v>
      </c>
      <c r="B167" s="3">
        <v>6.5666666666666664</v>
      </c>
    </row>
    <row r="168" spans="1:2" x14ac:dyDescent="0.25">
      <c r="A168" s="2" t="s">
        <v>1859</v>
      </c>
      <c r="B168" s="3">
        <v>6.7</v>
      </c>
    </row>
    <row r="169" spans="1:2" x14ac:dyDescent="0.25">
      <c r="A169" s="2" t="s">
        <v>3194</v>
      </c>
      <c r="B169" s="3">
        <v>5.2</v>
      </c>
    </row>
    <row r="170" spans="1:2" x14ac:dyDescent="0.25">
      <c r="A170" s="2" t="s">
        <v>371</v>
      </c>
      <c r="B170" s="3">
        <v>6.3818181818181818</v>
      </c>
    </row>
    <row r="171" spans="1:2" x14ac:dyDescent="0.25">
      <c r="A171" s="2" t="s">
        <v>6415</v>
      </c>
      <c r="B171" s="3">
        <v>6.5</v>
      </c>
    </row>
    <row r="172" spans="1:2" x14ac:dyDescent="0.25">
      <c r="A172" s="2" t="s">
        <v>578</v>
      </c>
      <c r="B172" s="3">
        <v>6.7</v>
      </c>
    </row>
    <row r="173" spans="1:2" x14ac:dyDescent="0.25">
      <c r="A173" s="2" t="s">
        <v>5611</v>
      </c>
      <c r="B173" s="3">
        <v>7.6</v>
      </c>
    </row>
    <row r="174" spans="1:2" x14ac:dyDescent="0.25">
      <c r="A174" s="2" t="s">
        <v>4218</v>
      </c>
      <c r="B174" s="3">
        <v>5.45</v>
      </c>
    </row>
    <row r="175" spans="1:2" x14ac:dyDescent="0.25">
      <c r="A175" s="2" t="s">
        <v>894</v>
      </c>
      <c r="B175" s="3">
        <v>7.1999999999999993</v>
      </c>
    </row>
    <row r="176" spans="1:2" x14ac:dyDescent="0.25">
      <c r="A176" s="2" t="s">
        <v>2429</v>
      </c>
      <c r="B176" s="3">
        <v>6.3</v>
      </c>
    </row>
    <row r="177" spans="1:2" x14ac:dyDescent="0.25">
      <c r="A177" s="2" t="s">
        <v>3008</v>
      </c>
      <c r="B177" s="3">
        <v>5.9</v>
      </c>
    </row>
    <row r="178" spans="1:2" x14ac:dyDescent="0.25">
      <c r="A178" s="2" t="s">
        <v>243</v>
      </c>
      <c r="B178" s="3">
        <v>7.6</v>
      </c>
    </row>
    <row r="179" spans="1:2" x14ac:dyDescent="0.25">
      <c r="A179" s="2" t="s">
        <v>336</v>
      </c>
      <c r="B179" s="3">
        <v>5.0999999999999996</v>
      </c>
    </row>
    <row r="180" spans="1:2" x14ac:dyDescent="0.25">
      <c r="A180" s="2" t="s">
        <v>5084</v>
      </c>
      <c r="B180" s="3">
        <v>7.2</v>
      </c>
    </row>
    <row r="181" spans="1:2" x14ac:dyDescent="0.25">
      <c r="A181" s="2" t="s">
        <v>1286</v>
      </c>
      <c r="B181" s="3">
        <v>6.1</v>
      </c>
    </row>
    <row r="182" spans="1:2" x14ac:dyDescent="0.25">
      <c r="A182" s="2" t="s">
        <v>822</v>
      </c>
      <c r="B182" s="3">
        <v>6.1749999999999998</v>
      </c>
    </row>
    <row r="183" spans="1:2" x14ac:dyDescent="0.25">
      <c r="A183" s="2" t="s">
        <v>6558</v>
      </c>
      <c r="B183" s="3">
        <v>6.4</v>
      </c>
    </row>
    <row r="184" spans="1:2" x14ac:dyDescent="0.25">
      <c r="A184" s="2" t="s">
        <v>4207</v>
      </c>
      <c r="B184" s="3">
        <v>7</v>
      </c>
    </row>
    <row r="185" spans="1:2" x14ac:dyDescent="0.25">
      <c r="A185" s="2" t="s">
        <v>2095</v>
      </c>
      <c r="B185" s="3">
        <v>6.4</v>
      </c>
    </row>
    <row r="186" spans="1:2" x14ac:dyDescent="0.25">
      <c r="A186" s="2" t="s">
        <v>6651</v>
      </c>
      <c r="B186" s="3">
        <v>6.9</v>
      </c>
    </row>
    <row r="187" spans="1:2" x14ac:dyDescent="0.25">
      <c r="A187" s="2" t="s">
        <v>4536</v>
      </c>
      <c r="B187" s="3">
        <v>7.3</v>
      </c>
    </row>
    <row r="188" spans="1:2" x14ac:dyDescent="0.25">
      <c r="A188" s="2" t="s">
        <v>6467</v>
      </c>
      <c r="B188" s="3">
        <v>5.5</v>
      </c>
    </row>
    <row r="189" spans="1:2" x14ac:dyDescent="0.25">
      <c r="A189" s="2" t="s">
        <v>2742</v>
      </c>
      <c r="B189" s="3">
        <v>6.3</v>
      </c>
    </row>
    <row r="190" spans="1:2" x14ac:dyDescent="0.25">
      <c r="A190" s="2" t="s">
        <v>508</v>
      </c>
      <c r="B190" s="3">
        <v>7.5</v>
      </c>
    </row>
    <row r="191" spans="1:2" x14ac:dyDescent="0.25">
      <c r="A191" s="2" t="s">
        <v>2218</v>
      </c>
      <c r="B191" s="3">
        <v>5</v>
      </c>
    </row>
    <row r="192" spans="1:2" x14ac:dyDescent="0.25">
      <c r="A192" s="2" t="s">
        <v>4748</v>
      </c>
      <c r="B192" s="3">
        <v>5.9</v>
      </c>
    </row>
    <row r="193" spans="1:2" x14ac:dyDescent="0.25">
      <c r="A193" s="2" t="s">
        <v>4807</v>
      </c>
      <c r="B193" s="3">
        <v>5</v>
      </c>
    </row>
    <row r="194" spans="1:2" x14ac:dyDescent="0.25">
      <c r="A194" s="2" t="s">
        <v>2501</v>
      </c>
      <c r="B194" s="3">
        <v>7.9499999999999993</v>
      </c>
    </row>
    <row r="195" spans="1:2" x14ac:dyDescent="0.25">
      <c r="A195" s="2" t="s">
        <v>5710</v>
      </c>
      <c r="B195" s="3">
        <v>6</v>
      </c>
    </row>
    <row r="196" spans="1:2" x14ac:dyDescent="0.25">
      <c r="A196" s="2" t="s">
        <v>3161</v>
      </c>
      <c r="B196" s="3">
        <v>5.7</v>
      </c>
    </row>
    <row r="197" spans="1:2" x14ac:dyDescent="0.25">
      <c r="A197" s="2" t="s">
        <v>1632</v>
      </c>
      <c r="B197" s="3">
        <v>6.8</v>
      </c>
    </row>
    <row r="198" spans="1:2" x14ac:dyDescent="0.25">
      <c r="A198" s="2" t="s">
        <v>6172</v>
      </c>
      <c r="B198" s="3">
        <v>6.8</v>
      </c>
    </row>
    <row r="199" spans="1:2" x14ac:dyDescent="0.25">
      <c r="A199" s="2" t="s">
        <v>2513</v>
      </c>
      <c r="B199" s="3">
        <v>7.4</v>
      </c>
    </row>
    <row r="200" spans="1:2" x14ac:dyDescent="0.25">
      <c r="A200" s="2" t="s">
        <v>117</v>
      </c>
      <c r="B200" s="3">
        <v>6.8250000000000002</v>
      </c>
    </row>
    <row r="201" spans="1:2" x14ac:dyDescent="0.25">
      <c r="A201" s="2" t="s">
        <v>4679</v>
      </c>
      <c r="B201" s="3">
        <v>6.1</v>
      </c>
    </row>
    <row r="202" spans="1:2" x14ac:dyDescent="0.25">
      <c r="A202" s="2" t="s">
        <v>2652</v>
      </c>
      <c r="B202" s="3">
        <v>8.4</v>
      </c>
    </row>
    <row r="203" spans="1:2" x14ac:dyDescent="0.25">
      <c r="A203" s="2" t="s">
        <v>5972</v>
      </c>
      <c r="B203" s="3">
        <v>4.8</v>
      </c>
    </row>
    <row r="204" spans="1:2" x14ac:dyDescent="0.25">
      <c r="A204" s="2" t="s">
        <v>4320</v>
      </c>
      <c r="B204" s="3">
        <v>7.4</v>
      </c>
    </row>
    <row r="205" spans="1:2" x14ac:dyDescent="0.25">
      <c r="A205" s="2" t="s">
        <v>6223</v>
      </c>
      <c r="B205" s="3">
        <v>7</v>
      </c>
    </row>
    <row r="206" spans="1:2" x14ac:dyDescent="0.25">
      <c r="A206" s="2" t="s">
        <v>1602</v>
      </c>
      <c r="B206" s="3">
        <v>6.75</v>
      </c>
    </row>
    <row r="207" spans="1:2" x14ac:dyDescent="0.25">
      <c r="A207" s="2" t="s">
        <v>3186</v>
      </c>
      <c r="B207" s="3">
        <v>5.125</v>
      </c>
    </row>
    <row r="208" spans="1:2" x14ac:dyDescent="0.25">
      <c r="A208" s="2" t="s">
        <v>3779</v>
      </c>
      <c r="B208" s="3">
        <v>6.9</v>
      </c>
    </row>
    <row r="209" spans="1:2" x14ac:dyDescent="0.25">
      <c r="A209" s="2" t="s">
        <v>2000</v>
      </c>
      <c r="B209" s="3">
        <v>5.6</v>
      </c>
    </row>
    <row r="210" spans="1:2" x14ac:dyDescent="0.25">
      <c r="A210" s="2" t="s">
        <v>1691</v>
      </c>
      <c r="B210" s="3">
        <v>6.7</v>
      </c>
    </row>
    <row r="211" spans="1:2" x14ac:dyDescent="0.25">
      <c r="A211" s="2" t="s">
        <v>2060</v>
      </c>
      <c r="B211" s="3">
        <v>7.9750000000000005</v>
      </c>
    </row>
    <row r="212" spans="1:2" x14ac:dyDescent="0.25">
      <c r="A212" s="2" t="s">
        <v>2479</v>
      </c>
      <c r="B212" s="3">
        <v>5.5</v>
      </c>
    </row>
    <row r="213" spans="1:2" x14ac:dyDescent="0.25">
      <c r="A213" s="2" t="s">
        <v>5182</v>
      </c>
      <c r="B213" s="3">
        <v>5.6</v>
      </c>
    </row>
    <row r="214" spans="1:2" x14ac:dyDescent="0.25">
      <c r="A214" s="2" t="s">
        <v>1981</v>
      </c>
      <c r="B214" s="3">
        <v>6.65</v>
      </c>
    </row>
    <row r="215" spans="1:2" x14ac:dyDescent="0.25">
      <c r="A215" s="2" t="s">
        <v>2532</v>
      </c>
      <c r="B215" s="3">
        <v>6.4</v>
      </c>
    </row>
    <row r="216" spans="1:2" x14ac:dyDescent="0.25">
      <c r="A216" s="2" t="s">
        <v>1326</v>
      </c>
      <c r="B216" s="3">
        <v>3.6</v>
      </c>
    </row>
    <row r="217" spans="1:2" x14ac:dyDescent="0.25">
      <c r="A217" s="2" t="s">
        <v>2921</v>
      </c>
      <c r="B217" s="3">
        <v>6.65</v>
      </c>
    </row>
    <row r="218" spans="1:2" x14ac:dyDescent="0.25">
      <c r="A218" s="2" t="s">
        <v>96</v>
      </c>
      <c r="B218" s="3">
        <v>4.6749999999999998</v>
      </c>
    </row>
    <row r="219" spans="1:2" x14ac:dyDescent="0.25">
      <c r="A219" s="2" t="s">
        <v>3483</v>
      </c>
      <c r="B219" s="3">
        <v>5.6</v>
      </c>
    </row>
    <row r="220" spans="1:2" x14ac:dyDescent="0.25">
      <c r="A220" s="2" t="s">
        <v>1237</v>
      </c>
      <c r="B220" s="3">
        <v>7.4</v>
      </c>
    </row>
    <row r="221" spans="1:2" x14ac:dyDescent="0.25">
      <c r="A221" s="2" t="s">
        <v>6364</v>
      </c>
      <c r="B221" s="3">
        <v>7.3</v>
      </c>
    </row>
    <row r="222" spans="1:2" x14ac:dyDescent="0.25">
      <c r="A222" s="2" t="s">
        <v>5705</v>
      </c>
      <c r="B222" s="3">
        <v>5.3</v>
      </c>
    </row>
    <row r="223" spans="1:2" x14ac:dyDescent="0.25">
      <c r="A223" s="2" t="s">
        <v>5226</v>
      </c>
      <c r="B223" s="3">
        <v>5.65</v>
      </c>
    </row>
    <row r="224" spans="1:2" x14ac:dyDescent="0.25">
      <c r="A224" s="2" t="s">
        <v>1779</v>
      </c>
      <c r="B224" s="3">
        <v>6.35</v>
      </c>
    </row>
    <row r="225" spans="1:2" x14ac:dyDescent="0.25">
      <c r="A225" s="2" t="s">
        <v>1390</v>
      </c>
      <c r="B225" s="3">
        <v>5.3000000000000007</v>
      </c>
    </row>
    <row r="226" spans="1:2" x14ac:dyDescent="0.25">
      <c r="A226" s="2" t="s">
        <v>3528</v>
      </c>
      <c r="B226" s="3">
        <v>3.3</v>
      </c>
    </row>
    <row r="227" spans="1:2" x14ac:dyDescent="0.25">
      <c r="A227" s="2" t="s">
        <v>272</v>
      </c>
      <c r="B227" s="3">
        <v>6.0222222222222221</v>
      </c>
    </row>
    <row r="228" spans="1:2" x14ac:dyDescent="0.25">
      <c r="A228" s="2" t="s">
        <v>1431</v>
      </c>
      <c r="B228" s="3">
        <v>5</v>
      </c>
    </row>
    <row r="229" spans="1:2" x14ac:dyDescent="0.25">
      <c r="A229" s="2" t="s">
        <v>6208</v>
      </c>
      <c r="B229" s="3">
        <v>6.9</v>
      </c>
    </row>
    <row r="230" spans="1:2" x14ac:dyDescent="0.25">
      <c r="A230" s="2" t="s">
        <v>3359</v>
      </c>
      <c r="B230" s="3">
        <v>6.9</v>
      </c>
    </row>
    <row r="231" spans="1:2" x14ac:dyDescent="0.25">
      <c r="A231" s="2" t="s">
        <v>6732</v>
      </c>
      <c r="B231" s="3">
        <v>5.7</v>
      </c>
    </row>
    <row r="232" spans="1:2" x14ac:dyDescent="0.25">
      <c r="A232" s="2" t="s">
        <v>1073</v>
      </c>
      <c r="B232" s="3">
        <v>6.8599999999999994</v>
      </c>
    </row>
    <row r="233" spans="1:2" x14ac:dyDescent="0.25">
      <c r="A233" s="2" t="s">
        <v>3835</v>
      </c>
      <c r="B233" s="3">
        <v>8</v>
      </c>
    </row>
    <row r="234" spans="1:2" x14ac:dyDescent="0.25">
      <c r="A234" s="2" t="s">
        <v>2278</v>
      </c>
      <c r="B234" s="3">
        <v>6.6</v>
      </c>
    </row>
    <row r="235" spans="1:2" x14ac:dyDescent="0.25">
      <c r="A235" s="2" t="s">
        <v>882</v>
      </c>
      <c r="B235" s="3">
        <v>6.7333333333333334</v>
      </c>
    </row>
    <row r="236" spans="1:2" x14ac:dyDescent="0.25">
      <c r="A236" s="2" t="s">
        <v>5529</v>
      </c>
      <c r="B236" s="3">
        <v>6.1</v>
      </c>
    </row>
    <row r="237" spans="1:2" x14ac:dyDescent="0.25">
      <c r="A237" s="2" t="s">
        <v>115</v>
      </c>
      <c r="B237" s="3">
        <v>5.05</v>
      </c>
    </row>
    <row r="238" spans="1:2" x14ac:dyDescent="0.25">
      <c r="A238" s="2" t="s">
        <v>173</v>
      </c>
      <c r="B238" s="3">
        <v>6.4666666666666659</v>
      </c>
    </row>
    <row r="239" spans="1:2" x14ac:dyDescent="0.25">
      <c r="A239" s="2" t="s">
        <v>4121</v>
      </c>
      <c r="B239" s="3">
        <v>5</v>
      </c>
    </row>
    <row r="240" spans="1:2" x14ac:dyDescent="0.25">
      <c r="A240" s="2" t="s">
        <v>6563</v>
      </c>
      <c r="B240" s="3">
        <v>6.3</v>
      </c>
    </row>
    <row r="241" spans="1:2" x14ac:dyDescent="0.25">
      <c r="A241" s="2" t="s">
        <v>3846</v>
      </c>
      <c r="B241" s="3">
        <v>5.6</v>
      </c>
    </row>
    <row r="242" spans="1:2" x14ac:dyDescent="0.25">
      <c r="A242" s="2" t="s">
        <v>2130</v>
      </c>
      <c r="B242" s="3">
        <v>5.7</v>
      </c>
    </row>
    <row r="243" spans="1:2" x14ac:dyDescent="0.25">
      <c r="A243" s="2" t="s">
        <v>2730</v>
      </c>
      <c r="B243" s="3">
        <v>3</v>
      </c>
    </row>
    <row r="244" spans="1:2" x14ac:dyDescent="0.25">
      <c r="A244" s="2" t="s">
        <v>6515</v>
      </c>
      <c r="B244" s="3">
        <v>5.6</v>
      </c>
    </row>
    <row r="245" spans="1:2" x14ac:dyDescent="0.25">
      <c r="A245" s="2" t="s">
        <v>3060</v>
      </c>
      <c r="B245" s="3">
        <v>6.25</v>
      </c>
    </row>
    <row r="246" spans="1:2" x14ac:dyDescent="0.25">
      <c r="A246" s="2" t="s">
        <v>152</v>
      </c>
      <c r="B246" s="3">
        <v>7</v>
      </c>
    </row>
    <row r="247" spans="1:2" x14ac:dyDescent="0.25">
      <c r="A247" s="2" t="s">
        <v>4437</v>
      </c>
      <c r="B247" s="3">
        <v>6.3</v>
      </c>
    </row>
    <row r="248" spans="1:2" x14ac:dyDescent="0.25">
      <c r="A248" s="2" t="s">
        <v>2395</v>
      </c>
      <c r="B248" s="3">
        <v>3.8</v>
      </c>
    </row>
    <row r="249" spans="1:2" x14ac:dyDescent="0.25">
      <c r="A249" s="2" t="s">
        <v>3390</v>
      </c>
      <c r="B249" s="3">
        <v>5.45</v>
      </c>
    </row>
    <row r="250" spans="1:2" x14ac:dyDescent="0.25">
      <c r="A250" s="2" t="s">
        <v>2688</v>
      </c>
      <c r="B250" s="3">
        <v>4.5</v>
      </c>
    </row>
    <row r="251" spans="1:2" x14ac:dyDescent="0.25">
      <c r="A251" s="2" t="s">
        <v>239</v>
      </c>
      <c r="B251" s="3">
        <v>6.5</v>
      </c>
    </row>
    <row r="252" spans="1:2" x14ac:dyDescent="0.25">
      <c r="A252" s="2" t="s">
        <v>1709</v>
      </c>
      <c r="B252" s="3">
        <v>4.5999999999999996</v>
      </c>
    </row>
    <row r="253" spans="1:2" x14ac:dyDescent="0.25">
      <c r="A253" s="2" t="s">
        <v>5346</v>
      </c>
      <c r="B253" s="3">
        <v>7.1</v>
      </c>
    </row>
    <row r="254" spans="1:2" x14ac:dyDescent="0.25">
      <c r="A254" s="2" t="s">
        <v>2179</v>
      </c>
      <c r="B254" s="3">
        <v>6.2</v>
      </c>
    </row>
    <row r="255" spans="1:2" x14ac:dyDescent="0.25">
      <c r="A255" s="2" t="s">
        <v>4815</v>
      </c>
      <c r="B255" s="3">
        <v>6.9</v>
      </c>
    </row>
    <row r="256" spans="1:2" x14ac:dyDescent="0.25">
      <c r="A256" s="2" t="s">
        <v>490</v>
      </c>
      <c r="B256" s="3">
        <v>6.6454545454545446</v>
      </c>
    </row>
    <row r="257" spans="1:2" x14ac:dyDescent="0.25">
      <c r="A257" s="2" t="s">
        <v>2190</v>
      </c>
      <c r="B257" s="3">
        <v>7.3</v>
      </c>
    </row>
    <row r="258" spans="1:2" x14ac:dyDescent="0.25">
      <c r="A258" s="2" t="s">
        <v>2849</v>
      </c>
      <c r="B258" s="3">
        <v>6.4</v>
      </c>
    </row>
    <row r="259" spans="1:2" x14ac:dyDescent="0.25">
      <c r="A259" s="2" t="s">
        <v>208</v>
      </c>
      <c r="B259" s="3">
        <v>6.7200000000000006</v>
      </c>
    </row>
    <row r="260" spans="1:2" x14ac:dyDescent="0.25">
      <c r="A260" s="2" t="s">
        <v>3617</v>
      </c>
      <c r="B260" s="3">
        <v>7.7</v>
      </c>
    </row>
    <row r="261" spans="1:2" x14ac:dyDescent="0.25">
      <c r="A261" s="2" t="s">
        <v>4634</v>
      </c>
      <c r="B261" s="3">
        <v>7.1</v>
      </c>
    </row>
    <row r="262" spans="1:2" x14ac:dyDescent="0.25">
      <c r="A262" s="2" t="s">
        <v>4614</v>
      </c>
      <c r="B262" s="3">
        <v>6.25</v>
      </c>
    </row>
    <row r="263" spans="1:2" x14ac:dyDescent="0.25">
      <c r="A263" s="2" t="s">
        <v>386</v>
      </c>
      <c r="B263" s="3">
        <v>4.82</v>
      </c>
    </row>
    <row r="264" spans="1:2" x14ac:dyDescent="0.25">
      <c r="A264" s="2" t="s">
        <v>3919</v>
      </c>
      <c r="B264" s="3">
        <v>7.6</v>
      </c>
    </row>
    <row r="265" spans="1:2" x14ac:dyDescent="0.25">
      <c r="A265" s="2" t="s">
        <v>799</v>
      </c>
      <c r="B265" s="3">
        <v>5.5333333333333341</v>
      </c>
    </row>
    <row r="266" spans="1:2" x14ac:dyDescent="0.25">
      <c r="A266" s="2" t="s">
        <v>1791</v>
      </c>
      <c r="B266" s="3">
        <v>4.1666666666666661</v>
      </c>
    </row>
    <row r="267" spans="1:2" x14ac:dyDescent="0.25">
      <c r="A267" s="2" t="s">
        <v>2263</v>
      </c>
      <c r="B267" s="3">
        <v>5.9</v>
      </c>
    </row>
    <row r="268" spans="1:2" x14ac:dyDescent="0.25">
      <c r="A268" s="2" t="s">
        <v>4280</v>
      </c>
      <c r="B268" s="3">
        <v>3.6</v>
      </c>
    </row>
    <row r="269" spans="1:2" x14ac:dyDescent="0.25">
      <c r="A269" s="2" t="s">
        <v>3654</v>
      </c>
      <c r="B269" s="3">
        <v>5.9</v>
      </c>
    </row>
    <row r="270" spans="1:2" x14ac:dyDescent="0.25">
      <c r="A270" s="2" t="s">
        <v>90</v>
      </c>
      <c r="B270" s="3">
        <v>7.6000000000000005</v>
      </c>
    </row>
    <row r="271" spans="1:2" x14ac:dyDescent="0.25">
      <c r="A271" s="2" t="s">
        <v>6261</v>
      </c>
      <c r="B271" s="3">
        <v>6.3</v>
      </c>
    </row>
    <row r="272" spans="1:2" x14ac:dyDescent="0.25">
      <c r="A272" s="2" t="s">
        <v>6724</v>
      </c>
      <c r="B272" s="3">
        <v>4.8</v>
      </c>
    </row>
    <row r="273" spans="1:2" x14ac:dyDescent="0.25">
      <c r="A273" s="2" t="s">
        <v>4361</v>
      </c>
      <c r="B273" s="3">
        <v>5.0999999999999996</v>
      </c>
    </row>
    <row r="274" spans="1:2" x14ac:dyDescent="0.25">
      <c r="A274" s="2" t="s">
        <v>2086</v>
      </c>
      <c r="B274" s="3">
        <v>4.7</v>
      </c>
    </row>
    <row r="275" spans="1:2" x14ac:dyDescent="0.25">
      <c r="A275" s="2" t="s">
        <v>1990</v>
      </c>
      <c r="B275" s="3">
        <v>6.4</v>
      </c>
    </row>
    <row r="276" spans="1:2" x14ac:dyDescent="0.25">
      <c r="A276" s="2" t="s">
        <v>3469</v>
      </c>
      <c r="B276" s="3">
        <v>5.05</v>
      </c>
    </row>
    <row r="277" spans="1:2" x14ac:dyDescent="0.25">
      <c r="A277" s="2" t="s">
        <v>6714</v>
      </c>
      <c r="B277" s="3">
        <v>6.7</v>
      </c>
    </row>
    <row r="278" spans="1:2" x14ac:dyDescent="0.25">
      <c r="A278" s="2" t="s">
        <v>5215</v>
      </c>
      <c r="B278" s="3">
        <v>6</v>
      </c>
    </row>
    <row r="279" spans="1:2" x14ac:dyDescent="0.25">
      <c r="A279" s="2" t="s">
        <v>1566</v>
      </c>
      <c r="B279" s="3">
        <v>6.4</v>
      </c>
    </row>
    <row r="280" spans="1:2" x14ac:dyDescent="0.25">
      <c r="A280" s="2" t="s">
        <v>4558</v>
      </c>
      <c r="B280" s="3">
        <v>6.2</v>
      </c>
    </row>
    <row r="281" spans="1:2" x14ac:dyDescent="0.25">
      <c r="A281" s="2" t="s">
        <v>367</v>
      </c>
      <c r="B281" s="3">
        <v>7.85</v>
      </c>
    </row>
    <row r="282" spans="1:2" x14ac:dyDescent="0.25">
      <c r="A282" s="2" t="s">
        <v>746</v>
      </c>
      <c r="B282" s="3">
        <v>6.4249999999999998</v>
      </c>
    </row>
    <row r="283" spans="1:2" x14ac:dyDescent="0.25">
      <c r="A283" s="2" t="s">
        <v>2635</v>
      </c>
      <c r="B283" s="3">
        <v>6.7</v>
      </c>
    </row>
    <row r="284" spans="1:2" x14ac:dyDescent="0.25">
      <c r="A284" s="2" t="s">
        <v>5872</v>
      </c>
      <c r="B284" s="3">
        <v>6.45</v>
      </c>
    </row>
    <row r="285" spans="1:2" x14ac:dyDescent="0.25">
      <c r="A285" s="2" t="s">
        <v>5335</v>
      </c>
      <c r="B285" s="3">
        <v>7.1</v>
      </c>
    </row>
    <row r="286" spans="1:2" x14ac:dyDescent="0.25">
      <c r="A286" s="2" t="s">
        <v>902</v>
      </c>
      <c r="B286" s="3">
        <v>5.9</v>
      </c>
    </row>
    <row r="287" spans="1:2" x14ac:dyDescent="0.25">
      <c r="A287" s="2" t="s">
        <v>644</v>
      </c>
      <c r="B287" s="3">
        <v>5.9</v>
      </c>
    </row>
    <row r="288" spans="1:2" x14ac:dyDescent="0.25">
      <c r="A288" s="2" t="s">
        <v>164</v>
      </c>
      <c r="B288" s="3">
        <v>6.5166666666666657</v>
      </c>
    </row>
    <row r="289" spans="1:2" x14ac:dyDescent="0.25">
      <c r="A289" s="2" t="s">
        <v>3996</v>
      </c>
      <c r="B289" s="3">
        <v>5.4</v>
      </c>
    </row>
    <row r="290" spans="1:2" x14ac:dyDescent="0.25">
      <c r="A290" s="2" t="s">
        <v>2968</v>
      </c>
      <c r="B290" s="3">
        <v>6.6000000000000005</v>
      </c>
    </row>
    <row r="291" spans="1:2" x14ac:dyDescent="0.25">
      <c r="A291" s="2" t="s">
        <v>1550</v>
      </c>
      <c r="B291" s="3">
        <v>8.1</v>
      </c>
    </row>
    <row r="292" spans="1:2" x14ac:dyDescent="0.25">
      <c r="A292" s="2" t="s">
        <v>5112</v>
      </c>
      <c r="B292" s="3">
        <v>6.8</v>
      </c>
    </row>
    <row r="293" spans="1:2" x14ac:dyDescent="0.25">
      <c r="A293" s="2" t="s">
        <v>6252</v>
      </c>
      <c r="B293" s="3">
        <v>3.9</v>
      </c>
    </row>
    <row r="294" spans="1:2" x14ac:dyDescent="0.25">
      <c r="A294" s="2" t="s">
        <v>2062</v>
      </c>
      <c r="B294" s="3">
        <v>7.15</v>
      </c>
    </row>
    <row r="295" spans="1:2" x14ac:dyDescent="0.25">
      <c r="A295" s="2" t="s">
        <v>5053</v>
      </c>
      <c r="B295" s="3">
        <v>7.7</v>
      </c>
    </row>
    <row r="296" spans="1:2" x14ac:dyDescent="0.25">
      <c r="A296" s="2" t="s">
        <v>2195</v>
      </c>
      <c r="B296" s="3">
        <v>7.35</v>
      </c>
    </row>
    <row r="297" spans="1:2" x14ac:dyDescent="0.25">
      <c r="A297" s="2" t="s">
        <v>4167</v>
      </c>
      <c r="B297" s="3">
        <v>5.9</v>
      </c>
    </row>
    <row r="298" spans="1:2" x14ac:dyDescent="0.25">
      <c r="A298" s="2" t="s">
        <v>2643</v>
      </c>
      <c r="B298" s="3">
        <v>8.6999999999999993</v>
      </c>
    </row>
    <row r="299" spans="1:2" x14ac:dyDescent="0.25">
      <c r="A299" s="2" t="s">
        <v>2472</v>
      </c>
      <c r="B299" s="3">
        <v>6.3</v>
      </c>
    </row>
    <row r="300" spans="1:2" x14ac:dyDescent="0.25">
      <c r="A300" s="2" t="s">
        <v>2487</v>
      </c>
      <c r="B300" s="3">
        <v>6</v>
      </c>
    </row>
    <row r="301" spans="1:2" x14ac:dyDescent="0.25">
      <c r="A301" s="2" t="s">
        <v>6586</v>
      </c>
      <c r="B301" s="3">
        <v>6.8</v>
      </c>
    </row>
    <row r="302" spans="1:2" x14ac:dyDescent="0.25">
      <c r="A302" s="2" t="s">
        <v>3127</v>
      </c>
      <c r="B302" s="3">
        <v>6.3000000000000007</v>
      </c>
    </row>
    <row r="303" spans="1:2" x14ac:dyDescent="0.25">
      <c r="A303" s="2" t="s">
        <v>6475</v>
      </c>
      <c r="B303" s="3">
        <v>4.2</v>
      </c>
    </row>
    <row r="304" spans="1:2" x14ac:dyDescent="0.25">
      <c r="A304" s="2" t="s">
        <v>4705</v>
      </c>
      <c r="B304" s="3">
        <v>8.4</v>
      </c>
    </row>
    <row r="305" spans="1:2" x14ac:dyDescent="0.25">
      <c r="A305" s="2" t="s">
        <v>3024</v>
      </c>
      <c r="B305" s="3">
        <v>5.2</v>
      </c>
    </row>
    <row r="306" spans="1:2" x14ac:dyDescent="0.25">
      <c r="A306" s="2" t="s">
        <v>3203</v>
      </c>
      <c r="B306" s="3">
        <v>6.7</v>
      </c>
    </row>
    <row r="307" spans="1:2" x14ac:dyDescent="0.25">
      <c r="A307" s="2" t="s">
        <v>2714</v>
      </c>
      <c r="B307" s="3">
        <v>6.6</v>
      </c>
    </row>
    <row r="308" spans="1:2" x14ac:dyDescent="0.25">
      <c r="A308" s="2" t="s">
        <v>2583</v>
      </c>
      <c r="B308" s="3">
        <v>3.4</v>
      </c>
    </row>
    <row r="309" spans="1:2" x14ac:dyDescent="0.25">
      <c r="A309" s="2" t="s">
        <v>5591</v>
      </c>
      <c r="B309" s="3">
        <v>7.6</v>
      </c>
    </row>
    <row r="310" spans="1:2" x14ac:dyDescent="0.25">
      <c r="A310" s="2" t="s">
        <v>1772</v>
      </c>
      <c r="B310" s="3">
        <v>6.9</v>
      </c>
    </row>
    <row r="311" spans="1:2" x14ac:dyDescent="0.25">
      <c r="A311" s="2" t="s">
        <v>2106</v>
      </c>
      <c r="B311" s="3">
        <v>4.8</v>
      </c>
    </row>
    <row r="312" spans="1:2" x14ac:dyDescent="0.25">
      <c r="A312" s="2" t="s">
        <v>1911</v>
      </c>
      <c r="B312" s="3">
        <v>7.7</v>
      </c>
    </row>
    <row r="313" spans="1:2" x14ac:dyDescent="0.25">
      <c r="A313" s="2" t="s">
        <v>6271</v>
      </c>
      <c r="B313" s="3">
        <v>8.6</v>
      </c>
    </row>
    <row r="314" spans="1:2" x14ac:dyDescent="0.25">
      <c r="A314" s="2" t="s">
        <v>5265</v>
      </c>
      <c r="B314" s="3">
        <v>7.8666666666666671</v>
      </c>
    </row>
    <row r="315" spans="1:2" x14ac:dyDescent="0.25">
      <c r="A315" s="2" t="s">
        <v>290</v>
      </c>
      <c r="B315" s="3">
        <v>6.2</v>
      </c>
    </row>
    <row r="316" spans="1:2" x14ac:dyDescent="0.25">
      <c r="A316" s="2" t="s">
        <v>570</v>
      </c>
      <c r="B316" s="3">
        <v>6.1333333333333329</v>
      </c>
    </row>
    <row r="317" spans="1:2" x14ac:dyDescent="0.25">
      <c r="A317" s="2" t="s">
        <v>1970</v>
      </c>
      <c r="B317" s="3">
        <v>6.5</v>
      </c>
    </row>
    <row r="318" spans="1:2" x14ac:dyDescent="0.25">
      <c r="A318" s="2" t="s">
        <v>5295</v>
      </c>
      <c r="B318" s="3">
        <v>3.1</v>
      </c>
    </row>
    <row r="319" spans="1:2" x14ac:dyDescent="0.25">
      <c r="A319" s="2" t="s">
        <v>5098</v>
      </c>
      <c r="B319" s="3">
        <v>5.3</v>
      </c>
    </row>
    <row r="320" spans="1:2" x14ac:dyDescent="0.25">
      <c r="A320" s="2" t="s">
        <v>4477</v>
      </c>
      <c r="B320" s="3">
        <v>6.2</v>
      </c>
    </row>
    <row r="321" spans="1:2" x14ac:dyDescent="0.25">
      <c r="A321" s="2" t="s">
        <v>934</v>
      </c>
      <c r="B321" s="3">
        <v>5.6</v>
      </c>
    </row>
    <row r="322" spans="1:2" x14ac:dyDescent="0.25">
      <c r="A322" s="2" t="s">
        <v>4601</v>
      </c>
      <c r="B322" s="3">
        <v>4.3</v>
      </c>
    </row>
    <row r="323" spans="1:2" x14ac:dyDescent="0.25">
      <c r="A323" s="2" t="s">
        <v>5438</v>
      </c>
      <c r="B323" s="3">
        <v>7.5</v>
      </c>
    </row>
    <row r="324" spans="1:2" x14ac:dyDescent="0.25">
      <c r="A324" s="2" t="s">
        <v>2449</v>
      </c>
      <c r="B324" s="3">
        <v>6.1</v>
      </c>
    </row>
    <row r="325" spans="1:2" x14ac:dyDescent="0.25">
      <c r="A325" s="2" t="s">
        <v>4174</v>
      </c>
      <c r="B325" s="3">
        <v>4.5</v>
      </c>
    </row>
    <row r="326" spans="1:2" x14ac:dyDescent="0.25">
      <c r="A326" s="2" t="s">
        <v>4622</v>
      </c>
      <c r="B326" s="3">
        <v>7.6</v>
      </c>
    </row>
    <row r="327" spans="1:2" x14ac:dyDescent="0.25">
      <c r="A327" s="2" t="s">
        <v>2569</v>
      </c>
      <c r="B327" s="3">
        <v>7.4</v>
      </c>
    </row>
    <row r="328" spans="1:2" x14ac:dyDescent="0.25">
      <c r="A328" s="2" t="s">
        <v>944</v>
      </c>
      <c r="B328" s="3">
        <v>7</v>
      </c>
    </row>
    <row r="329" spans="1:2" x14ac:dyDescent="0.25">
      <c r="A329" s="2" t="s">
        <v>3955</v>
      </c>
      <c r="B329" s="3">
        <v>5.9</v>
      </c>
    </row>
    <row r="330" spans="1:2" x14ac:dyDescent="0.25">
      <c r="A330" s="2" t="s">
        <v>264</v>
      </c>
      <c r="B330" s="3">
        <v>6.15</v>
      </c>
    </row>
    <row r="331" spans="1:2" x14ac:dyDescent="0.25">
      <c r="A331" s="2" t="s">
        <v>1435</v>
      </c>
      <c r="B331" s="3">
        <v>5.9</v>
      </c>
    </row>
    <row r="332" spans="1:2" x14ac:dyDescent="0.25">
      <c r="A332" s="2" t="s">
        <v>4994</v>
      </c>
      <c r="B332" s="3">
        <v>7.2</v>
      </c>
    </row>
    <row r="333" spans="1:2" x14ac:dyDescent="0.25">
      <c r="A333" s="2" t="s">
        <v>3925</v>
      </c>
      <c r="B333" s="3">
        <v>4.9000000000000004</v>
      </c>
    </row>
    <row r="334" spans="1:2" x14ac:dyDescent="0.25">
      <c r="A334" s="2" t="s">
        <v>3475</v>
      </c>
      <c r="B334" s="3">
        <v>5.5</v>
      </c>
    </row>
    <row r="335" spans="1:2" x14ac:dyDescent="0.25">
      <c r="A335" s="2" t="s">
        <v>832</v>
      </c>
      <c r="B335" s="3">
        <v>5.25</v>
      </c>
    </row>
    <row r="336" spans="1:2" x14ac:dyDescent="0.25">
      <c r="A336" s="2" t="s">
        <v>2650</v>
      </c>
      <c r="B336" s="3">
        <v>7.4</v>
      </c>
    </row>
    <row r="337" spans="1:2" x14ac:dyDescent="0.25">
      <c r="A337" s="2" t="s">
        <v>3171</v>
      </c>
      <c r="B337" s="3">
        <v>6.6</v>
      </c>
    </row>
    <row r="338" spans="1:2" x14ac:dyDescent="0.25">
      <c r="A338" s="2" t="s">
        <v>690</v>
      </c>
      <c r="B338" s="3">
        <v>6.9</v>
      </c>
    </row>
    <row r="339" spans="1:2" x14ac:dyDescent="0.25">
      <c r="A339" s="2" t="s">
        <v>5671</v>
      </c>
      <c r="B339" s="3">
        <v>7.7</v>
      </c>
    </row>
    <row r="340" spans="1:2" x14ac:dyDescent="0.25">
      <c r="A340" s="2" t="s">
        <v>4619</v>
      </c>
      <c r="B340" s="3">
        <v>4.0999999999999996</v>
      </c>
    </row>
    <row r="341" spans="1:2" x14ac:dyDescent="0.25">
      <c r="A341" s="2" t="s">
        <v>3941</v>
      </c>
      <c r="B341" s="3">
        <v>6</v>
      </c>
    </row>
    <row r="342" spans="1:2" x14ac:dyDescent="0.25">
      <c r="A342" s="2" t="s">
        <v>3113</v>
      </c>
      <c r="B342" s="3">
        <v>5.8</v>
      </c>
    </row>
    <row r="343" spans="1:2" x14ac:dyDescent="0.25">
      <c r="A343" s="2" t="s">
        <v>2267</v>
      </c>
      <c r="B343" s="3">
        <v>5.5</v>
      </c>
    </row>
    <row r="344" spans="1:2" x14ac:dyDescent="0.25">
      <c r="A344" s="2" t="s">
        <v>2082</v>
      </c>
      <c r="B344" s="3">
        <v>3.85</v>
      </c>
    </row>
    <row r="345" spans="1:2" x14ac:dyDescent="0.25">
      <c r="A345" s="2" t="s">
        <v>744</v>
      </c>
      <c r="B345" s="3">
        <v>6.5666666666666664</v>
      </c>
    </row>
    <row r="346" spans="1:2" x14ac:dyDescent="0.25">
      <c r="A346" s="2" t="s">
        <v>4495</v>
      </c>
      <c r="B346" s="3">
        <v>6.5</v>
      </c>
    </row>
    <row r="347" spans="1:2" x14ac:dyDescent="0.25">
      <c r="A347" s="2" t="s">
        <v>5803</v>
      </c>
      <c r="B347" s="3">
        <v>7.8</v>
      </c>
    </row>
    <row r="348" spans="1:2" x14ac:dyDescent="0.25">
      <c r="A348" s="2" t="s">
        <v>2797</v>
      </c>
      <c r="B348" s="3">
        <v>6.1</v>
      </c>
    </row>
    <row r="349" spans="1:2" x14ac:dyDescent="0.25">
      <c r="A349" s="2" t="s">
        <v>3491</v>
      </c>
      <c r="B349" s="3">
        <v>5.0999999999999996</v>
      </c>
    </row>
    <row r="350" spans="1:2" x14ac:dyDescent="0.25">
      <c r="A350" s="2" t="s">
        <v>3150</v>
      </c>
      <c r="B350" s="3">
        <v>4.8</v>
      </c>
    </row>
    <row r="351" spans="1:2" x14ac:dyDescent="0.25">
      <c r="A351" s="2" t="s">
        <v>2175</v>
      </c>
      <c r="B351" s="3">
        <v>3.9</v>
      </c>
    </row>
    <row r="352" spans="1:2" x14ac:dyDescent="0.25">
      <c r="A352" s="2" t="s">
        <v>6465</v>
      </c>
      <c r="B352" s="3">
        <v>6.7</v>
      </c>
    </row>
    <row r="353" spans="1:2" x14ac:dyDescent="0.25">
      <c r="A353" s="2" t="s">
        <v>4583</v>
      </c>
      <c r="B353" s="3">
        <v>6.9</v>
      </c>
    </row>
    <row r="354" spans="1:2" x14ac:dyDescent="0.25">
      <c r="A354" s="2" t="s">
        <v>1399</v>
      </c>
      <c r="B354" s="3">
        <v>5.4</v>
      </c>
    </row>
    <row r="355" spans="1:2" x14ac:dyDescent="0.25">
      <c r="A355" s="2" t="s">
        <v>5361</v>
      </c>
      <c r="B355" s="3">
        <v>7.9</v>
      </c>
    </row>
    <row r="356" spans="1:2" x14ac:dyDescent="0.25">
      <c r="A356" s="2" t="s">
        <v>2791</v>
      </c>
      <c r="B356" s="3">
        <v>6.6</v>
      </c>
    </row>
    <row r="357" spans="1:2" x14ac:dyDescent="0.25">
      <c r="A357" s="2" t="s">
        <v>1232</v>
      </c>
      <c r="B357" s="3">
        <v>7.2</v>
      </c>
    </row>
    <row r="358" spans="1:2" x14ac:dyDescent="0.25">
      <c r="A358" s="2" t="s">
        <v>2854</v>
      </c>
      <c r="B358" s="3">
        <v>6.3</v>
      </c>
    </row>
    <row r="359" spans="1:2" x14ac:dyDescent="0.25">
      <c r="A359" s="2" t="s">
        <v>3446</v>
      </c>
      <c r="B359" s="3">
        <v>4.3</v>
      </c>
    </row>
    <row r="360" spans="1:2" x14ac:dyDescent="0.25">
      <c r="A360" s="2" t="s">
        <v>4090</v>
      </c>
      <c r="B360" s="3">
        <v>7.1750000000000007</v>
      </c>
    </row>
    <row r="361" spans="1:2" x14ac:dyDescent="0.25">
      <c r="A361" s="2" t="s">
        <v>2504</v>
      </c>
      <c r="B361" s="3">
        <v>3.1</v>
      </c>
    </row>
    <row r="362" spans="1:2" x14ac:dyDescent="0.25">
      <c r="A362" s="2" t="s">
        <v>3370</v>
      </c>
      <c r="B362" s="3">
        <v>5</v>
      </c>
    </row>
    <row r="363" spans="1:2" x14ac:dyDescent="0.25">
      <c r="A363" s="2" t="s">
        <v>4882</v>
      </c>
      <c r="B363" s="3">
        <v>3.2</v>
      </c>
    </row>
    <row r="364" spans="1:2" x14ac:dyDescent="0.25">
      <c r="A364" s="2" t="s">
        <v>6628</v>
      </c>
      <c r="B364" s="3">
        <v>5.4</v>
      </c>
    </row>
    <row r="365" spans="1:2" x14ac:dyDescent="0.25">
      <c r="A365" s="2" t="s">
        <v>431</v>
      </c>
      <c r="B365" s="3">
        <v>6.8999999999999995</v>
      </c>
    </row>
    <row r="366" spans="1:2" x14ac:dyDescent="0.25">
      <c r="A366" s="2" t="s">
        <v>6130</v>
      </c>
      <c r="B366" s="3">
        <v>7.3</v>
      </c>
    </row>
    <row r="367" spans="1:2" x14ac:dyDescent="0.25">
      <c r="A367" s="2" t="s">
        <v>670</v>
      </c>
      <c r="B367" s="3">
        <v>8.0666666666666664</v>
      </c>
    </row>
    <row r="368" spans="1:2" x14ac:dyDescent="0.25">
      <c r="A368" s="2" t="s">
        <v>5560</v>
      </c>
      <c r="B368" s="3">
        <v>6.5</v>
      </c>
    </row>
    <row r="369" spans="1:2" x14ac:dyDescent="0.25">
      <c r="A369" s="2" t="s">
        <v>1785</v>
      </c>
      <c r="B369" s="3">
        <v>6.75</v>
      </c>
    </row>
    <row r="370" spans="1:2" x14ac:dyDescent="0.25">
      <c r="A370" s="2" t="s">
        <v>842</v>
      </c>
      <c r="B370" s="3">
        <v>5.6</v>
      </c>
    </row>
    <row r="371" spans="1:2" x14ac:dyDescent="0.25">
      <c r="A371" s="2" t="s">
        <v>6338</v>
      </c>
      <c r="B371" s="3">
        <v>7.7</v>
      </c>
    </row>
    <row r="372" spans="1:2" x14ac:dyDescent="0.25">
      <c r="A372" s="2" t="s">
        <v>2328</v>
      </c>
      <c r="B372" s="3">
        <v>4.5999999999999996</v>
      </c>
    </row>
    <row r="373" spans="1:2" x14ac:dyDescent="0.25">
      <c r="A373" s="2" t="s">
        <v>287</v>
      </c>
      <c r="B373" s="3">
        <v>5.6</v>
      </c>
    </row>
    <row r="374" spans="1:2" x14ac:dyDescent="0.25">
      <c r="A374" s="2" t="s">
        <v>3175</v>
      </c>
      <c r="B374" s="3">
        <v>6.5</v>
      </c>
    </row>
    <row r="375" spans="1:2" x14ac:dyDescent="0.25">
      <c r="A375" s="2" t="s">
        <v>3596</v>
      </c>
      <c r="B375" s="3">
        <v>5.2</v>
      </c>
    </row>
    <row r="376" spans="1:2" x14ac:dyDescent="0.25">
      <c r="A376" s="2" t="s">
        <v>3424</v>
      </c>
      <c r="B376" s="3">
        <v>5.9</v>
      </c>
    </row>
    <row r="377" spans="1:2" x14ac:dyDescent="0.25">
      <c r="A377" s="2" t="s">
        <v>1506</v>
      </c>
      <c r="B377" s="3">
        <v>6.2</v>
      </c>
    </row>
    <row r="378" spans="1:2" x14ac:dyDescent="0.25">
      <c r="A378" s="2" t="s">
        <v>5478</v>
      </c>
      <c r="B378" s="3">
        <v>6.5</v>
      </c>
    </row>
    <row r="379" spans="1:2" x14ac:dyDescent="0.25">
      <c r="A379" s="2" t="s">
        <v>3189</v>
      </c>
      <c r="B379" s="3">
        <v>6.1</v>
      </c>
    </row>
    <row r="380" spans="1:2" x14ac:dyDescent="0.25">
      <c r="A380" s="2" t="s">
        <v>6188</v>
      </c>
      <c r="B380" s="3">
        <v>6.6</v>
      </c>
    </row>
    <row r="381" spans="1:2" x14ac:dyDescent="0.25">
      <c r="A381" s="2" t="s">
        <v>6221</v>
      </c>
      <c r="B381" s="3">
        <v>6.9</v>
      </c>
    </row>
    <row r="382" spans="1:2" x14ac:dyDescent="0.25">
      <c r="A382" s="2" t="s">
        <v>6487</v>
      </c>
      <c r="B382" s="3">
        <v>5.3</v>
      </c>
    </row>
    <row r="383" spans="1:2" x14ac:dyDescent="0.25">
      <c r="A383" s="2" t="s">
        <v>6655</v>
      </c>
      <c r="B383" s="3">
        <v>7</v>
      </c>
    </row>
    <row r="384" spans="1:2" x14ac:dyDescent="0.25">
      <c r="A384" s="2" t="s">
        <v>70</v>
      </c>
      <c r="B384" s="3">
        <v>6.3</v>
      </c>
    </row>
    <row r="385" spans="1:2" x14ac:dyDescent="0.25">
      <c r="A385" s="2" t="s">
        <v>154</v>
      </c>
      <c r="B385" s="3">
        <v>7.166666666666667</v>
      </c>
    </row>
    <row r="386" spans="1:2" x14ac:dyDescent="0.25">
      <c r="A386" s="2" t="s">
        <v>4378</v>
      </c>
      <c r="B386" s="3">
        <v>7</v>
      </c>
    </row>
    <row r="387" spans="1:2" x14ac:dyDescent="0.25">
      <c r="A387" s="2" t="s">
        <v>641</v>
      </c>
      <c r="B387" s="3">
        <v>5.8</v>
      </c>
    </row>
    <row r="388" spans="1:2" x14ac:dyDescent="0.25">
      <c r="A388" s="2" t="s">
        <v>2671</v>
      </c>
      <c r="B388" s="3">
        <v>6.1</v>
      </c>
    </row>
    <row r="389" spans="1:2" x14ac:dyDescent="0.25">
      <c r="A389" s="2" t="s">
        <v>2960</v>
      </c>
      <c r="B389" s="3">
        <v>4.5500000000000007</v>
      </c>
    </row>
    <row r="390" spans="1:2" x14ac:dyDescent="0.25">
      <c r="A390" s="2" t="s">
        <v>5317</v>
      </c>
      <c r="B390" s="3">
        <v>7</v>
      </c>
    </row>
    <row r="391" spans="1:2" x14ac:dyDescent="0.25">
      <c r="A391" s="2" t="s">
        <v>2710</v>
      </c>
      <c r="B391" s="3">
        <v>3.7</v>
      </c>
    </row>
    <row r="392" spans="1:2" x14ac:dyDescent="0.25">
      <c r="A392" s="2" t="s">
        <v>1387</v>
      </c>
      <c r="B392" s="3">
        <v>6.2</v>
      </c>
    </row>
    <row r="393" spans="1:2" x14ac:dyDescent="0.25">
      <c r="A393" s="2" t="s">
        <v>1463</v>
      </c>
      <c r="B393" s="3">
        <v>5.7</v>
      </c>
    </row>
    <row r="394" spans="1:2" x14ac:dyDescent="0.25">
      <c r="A394" s="2" t="s">
        <v>6315</v>
      </c>
      <c r="B394" s="3">
        <v>6.2</v>
      </c>
    </row>
    <row r="395" spans="1:2" x14ac:dyDescent="0.25">
      <c r="A395" s="2" t="s">
        <v>2607</v>
      </c>
      <c r="B395" s="3">
        <v>5.7</v>
      </c>
    </row>
    <row r="396" spans="1:2" x14ac:dyDescent="0.25">
      <c r="A396" s="2" t="s">
        <v>2311</v>
      </c>
      <c r="B396" s="3">
        <v>5.4</v>
      </c>
    </row>
    <row r="397" spans="1:2" x14ac:dyDescent="0.25">
      <c r="A397" s="2" t="s">
        <v>6013</v>
      </c>
      <c r="B397" s="3">
        <v>4.8</v>
      </c>
    </row>
    <row r="398" spans="1:2" x14ac:dyDescent="0.25">
      <c r="A398" s="2" t="s">
        <v>1111</v>
      </c>
      <c r="B398" s="3">
        <v>6.5</v>
      </c>
    </row>
    <row r="399" spans="1:2" x14ac:dyDescent="0.25">
      <c r="A399" s="2" t="s">
        <v>4685</v>
      </c>
      <c r="B399" s="3">
        <v>6.2</v>
      </c>
    </row>
    <row r="400" spans="1:2" x14ac:dyDescent="0.25">
      <c r="A400" s="2" t="s">
        <v>5527</v>
      </c>
      <c r="B400" s="3">
        <v>7.2</v>
      </c>
    </row>
    <row r="401" spans="1:2" x14ac:dyDescent="0.25">
      <c r="A401" s="2" t="s">
        <v>4240</v>
      </c>
      <c r="B401" s="3">
        <v>4.7</v>
      </c>
    </row>
    <row r="402" spans="1:2" x14ac:dyDescent="0.25">
      <c r="A402" s="2" t="s">
        <v>5100</v>
      </c>
      <c r="B402" s="3">
        <v>6</v>
      </c>
    </row>
    <row r="403" spans="1:2" x14ac:dyDescent="0.25">
      <c r="A403" s="2" t="s">
        <v>3889</v>
      </c>
      <c r="B403" s="3">
        <v>7.2</v>
      </c>
    </row>
    <row r="404" spans="1:2" x14ac:dyDescent="0.25">
      <c r="A404" s="2" t="s">
        <v>3182</v>
      </c>
      <c r="B404" s="3">
        <v>6.9</v>
      </c>
    </row>
    <row r="405" spans="1:2" x14ac:dyDescent="0.25">
      <c r="A405" s="2" t="s">
        <v>5159</v>
      </c>
      <c r="B405" s="3">
        <v>6.8</v>
      </c>
    </row>
    <row r="406" spans="1:2" x14ac:dyDescent="0.25">
      <c r="A406" s="2" t="s">
        <v>3692</v>
      </c>
      <c r="B406" s="3">
        <v>5.25</v>
      </c>
    </row>
    <row r="407" spans="1:2" x14ac:dyDescent="0.25">
      <c r="A407" s="2" t="s">
        <v>2166</v>
      </c>
      <c r="B407" s="3">
        <v>2.6500000000000004</v>
      </c>
    </row>
    <row r="408" spans="1:2" x14ac:dyDescent="0.25">
      <c r="A408" s="2" t="s">
        <v>4001</v>
      </c>
      <c r="B408" s="3">
        <v>5.5500000000000007</v>
      </c>
    </row>
    <row r="409" spans="1:2" x14ac:dyDescent="0.25">
      <c r="A409" s="2" t="s">
        <v>6119</v>
      </c>
      <c r="B409" s="3">
        <v>6.4</v>
      </c>
    </row>
    <row r="410" spans="1:2" x14ac:dyDescent="0.25">
      <c r="A410" s="2" t="s">
        <v>5760</v>
      </c>
      <c r="B410" s="3">
        <v>7.9</v>
      </c>
    </row>
    <row r="411" spans="1:2" x14ac:dyDescent="0.25">
      <c r="A411" s="2" t="s">
        <v>731</v>
      </c>
      <c r="B411" s="3">
        <v>6.5400000000000009</v>
      </c>
    </row>
    <row r="412" spans="1:2" x14ac:dyDescent="0.25">
      <c r="A412" s="2" t="s">
        <v>5030</v>
      </c>
      <c r="B412" s="3">
        <v>5.4</v>
      </c>
    </row>
    <row r="413" spans="1:2" x14ac:dyDescent="0.25">
      <c r="A413" s="2" t="s">
        <v>2460</v>
      </c>
      <c r="B413" s="3">
        <v>3.9</v>
      </c>
    </row>
    <row r="414" spans="1:2" x14ac:dyDescent="0.25">
      <c r="A414" s="2" t="s">
        <v>156</v>
      </c>
      <c r="B414" s="3">
        <v>6.74</v>
      </c>
    </row>
    <row r="415" spans="1:2" x14ac:dyDescent="0.25">
      <c r="A415" s="2" t="s">
        <v>2575</v>
      </c>
      <c r="B415" s="3">
        <v>8</v>
      </c>
    </row>
    <row r="416" spans="1:2" x14ac:dyDescent="0.25">
      <c r="A416" s="2" t="s">
        <v>6597</v>
      </c>
      <c r="B416" s="3">
        <v>6.9</v>
      </c>
    </row>
    <row r="417" spans="1:2" x14ac:dyDescent="0.25">
      <c r="A417" s="2" t="s">
        <v>4867</v>
      </c>
      <c r="B417" s="3">
        <v>4.5999999999999996</v>
      </c>
    </row>
    <row r="418" spans="1:2" x14ac:dyDescent="0.25">
      <c r="A418" s="2" t="s">
        <v>6657</v>
      </c>
      <c r="B418" s="3">
        <v>6.4</v>
      </c>
    </row>
    <row r="419" spans="1:2" x14ac:dyDescent="0.25">
      <c r="A419" s="2" t="s">
        <v>4504</v>
      </c>
      <c r="B419" s="3">
        <v>8.5</v>
      </c>
    </row>
    <row r="420" spans="1:2" x14ac:dyDescent="0.25">
      <c r="A420" s="2" t="s">
        <v>3707</v>
      </c>
      <c r="B420" s="3">
        <v>3.5</v>
      </c>
    </row>
    <row r="421" spans="1:2" x14ac:dyDescent="0.25">
      <c r="A421" s="2" t="s">
        <v>5289</v>
      </c>
      <c r="B421" s="3">
        <v>6.9</v>
      </c>
    </row>
    <row r="422" spans="1:2" x14ac:dyDescent="0.25">
      <c r="A422" s="2" t="s">
        <v>2700</v>
      </c>
      <c r="B422" s="3">
        <v>5.4</v>
      </c>
    </row>
    <row r="423" spans="1:2" x14ac:dyDescent="0.25">
      <c r="A423" s="2" t="s">
        <v>4688</v>
      </c>
      <c r="B423" s="3">
        <v>6.1</v>
      </c>
    </row>
    <row r="424" spans="1:2" x14ac:dyDescent="0.25">
      <c r="A424" s="2" t="s">
        <v>1314</v>
      </c>
      <c r="B424" s="3">
        <v>7.4</v>
      </c>
    </row>
    <row r="425" spans="1:2" x14ac:dyDescent="0.25">
      <c r="A425" s="2" t="s">
        <v>3741</v>
      </c>
      <c r="B425" s="3">
        <v>5.9</v>
      </c>
    </row>
    <row r="426" spans="1:2" x14ac:dyDescent="0.25">
      <c r="A426" s="2" t="s">
        <v>5151</v>
      </c>
      <c r="B426" s="3">
        <v>7.1</v>
      </c>
    </row>
    <row r="427" spans="1:2" x14ac:dyDescent="0.25">
      <c r="A427" s="2" t="s">
        <v>3380</v>
      </c>
      <c r="B427" s="3">
        <v>7.9</v>
      </c>
    </row>
    <row r="428" spans="1:2" x14ac:dyDescent="0.25">
      <c r="A428" s="2" t="s">
        <v>6198</v>
      </c>
      <c r="B428" s="3">
        <v>7.3</v>
      </c>
    </row>
    <row r="429" spans="1:2" x14ac:dyDescent="0.25">
      <c r="A429" s="2" t="s">
        <v>2069</v>
      </c>
      <c r="B429" s="3">
        <v>5</v>
      </c>
    </row>
    <row r="430" spans="1:2" x14ac:dyDescent="0.25">
      <c r="A430" s="2" t="s">
        <v>3223</v>
      </c>
      <c r="B430" s="3">
        <v>6</v>
      </c>
    </row>
    <row r="431" spans="1:2" x14ac:dyDescent="0.25">
      <c r="A431" s="2" t="s">
        <v>2056</v>
      </c>
      <c r="B431" s="3">
        <v>7.3</v>
      </c>
    </row>
    <row r="432" spans="1:2" x14ac:dyDescent="0.25">
      <c r="A432" s="2" t="s">
        <v>2246</v>
      </c>
      <c r="B432" s="3">
        <v>6.7</v>
      </c>
    </row>
    <row r="433" spans="1:2" x14ac:dyDescent="0.25">
      <c r="A433" s="2" t="s">
        <v>2313</v>
      </c>
      <c r="B433" s="3">
        <v>5.6</v>
      </c>
    </row>
    <row r="434" spans="1:2" x14ac:dyDescent="0.25">
      <c r="A434" s="2" t="s">
        <v>5509</v>
      </c>
      <c r="B434" s="3">
        <v>6.4</v>
      </c>
    </row>
    <row r="435" spans="1:2" x14ac:dyDescent="0.25">
      <c r="A435" s="2" t="s">
        <v>584</v>
      </c>
      <c r="B435" s="3">
        <v>7.3</v>
      </c>
    </row>
    <row r="436" spans="1:2" x14ac:dyDescent="0.25">
      <c r="A436" s="2" t="s">
        <v>6582</v>
      </c>
      <c r="B436" s="3">
        <v>6.9</v>
      </c>
    </row>
    <row r="437" spans="1:2" x14ac:dyDescent="0.25">
      <c r="A437" s="2" t="s">
        <v>6335</v>
      </c>
      <c r="B437" s="3">
        <v>5.5</v>
      </c>
    </row>
    <row r="438" spans="1:2" x14ac:dyDescent="0.25">
      <c r="A438" s="2" t="s">
        <v>5649</v>
      </c>
      <c r="B438" s="3">
        <v>7.2</v>
      </c>
    </row>
    <row r="439" spans="1:2" x14ac:dyDescent="0.25">
      <c r="A439" s="2" t="s">
        <v>3589</v>
      </c>
      <c r="B439" s="3">
        <v>6</v>
      </c>
    </row>
    <row r="440" spans="1:2" x14ac:dyDescent="0.25">
      <c r="A440" s="2" t="s">
        <v>2599</v>
      </c>
      <c r="B440" s="3">
        <v>4.3</v>
      </c>
    </row>
    <row r="441" spans="1:2" x14ac:dyDescent="0.25">
      <c r="A441" s="2" t="s">
        <v>2489</v>
      </c>
      <c r="B441" s="3">
        <v>7.4</v>
      </c>
    </row>
    <row r="442" spans="1:2" x14ac:dyDescent="0.25">
      <c r="A442" s="2" t="s">
        <v>5749</v>
      </c>
      <c r="B442" s="3">
        <v>6.5500000000000007</v>
      </c>
    </row>
    <row r="443" spans="1:2" x14ac:dyDescent="0.25">
      <c r="A443" s="2" t="s">
        <v>6661</v>
      </c>
      <c r="B443" s="3">
        <v>6.3</v>
      </c>
    </row>
    <row r="444" spans="1:2" x14ac:dyDescent="0.25">
      <c r="A444" s="2" t="s">
        <v>1651</v>
      </c>
      <c r="B444" s="3">
        <v>6.15</v>
      </c>
    </row>
    <row r="445" spans="1:2" x14ac:dyDescent="0.25">
      <c r="A445" s="2" t="s">
        <v>1570</v>
      </c>
      <c r="B445" s="3">
        <v>4.7</v>
      </c>
    </row>
    <row r="446" spans="1:2" x14ac:dyDescent="0.25">
      <c r="A446" s="2" t="s">
        <v>2113</v>
      </c>
      <c r="B446" s="3">
        <v>4.8</v>
      </c>
    </row>
    <row r="447" spans="1:2" x14ac:dyDescent="0.25">
      <c r="A447" s="2" t="s">
        <v>4128</v>
      </c>
      <c r="B447" s="3">
        <v>5.8</v>
      </c>
    </row>
    <row r="448" spans="1:2" x14ac:dyDescent="0.25">
      <c r="A448" s="2" t="s">
        <v>1562</v>
      </c>
      <c r="B448" s="3">
        <v>6.3</v>
      </c>
    </row>
    <row r="449" spans="1:2" x14ac:dyDescent="0.25">
      <c r="A449" s="2" t="s">
        <v>2986</v>
      </c>
      <c r="B449" s="3">
        <v>5.6</v>
      </c>
    </row>
    <row r="450" spans="1:2" x14ac:dyDescent="0.25">
      <c r="A450" s="2" t="s">
        <v>4594</v>
      </c>
      <c r="B450" s="3">
        <v>5.5</v>
      </c>
    </row>
    <row r="451" spans="1:2" x14ac:dyDescent="0.25">
      <c r="A451" s="2" t="s">
        <v>1739</v>
      </c>
      <c r="B451" s="3">
        <v>5.7</v>
      </c>
    </row>
    <row r="452" spans="1:2" x14ac:dyDescent="0.25">
      <c r="A452" s="2" t="s">
        <v>2840</v>
      </c>
      <c r="B452" s="3">
        <v>7.3571428571428559</v>
      </c>
    </row>
    <row r="453" spans="1:2" x14ac:dyDescent="0.25">
      <c r="A453" s="2" t="s">
        <v>3022</v>
      </c>
      <c r="B453" s="3">
        <v>5.6999999999999993</v>
      </c>
    </row>
    <row r="454" spans="1:2" x14ac:dyDescent="0.25">
      <c r="A454" s="2" t="s">
        <v>3792</v>
      </c>
      <c r="B454" s="3">
        <v>6.2666666666666657</v>
      </c>
    </row>
    <row r="455" spans="1:2" x14ac:dyDescent="0.25">
      <c r="A455" s="2" t="s">
        <v>2800</v>
      </c>
      <c r="B455" s="3">
        <v>6.3</v>
      </c>
    </row>
    <row r="456" spans="1:2" x14ac:dyDescent="0.25">
      <c r="A456" s="2" t="s">
        <v>1301</v>
      </c>
      <c r="B456" s="3">
        <v>5.5500000000000007</v>
      </c>
    </row>
    <row r="457" spans="1:2" x14ac:dyDescent="0.25">
      <c r="A457" s="2" t="s">
        <v>2115</v>
      </c>
      <c r="B457" s="3">
        <v>6.3</v>
      </c>
    </row>
    <row r="458" spans="1:2" x14ac:dyDescent="0.25">
      <c r="A458" s="2" t="s">
        <v>1457</v>
      </c>
      <c r="B458" s="3">
        <v>5.4</v>
      </c>
    </row>
    <row r="459" spans="1:2" x14ac:dyDescent="0.25">
      <c r="A459" s="2" t="s">
        <v>3934</v>
      </c>
      <c r="B459" s="3">
        <v>4.7</v>
      </c>
    </row>
    <row r="460" spans="1:2" x14ac:dyDescent="0.25">
      <c r="A460" s="2" t="s">
        <v>1802</v>
      </c>
      <c r="B460" s="3">
        <v>7.1</v>
      </c>
    </row>
    <row r="461" spans="1:2" x14ac:dyDescent="0.25">
      <c r="A461" s="2" t="s">
        <v>2173</v>
      </c>
      <c r="B461" s="3">
        <v>4.8</v>
      </c>
    </row>
    <row r="462" spans="1:2" x14ac:dyDescent="0.25">
      <c r="A462" s="2" t="s">
        <v>6099</v>
      </c>
      <c r="B462" s="3">
        <v>6.1</v>
      </c>
    </row>
    <row r="463" spans="1:2" x14ac:dyDescent="0.25">
      <c r="A463" s="2" t="s">
        <v>4848</v>
      </c>
      <c r="B463" s="3">
        <v>7</v>
      </c>
    </row>
    <row r="464" spans="1:2" x14ac:dyDescent="0.25">
      <c r="A464" s="2" t="s">
        <v>1735</v>
      </c>
      <c r="B464" s="3">
        <v>6</v>
      </c>
    </row>
    <row r="465" spans="1:2" x14ac:dyDescent="0.25">
      <c r="A465" s="2" t="s">
        <v>76</v>
      </c>
      <c r="B465" s="3">
        <v>7.82</v>
      </c>
    </row>
    <row r="466" spans="1:2" x14ac:dyDescent="0.25">
      <c r="A466" s="2" t="s">
        <v>1148</v>
      </c>
      <c r="B466" s="3">
        <v>5.6</v>
      </c>
    </row>
    <row r="467" spans="1:2" x14ac:dyDescent="0.25">
      <c r="A467" s="2" t="s">
        <v>314</v>
      </c>
      <c r="B467" s="3">
        <v>6.5600000000000005</v>
      </c>
    </row>
    <row r="468" spans="1:2" x14ac:dyDescent="0.25">
      <c r="A468" s="2" t="s">
        <v>5443</v>
      </c>
      <c r="B468" s="3">
        <v>5.5</v>
      </c>
    </row>
    <row r="469" spans="1:2" x14ac:dyDescent="0.25">
      <c r="A469" s="2" t="s">
        <v>6434</v>
      </c>
      <c r="B469" s="3">
        <v>6.2</v>
      </c>
    </row>
    <row r="470" spans="1:2" x14ac:dyDescent="0.25">
      <c r="A470" s="2" t="s">
        <v>2540</v>
      </c>
      <c r="B470" s="3">
        <v>5.8</v>
      </c>
    </row>
    <row r="471" spans="1:2" x14ac:dyDescent="0.25">
      <c r="A471" s="2" t="s">
        <v>4930</v>
      </c>
      <c r="B471" s="3">
        <v>2.8</v>
      </c>
    </row>
    <row r="472" spans="1:2" x14ac:dyDescent="0.25">
      <c r="A472" s="2" t="s">
        <v>2706</v>
      </c>
      <c r="B472" s="3">
        <v>7.9</v>
      </c>
    </row>
    <row r="473" spans="1:2" x14ac:dyDescent="0.25">
      <c r="A473" s="2" t="s">
        <v>3068</v>
      </c>
      <c r="B473" s="3">
        <v>5.8</v>
      </c>
    </row>
    <row r="474" spans="1:2" x14ac:dyDescent="0.25">
      <c r="A474" s="2" t="s">
        <v>5860</v>
      </c>
      <c r="B474" s="3">
        <v>6.9</v>
      </c>
    </row>
    <row r="475" spans="1:2" x14ac:dyDescent="0.25">
      <c r="A475" s="2" t="s">
        <v>5074</v>
      </c>
      <c r="B475" s="3">
        <v>4.3</v>
      </c>
    </row>
    <row r="476" spans="1:2" x14ac:dyDescent="0.25">
      <c r="A476" s="2" t="s">
        <v>2274</v>
      </c>
      <c r="B476" s="3">
        <v>4.9000000000000004</v>
      </c>
    </row>
    <row r="477" spans="1:2" x14ac:dyDescent="0.25">
      <c r="A477" s="2" t="s">
        <v>2349</v>
      </c>
      <c r="B477" s="3">
        <v>6.3</v>
      </c>
    </row>
    <row r="478" spans="1:2" x14ac:dyDescent="0.25">
      <c r="A478" s="2" t="s">
        <v>6084</v>
      </c>
      <c r="B478" s="3">
        <v>6.2</v>
      </c>
    </row>
    <row r="479" spans="1:2" x14ac:dyDescent="0.25">
      <c r="A479" s="2" t="s">
        <v>5615</v>
      </c>
      <c r="B479" s="3">
        <v>5.8</v>
      </c>
    </row>
    <row r="480" spans="1:2" x14ac:dyDescent="0.25">
      <c r="A480" s="2" t="s">
        <v>325</v>
      </c>
      <c r="B480" s="3">
        <v>6.75</v>
      </c>
    </row>
    <row r="481" spans="1:2" x14ac:dyDescent="0.25">
      <c r="A481" s="2" t="s">
        <v>1048</v>
      </c>
      <c r="B481" s="3">
        <v>6.4333333333333336</v>
      </c>
    </row>
    <row r="482" spans="1:2" x14ac:dyDescent="0.25">
      <c r="A482" s="2" t="s">
        <v>5486</v>
      </c>
      <c r="B482" s="3">
        <v>6</v>
      </c>
    </row>
    <row r="483" spans="1:2" x14ac:dyDescent="0.25">
      <c r="A483" s="2" t="s">
        <v>1486</v>
      </c>
      <c r="B483" s="3">
        <v>6.1</v>
      </c>
    </row>
    <row r="484" spans="1:2" x14ac:dyDescent="0.25">
      <c r="A484" s="2" t="s">
        <v>503</v>
      </c>
      <c r="B484" s="3">
        <v>6.6</v>
      </c>
    </row>
    <row r="485" spans="1:2" x14ac:dyDescent="0.25">
      <c r="A485" s="2" t="s">
        <v>1819</v>
      </c>
      <c r="B485" s="3">
        <v>7.1142857142857139</v>
      </c>
    </row>
    <row r="486" spans="1:2" x14ac:dyDescent="0.25">
      <c r="A486" s="2" t="s">
        <v>2441</v>
      </c>
      <c r="B486" s="3">
        <v>5.8</v>
      </c>
    </row>
    <row r="487" spans="1:2" x14ac:dyDescent="0.25">
      <c r="A487" s="2" t="s">
        <v>2451</v>
      </c>
      <c r="B487" s="3">
        <v>3</v>
      </c>
    </row>
    <row r="488" spans="1:2" x14ac:dyDescent="0.25">
      <c r="A488" s="2" t="s">
        <v>813</v>
      </c>
      <c r="B488" s="3">
        <v>6.65</v>
      </c>
    </row>
    <row r="489" spans="1:2" x14ac:dyDescent="0.25">
      <c r="A489" s="2" t="s">
        <v>6090</v>
      </c>
      <c r="B489" s="3">
        <v>7</v>
      </c>
    </row>
    <row r="490" spans="1:2" x14ac:dyDescent="0.25">
      <c r="A490" s="2" t="s">
        <v>3910</v>
      </c>
      <c r="B490" s="3">
        <v>5</v>
      </c>
    </row>
    <row r="491" spans="1:2" x14ac:dyDescent="0.25">
      <c r="A491" s="2" t="s">
        <v>927</v>
      </c>
      <c r="B491" s="3">
        <v>6.9</v>
      </c>
    </row>
    <row r="492" spans="1:2" x14ac:dyDescent="0.25">
      <c r="A492" s="2" t="s">
        <v>129</v>
      </c>
      <c r="B492" s="3">
        <v>7.6999999999999993</v>
      </c>
    </row>
    <row r="493" spans="1:2" x14ac:dyDescent="0.25">
      <c r="A493" s="2" t="s">
        <v>756</v>
      </c>
      <c r="B493" s="3">
        <v>6.25</v>
      </c>
    </row>
    <row r="494" spans="1:2" x14ac:dyDescent="0.25">
      <c r="A494" s="2" t="s">
        <v>5538</v>
      </c>
      <c r="B494" s="3">
        <v>6.4</v>
      </c>
    </row>
    <row r="495" spans="1:2" x14ac:dyDescent="0.25">
      <c r="A495" s="2" t="s">
        <v>3699</v>
      </c>
      <c r="B495" s="3">
        <v>5.2</v>
      </c>
    </row>
    <row r="496" spans="1:2" x14ac:dyDescent="0.25">
      <c r="A496" s="2" t="s">
        <v>310</v>
      </c>
      <c r="B496" s="3">
        <v>6.5749999999999993</v>
      </c>
    </row>
    <row r="497" spans="1:2" x14ac:dyDescent="0.25">
      <c r="A497" s="2" t="s">
        <v>911</v>
      </c>
      <c r="B497" s="3">
        <v>5.55</v>
      </c>
    </row>
    <row r="498" spans="1:2" x14ac:dyDescent="0.25">
      <c r="A498" s="2" t="s">
        <v>1707</v>
      </c>
      <c r="B498" s="3">
        <v>5.3</v>
      </c>
    </row>
    <row r="499" spans="1:2" x14ac:dyDescent="0.25">
      <c r="A499" s="2" t="s">
        <v>2665</v>
      </c>
      <c r="B499" s="3">
        <v>7</v>
      </c>
    </row>
    <row r="500" spans="1:2" x14ac:dyDescent="0.25">
      <c r="A500" s="2" t="s">
        <v>2315</v>
      </c>
      <c r="B500" s="3">
        <v>6.3</v>
      </c>
    </row>
    <row r="501" spans="1:2" x14ac:dyDescent="0.25">
      <c r="A501" s="2" t="s">
        <v>5963</v>
      </c>
      <c r="B501" s="3">
        <v>6.5</v>
      </c>
    </row>
    <row r="502" spans="1:2" x14ac:dyDescent="0.25">
      <c r="A502" s="2" t="s">
        <v>191</v>
      </c>
      <c r="B502" s="3">
        <v>4.0999999999999996</v>
      </c>
    </row>
    <row r="503" spans="1:2" x14ac:dyDescent="0.25">
      <c r="A503" s="2" t="s">
        <v>2765</v>
      </c>
      <c r="B503" s="3">
        <v>6.4599999999999991</v>
      </c>
    </row>
    <row r="504" spans="1:2" x14ac:dyDescent="0.25">
      <c r="A504" s="2" t="s">
        <v>5404</v>
      </c>
      <c r="B504" s="3">
        <v>7.1</v>
      </c>
    </row>
    <row r="505" spans="1:2" x14ac:dyDescent="0.25">
      <c r="A505" s="2" t="s">
        <v>1944</v>
      </c>
      <c r="B505" s="3">
        <v>5.3</v>
      </c>
    </row>
    <row r="506" spans="1:2" x14ac:dyDescent="0.25">
      <c r="A506" s="2" t="s">
        <v>3620</v>
      </c>
      <c r="B506" s="3">
        <v>8</v>
      </c>
    </row>
    <row r="507" spans="1:2" x14ac:dyDescent="0.25">
      <c r="A507" s="2" t="s">
        <v>1586</v>
      </c>
      <c r="B507" s="3">
        <v>5.55</v>
      </c>
    </row>
    <row r="508" spans="1:2" x14ac:dyDescent="0.25">
      <c r="A508" s="2" t="s">
        <v>1209</v>
      </c>
      <c r="B508" s="3">
        <v>7.3</v>
      </c>
    </row>
    <row r="509" spans="1:2" x14ac:dyDescent="0.25">
      <c r="A509" s="2" t="s">
        <v>1984</v>
      </c>
      <c r="B509" s="3">
        <v>7.6400000000000006</v>
      </c>
    </row>
    <row r="510" spans="1:2" x14ac:dyDescent="0.25">
      <c r="A510" s="2" t="s">
        <v>5522</v>
      </c>
      <c r="B510" s="3">
        <v>3.5</v>
      </c>
    </row>
    <row r="511" spans="1:2" x14ac:dyDescent="0.25">
      <c r="A511" s="2" t="s">
        <v>4720</v>
      </c>
      <c r="B511" s="3">
        <v>7.05</v>
      </c>
    </row>
    <row r="512" spans="1:2" x14ac:dyDescent="0.25">
      <c r="A512" s="2" t="s">
        <v>685</v>
      </c>
      <c r="B512" s="3">
        <v>5</v>
      </c>
    </row>
    <row r="513" spans="1:2" x14ac:dyDescent="0.25">
      <c r="A513" s="2" t="s">
        <v>3000</v>
      </c>
      <c r="B513" s="3">
        <v>6.2</v>
      </c>
    </row>
    <row r="514" spans="1:2" x14ac:dyDescent="0.25">
      <c r="A514" s="2" t="s">
        <v>3442</v>
      </c>
      <c r="B514" s="3">
        <v>5.4</v>
      </c>
    </row>
    <row r="515" spans="1:2" x14ac:dyDescent="0.25">
      <c r="A515" s="2" t="s">
        <v>5492</v>
      </c>
      <c r="B515" s="3">
        <v>6.3</v>
      </c>
    </row>
    <row r="516" spans="1:2" x14ac:dyDescent="0.25">
      <c r="A516" s="2" t="s">
        <v>4169</v>
      </c>
      <c r="B516" s="3">
        <v>5.5</v>
      </c>
    </row>
    <row r="517" spans="1:2" x14ac:dyDescent="0.25">
      <c r="A517" s="2" t="s">
        <v>229</v>
      </c>
      <c r="B517" s="3">
        <v>6.5166666666666666</v>
      </c>
    </row>
    <row r="518" spans="1:2" x14ac:dyDescent="0.25">
      <c r="A518" s="2" t="s">
        <v>1924</v>
      </c>
      <c r="B518" s="3">
        <v>7.3</v>
      </c>
    </row>
    <row r="519" spans="1:2" x14ac:dyDescent="0.25">
      <c r="A519" s="2" t="s">
        <v>4455</v>
      </c>
      <c r="B519" s="3">
        <v>6.1</v>
      </c>
    </row>
    <row r="520" spans="1:2" x14ac:dyDescent="0.25">
      <c r="A520" s="2" t="s">
        <v>6417</v>
      </c>
      <c r="B520" s="3">
        <v>6</v>
      </c>
    </row>
    <row r="521" spans="1:2" x14ac:dyDescent="0.25">
      <c r="A521" s="2" t="s">
        <v>698</v>
      </c>
      <c r="B521" s="3">
        <v>5.5166666666666666</v>
      </c>
    </row>
    <row r="522" spans="1:2" x14ac:dyDescent="0.25">
      <c r="A522" s="2" t="s">
        <v>2347</v>
      </c>
      <c r="B522" s="3">
        <v>6.8</v>
      </c>
    </row>
    <row r="523" spans="1:2" x14ac:dyDescent="0.25">
      <c r="A523" s="2" t="s">
        <v>4051</v>
      </c>
      <c r="B523" s="3">
        <v>5.3666666666666671</v>
      </c>
    </row>
    <row r="524" spans="1:2" x14ac:dyDescent="0.25">
      <c r="A524" s="2" t="s">
        <v>4370</v>
      </c>
      <c r="B524" s="3">
        <v>6.9</v>
      </c>
    </row>
    <row r="525" spans="1:2" x14ac:dyDescent="0.25">
      <c r="A525" s="2" t="s">
        <v>1056</v>
      </c>
      <c r="B525" s="3">
        <v>5.166666666666667</v>
      </c>
    </row>
    <row r="526" spans="1:2" x14ac:dyDescent="0.25">
      <c r="A526" s="2" t="s">
        <v>1176</v>
      </c>
      <c r="B526" s="3">
        <v>7.2</v>
      </c>
    </row>
    <row r="527" spans="1:2" x14ac:dyDescent="0.25">
      <c r="A527" s="2" t="s">
        <v>5082</v>
      </c>
      <c r="B527" s="3">
        <v>6.8</v>
      </c>
    </row>
    <row r="528" spans="1:2" x14ac:dyDescent="0.25">
      <c r="A528" s="2" t="s">
        <v>5771</v>
      </c>
      <c r="B528" s="3">
        <v>8.1</v>
      </c>
    </row>
    <row r="529" spans="1:2" x14ac:dyDescent="0.25">
      <c r="A529" s="2" t="s">
        <v>3036</v>
      </c>
      <c r="B529" s="3">
        <v>6.85</v>
      </c>
    </row>
    <row r="530" spans="1:2" x14ac:dyDescent="0.25">
      <c r="A530" s="2" t="s">
        <v>2953</v>
      </c>
      <c r="B530" s="3">
        <v>6.666666666666667</v>
      </c>
    </row>
    <row r="531" spans="1:2" x14ac:dyDescent="0.25">
      <c r="A531" s="2" t="s">
        <v>668</v>
      </c>
      <c r="B531" s="3">
        <v>5.75</v>
      </c>
    </row>
    <row r="532" spans="1:2" x14ac:dyDescent="0.25">
      <c r="A532" s="2" t="s">
        <v>5850</v>
      </c>
      <c r="B532" s="3">
        <v>6.5</v>
      </c>
    </row>
    <row r="533" spans="1:2" x14ac:dyDescent="0.25">
      <c r="A533" s="2" t="s">
        <v>2351</v>
      </c>
      <c r="B533" s="3">
        <v>2.8</v>
      </c>
    </row>
    <row r="534" spans="1:2" x14ac:dyDescent="0.25">
      <c r="A534" s="2" t="s">
        <v>1787</v>
      </c>
      <c r="B534" s="3">
        <v>2.8</v>
      </c>
    </row>
    <row r="535" spans="1:2" x14ac:dyDescent="0.25">
      <c r="A535" s="2" t="s">
        <v>2363</v>
      </c>
      <c r="B535" s="3">
        <v>6.9</v>
      </c>
    </row>
    <row r="536" spans="1:2" x14ac:dyDescent="0.25">
      <c r="A536" s="2" t="s">
        <v>29</v>
      </c>
      <c r="B536" s="3">
        <v>5.26</v>
      </c>
    </row>
    <row r="537" spans="1:2" x14ac:dyDescent="0.25">
      <c r="A537" s="2" t="s">
        <v>3811</v>
      </c>
      <c r="B537" s="3">
        <v>6.5333333333333341</v>
      </c>
    </row>
    <row r="538" spans="1:2" x14ac:dyDescent="0.25">
      <c r="A538" s="2" t="s">
        <v>3879</v>
      </c>
      <c r="B538" s="3">
        <v>6.4</v>
      </c>
    </row>
    <row r="539" spans="1:2" x14ac:dyDescent="0.25">
      <c r="A539" s="2" t="s">
        <v>593</v>
      </c>
      <c r="B539" s="3">
        <v>6.333333333333333</v>
      </c>
    </row>
    <row r="540" spans="1:2" x14ac:dyDescent="0.25">
      <c r="A540" s="2" t="s">
        <v>5120</v>
      </c>
      <c r="B540" s="3">
        <v>6.6</v>
      </c>
    </row>
    <row r="541" spans="1:2" x14ac:dyDescent="0.25">
      <c r="A541" s="2" t="s">
        <v>5221</v>
      </c>
      <c r="B541" s="3">
        <v>4.5999999999999996</v>
      </c>
    </row>
    <row r="542" spans="1:2" x14ac:dyDescent="0.25">
      <c r="A542" s="2" t="s">
        <v>2654</v>
      </c>
      <c r="B542" s="3">
        <v>5.3</v>
      </c>
    </row>
    <row r="543" spans="1:2" x14ac:dyDescent="0.25">
      <c r="A543" s="2" t="s">
        <v>5015</v>
      </c>
      <c r="B543" s="3">
        <v>7.2</v>
      </c>
    </row>
    <row r="544" spans="1:2" x14ac:dyDescent="0.25">
      <c r="A544" s="2" t="s">
        <v>5411</v>
      </c>
      <c r="B544" s="3">
        <v>7.8</v>
      </c>
    </row>
    <row r="545" spans="1:2" x14ac:dyDescent="0.25">
      <c r="A545" s="2" t="s">
        <v>4290</v>
      </c>
      <c r="B545" s="3">
        <v>5.9</v>
      </c>
    </row>
    <row r="546" spans="1:2" x14ac:dyDescent="0.25">
      <c r="A546" s="2" t="s">
        <v>6699</v>
      </c>
      <c r="B546" s="3">
        <v>7</v>
      </c>
    </row>
    <row r="547" spans="1:2" x14ac:dyDescent="0.25">
      <c r="A547" s="2" t="s">
        <v>803</v>
      </c>
      <c r="B547" s="3">
        <v>7.9666666666666659</v>
      </c>
    </row>
    <row r="548" spans="1:2" x14ac:dyDescent="0.25">
      <c r="A548" s="2" t="s">
        <v>3205</v>
      </c>
      <c r="B548" s="3">
        <v>5.4</v>
      </c>
    </row>
    <row r="549" spans="1:2" x14ac:dyDescent="0.25">
      <c r="A549" s="2" t="s">
        <v>119</v>
      </c>
      <c r="B549" s="3">
        <v>5.6333333333333329</v>
      </c>
    </row>
    <row r="550" spans="1:2" x14ac:dyDescent="0.25">
      <c r="A550" s="2" t="s">
        <v>1979</v>
      </c>
      <c r="B550" s="3">
        <v>7.6</v>
      </c>
    </row>
    <row r="551" spans="1:2" x14ac:dyDescent="0.25">
      <c r="A551" s="2" t="s">
        <v>2238</v>
      </c>
      <c r="B551" s="3">
        <v>7.2</v>
      </c>
    </row>
    <row r="552" spans="1:2" x14ac:dyDescent="0.25">
      <c r="A552" s="2" t="s">
        <v>3354</v>
      </c>
      <c r="B552" s="3">
        <v>6.6</v>
      </c>
    </row>
    <row r="553" spans="1:2" x14ac:dyDescent="0.25">
      <c r="A553" s="2" t="s">
        <v>5385</v>
      </c>
      <c r="B553" s="3">
        <v>7.7</v>
      </c>
    </row>
    <row r="554" spans="1:2" x14ac:dyDescent="0.25">
      <c r="A554" s="2" t="s">
        <v>3488</v>
      </c>
      <c r="B554" s="3">
        <v>7.4499999999999993</v>
      </c>
    </row>
    <row r="555" spans="1:2" x14ac:dyDescent="0.25">
      <c r="A555" s="2" t="s">
        <v>6295</v>
      </c>
      <c r="B555" s="3">
        <v>4.0999999999999996</v>
      </c>
    </row>
    <row r="556" spans="1:2" x14ac:dyDescent="0.25">
      <c r="A556" s="2" t="s">
        <v>3929</v>
      </c>
      <c r="B556" s="3">
        <v>7.35</v>
      </c>
    </row>
    <row r="557" spans="1:2" x14ac:dyDescent="0.25">
      <c r="A557" s="2" t="s">
        <v>2286</v>
      </c>
      <c r="B557" s="3">
        <v>4.5</v>
      </c>
    </row>
    <row r="558" spans="1:2" x14ac:dyDescent="0.25">
      <c r="A558" s="2" t="s">
        <v>5698</v>
      </c>
      <c r="B558" s="3">
        <v>6.5</v>
      </c>
    </row>
    <row r="559" spans="1:2" x14ac:dyDescent="0.25">
      <c r="A559" s="2" t="s">
        <v>1750</v>
      </c>
      <c r="B559" s="3">
        <v>3.7</v>
      </c>
    </row>
    <row r="560" spans="1:2" x14ac:dyDescent="0.25">
      <c r="A560" s="2" t="s">
        <v>3684</v>
      </c>
      <c r="B560" s="3">
        <v>4.0999999999999996</v>
      </c>
    </row>
    <row r="561" spans="1:2" x14ac:dyDescent="0.25">
      <c r="A561" s="2" t="s">
        <v>5207</v>
      </c>
      <c r="B561" s="3">
        <v>5.3</v>
      </c>
    </row>
    <row r="562" spans="1:2" x14ac:dyDescent="0.25">
      <c r="A562" s="2" t="s">
        <v>4288</v>
      </c>
      <c r="B562" s="3">
        <v>7.5</v>
      </c>
    </row>
    <row r="563" spans="1:2" x14ac:dyDescent="0.25">
      <c r="A563" s="2" t="s">
        <v>3633</v>
      </c>
      <c r="B563" s="3">
        <v>4.9000000000000004</v>
      </c>
    </row>
    <row r="564" spans="1:2" x14ac:dyDescent="0.25">
      <c r="A564" s="2" t="s">
        <v>3198</v>
      </c>
      <c r="B564" s="3">
        <v>4.7</v>
      </c>
    </row>
    <row r="565" spans="1:2" x14ac:dyDescent="0.25">
      <c r="A565" s="2" t="s">
        <v>5824</v>
      </c>
      <c r="B565" s="3">
        <v>6.3</v>
      </c>
    </row>
    <row r="566" spans="1:2" x14ac:dyDescent="0.25">
      <c r="A566" s="2" t="s">
        <v>3330</v>
      </c>
      <c r="B566" s="3">
        <v>5.0999999999999996</v>
      </c>
    </row>
    <row r="567" spans="1:2" x14ac:dyDescent="0.25">
      <c r="A567" s="2" t="s">
        <v>6547</v>
      </c>
      <c r="B567" s="3">
        <v>5.0999999999999996</v>
      </c>
    </row>
    <row r="568" spans="1:2" x14ac:dyDescent="0.25">
      <c r="A568" s="2" t="s">
        <v>4740</v>
      </c>
      <c r="B568" s="3">
        <v>4.3</v>
      </c>
    </row>
    <row r="569" spans="1:2" x14ac:dyDescent="0.25">
      <c r="A569" s="2" t="s">
        <v>2222</v>
      </c>
      <c r="B569" s="3">
        <v>3.1</v>
      </c>
    </row>
    <row r="570" spans="1:2" x14ac:dyDescent="0.25">
      <c r="A570" s="2" t="s">
        <v>145</v>
      </c>
      <c r="B570" s="3">
        <v>6.166666666666667</v>
      </c>
    </row>
    <row r="571" spans="1:2" x14ac:dyDescent="0.25">
      <c r="A571" s="2" t="s">
        <v>4609</v>
      </c>
      <c r="B571" s="3">
        <v>5.2</v>
      </c>
    </row>
    <row r="572" spans="1:2" x14ac:dyDescent="0.25">
      <c r="A572" s="2" t="s">
        <v>875</v>
      </c>
      <c r="B572" s="3">
        <v>7</v>
      </c>
    </row>
    <row r="573" spans="1:2" x14ac:dyDescent="0.25">
      <c r="A573" s="2" t="s">
        <v>1918</v>
      </c>
      <c r="B573" s="3">
        <v>6.6333333333333329</v>
      </c>
    </row>
    <row r="574" spans="1:2" x14ac:dyDescent="0.25">
      <c r="A574" s="2" t="s">
        <v>4087</v>
      </c>
      <c r="B574" s="3">
        <v>7.5</v>
      </c>
    </row>
    <row r="575" spans="1:2" x14ac:dyDescent="0.25">
      <c r="A575" s="2" t="s">
        <v>4196</v>
      </c>
      <c r="B575" s="3">
        <v>4.9000000000000004</v>
      </c>
    </row>
    <row r="576" spans="1:2" x14ac:dyDescent="0.25">
      <c r="A576" s="2" t="s">
        <v>4318</v>
      </c>
      <c r="B576" s="3">
        <v>3.3</v>
      </c>
    </row>
    <row r="577" spans="1:2" x14ac:dyDescent="0.25">
      <c r="A577" s="2" t="s">
        <v>3866</v>
      </c>
      <c r="B577" s="3">
        <v>5.9</v>
      </c>
    </row>
    <row r="578" spans="1:2" x14ac:dyDescent="0.25">
      <c r="A578" s="2" t="s">
        <v>3180</v>
      </c>
      <c r="B578" s="3">
        <v>7.6</v>
      </c>
    </row>
    <row r="579" spans="1:2" x14ac:dyDescent="0.25">
      <c r="A579" s="2" t="s">
        <v>2213</v>
      </c>
      <c r="B579" s="3">
        <v>6.3</v>
      </c>
    </row>
    <row r="580" spans="1:2" x14ac:dyDescent="0.25">
      <c r="A580" s="2" t="s">
        <v>78</v>
      </c>
      <c r="B580" s="3">
        <v>5.6625000000000005</v>
      </c>
    </row>
    <row r="581" spans="1:2" x14ac:dyDescent="0.25">
      <c r="A581" s="2" t="s">
        <v>4079</v>
      </c>
      <c r="B581" s="3">
        <v>7.5</v>
      </c>
    </row>
    <row r="582" spans="1:2" x14ac:dyDescent="0.25">
      <c r="A582" s="2" t="s">
        <v>6423</v>
      </c>
      <c r="B582" s="3">
        <v>7.5</v>
      </c>
    </row>
    <row r="583" spans="1:2" x14ac:dyDescent="0.25">
      <c r="A583" s="2" t="s">
        <v>5090</v>
      </c>
      <c r="B583" s="3">
        <v>5.4</v>
      </c>
    </row>
    <row r="584" spans="1:2" x14ac:dyDescent="0.25">
      <c r="A584" s="2" t="s">
        <v>425</v>
      </c>
      <c r="B584" s="3">
        <v>6.9</v>
      </c>
    </row>
    <row r="585" spans="1:2" x14ac:dyDescent="0.25">
      <c r="A585" s="2" t="s">
        <v>1219</v>
      </c>
      <c r="B585" s="3">
        <v>7.1</v>
      </c>
    </row>
    <row r="586" spans="1:2" x14ac:dyDescent="0.25">
      <c r="A586" s="2" t="s">
        <v>1848</v>
      </c>
      <c r="B586" s="3">
        <v>4.5999999999999996</v>
      </c>
    </row>
    <row r="587" spans="1:2" x14ac:dyDescent="0.25">
      <c r="A587" s="2" t="s">
        <v>2384</v>
      </c>
      <c r="B587" s="3">
        <v>5.5</v>
      </c>
    </row>
    <row r="588" spans="1:2" x14ac:dyDescent="0.25">
      <c r="A588" s="2" t="s">
        <v>4763</v>
      </c>
      <c r="B588" s="3">
        <v>6.4000000000000012</v>
      </c>
    </row>
    <row r="589" spans="1:2" x14ac:dyDescent="0.25">
      <c r="A589" s="2" t="s">
        <v>2418</v>
      </c>
      <c r="B589" s="3">
        <v>6.7</v>
      </c>
    </row>
    <row r="590" spans="1:2" x14ac:dyDescent="0.25">
      <c r="A590" s="2" t="s">
        <v>5389</v>
      </c>
      <c r="B590" s="3">
        <v>6.7</v>
      </c>
    </row>
    <row r="591" spans="1:2" x14ac:dyDescent="0.25">
      <c r="A591" s="2" t="s">
        <v>4511</v>
      </c>
      <c r="B591" s="3">
        <v>6.9</v>
      </c>
    </row>
    <row r="592" spans="1:2" x14ac:dyDescent="0.25">
      <c r="A592" s="2" t="s">
        <v>2950</v>
      </c>
      <c r="B592" s="3">
        <v>7</v>
      </c>
    </row>
    <row r="593" spans="1:2" x14ac:dyDescent="0.25">
      <c r="A593" s="2" t="s">
        <v>5542</v>
      </c>
      <c r="B593" s="3">
        <v>7.6</v>
      </c>
    </row>
    <row r="594" spans="1:2" x14ac:dyDescent="0.25">
      <c r="A594" s="2" t="s">
        <v>2044</v>
      </c>
      <c r="B594" s="3">
        <v>4.3</v>
      </c>
    </row>
    <row r="595" spans="1:2" x14ac:dyDescent="0.25">
      <c r="A595" s="2" t="s">
        <v>5383</v>
      </c>
      <c r="B595" s="3">
        <v>7.3</v>
      </c>
    </row>
    <row r="596" spans="1:2" x14ac:dyDescent="0.25">
      <c r="A596" s="2" t="s">
        <v>986</v>
      </c>
      <c r="B596" s="3">
        <v>7.7</v>
      </c>
    </row>
    <row r="597" spans="1:2" x14ac:dyDescent="0.25">
      <c r="A597" s="2" t="s">
        <v>4802</v>
      </c>
      <c r="B597" s="3">
        <v>7.4</v>
      </c>
    </row>
    <row r="598" spans="1:2" x14ac:dyDescent="0.25">
      <c r="A598" s="2" t="s">
        <v>4105</v>
      </c>
      <c r="B598" s="3">
        <v>6.8</v>
      </c>
    </row>
    <row r="599" spans="1:2" x14ac:dyDescent="0.25">
      <c r="A599" s="2" t="s">
        <v>3432</v>
      </c>
      <c r="B599" s="3">
        <v>5.25</v>
      </c>
    </row>
    <row r="600" spans="1:2" x14ac:dyDescent="0.25">
      <c r="A600" s="2" t="s">
        <v>2401</v>
      </c>
      <c r="B600" s="3">
        <v>4.2</v>
      </c>
    </row>
    <row r="601" spans="1:2" x14ac:dyDescent="0.25">
      <c r="A601" s="2" t="s">
        <v>4819</v>
      </c>
      <c r="B601" s="3">
        <v>6.4</v>
      </c>
    </row>
    <row r="602" spans="1:2" x14ac:dyDescent="0.25">
      <c r="A602" s="2" t="s">
        <v>6470</v>
      </c>
      <c r="B602" s="3">
        <v>6.8</v>
      </c>
    </row>
    <row r="603" spans="1:2" x14ac:dyDescent="0.25">
      <c r="A603" s="2" t="s">
        <v>3540</v>
      </c>
      <c r="B603" s="3">
        <v>5.9</v>
      </c>
    </row>
    <row r="604" spans="1:2" x14ac:dyDescent="0.25">
      <c r="A604" s="2" t="s">
        <v>4331</v>
      </c>
      <c r="B604" s="3">
        <v>4</v>
      </c>
    </row>
    <row r="605" spans="1:2" x14ac:dyDescent="0.25">
      <c r="A605" s="2" t="s">
        <v>4007</v>
      </c>
      <c r="B605" s="3">
        <v>6.9</v>
      </c>
    </row>
    <row r="606" spans="1:2" x14ac:dyDescent="0.25">
      <c r="A606" s="2" t="s">
        <v>6693</v>
      </c>
      <c r="B606" s="3">
        <v>6.6</v>
      </c>
    </row>
    <row r="607" spans="1:2" x14ac:dyDescent="0.25">
      <c r="A607" s="2" t="s">
        <v>3435</v>
      </c>
      <c r="B607" s="3">
        <v>7.6</v>
      </c>
    </row>
    <row r="608" spans="1:2" x14ac:dyDescent="0.25">
      <c r="A608" s="2" t="s">
        <v>2078</v>
      </c>
      <c r="B608" s="3">
        <v>6.4250000000000007</v>
      </c>
    </row>
    <row r="609" spans="1:2" x14ac:dyDescent="0.25">
      <c r="A609" s="2" t="s">
        <v>2359</v>
      </c>
      <c r="B609" s="3">
        <v>5.5</v>
      </c>
    </row>
    <row r="610" spans="1:2" x14ac:dyDescent="0.25">
      <c r="A610" s="2" t="s">
        <v>1364</v>
      </c>
      <c r="B610" s="3">
        <v>7.2</v>
      </c>
    </row>
    <row r="611" spans="1:2" x14ac:dyDescent="0.25">
      <c r="A611" s="2" t="s">
        <v>3158</v>
      </c>
      <c r="B611" s="3">
        <v>6.4</v>
      </c>
    </row>
    <row r="612" spans="1:2" x14ac:dyDescent="0.25">
      <c r="A612" s="2" t="s">
        <v>692</v>
      </c>
      <c r="B612" s="3">
        <v>7.1499999999999995</v>
      </c>
    </row>
    <row r="613" spans="1:2" x14ac:dyDescent="0.25">
      <c r="A613" s="2" t="s">
        <v>6146</v>
      </c>
      <c r="B613" s="3">
        <v>6.1</v>
      </c>
    </row>
    <row r="614" spans="1:2" x14ac:dyDescent="0.25">
      <c r="A614" s="2" t="s">
        <v>6744</v>
      </c>
      <c r="B614" s="3">
        <v>5.7</v>
      </c>
    </row>
    <row r="615" spans="1:2" x14ac:dyDescent="0.25">
      <c r="A615" s="2" t="s">
        <v>4388</v>
      </c>
      <c r="B615" s="3">
        <v>4.2</v>
      </c>
    </row>
    <row r="616" spans="1:2" x14ac:dyDescent="0.25">
      <c r="A616" s="2" t="s">
        <v>1426</v>
      </c>
      <c r="B616" s="3">
        <v>6.1</v>
      </c>
    </row>
    <row r="617" spans="1:2" x14ac:dyDescent="0.25">
      <c r="A617" s="2" t="s">
        <v>6206</v>
      </c>
      <c r="B617" s="3">
        <v>7.6</v>
      </c>
    </row>
    <row r="618" spans="1:2" x14ac:dyDescent="0.25">
      <c r="A618" s="2" t="s">
        <v>2782</v>
      </c>
      <c r="B618" s="3">
        <v>5.5666666666666673</v>
      </c>
    </row>
    <row r="619" spans="1:2" x14ac:dyDescent="0.25">
      <c r="A619" s="2" t="s">
        <v>2259</v>
      </c>
      <c r="B619" s="3">
        <v>7.8666666666666671</v>
      </c>
    </row>
    <row r="620" spans="1:2" x14ac:dyDescent="0.25">
      <c r="A620" s="2" t="s">
        <v>3674</v>
      </c>
      <c r="B620" s="3">
        <v>6</v>
      </c>
    </row>
    <row r="621" spans="1:2" x14ac:dyDescent="0.25">
      <c r="A621" s="2" t="s">
        <v>4813</v>
      </c>
      <c r="B621" s="3">
        <v>4.3</v>
      </c>
    </row>
    <row r="622" spans="1:2" x14ac:dyDescent="0.25">
      <c r="A622" s="2" t="s">
        <v>4182</v>
      </c>
      <c r="B622" s="3">
        <v>5.4</v>
      </c>
    </row>
    <row r="623" spans="1:2" x14ac:dyDescent="0.25">
      <c r="A623" s="2" t="s">
        <v>5600</v>
      </c>
      <c r="B623" s="3">
        <v>5.7</v>
      </c>
    </row>
    <row r="624" spans="1:2" x14ac:dyDescent="0.25">
      <c r="A624" s="2" t="s">
        <v>4643</v>
      </c>
      <c r="B624" s="3">
        <v>7</v>
      </c>
    </row>
    <row r="625" spans="1:2" x14ac:dyDescent="0.25">
      <c r="A625" s="2" t="s">
        <v>1510</v>
      </c>
      <c r="B625" s="3">
        <v>4</v>
      </c>
    </row>
    <row r="626" spans="1:2" x14ac:dyDescent="0.25">
      <c r="A626" s="2" t="s">
        <v>1875</v>
      </c>
      <c r="B626" s="3">
        <v>6.5</v>
      </c>
    </row>
    <row r="627" spans="1:2" x14ac:dyDescent="0.25">
      <c r="A627" s="2" t="s">
        <v>6218</v>
      </c>
      <c r="B627" s="3">
        <v>6.4</v>
      </c>
    </row>
    <row r="628" spans="1:2" x14ac:dyDescent="0.25">
      <c r="A628" s="2" t="s">
        <v>5430</v>
      </c>
      <c r="B628" s="3">
        <v>5</v>
      </c>
    </row>
    <row r="629" spans="1:2" x14ac:dyDescent="0.25">
      <c r="A629" s="2" t="s">
        <v>5681</v>
      </c>
      <c r="B629" s="3">
        <v>5.7</v>
      </c>
    </row>
    <row r="630" spans="1:2" x14ac:dyDescent="0.25">
      <c r="A630" s="2" t="s">
        <v>6565</v>
      </c>
      <c r="B630" s="3">
        <v>7.7</v>
      </c>
    </row>
    <row r="631" spans="1:2" x14ac:dyDescent="0.25">
      <c r="A631" s="2" t="s">
        <v>143</v>
      </c>
      <c r="B631" s="3">
        <v>5.1999999999999993</v>
      </c>
    </row>
    <row r="632" spans="1:2" x14ac:dyDescent="0.25">
      <c r="A632" s="2" t="s">
        <v>2008</v>
      </c>
      <c r="B632" s="3">
        <v>4.8</v>
      </c>
    </row>
    <row r="633" spans="1:2" x14ac:dyDescent="0.25">
      <c r="A633" s="2" t="s">
        <v>1556</v>
      </c>
      <c r="B633" s="3">
        <v>7.1</v>
      </c>
    </row>
    <row r="634" spans="1:2" x14ac:dyDescent="0.25">
      <c r="A634" s="2" t="s">
        <v>2720</v>
      </c>
      <c r="B634" s="3">
        <v>7</v>
      </c>
    </row>
    <row r="635" spans="1:2" x14ac:dyDescent="0.25">
      <c r="A635" s="2" t="s">
        <v>1526</v>
      </c>
      <c r="B635" s="3">
        <v>4.0999999999999996</v>
      </c>
    </row>
    <row r="636" spans="1:2" x14ac:dyDescent="0.25">
      <c r="A636" s="2" t="s">
        <v>1811</v>
      </c>
      <c r="B636" s="3">
        <v>7.4</v>
      </c>
    </row>
    <row r="637" spans="1:2" x14ac:dyDescent="0.25">
      <c r="A637" s="2" t="s">
        <v>1353</v>
      </c>
      <c r="B637" s="3">
        <v>6.1</v>
      </c>
    </row>
    <row r="638" spans="1:2" x14ac:dyDescent="0.25">
      <c r="A638" s="2" t="s">
        <v>2589</v>
      </c>
      <c r="B638" s="3">
        <v>5.2</v>
      </c>
    </row>
    <row r="639" spans="1:2" x14ac:dyDescent="0.25">
      <c r="A639" s="2" t="s">
        <v>6664</v>
      </c>
      <c r="B639" s="3">
        <v>6.1</v>
      </c>
    </row>
    <row r="640" spans="1:2" x14ac:dyDescent="0.25">
      <c r="A640" s="2" t="s">
        <v>6142</v>
      </c>
      <c r="B640" s="3">
        <v>6</v>
      </c>
    </row>
    <row r="641" spans="1:2" x14ac:dyDescent="0.25">
      <c r="A641" s="2" t="s">
        <v>6680</v>
      </c>
      <c r="B641" s="3">
        <v>6.4</v>
      </c>
    </row>
    <row r="642" spans="1:2" x14ac:dyDescent="0.25">
      <c r="A642" s="2" t="s">
        <v>1765</v>
      </c>
      <c r="B642" s="3">
        <v>3.9</v>
      </c>
    </row>
    <row r="643" spans="1:2" x14ac:dyDescent="0.25">
      <c r="A643" s="2" t="s">
        <v>1906</v>
      </c>
      <c r="B643" s="3">
        <v>7</v>
      </c>
    </row>
    <row r="644" spans="1:2" x14ac:dyDescent="0.25">
      <c r="A644" s="2" t="s">
        <v>3774</v>
      </c>
      <c r="B644" s="3">
        <v>4.9000000000000004</v>
      </c>
    </row>
    <row r="645" spans="1:2" x14ac:dyDescent="0.25">
      <c r="A645" s="2" t="s">
        <v>3945</v>
      </c>
      <c r="B645" s="3">
        <v>6.7</v>
      </c>
    </row>
    <row r="646" spans="1:2" x14ac:dyDescent="0.25">
      <c r="A646" s="2" t="s">
        <v>1934</v>
      </c>
      <c r="B646" s="3">
        <v>5.4499999999999993</v>
      </c>
    </row>
    <row r="647" spans="1:2" x14ac:dyDescent="0.25">
      <c r="A647" s="2" t="s">
        <v>6196</v>
      </c>
      <c r="B647" s="3">
        <v>7.5</v>
      </c>
    </row>
    <row r="648" spans="1:2" x14ac:dyDescent="0.25">
      <c r="A648" s="2" t="s">
        <v>285</v>
      </c>
      <c r="B648" s="3">
        <v>6</v>
      </c>
    </row>
    <row r="649" spans="1:2" x14ac:dyDescent="0.25">
      <c r="A649" s="2" t="s">
        <v>542</v>
      </c>
      <c r="B649" s="3">
        <v>7.0166666666666666</v>
      </c>
    </row>
    <row r="650" spans="1:2" x14ac:dyDescent="0.25">
      <c r="A650" s="2" t="s">
        <v>3650</v>
      </c>
      <c r="B650" s="3">
        <v>6.7</v>
      </c>
    </row>
    <row r="651" spans="1:2" x14ac:dyDescent="0.25">
      <c r="A651" s="2" t="s">
        <v>5185</v>
      </c>
      <c r="B651" s="3">
        <v>6.7</v>
      </c>
    </row>
    <row r="652" spans="1:2" x14ac:dyDescent="0.25">
      <c r="A652" s="2" t="s">
        <v>2868</v>
      </c>
      <c r="B652" s="3">
        <v>7.6</v>
      </c>
    </row>
    <row r="653" spans="1:2" x14ac:dyDescent="0.25">
      <c r="A653" s="2" t="s">
        <v>149</v>
      </c>
      <c r="B653" s="3">
        <v>6.65</v>
      </c>
    </row>
    <row r="654" spans="1:2" x14ac:dyDescent="0.25">
      <c r="A654" s="2" t="s">
        <v>6275</v>
      </c>
      <c r="B654" s="3">
        <v>7.3</v>
      </c>
    </row>
    <row r="655" spans="1:2" x14ac:dyDescent="0.25">
      <c r="A655" s="2" t="s">
        <v>93</v>
      </c>
      <c r="B655" s="3">
        <v>6.8</v>
      </c>
    </row>
    <row r="656" spans="1:2" x14ac:dyDescent="0.25">
      <c r="A656" s="2" t="s">
        <v>5745</v>
      </c>
      <c r="B656" s="3">
        <v>7.9</v>
      </c>
    </row>
    <row r="657" spans="1:2" x14ac:dyDescent="0.25">
      <c r="A657" s="2" t="s">
        <v>6153</v>
      </c>
      <c r="B657" s="3">
        <v>7.3</v>
      </c>
    </row>
    <row r="658" spans="1:2" x14ac:dyDescent="0.25">
      <c r="A658" s="2" t="s">
        <v>996</v>
      </c>
      <c r="B658" s="3">
        <v>6.5</v>
      </c>
    </row>
    <row r="659" spans="1:2" x14ac:dyDescent="0.25">
      <c r="A659" s="2" t="s">
        <v>1615</v>
      </c>
      <c r="B659" s="3">
        <v>5.3</v>
      </c>
    </row>
    <row r="660" spans="1:2" x14ac:dyDescent="0.25">
      <c r="A660" s="2" t="s">
        <v>5922</v>
      </c>
      <c r="B660" s="3">
        <v>6.55</v>
      </c>
    </row>
    <row r="661" spans="1:2" x14ac:dyDescent="0.25">
      <c r="A661" s="2" t="s">
        <v>2547</v>
      </c>
      <c r="B661" s="3">
        <v>6.9</v>
      </c>
    </row>
    <row r="662" spans="1:2" x14ac:dyDescent="0.25">
      <c r="A662" s="2" t="s">
        <v>6282</v>
      </c>
      <c r="B662" s="3">
        <v>7.7</v>
      </c>
    </row>
    <row r="663" spans="1:2" x14ac:dyDescent="0.25">
      <c r="A663" s="2" t="s">
        <v>3315</v>
      </c>
      <c r="B663" s="3">
        <v>7.5999999999999988</v>
      </c>
    </row>
    <row r="664" spans="1:2" x14ac:dyDescent="0.25">
      <c r="A664" s="2" t="s">
        <v>6179</v>
      </c>
      <c r="B664" s="3">
        <v>7.4</v>
      </c>
    </row>
    <row r="665" spans="1:2" x14ac:dyDescent="0.25">
      <c r="A665" s="2" t="s">
        <v>1349</v>
      </c>
      <c r="B665" s="3">
        <v>7.3</v>
      </c>
    </row>
    <row r="666" spans="1:2" x14ac:dyDescent="0.25">
      <c r="A666" s="2" t="s">
        <v>5176</v>
      </c>
      <c r="B666" s="3">
        <v>5.3</v>
      </c>
    </row>
    <row r="667" spans="1:2" x14ac:dyDescent="0.25">
      <c r="A667" s="2" t="s">
        <v>6022</v>
      </c>
      <c r="B667" s="3">
        <v>7</v>
      </c>
    </row>
    <row r="668" spans="1:2" x14ac:dyDescent="0.25">
      <c r="A668" s="2" t="s">
        <v>6539</v>
      </c>
      <c r="B668" s="3">
        <v>7.5</v>
      </c>
    </row>
    <row r="669" spans="1:2" x14ac:dyDescent="0.25">
      <c r="A669" s="2" t="s">
        <v>3267</v>
      </c>
      <c r="B669" s="3">
        <v>6.6</v>
      </c>
    </row>
    <row r="670" spans="1:2" x14ac:dyDescent="0.25">
      <c r="A670" s="2" t="s">
        <v>5367</v>
      </c>
      <c r="B670" s="3">
        <v>6.6</v>
      </c>
    </row>
    <row r="671" spans="1:2" x14ac:dyDescent="0.25">
      <c r="A671" s="2" t="s">
        <v>4639</v>
      </c>
      <c r="B671" s="3">
        <v>8.5</v>
      </c>
    </row>
    <row r="672" spans="1:2" x14ac:dyDescent="0.25">
      <c r="A672" s="2" t="s">
        <v>6326</v>
      </c>
      <c r="B672" s="3">
        <v>6.4</v>
      </c>
    </row>
    <row r="673" spans="1:2" x14ac:dyDescent="0.25">
      <c r="A673" s="2" t="s">
        <v>830</v>
      </c>
      <c r="B673" s="3">
        <v>5.9</v>
      </c>
    </row>
    <row r="674" spans="1:2" x14ac:dyDescent="0.25">
      <c r="A674" s="2" t="s">
        <v>1655</v>
      </c>
      <c r="B674" s="3">
        <v>2</v>
      </c>
    </row>
    <row r="675" spans="1:2" x14ac:dyDescent="0.25">
      <c r="A675" s="2" t="s">
        <v>1202</v>
      </c>
      <c r="B675" s="3">
        <v>5.0999999999999996</v>
      </c>
    </row>
    <row r="676" spans="1:2" x14ac:dyDescent="0.25">
      <c r="A676" s="2" t="s">
        <v>4772</v>
      </c>
      <c r="B676" s="3">
        <v>7.7</v>
      </c>
    </row>
    <row r="677" spans="1:2" x14ac:dyDescent="0.25">
      <c r="A677" s="2" t="s">
        <v>4738</v>
      </c>
      <c r="B677" s="3">
        <v>6.9499999999999993</v>
      </c>
    </row>
    <row r="678" spans="1:2" x14ac:dyDescent="0.25">
      <c r="A678" s="2" t="s">
        <v>6553</v>
      </c>
      <c r="B678" s="3">
        <v>7.2</v>
      </c>
    </row>
    <row r="679" spans="1:2" x14ac:dyDescent="0.25">
      <c r="A679" s="2" t="s">
        <v>6695</v>
      </c>
      <c r="B679" s="3">
        <v>5.9</v>
      </c>
    </row>
    <row r="680" spans="1:2" x14ac:dyDescent="0.25">
      <c r="A680" s="2" t="s">
        <v>380</v>
      </c>
      <c r="B680" s="3">
        <v>7.2399999999999993</v>
      </c>
    </row>
    <row r="681" spans="1:2" x14ac:dyDescent="0.25">
      <c r="A681" s="2" t="s">
        <v>865</v>
      </c>
      <c r="B681" s="3">
        <v>6.9</v>
      </c>
    </row>
    <row r="682" spans="1:2" x14ac:dyDescent="0.25">
      <c r="A682" s="2" t="s">
        <v>6641</v>
      </c>
      <c r="B682" s="3">
        <v>6.1</v>
      </c>
    </row>
    <row r="683" spans="1:2" x14ac:dyDescent="0.25">
      <c r="A683" s="2" t="s">
        <v>4394</v>
      </c>
      <c r="B683" s="3">
        <v>6.9</v>
      </c>
    </row>
    <row r="684" spans="1:2" x14ac:dyDescent="0.25">
      <c r="A684" s="2" t="s">
        <v>2491</v>
      </c>
      <c r="B684" s="3">
        <v>6.6</v>
      </c>
    </row>
    <row r="685" spans="1:2" x14ac:dyDescent="0.25">
      <c r="A685" s="2" t="s">
        <v>2134</v>
      </c>
      <c r="B685" s="3">
        <v>8.0599999999999987</v>
      </c>
    </row>
    <row r="686" spans="1:2" x14ac:dyDescent="0.25">
      <c r="A686" s="2" t="s">
        <v>415</v>
      </c>
      <c r="B686" s="3">
        <v>5.7750000000000004</v>
      </c>
    </row>
    <row r="687" spans="1:2" x14ac:dyDescent="0.25">
      <c r="A687" s="2" t="s">
        <v>3571</v>
      </c>
      <c r="B687" s="3">
        <v>7.8000000000000007</v>
      </c>
    </row>
    <row r="688" spans="1:2" x14ac:dyDescent="0.25">
      <c r="A688" s="2" t="s">
        <v>5664</v>
      </c>
      <c r="B688" s="3">
        <v>6.7</v>
      </c>
    </row>
    <row r="689" spans="1:2" x14ac:dyDescent="0.25">
      <c r="A689" s="2" t="s">
        <v>2292</v>
      </c>
      <c r="B689" s="3">
        <v>8.1999999999999993</v>
      </c>
    </row>
    <row r="690" spans="1:2" x14ac:dyDescent="0.25">
      <c r="A690" s="2" t="s">
        <v>398</v>
      </c>
      <c r="B690" s="3">
        <v>6.4250000000000007</v>
      </c>
    </row>
    <row r="691" spans="1:2" x14ac:dyDescent="0.25">
      <c r="A691" s="2" t="s">
        <v>545</v>
      </c>
      <c r="B691" s="3">
        <v>6.4666666666666659</v>
      </c>
    </row>
    <row r="692" spans="1:2" x14ac:dyDescent="0.25">
      <c r="A692" s="2" t="s">
        <v>4124</v>
      </c>
      <c r="B692" s="3">
        <v>6.4</v>
      </c>
    </row>
    <row r="693" spans="1:2" x14ac:dyDescent="0.25">
      <c r="A693" s="2" t="s">
        <v>601</v>
      </c>
      <c r="B693" s="3">
        <v>6.4142857142857137</v>
      </c>
    </row>
    <row r="694" spans="1:2" x14ac:dyDescent="0.25">
      <c r="A694" s="2" t="s">
        <v>1986</v>
      </c>
      <c r="B694" s="3">
        <v>6.7</v>
      </c>
    </row>
    <row r="695" spans="1:2" x14ac:dyDescent="0.25">
      <c r="A695" s="2" t="s">
        <v>6016</v>
      </c>
      <c r="B695" s="3">
        <v>6</v>
      </c>
    </row>
    <row r="696" spans="1:2" x14ac:dyDescent="0.25">
      <c r="A696" s="2" t="s">
        <v>6742</v>
      </c>
      <c r="B696" s="3">
        <v>5.4</v>
      </c>
    </row>
    <row r="697" spans="1:2" x14ac:dyDescent="0.25">
      <c r="A697" s="2" t="s">
        <v>1774</v>
      </c>
      <c r="B697" s="3">
        <v>6.7333333333333334</v>
      </c>
    </row>
    <row r="698" spans="1:2" x14ac:dyDescent="0.25">
      <c r="A698" s="2" t="s">
        <v>4673</v>
      </c>
      <c r="B698" s="3">
        <v>3.9</v>
      </c>
    </row>
    <row r="699" spans="1:2" x14ac:dyDescent="0.25">
      <c r="A699" s="2" t="s">
        <v>4629</v>
      </c>
      <c r="B699" s="3">
        <v>5.0999999999999996</v>
      </c>
    </row>
    <row r="700" spans="1:2" x14ac:dyDescent="0.25">
      <c r="A700" s="2" t="s">
        <v>4497</v>
      </c>
      <c r="B700" s="3">
        <v>2.9</v>
      </c>
    </row>
    <row r="701" spans="1:2" x14ac:dyDescent="0.25">
      <c r="A701" s="2" t="s">
        <v>5555</v>
      </c>
      <c r="B701" s="3">
        <v>7</v>
      </c>
    </row>
    <row r="702" spans="1:2" x14ac:dyDescent="0.25">
      <c r="A702" s="2" t="s">
        <v>4523</v>
      </c>
      <c r="B702" s="3">
        <v>6.2</v>
      </c>
    </row>
    <row r="703" spans="1:2" x14ac:dyDescent="0.25">
      <c r="A703" s="2" t="s">
        <v>2746</v>
      </c>
      <c r="B703" s="3">
        <v>5.4</v>
      </c>
    </row>
    <row r="704" spans="1:2" x14ac:dyDescent="0.25">
      <c r="A704" s="2" t="s">
        <v>1922</v>
      </c>
      <c r="B704" s="3">
        <v>7.76</v>
      </c>
    </row>
    <row r="705" spans="1:2" x14ac:dyDescent="0.25">
      <c r="A705" s="2" t="s">
        <v>1180</v>
      </c>
      <c r="B705" s="3">
        <v>5.7</v>
      </c>
    </row>
    <row r="706" spans="1:2" x14ac:dyDescent="0.25">
      <c r="A706" s="2" t="s">
        <v>6555</v>
      </c>
      <c r="B706" s="3">
        <v>8.3000000000000007</v>
      </c>
    </row>
    <row r="707" spans="1:2" x14ac:dyDescent="0.25">
      <c r="A707" s="2" t="s">
        <v>6426</v>
      </c>
      <c r="B707" s="3">
        <v>6.6</v>
      </c>
    </row>
    <row r="708" spans="1:2" x14ac:dyDescent="0.25">
      <c r="A708" s="2" t="s">
        <v>1936</v>
      </c>
      <c r="B708" s="3">
        <v>6.1</v>
      </c>
    </row>
    <row r="709" spans="1:2" x14ac:dyDescent="0.25">
      <c r="A709" s="2" t="s">
        <v>390</v>
      </c>
      <c r="B709" s="3">
        <v>7.2</v>
      </c>
    </row>
    <row r="710" spans="1:2" x14ac:dyDescent="0.25">
      <c r="A710" s="2" t="s">
        <v>2031</v>
      </c>
      <c r="B710" s="3">
        <v>3.2</v>
      </c>
    </row>
    <row r="711" spans="1:2" x14ac:dyDescent="0.25">
      <c r="A711" s="2" t="s">
        <v>634</v>
      </c>
      <c r="B711" s="3">
        <v>6.6333333333333329</v>
      </c>
    </row>
    <row r="712" spans="1:2" x14ac:dyDescent="0.25">
      <c r="A712" s="2" t="s">
        <v>6183</v>
      </c>
      <c r="B712" s="3">
        <v>6.4</v>
      </c>
    </row>
    <row r="713" spans="1:2" x14ac:dyDescent="0.25">
      <c r="A713" s="2" t="s">
        <v>5298</v>
      </c>
      <c r="B713" s="3">
        <v>7.6</v>
      </c>
    </row>
    <row r="714" spans="1:2" x14ac:dyDescent="0.25">
      <c r="A714" s="2" t="s">
        <v>55</v>
      </c>
      <c r="B714" s="3">
        <v>5.9</v>
      </c>
    </row>
    <row r="715" spans="1:2" x14ac:dyDescent="0.25">
      <c r="A715" s="2" t="s">
        <v>1115</v>
      </c>
      <c r="B715" s="3">
        <v>6.8</v>
      </c>
    </row>
    <row r="716" spans="1:2" x14ac:dyDescent="0.25">
      <c r="A716" s="2" t="s">
        <v>4035</v>
      </c>
      <c r="B716" s="3">
        <v>5.6</v>
      </c>
    </row>
    <row r="717" spans="1:2" x14ac:dyDescent="0.25">
      <c r="A717" s="2" t="s">
        <v>2882</v>
      </c>
      <c r="B717" s="3">
        <v>5.9</v>
      </c>
    </row>
    <row r="718" spans="1:2" x14ac:dyDescent="0.25">
      <c r="A718" s="2" t="s">
        <v>811</v>
      </c>
      <c r="B718" s="3">
        <v>6.6166666666666663</v>
      </c>
    </row>
    <row r="719" spans="1:2" x14ac:dyDescent="0.25">
      <c r="A719" s="2" t="s">
        <v>4611</v>
      </c>
      <c r="B719" s="3">
        <v>5.8</v>
      </c>
    </row>
    <row r="720" spans="1:2" x14ac:dyDescent="0.25">
      <c r="A720" s="2" t="s">
        <v>3606</v>
      </c>
      <c r="B720" s="3">
        <v>6.3</v>
      </c>
    </row>
    <row r="721" spans="1:2" x14ac:dyDescent="0.25">
      <c r="A721" s="2" t="s">
        <v>3751</v>
      </c>
      <c r="B721" s="3">
        <v>6.5</v>
      </c>
    </row>
    <row r="722" spans="1:2" x14ac:dyDescent="0.25">
      <c r="A722" s="2" t="s">
        <v>1670</v>
      </c>
      <c r="B722" s="3">
        <v>5.9</v>
      </c>
    </row>
    <row r="723" spans="1:2" x14ac:dyDescent="0.25">
      <c r="A723" s="2" t="s">
        <v>5783</v>
      </c>
      <c r="B723" s="3">
        <v>3.3</v>
      </c>
    </row>
    <row r="724" spans="1:2" x14ac:dyDescent="0.25">
      <c r="A724" s="2" t="s">
        <v>3986</v>
      </c>
      <c r="B724" s="3">
        <v>6.7</v>
      </c>
    </row>
    <row r="725" spans="1:2" x14ac:dyDescent="0.25">
      <c r="A725" s="2" t="s">
        <v>4415</v>
      </c>
      <c r="B725" s="3">
        <v>4.5</v>
      </c>
    </row>
    <row r="726" spans="1:2" x14ac:dyDescent="0.25">
      <c r="A726" s="2" t="s">
        <v>948</v>
      </c>
      <c r="B726" s="3">
        <v>6.3</v>
      </c>
    </row>
    <row r="727" spans="1:2" x14ac:dyDescent="0.25">
      <c r="A727" s="2" t="s">
        <v>6454</v>
      </c>
      <c r="B727" s="3">
        <v>6.4</v>
      </c>
    </row>
    <row r="728" spans="1:2" x14ac:dyDescent="0.25">
      <c r="A728" s="2" t="s">
        <v>382</v>
      </c>
      <c r="B728" s="3">
        <v>6.14</v>
      </c>
    </row>
    <row r="729" spans="1:2" x14ac:dyDescent="0.25">
      <c r="A729" s="2" t="s">
        <v>5894</v>
      </c>
      <c r="B729" s="3">
        <v>7.35</v>
      </c>
    </row>
    <row r="730" spans="1:2" x14ac:dyDescent="0.25">
      <c r="A730" s="2" t="s">
        <v>4759</v>
      </c>
      <c r="B730" s="3">
        <v>7.05</v>
      </c>
    </row>
    <row r="731" spans="1:2" x14ac:dyDescent="0.25">
      <c r="A731" s="2" t="s">
        <v>737</v>
      </c>
      <c r="B731" s="3">
        <v>6.9799999999999995</v>
      </c>
    </row>
    <row r="732" spans="1:2" x14ac:dyDescent="0.25">
      <c r="A732" s="2" t="s">
        <v>5703</v>
      </c>
      <c r="B732" s="3">
        <v>6.6</v>
      </c>
    </row>
    <row r="733" spans="1:2" x14ac:dyDescent="0.25">
      <c r="A733" s="2" t="s">
        <v>3583</v>
      </c>
      <c r="B733" s="3">
        <v>6.1</v>
      </c>
    </row>
    <row r="734" spans="1:2" x14ac:dyDescent="0.25">
      <c r="A734" s="2" t="s">
        <v>6570</v>
      </c>
      <c r="B734" s="3">
        <v>5.6</v>
      </c>
    </row>
    <row r="735" spans="1:2" x14ac:dyDescent="0.25">
      <c r="A735" s="2" t="s">
        <v>1162</v>
      </c>
      <c r="B735" s="3">
        <v>5.4</v>
      </c>
    </row>
    <row r="736" spans="1:2" x14ac:dyDescent="0.25">
      <c r="A736" s="2" t="s">
        <v>950</v>
      </c>
      <c r="B736" s="3">
        <v>5.3</v>
      </c>
    </row>
    <row r="737" spans="1:2" x14ac:dyDescent="0.25">
      <c r="A737" s="2" t="s">
        <v>6666</v>
      </c>
      <c r="B737" s="3">
        <v>8</v>
      </c>
    </row>
    <row r="738" spans="1:2" x14ac:dyDescent="0.25">
      <c r="A738" s="2" t="s">
        <v>1897</v>
      </c>
      <c r="B738" s="3">
        <v>6.6375000000000011</v>
      </c>
    </row>
    <row r="739" spans="1:2" x14ac:dyDescent="0.25">
      <c r="A739" s="2" t="s">
        <v>3581</v>
      </c>
      <c r="B739" s="3">
        <v>6.15</v>
      </c>
    </row>
    <row r="740" spans="1:2" x14ac:dyDescent="0.25">
      <c r="A740" s="2" t="s">
        <v>467</v>
      </c>
      <c r="B740" s="3">
        <v>6.76</v>
      </c>
    </row>
    <row r="741" spans="1:2" x14ac:dyDescent="0.25">
      <c r="A741" s="2" t="s">
        <v>580</v>
      </c>
      <c r="B741" s="3">
        <v>7.9</v>
      </c>
    </row>
    <row r="742" spans="1:2" x14ac:dyDescent="0.25">
      <c r="A742" s="2" t="s">
        <v>5575</v>
      </c>
      <c r="B742" s="3">
        <v>5.9499999999999993</v>
      </c>
    </row>
    <row r="743" spans="1:2" x14ac:dyDescent="0.25">
      <c r="A743" s="2" t="s">
        <v>5674</v>
      </c>
      <c r="B743" s="3">
        <v>6.3000000000000007</v>
      </c>
    </row>
    <row r="744" spans="1:2" x14ac:dyDescent="0.25">
      <c r="A744" s="2" t="s">
        <v>4049</v>
      </c>
      <c r="B744" s="3">
        <v>5.0999999999999996</v>
      </c>
    </row>
    <row r="745" spans="1:2" x14ac:dyDescent="0.25">
      <c r="A745" s="2" t="s">
        <v>2099</v>
      </c>
      <c r="B745" s="3">
        <v>6.7799999999999994</v>
      </c>
    </row>
    <row r="746" spans="1:2" x14ac:dyDescent="0.25">
      <c r="A746" s="2" t="s">
        <v>781</v>
      </c>
      <c r="B746" s="3">
        <v>7.1</v>
      </c>
    </row>
    <row r="747" spans="1:2" x14ac:dyDescent="0.25">
      <c r="A747" s="2" t="s">
        <v>929</v>
      </c>
      <c r="B747" s="3">
        <v>6.35</v>
      </c>
    </row>
    <row r="748" spans="1:2" x14ac:dyDescent="0.25">
      <c r="A748" s="2" t="s">
        <v>6549</v>
      </c>
      <c r="B748" s="3">
        <v>5.3</v>
      </c>
    </row>
    <row r="749" spans="1:2" x14ac:dyDescent="0.25">
      <c r="A749" s="2" t="s">
        <v>135</v>
      </c>
      <c r="B749" s="3">
        <v>8.1</v>
      </c>
    </row>
    <row r="750" spans="1:2" x14ac:dyDescent="0.25">
      <c r="A750" s="2" t="s">
        <v>2231</v>
      </c>
      <c r="B750" s="3">
        <v>6.833333333333333</v>
      </c>
    </row>
    <row r="751" spans="1:2" x14ac:dyDescent="0.25">
      <c r="A751" s="2" t="s">
        <v>4870</v>
      </c>
      <c r="B751" s="3">
        <v>6.6</v>
      </c>
    </row>
    <row r="752" spans="1:2" x14ac:dyDescent="0.25">
      <c r="A752" s="2" t="s">
        <v>1190</v>
      </c>
      <c r="B752" s="3">
        <v>6.9250000000000007</v>
      </c>
    </row>
    <row r="753" spans="1:2" x14ac:dyDescent="0.25">
      <c r="A753" s="2" t="s">
        <v>1522</v>
      </c>
      <c r="B753" s="3">
        <v>2.2000000000000002</v>
      </c>
    </row>
    <row r="754" spans="1:2" x14ac:dyDescent="0.25">
      <c r="A754" s="2" t="s">
        <v>1868</v>
      </c>
      <c r="B754" s="3">
        <v>6.7</v>
      </c>
    </row>
    <row r="755" spans="1:2" x14ac:dyDescent="0.25">
      <c r="A755" s="2" t="s">
        <v>2581</v>
      </c>
      <c r="B755" s="3">
        <v>6.8</v>
      </c>
    </row>
    <row r="756" spans="1:2" x14ac:dyDescent="0.25">
      <c r="A756" s="2" t="s">
        <v>1737</v>
      </c>
      <c r="B756" s="3">
        <v>4.9000000000000004</v>
      </c>
    </row>
    <row r="757" spans="1:2" x14ac:dyDescent="0.25">
      <c r="A757" s="2" t="s">
        <v>5896</v>
      </c>
      <c r="B757" s="3">
        <v>6.3</v>
      </c>
    </row>
    <row r="758" spans="1:2" x14ac:dyDescent="0.25">
      <c r="A758" s="2" t="s">
        <v>1423</v>
      </c>
      <c r="B758" s="3">
        <v>4.8</v>
      </c>
    </row>
    <row r="759" spans="1:2" x14ac:dyDescent="0.25">
      <c r="A759" s="2" t="s">
        <v>3092</v>
      </c>
      <c r="B759" s="3">
        <v>6</v>
      </c>
    </row>
    <row r="760" spans="1:2" x14ac:dyDescent="0.25">
      <c r="A760" s="2" t="s">
        <v>550</v>
      </c>
      <c r="B760" s="3">
        <v>6.55</v>
      </c>
    </row>
    <row r="761" spans="1:2" x14ac:dyDescent="0.25">
      <c r="A761" s="2" t="s">
        <v>4902</v>
      </c>
      <c r="B761" s="3">
        <v>7.5</v>
      </c>
    </row>
    <row r="762" spans="1:2" x14ac:dyDescent="0.25">
      <c r="A762" s="2" t="s">
        <v>1166</v>
      </c>
      <c r="B762" s="3">
        <v>7</v>
      </c>
    </row>
    <row r="763" spans="1:2" x14ac:dyDescent="0.25">
      <c r="A763" s="2" t="s">
        <v>5425</v>
      </c>
      <c r="B763" s="3">
        <v>6.8</v>
      </c>
    </row>
    <row r="764" spans="1:2" x14ac:dyDescent="0.25">
      <c r="A764" s="2" t="s">
        <v>3115</v>
      </c>
      <c r="B764" s="3">
        <v>7.1333333333333329</v>
      </c>
    </row>
    <row r="765" spans="1:2" x14ac:dyDescent="0.25">
      <c r="A765" s="2" t="s">
        <v>2375</v>
      </c>
      <c r="B765" s="3">
        <v>7.6</v>
      </c>
    </row>
    <row r="766" spans="1:2" x14ac:dyDescent="0.25">
      <c r="A766" s="2" t="s">
        <v>1340</v>
      </c>
      <c r="B766" s="3">
        <v>6.2</v>
      </c>
    </row>
    <row r="767" spans="1:2" x14ac:dyDescent="0.25">
      <c r="A767" s="2" t="s">
        <v>6419</v>
      </c>
      <c r="B767" s="3">
        <v>7.8</v>
      </c>
    </row>
    <row r="768" spans="1:2" x14ac:dyDescent="0.25">
      <c r="A768" s="2" t="s">
        <v>4252</v>
      </c>
      <c r="B768" s="3">
        <v>5.35</v>
      </c>
    </row>
    <row r="769" spans="1:2" x14ac:dyDescent="0.25">
      <c r="A769" s="2" t="s">
        <v>344</v>
      </c>
      <c r="B769" s="3">
        <v>6.8666666666666671</v>
      </c>
    </row>
    <row r="770" spans="1:2" x14ac:dyDescent="0.25">
      <c r="A770" s="2" t="s">
        <v>1294</v>
      </c>
      <c r="B770" s="3">
        <v>7</v>
      </c>
    </row>
    <row r="771" spans="1:2" x14ac:dyDescent="0.25">
      <c r="A771" s="2" t="s">
        <v>4145</v>
      </c>
      <c r="B771" s="3">
        <v>5.2</v>
      </c>
    </row>
    <row r="772" spans="1:2" x14ac:dyDescent="0.25">
      <c r="A772" s="2" t="s">
        <v>6377</v>
      </c>
      <c r="B772" s="3">
        <v>7.4</v>
      </c>
    </row>
    <row r="773" spans="1:2" x14ac:dyDescent="0.25">
      <c r="A773" s="2" t="s">
        <v>3897</v>
      </c>
      <c r="B773" s="3">
        <v>5.2</v>
      </c>
    </row>
    <row r="774" spans="1:2" x14ac:dyDescent="0.25">
      <c r="A774" s="2" t="s">
        <v>681</v>
      </c>
      <c r="B774" s="3">
        <v>6.35</v>
      </c>
    </row>
    <row r="775" spans="1:2" x14ac:dyDescent="0.25">
      <c r="A775" s="2" t="s">
        <v>1127</v>
      </c>
      <c r="B775" s="3">
        <v>6.8</v>
      </c>
    </row>
    <row r="776" spans="1:2" x14ac:dyDescent="0.25">
      <c r="A776" s="2" t="s">
        <v>3372</v>
      </c>
      <c r="B776" s="3">
        <v>6.2</v>
      </c>
    </row>
    <row r="777" spans="1:2" x14ac:dyDescent="0.25">
      <c r="A777" s="2" t="s">
        <v>5658</v>
      </c>
      <c r="B777" s="3">
        <v>7</v>
      </c>
    </row>
    <row r="778" spans="1:2" x14ac:dyDescent="0.25">
      <c r="A778" s="2" t="s">
        <v>3566</v>
      </c>
      <c r="B778" s="3">
        <v>5.5</v>
      </c>
    </row>
    <row r="779" spans="1:2" x14ac:dyDescent="0.25">
      <c r="A779" s="2" t="s">
        <v>5776</v>
      </c>
      <c r="B779" s="3">
        <v>6</v>
      </c>
    </row>
    <row r="780" spans="1:2" x14ac:dyDescent="0.25">
      <c r="A780" s="2" t="s">
        <v>1965</v>
      </c>
      <c r="B780" s="3">
        <v>7.2</v>
      </c>
    </row>
    <row r="781" spans="1:2" x14ac:dyDescent="0.25">
      <c r="A781" s="2" t="s">
        <v>3146</v>
      </c>
      <c r="B781" s="3">
        <v>6.9</v>
      </c>
    </row>
    <row r="782" spans="1:2" x14ac:dyDescent="0.25">
      <c r="A782" s="2" t="s">
        <v>1695</v>
      </c>
      <c r="B782" s="3">
        <v>7.5</v>
      </c>
    </row>
    <row r="783" spans="1:2" x14ac:dyDescent="0.25">
      <c r="A783" s="2" t="s">
        <v>1702</v>
      </c>
      <c r="B783" s="3">
        <v>6</v>
      </c>
    </row>
    <row r="784" spans="1:2" x14ac:dyDescent="0.25">
      <c r="A784" s="2" t="s">
        <v>2845</v>
      </c>
      <c r="B784" s="3">
        <v>6.6000000000000005</v>
      </c>
    </row>
    <row r="785" spans="1:2" x14ac:dyDescent="0.25">
      <c r="A785" s="2" t="s">
        <v>706</v>
      </c>
      <c r="B785" s="3">
        <v>5.7</v>
      </c>
    </row>
    <row r="786" spans="1:2" x14ac:dyDescent="0.25">
      <c r="A786" s="2" t="s">
        <v>3225</v>
      </c>
      <c r="B786" s="3">
        <v>6.7</v>
      </c>
    </row>
    <row r="787" spans="1:2" x14ac:dyDescent="0.25">
      <c r="A787" s="2" t="s">
        <v>4470</v>
      </c>
      <c r="B787" s="3">
        <v>5.3</v>
      </c>
    </row>
    <row r="788" spans="1:2" x14ac:dyDescent="0.25">
      <c r="A788" s="2" t="s">
        <v>4262</v>
      </c>
      <c r="B788" s="3">
        <v>6.6</v>
      </c>
    </row>
    <row r="789" spans="1:2" x14ac:dyDescent="0.25">
      <c r="A789" s="2" t="s">
        <v>2803</v>
      </c>
      <c r="B789" s="3">
        <v>5.9</v>
      </c>
    </row>
    <row r="790" spans="1:2" x14ac:dyDescent="0.25">
      <c r="A790" s="2" t="s">
        <v>6243</v>
      </c>
      <c r="B790" s="3">
        <v>6.8</v>
      </c>
    </row>
    <row r="791" spans="1:2" x14ac:dyDescent="0.25">
      <c r="A791" s="2" t="s">
        <v>1800</v>
      </c>
      <c r="B791" s="3">
        <v>6.6</v>
      </c>
    </row>
    <row r="792" spans="1:2" x14ac:dyDescent="0.25">
      <c r="A792" s="2" t="s">
        <v>396</v>
      </c>
      <c r="B792" s="3">
        <v>7.1749999999999998</v>
      </c>
    </row>
    <row r="793" spans="1:2" x14ac:dyDescent="0.25">
      <c r="A793" s="2" t="s">
        <v>1840</v>
      </c>
      <c r="B793" s="3">
        <v>6.1000000000000005</v>
      </c>
    </row>
    <row r="794" spans="1:2" x14ac:dyDescent="0.25">
      <c r="A794" s="2" t="s">
        <v>1080</v>
      </c>
      <c r="B794" s="3">
        <v>6.9333333333333336</v>
      </c>
    </row>
    <row r="795" spans="1:2" x14ac:dyDescent="0.25">
      <c r="A795" s="2" t="s">
        <v>1107</v>
      </c>
      <c r="B795" s="3">
        <v>6.9499999999999993</v>
      </c>
    </row>
    <row r="796" spans="1:2" x14ac:dyDescent="0.25">
      <c r="A796" s="2" t="s">
        <v>6520</v>
      </c>
      <c r="B796" s="3">
        <v>7</v>
      </c>
    </row>
    <row r="797" spans="1:2" x14ac:dyDescent="0.25">
      <c r="A797" s="2" t="s">
        <v>2833</v>
      </c>
      <c r="B797" s="3">
        <v>6.94</v>
      </c>
    </row>
    <row r="798" spans="1:2" x14ac:dyDescent="0.25">
      <c r="A798" s="2" t="s">
        <v>2507</v>
      </c>
      <c r="B798" s="3">
        <v>4.9000000000000004</v>
      </c>
    </row>
    <row r="799" spans="1:2" x14ac:dyDescent="0.25">
      <c r="A799" s="2" t="s">
        <v>6684</v>
      </c>
      <c r="B799" s="3">
        <v>6.9</v>
      </c>
    </row>
    <row r="800" spans="1:2" x14ac:dyDescent="0.25">
      <c r="A800" s="2" t="s">
        <v>5153</v>
      </c>
      <c r="B800" s="3">
        <v>3.5</v>
      </c>
    </row>
    <row r="801" spans="1:2" x14ac:dyDescent="0.25">
      <c r="A801" s="2" t="s">
        <v>5925</v>
      </c>
      <c r="B801" s="3">
        <v>7.4</v>
      </c>
    </row>
    <row r="802" spans="1:2" x14ac:dyDescent="0.25">
      <c r="A802" s="2" t="s">
        <v>2185</v>
      </c>
      <c r="B802" s="3">
        <v>4</v>
      </c>
    </row>
    <row r="803" spans="1:2" x14ac:dyDescent="0.25">
      <c r="A803" s="2" t="s">
        <v>6079</v>
      </c>
      <c r="B803" s="3">
        <v>7.1</v>
      </c>
    </row>
    <row r="804" spans="1:2" x14ac:dyDescent="0.25">
      <c r="A804" s="2" t="s">
        <v>6463</v>
      </c>
      <c r="B804" s="3">
        <v>7.3</v>
      </c>
    </row>
    <row r="805" spans="1:2" x14ac:dyDescent="0.25">
      <c r="A805" s="2" t="s">
        <v>1748</v>
      </c>
      <c r="B805" s="3">
        <v>7.5500000000000007</v>
      </c>
    </row>
    <row r="806" spans="1:2" x14ac:dyDescent="0.25">
      <c r="A806" s="2" t="s">
        <v>1467</v>
      </c>
      <c r="B806" s="3">
        <v>6</v>
      </c>
    </row>
    <row r="807" spans="1:2" x14ac:dyDescent="0.25">
      <c r="A807" s="2" t="s">
        <v>2780</v>
      </c>
      <c r="B807" s="3">
        <v>5.5</v>
      </c>
    </row>
    <row r="808" spans="1:2" x14ac:dyDescent="0.25">
      <c r="A808" s="2" t="s">
        <v>4742</v>
      </c>
      <c r="B808" s="3">
        <v>4.8</v>
      </c>
    </row>
    <row r="809" spans="1:2" x14ac:dyDescent="0.25">
      <c r="A809" s="2" t="s">
        <v>5446</v>
      </c>
      <c r="B809" s="3">
        <v>5.6</v>
      </c>
    </row>
    <row r="810" spans="1:2" x14ac:dyDescent="0.25">
      <c r="A810" s="2" t="s">
        <v>2389</v>
      </c>
      <c r="B810" s="3">
        <v>5.8</v>
      </c>
    </row>
    <row r="811" spans="1:2" x14ac:dyDescent="0.25">
      <c r="A811" s="2" t="s">
        <v>4413</v>
      </c>
      <c r="B811" s="3">
        <v>5.3</v>
      </c>
    </row>
    <row r="812" spans="1:2" x14ac:dyDescent="0.25">
      <c r="A812" s="2" t="s">
        <v>867</v>
      </c>
      <c r="B812" s="3">
        <v>6.14</v>
      </c>
    </row>
    <row r="813" spans="1:2" x14ac:dyDescent="0.25">
      <c r="A813" s="2" t="s">
        <v>3967</v>
      </c>
      <c r="B813" s="3">
        <v>3.4</v>
      </c>
    </row>
    <row r="814" spans="1:2" x14ac:dyDescent="0.25">
      <c r="A814" s="2" t="s">
        <v>84</v>
      </c>
      <c r="B814" s="3">
        <v>6.55</v>
      </c>
    </row>
    <row r="815" spans="1:2" x14ac:dyDescent="0.25">
      <c r="A815" s="2" t="s">
        <v>5500</v>
      </c>
      <c r="B815" s="3">
        <v>6.3</v>
      </c>
    </row>
    <row r="816" spans="1:2" x14ac:dyDescent="0.25">
      <c r="A816" s="2" t="s">
        <v>3733</v>
      </c>
      <c r="B816" s="3">
        <v>5.9</v>
      </c>
    </row>
    <row r="817" spans="1:2" x14ac:dyDescent="0.25">
      <c r="A817" s="2" t="s">
        <v>5464</v>
      </c>
      <c r="B817" s="3">
        <v>4.8</v>
      </c>
    </row>
    <row r="818" spans="1:2" x14ac:dyDescent="0.25">
      <c r="A818" s="2" t="s">
        <v>6168</v>
      </c>
      <c r="B818" s="3">
        <v>4.7</v>
      </c>
    </row>
    <row r="819" spans="1:2" x14ac:dyDescent="0.25">
      <c r="A819" s="2" t="s">
        <v>5261</v>
      </c>
      <c r="B819" s="3">
        <v>6.5</v>
      </c>
    </row>
    <row r="820" spans="1:2" x14ac:dyDescent="0.25">
      <c r="A820" s="2" t="s">
        <v>4341</v>
      </c>
      <c r="B820" s="3">
        <v>8.1666666666666661</v>
      </c>
    </row>
    <row r="821" spans="1:2" x14ac:dyDescent="0.25">
      <c r="A821" s="2" t="s">
        <v>2240</v>
      </c>
      <c r="B821" s="3">
        <v>4.3</v>
      </c>
    </row>
    <row r="822" spans="1:2" x14ac:dyDescent="0.25">
      <c r="A822" s="2" t="s">
        <v>6382</v>
      </c>
      <c r="B822" s="3">
        <v>6.4</v>
      </c>
    </row>
    <row r="823" spans="1:2" x14ac:dyDescent="0.25">
      <c r="A823" s="2" t="s">
        <v>5689</v>
      </c>
      <c r="B823" s="3">
        <v>7.8</v>
      </c>
    </row>
    <row r="824" spans="1:2" x14ac:dyDescent="0.25">
      <c r="A824" s="2" t="s">
        <v>6053</v>
      </c>
      <c r="B824" s="3">
        <v>7.2</v>
      </c>
    </row>
    <row r="825" spans="1:2" x14ac:dyDescent="0.25">
      <c r="A825" s="2" t="s">
        <v>2386</v>
      </c>
      <c r="B825" s="3">
        <v>7.1</v>
      </c>
    </row>
    <row r="826" spans="1:2" x14ac:dyDescent="0.25">
      <c r="A826" s="2" t="s">
        <v>6308</v>
      </c>
      <c r="B826" s="3">
        <v>5.6</v>
      </c>
    </row>
    <row r="827" spans="1:2" x14ac:dyDescent="0.25">
      <c r="A827" s="2" t="s">
        <v>5870</v>
      </c>
      <c r="B827" s="3">
        <v>7</v>
      </c>
    </row>
    <row r="828" spans="1:2" x14ac:dyDescent="0.25">
      <c r="A828" s="2" t="s">
        <v>113</v>
      </c>
      <c r="B828" s="3">
        <v>5.833333333333333</v>
      </c>
    </row>
    <row r="829" spans="1:2" x14ac:dyDescent="0.25">
      <c r="A829" s="2" t="s">
        <v>2261</v>
      </c>
      <c r="B829" s="3">
        <v>7</v>
      </c>
    </row>
    <row r="830" spans="1:2" x14ac:dyDescent="0.25">
      <c r="A830" s="2" t="s">
        <v>3201</v>
      </c>
      <c r="B830" s="3">
        <v>6.8</v>
      </c>
    </row>
    <row r="831" spans="1:2" x14ac:dyDescent="0.25">
      <c r="A831" s="2" t="s">
        <v>527</v>
      </c>
      <c r="B831" s="3">
        <v>6.2</v>
      </c>
    </row>
    <row r="832" spans="1:2" x14ac:dyDescent="0.25">
      <c r="A832" s="2" t="s">
        <v>2605</v>
      </c>
      <c r="B832" s="3">
        <v>4.5</v>
      </c>
    </row>
    <row r="833" spans="1:2" x14ac:dyDescent="0.25">
      <c r="A833" s="2" t="s">
        <v>437</v>
      </c>
      <c r="B833" s="3">
        <v>6.5</v>
      </c>
    </row>
    <row r="834" spans="1:2" x14ac:dyDescent="0.25">
      <c r="A834" s="2" t="s">
        <v>1224</v>
      </c>
      <c r="B834" s="3">
        <v>8.1999999999999993</v>
      </c>
    </row>
    <row r="835" spans="1:2" x14ac:dyDescent="0.25">
      <c r="A835" s="2" t="s">
        <v>497</v>
      </c>
      <c r="B835" s="3">
        <v>5.4</v>
      </c>
    </row>
    <row r="836" spans="1:2" x14ac:dyDescent="0.25">
      <c r="A836" s="2" t="s">
        <v>6610</v>
      </c>
      <c r="B836" s="3">
        <v>6.3</v>
      </c>
    </row>
    <row r="837" spans="1:2" x14ac:dyDescent="0.25">
      <c r="A837" s="2" t="s">
        <v>6577</v>
      </c>
      <c r="B837" s="3">
        <v>6.1</v>
      </c>
    </row>
    <row r="838" spans="1:2" x14ac:dyDescent="0.25">
      <c r="A838" s="2" t="s">
        <v>5887</v>
      </c>
      <c r="B838" s="3">
        <v>7.7</v>
      </c>
    </row>
    <row r="839" spans="1:2" x14ac:dyDescent="0.25">
      <c r="A839" s="2" t="s">
        <v>2852</v>
      </c>
      <c r="B839" s="3">
        <v>5.9666666666666659</v>
      </c>
    </row>
    <row r="840" spans="1:2" x14ac:dyDescent="0.25">
      <c r="A840" s="2" t="s">
        <v>2150</v>
      </c>
      <c r="B840" s="3">
        <v>7.8</v>
      </c>
    </row>
    <row r="841" spans="1:2" x14ac:dyDescent="0.25">
      <c r="A841" s="2" t="s">
        <v>2091</v>
      </c>
      <c r="B841" s="3">
        <v>7.8</v>
      </c>
    </row>
    <row r="842" spans="1:2" x14ac:dyDescent="0.25">
      <c r="A842" s="2" t="s">
        <v>636</v>
      </c>
      <c r="B842" s="3">
        <v>6.4499999999999993</v>
      </c>
    </row>
    <row r="843" spans="1:2" x14ac:dyDescent="0.25">
      <c r="A843" s="2" t="s">
        <v>5940</v>
      </c>
      <c r="B843" s="3">
        <v>6.4</v>
      </c>
    </row>
    <row r="844" spans="1:2" x14ac:dyDescent="0.25">
      <c r="A844" s="2" t="s">
        <v>5983</v>
      </c>
      <c r="B844" s="3">
        <v>4.5999999999999996</v>
      </c>
    </row>
    <row r="845" spans="1:2" x14ac:dyDescent="0.25">
      <c r="A845" s="2" t="s">
        <v>6384</v>
      </c>
      <c r="B845" s="3">
        <v>5.8</v>
      </c>
    </row>
    <row r="846" spans="1:2" x14ac:dyDescent="0.25">
      <c r="A846" s="2" t="s">
        <v>862</v>
      </c>
      <c r="B846" s="3">
        <v>6.4</v>
      </c>
    </row>
    <row r="847" spans="1:2" x14ac:dyDescent="0.25">
      <c r="A847" s="2" t="s">
        <v>4641</v>
      </c>
      <c r="B847" s="3">
        <v>5.2</v>
      </c>
    </row>
    <row r="848" spans="1:2" x14ac:dyDescent="0.25">
      <c r="A848" s="2" t="s">
        <v>99</v>
      </c>
      <c r="B848" s="3">
        <v>5.8250000000000002</v>
      </c>
    </row>
    <row r="849" spans="1:2" x14ac:dyDescent="0.25">
      <c r="A849" s="2" t="s">
        <v>6644</v>
      </c>
      <c r="B849" s="3">
        <v>6.6</v>
      </c>
    </row>
    <row r="850" spans="1:2" x14ac:dyDescent="0.25">
      <c r="A850" s="2" t="s">
        <v>4658</v>
      </c>
      <c r="B850" s="3">
        <v>3.6</v>
      </c>
    </row>
    <row r="851" spans="1:2" x14ac:dyDescent="0.25">
      <c r="A851" s="2" t="s">
        <v>1155</v>
      </c>
      <c r="B851" s="3">
        <v>6.55</v>
      </c>
    </row>
    <row r="852" spans="1:2" x14ac:dyDescent="0.25">
      <c r="A852" s="2" t="s">
        <v>6738</v>
      </c>
      <c r="B852" s="3">
        <v>6.4</v>
      </c>
    </row>
    <row r="853" spans="1:2" x14ac:dyDescent="0.25">
      <c r="A853" s="2" t="s">
        <v>4954</v>
      </c>
      <c r="B853" s="3">
        <v>3.3</v>
      </c>
    </row>
    <row r="854" spans="1:2" x14ac:dyDescent="0.25">
      <c r="A854" s="2" t="s">
        <v>1957</v>
      </c>
      <c r="B854" s="3">
        <v>6.5</v>
      </c>
    </row>
    <row r="855" spans="1:2" x14ac:dyDescent="0.25">
      <c r="A855" s="2" t="s">
        <v>3841</v>
      </c>
      <c r="B855" s="3">
        <v>5.6</v>
      </c>
    </row>
    <row r="856" spans="1:2" x14ac:dyDescent="0.25">
      <c r="A856" s="2" t="s">
        <v>166</v>
      </c>
      <c r="B856" s="3">
        <v>5.9</v>
      </c>
    </row>
    <row r="857" spans="1:2" x14ac:dyDescent="0.25">
      <c r="A857" s="2" t="s">
        <v>2573</v>
      </c>
      <c r="B857" s="3">
        <v>8.1999999999999993</v>
      </c>
    </row>
    <row r="858" spans="1:2" x14ac:dyDescent="0.25">
      <c r="A858" s="2" t="s">
        <v>1643</v>
      </c>
      <c r="B858" s="3">
        <v>5.2</v>
      </c>
    </row>
    <row r="859" spans="1:2" x14ac:dyDescent="0.25">
      <c r="A859" s="2" t="s">
        <v>2341</v>
      </c>
      <c r="B859" s="3">
        <v>6.15</v>
      </c>
    </row>
    <row r="860" spans="1:2" x14ac:dyDescent="0.25">
      <c r="A860" s="2" t="s">
        <v>963</v>
      </c>
      <c r="B860" s="3">
        <v>6.2</v>
      </c>
    </row>
    <row r="861" spans="1:2" x14ac:dyDescent="0.25">
      <c r="A861" s="2" t="s">
        <v>1134</v>
      </c>
      <c r="B861" s="3">
        <v>6.4499999999999993</v>
      </c>
    </row>
    <row r="862" spans="1:2" x14ac:dyDescent="0.25">
      <c r="A862" s="2" t="s">
        <v>2181</v>
      </c>
      <c r="B862" s="3">
        <v>4.9000000000000004</v>
      </c>
    </row>
    <row r="863" spans="1:2" x14ac:dyDescent="0.25">
      <c r="A863" s="2" t="s">
        <v>6068</v>
      </c>
      <c r="B863" s="3">
        <v>7.6</v>
      </c>
    </row>
    <row r="864" spans="1:2" x14ac:dyDescent="0.25">
      <c r="A864" s="2" t="s">
        <v>4897</v>
      </c>
      <c r="B864" s="3">
        <v>7.1</v>
      </c>
    </row>
    <row r="865" spans="1:2" x14ac:dyDescent="0.25">
      <c r="A865" s="2" t="s">
        <v>2042</v>
      </c>
      <c r="B865" s="3">
        <v>6.2</v>
      </c>
    </row>
    <row r="866" spans="1:2" x14ac:dyDescent="0.25">
      <c r="A866" s="2" t="s">
        <v>2738</v>
      </c>
      <c r="B866" s="3">
        <v>6.7</v>
      </c>
    </row>
    <row r="867" spans="1:2" x14ac:dyDescent="0.25">
      <c r="A867" s="2" t="s">
        <v>250</v>
      </c>
      <c r="B867" s="3">
        <v>6.0857142857142863</v>
      </c>
    </row>
    <row r="868" spans="1:2" x14ac:dyDescent="0.25">
      <c r="A868" s="2" t="s">
        <v>3256</v>
      </c>
      <c r="B868" s="3">
        <v>5.2</v>
      </c>
    </row>
    <row r="869" spans="1:2" x14ac:dyDescent="0.25">
      <c r="A869" s="2" t="s">
        <v>2302</v>
      </c>
      <c r="B869" s="3">
        <v>5.8</v>
      </c>
    </row>
    <row r="870" spans="1:2" x14ac:dyDescent="0.25">
      <c r="A870" s="2" t="s">
        <v>4068</v>
      </c>
      <c r="B870" s="3">
        <v>7.55</v>
      </c>
    </row>
    <row r="871" spans="1:2" x14ac:dyDescent="0.25">
      <c r="A871" s="2" t="s">
        <v>5133</v>
      </c>
      <c r="B871" s="3">
        <v>4.9000000000000004</v>
      </c>
    </row>
    <row r="872" spans="1:2" x14ac:dyDescent="0.25">
      <c r="A872" s="2" t="s">
        <v>5044</v>
      </c>
      <c r="B872" s="3">
        <v>7</v>
      </c>
    </row>
    <row r="873" spans="1:2" x14ac:dyDescent="0.25">
      <c r="A873" s="2" t="s">
        <v>4988</v>
      </c>
      <c r="B873" s="3">
        <v>5.3</v>
      </c>
    </row>
    <row r="874" spans="1:2" x14ac:dyDescent="0.25">
      <c r="A874" s="2" t="s">
        <v>1641</v>
      </c>
      <c r="B874" s="3">
        <v>2.9</v>
      </c>
    </row>
    <row r="875" spans="1:2" x14ac:dyDescent="0.25">
      <c r="A875" s="2" t="s">
        <v>1729</v>
      </c>
      <c r="B875" s="3">
        <v>6.7</v>
      </c>
    </row>
    <row r="876" spans="1:2" x14ac:dyDescent="0.25">
      <c r="A876" s="2" t="s">
        <v>2323</v>
      </c>
      <c r="B876" s="3">
        <v>7.1</v>
      </c>
    </row>
    <row r="877" spans="1:2" x14ac:dyDescent="0.25">
      <c r="A877" s="2" t="s">
        <v>2545</v>
      </c>
      <c r="B877" s="3">
        <v>6.6</v>
      </c>
    </row>
    <row r="878" spans="1:2" x14ac:dyDescent="0.25">
      <c r="A878" s="2" t="s">
        <v>2597</v>
      </c>
      <c r="B878" s="3">
        <v>6.4</v>
      </c>
    </row>
    <row r="879" spans="1:2" x14ac:dyDescent="0.25">
      <c r="A879" s="2" t="s">
        <v>3509</v>
      </c>
      <c r="B879" s="3">
        <v>5.4</v>
      </c>
    </row>
    <row r="880" spans="1:2" x14ac:dyDescent="0.25">
      <c r="A880" s="2" t="s">
        <v>1718</v>
      </c>
      <c r="B880" s="3">
        <v>6.1</v>
      </c>
    </row>
    <row r="881" spans="1:2" x14ac:dyDescent="0.25">
      <c r="A881" s="2" t="s">
        <v>1953</v>
      </c>
      <c r="B881" s="3">
        <v>5.8</v>
      </c>
    </row>
    <row r="882" spans="1:2" x14ac:dyDescent="0.25">
      <c r="A882" s="2" t="s">
        <v>2224</v>
      </c>
      <c r="B882" s="3">
        <v>6.9</v>
      </c>
    </row>
    <row r="883" spans="1:2" x14ac:dyDescent="0.25">
      <c r="A883" s="2" t="s">
        <v>5951</v>
      </c>
      <c r="B883" s="3">
        <v>7.3</v>
      </c>
    </row>
    <row r="884" spans="1:2" x14ac:dyDescent="0.25">
      <c r="A884" s="2" t="s">
        <v>4040</v>
      </c>
      <c r="B884" s="3">
        <v>7.8</v>
      </c>
    </row>
    <row r="885" spans="1:2" x14ac:dyDescent="0.25">
      <c r="A885" s="2" t="s">
        <v>5915</v>
      </c>
      <c r="B885" s="3">
        <v>7.5</v>
      </c>
    </row>
    <row r="886" spans="1:2" x14ac:dyDescent="0.25">
      <c r="A886" s="2" t="s">
        <v>2343</v>
      </c>
      <c r="B886" s="3">
        <v>7.6</v>
      </c>
    </row>
    <row r="887" spans="1:2" x14ac:dyDescent="0.25">
      <c r="A887" s="2" t="s">
        <v>1381</v>
      </c>
      <c r="B887" s="3">
        <v>5.9</v>
      </c>
    </row>
    <row r="888" spans="1:2" x14ac:dyDescent="0.25">
      <c r="A888" s="2" t="s">
        <v>175</v>
      </c>
      <c r="B888" s="3">
        <v>6.125</v>
      </c>
    </row>
    <row r="889" spans="1:2" x14ac:dyDescent="0.25">
      <c r="A889" s="2" t="s">
        <v>6588</v>
      </c>
      <c r="B889" s="3">
        <v>5.9</v>
      </c>
    </row>
    <row r="890" spans="1:2" x14ac:dyDescent="0.25">
      <c r="A890" s="2" t="s">
        <v>3400</v>
      </c>
      <c r="B890" s="3">
        <v>6.75</v>
      </c>
    </row>
    <row r="891" spans="1:2" x14ac:dyDescent="0.25">
      <c r="A891" s="2" t="s">
        <v>6278</v>
      </c>
      <c r="B891" s="3">
        <v>7</v>
      </c>
    </row>
    <row r="892" spans="1:2" x14ac:dyDescent="0.25">
      <c r="A892" s="2" t="s">
        <v>2678</v>
      </c>
      <c r="B892" s="3">
        <v>5.8</v>
      </c>
    </row>
    <row r="893" spans="1:2" x14ac:dyDescent="0.25">
      <c r="A893" s="2" t="s">
        <v>6035</v>
      </c>
      <c r="B893" s="3">
        <v>7.2</v>
      </c>
    </row>
    <row r="894" spans="1:2" x14ac:dyDescent="0.25">
      <c r="A894" s="2" t="s">
        <v>1259</v>
      </c>
      <c r="B894" s="3">
        <v>4.9000000000000004</v>
      </c>
    </row>
    <row r="895" spans="1:2" x14ac:dyDescent="0.25">
      <c r="A895" s="2" t="s">
        <v>127</v>
      </c>
      <c r="B895" s="3">
        <v>7.5</v>
      </c>
    </row>
    <row r="896" spans="1:2" x14ac:dyDescent="0.25">
      <c r="A896" s="2" t="s">
        <v>6672</v>
      </c>
      <c r="B896" s="3">
        <v>6.7</v>
      </c>
    </row>
    <row r="897" spans="1:2" x14ac:dyDescent="0.25">
      <c r="A897" s="2" t="s">
        <v>300</v>
      </c>
      <c r="B897" s="3">
        <v>6.75</v>
      </c>
    </row>
    <row r="898" spans="1:2" x14ac:dyDescent="0.25">
      <c r="A898" s="2" t="s">
        <v>4260</v>
      </c>
      <c r="B898" s="3">
        <v>5.6</v>
      </c>
    </row>
    <row r="899" spans="1:2" x14ac:dyDescent="0.25">
      <c r="A899" s="2" t="s">
        <v>332</v>
      </c>
      <c r="B899" s="3">
        <v>8.0333333333333332</v>
      </c>
    </row>
    <row r="900" spans="1:2" x14ac:dyDescent="0.25">
      <c r="A900" s="2" t="s">
        <v>1761</v>
      </c>
      <c r="B900" s="3">
        <v>6.2</v>
      </c>
    </row>
    <row r="901" spans="1:2" x14ac:dyDescent="0.25">
      <c r="A901" s="2" t="s">
        <v>6678</v>
      </c>
      <c r="B901" s="3">
        <v>6.2</v>
      </c>
    </row>
    <row r="902" spans="1:2" x14ac:dyDescent="0.25">
      <c r="A902" s="2" t="s">
        <v>458</v>
      </c>
      <c r="B902" s="3">
        <v>6.1000000000000005</v>
      </c>
    </row>
    <row r="903" spans="1:2" x14ac:dyDescent="0.25">
      <c r="A903" s="2" t="s">
        <v>6348</v>
      </c>
      <c r="B903" s="3">
        <v>6.2</v>
      </c>
    </row>
    <row r="904" spans="1:2" x14ac:dyDescent="0.25">
      <c r="A904" s="2" t="s">
        <v>5822</v>
      </c>
      <c r="B904" s="3">
        <v>6.5</v>
      </c>
    </row>
    <row r="905" spans="1:2" x14ac:dyDescent="0.25">
      <c r="A905" s="2" t="s">
        <v>4328</v>
      </c>
      <c r="B905" s="3">
        <v>6.833333333333333</v>
      </c>
    </row>
    <row r="906" spans="1:2" x14ac:dyDescent="0.25">
      <c r="A906" s="2" t="s">
        <v>482</v>
      </c>
      <c r="B906" s="3">
        <v>7.7</v>
      </c>
    </row>
    <row r="907" spans="1:2" x14ac:dyDescent="0.25">
      <c r="A907" s="2" t="s">
        <v>2923</v>
      </c>
      <c r="B907" s="3">
        <v>7.2</v>
      </c>
    </row>
    <row r="908" spans="1:2" x14ac:dyDescent="0.25">
      <c r="A908" s="2" t="s">
        <v>3560</v>
      </c>
      <c r="B908" s="3">
        <v>6.75</v>
      </c>
    </row>
    <row r="909" spans="1:2" x14ac:dyDescent="0.25">
      <c r="A909" s="2" t="s">
        <v>4892</v>
      </c>
      <c r="B909" s="3">
        <v>6.65</v>
      </c>
    </row>
    <row r="910" spans="1:2" x14ac:dyDescent="0.25">
      <c r="A910" s="2" t="s">
        <v>4547</v>
      </c>
      <c r="B910" s="3">
        <v>4.4000000000000004</v>
      </c>
    </row>
    <row r="911" spans="1:2" x14ac:dyDescent="0.25">
      <c r="A911" s="2" t="s">
        <v>1895</v>
      </c>
      <c r="B911" s="3">
        <v>7.0571428571428578</v>
      </c>
    </row>
    <row r="912" spans="1:2" x14ac:dyDescent="0.25">
      <c r="A912" s="2" t="s">
        <v>2227</v>
      </c>
      <c r="B912" s="3">
        <v>5.4</v>
      </c>
    </row>
    <row r="913" spans="1:2" x14ac:dyDescent="0.25">
      <c r="A913" s="2" t="s">
        <v>2948</v>
      </c>
      <c r="B913" s="3">
        <v>6.5</v>
      </c>
    </row>
    <row r="914" spans="1:2" x14ac:dyDescent="0.25">
      <c r="A914" s="2" t="s">
        <v>5868</v>
      </c>
      <c r="B914" s="3">
        <v>4.4000000000000004</v>
      </c>
    </row>
    <row r="915" spans="1:2" x14ac:dyDescent="0.25">
      <c r="A915" s="2" t="s">
        <v>1026</v>
      </c>
      <c r="B915" s="3">
        <v>7.1399999999999988</v>
      </c>
    </row>
    <row r="916" spans="1:2" x14ac:dyDescent="0.25">
      <c r="A916" s="2" t="s">
        <v>3210</v>
      </c>
      <c r="B916" s="3">
        <v>7.75</v>
      </c>
    </row>
    <row r="917" spans="1:2" x14ac:dyDescent="0.25">
      <c r="A917" s="2" t="s">
        <v>4403</v>
      </c>
      <c r="B917" s="3">
        <v>6.1</v>
      </c>
    </row>
    <row r="918" spans="1:2" x14ac:dyDescent="0.25">
      <c r="A918" s="2" t="s">
        <v>609</v>
      </c>
      <c r="B918" s="3">
        <v>6.65</v>
      </c>
    </row>
    <row r="919" spans="1:2" x14ac:dyDescent="0.25">
      <c r="A919" s="2" t="s">
        <v>4913</v>
      </c>
      <c r="B919" s="3">
        <v>4.5999999999999996</v>
      </c>
    </row>
    <row r="920" spans="1:2" x14ac:dyDescent="0.25">
      <c r="A920" s="2" t="s">
        <v>6490</v>
      </c>
      <c r="B920" s="3">
        <v>6.7</v>
      </c>
    </row>
    <row r="921" spans="1:2" x14ac:dyDescent="0.25">
      <c r="A921" s="2" t="s">
        <v>1367</v>
      </c>
      <c r="B921" s="3">
        <v>5.4</v>
      </c>
    </row>
    <row r="922" spans="1:2" x14ac:dyDescent="0.25">
      <c r="A922" s="2" t="s">
        <v>2620</v>
      </c>
      <c r="B922" s="3">
        <v>4</v>
      </c>
    </row>
    <row r="923" spans="1:2" x14ac:dyDescent="0.25">
      <c r="A923" s="2" t="s">
        <v>4979</v>
      </c>
      <c r="B923" s="3">
        <v>7.1</v>
      </c>
    </row>
    <row r="924" spans="1:2" x14ac:dyDescent="0.25">
      <c r="A924" s="2" t="s">
        <v>5970</v>
      </c>
      <c r="B924" s="3">
        <v>7.8</v>
      </c>
    </row>
    <row r="925" spans="1:2" x14ac:dyDescent="0.25">
      <c r="A925" s="2" t="s">
        <v>5635</v>
      </c>
      <c r="B925" s="3">
        <v>5.25</v>
      </c>
    </row>
    <row r="926" spans="1:2" x14ac:dyDescent="0.25">
      <c r="A926" s="2" t="s">
        <v>133</v>
      </c>
      <c r="B926" s="3">
        <v>7.1399999999999988</v>
      </c>
    </row>
    <row r="927" spans="1:2" x14ac:dyDescent="0.25">
      <c r="A927" s="2" t="s">
        <v>993</v>
      </c>
      <c r="B927" s="3">
        <v>6.6</v>
      </c>
    </row>
    <row r="928" spans="1:2" x14ac:dyDescent="0.25">
      <c r="A928" s="2" t="s">
        <v>1009</v>
      </c>
      <c r="B928" s="3">
        <v>5.2749999999999995</v>
      </c>
    </row>
    <row r="929" spans="1:2" x14ac:dyDescent="0.25">
      <c r="A929" s="2" t="s">
        <v>5586</v>
      </c>
      <c r="B929" s="3">
        <v>6.5</v>
      </c>
    </row>
    <row r="930" spans="1:2" x14ac:dyDescent="0.25">
      <c r="A930" s="2" t="s">
        <v>3101</v>
      </c>
      <c r="B930" s="3">
        <v>5.0999999999999996</v>
      </c>
    </row>
    <row r="931" spans="1:2" x14ac:dyDescent="0.25">
      <c r="A931" s="2" t="s">
        <v>1796</v>
      </c>
      <c r="B931" s="3">
        <v>6</v>
      </c>
    </row>
    <row r="932" spans="1:2" x14ac:dyDescent="0.25">
      <c r="A932" s="2" t="s">
        <v>5739</v>
      </c>
      <c r="B932" s="3">
        <v>6</v>
      </c>
    </row>
    <row r="933" spans="1:2" x14ac:dyDescent="0.25">
      <c r="A933" s="2" t="s">
        <v>1542</v>
      </c>
      <c r="B933" s="3">
        <v>7</v>
      </c>
    </row>
    <row r="934" spans="1:2" x14ac:dyDescent="0.25">
      <c r="A934" s="2" t="s">
        <v>258</v>
      </c>
      <c r="B934" s="3">
        <v>4.9000000000000004</v>
      </c>
    </row>
    <row r="935" spans="1:2" x14ac:dyDescent="0.25">
      <c r="A935" s="2" t="s">
        <v>3012</v>
      </c>
      <c r="B935" s="3">
        <v>6.6333333333333329</v>
      </c>
    </row>
    <row r="936" spans="1:2" x14ac:dyDescent="0.25">
      <c r="A936" s="2" t="s">
        <v>2736</v>
      </c>
      <c r="B936" s="3">
        <v>5.2</v>
      </c>
    </row>
    <row r="937" spans="1:2" x14ac:dyDescent="0.25">
      <c r="A937" s="2" t="s">
        <v>4216</v>
      </c>
      <c r="B937" s="3">
        <v>4.8</v>
      </c>
    </row>
    <row r="938" spans="1:2" x14ac:dyDescent="0.25">
      <c r="A938" s="2" t="s">
        <v>423</v>
      </c>
      <c r="B938" s="3">
        <v>6.2333333333333343</v>
      </c>
    </row>
    <row r="939" spans="1:2" x14ac:dyDescent="0.25">
      <c r="A939" s="2" t="s">
        <v>6518</v>
      </c>
      <c r="B939" s="3">
        <v>6.7</v>
      </c>
    </row>
    <row r="940" spans="1:2" x14ac:dyDescent="0.25">
      <c r="A940" s="2" t="s">
        <v>4894</v>
      </c>
      <c r="B940" s="3">
        <v>6.7</v>
      </c>
    </row>
    <row r="941" spans="1:2" x14ac:dyDescent="0.25">
      <c r="A941" s="2" t="s">
        <v>1842</v>
      </c>
      <c r="B941" s="3">
        <v>3.8</v>
      </c>
    </row>
    <row r="942" spans="1:2" x14ac:dyDescent="0.25">
      <c r="A942" s="2" t="s">
        <v>5906</v>
      </c>
      <c r="B942" s="3">
        <v>6.1</v>
      </c>
    </row>
    <row r="943" spans="1:2" x14ac:dyDescent="0.25">
      <c r="A943" s="2" t="s">
        <v>3030</v>
      </c>
      <c r="B943" s="3">
        <v>2.6</v>
      </c>
    </row>
    <row r="944" spans="1:2" x14ac:dyDescent="0.25">
      <c r="A944" s="2" t="s">
        <v>2684</v>
      </c>
      <c r="B944" s="3">
        <v>7.6</v>
      </c>
    </row>
    <row r="945" spans="1:2" x14ac:dyDescent="0.25">
      <c r="A945" s="2" t="s">
        <v>726</v>
      </c>
      <c r="B945" s="3">
        <v>7.2</v>
      </c>
    </row>
    <row r="946" spans="1:2" x14ac:dyDescent="0.25">
      <c r="A946" s="2" t="s">
        <v>1544</v>
      </c>
      <c r="B946" s="3">
        <v>6.9</v>
      </c>
    </row>
    <row r="947" spans="1:2" x14ac:dyDescent="0.25">
      <c r="A947" s="2" t="s">
        <v>354</v>
      </c>
      <c r="B947" s="3">
        <v>7.0500000000000007</v>
      </c>
    </row>
    <row r="948" spans="1:2" x14ac:dyDescent="0.25">
      <c r="A948" s="2" t="s">
        <v>1443</v>
      </c>
      <c r="B948" s="3">
        <v>5.8</v>
      </c>
    </row>
    <row r="949" spans="1:2" x14ac:dyDescent="0.25">
      <c r="A949" s="2" t="s">
        <v>2728</v>
      </c>
      <c r="B949" s="3">
        <v>4</v>
      </c>
    </row>
    <row r="950" spans="1:2" x14ac:dyDescent="0.25">
      <c r="A950" s="2" t="s">
        <v>3652</v>
      </c>
      <c r="B950" s="3">
        <v>4.8</v>
      </c>
    </row>
    <row r="951" spans="1:2" x14ac:dyDescent="0.25">
      <c r="A951" s="2" t="s">
        <v>2005</v>
      </c>
      <c r="B951" s="3">
        <v>6.6750000000000007</v>
      </c>
    </row>
    <row r="952" spans="1:2" x14ac:dyDescent="0.25">
      <c r="A952" s="2" t="s">
        <v>254</v>
      </c>
      <c r="B952" s="3">
        <v>6.4749999999999996</v>
      </c>
    </row>
    <row r="953" spans="1:2" x14ac:dyDescent="0.25">
      <c r="A953" s="2" t="s">
        <v>2399</v>
      </c>
      <c r="B953" s="3">
        <v>4.5999999999999996</v>
      </c>
    </row>
    <row r="954" spans="1:2" x14ac:dyDescent="0.25">
      <c r="A954" s="2" t="s">
        <v>421</v>
      </c>
      <c r="B954" s="3">
        <v>6.0250000000000004</v>
      </c>
    </row>
    <row r="955" spans="1:2" x14ac:dyDescent="0.25">
      <c r="A955" s="2" t="s">
        <v>4924</v>
      </c>
      <c r="B955" s="3">
        <v>6.35</v>
      </c>
    </row>
    <row r="956" spans="1:2" x14ac:dyDescent="0.25">
      <c r="A956" s="2" t="s">
        <v>5057</v>
      </c>
      <c r="B956" s="3">
        <v>7</v>
      </c>
    </row>
    <row r="957" spans="1:2" x14ac:dyDescent="0.25">
      <c r="A957" s="2" t="s">
        <v>2108</v>
      </c>
      <c r="B957" s="3">
        <v>8.4</v>
      </c>
    </row>
    <row r="958" spans="1:2" x14ac:dyDescent="0.25">
      <c r="A958" s="2" t="s">
        <v>562</v>
      </c>
      <c r="B958" s="3">
        <v>6.5333333333333341</v>
      </c>
    </row>
    <row r="959" spans="1:2" x14ac:dyDescent="0.25">
      <c r="A959" s="2" t="s">
        <v>537</v>
      </c>
      <c r="B959" s="3">
        <v>6.7333333333333334</v>
      </c>
    </row>
    <row r="960" spans="1:2" x14ac:dyDescent="0.25">
      <c r="A960" s="2" t="s">
        <v>4016</v>
      </c>
      <c r="B960" s="3">
        <v>6.3</v>
      </c>
    </row>
    <row r="961" spans="1:2" x14ac:dyDescent="0.25">
      <c r="A961" s="2" t="s">
        <v>1098</v>
      </c>
      <c r="B961" s="3">
        <v>7.2750000000000004</v>
      </c>
    </row>
    <row r="962" spans="1:2" x14ac:dyDescent="0.25">
      <c r="A962" s="2" t="s">
        <v>4916</v>
      </c>
      <c r="B962" s="3">
        <v>6.5</v>
      </c>
    </row>
    <row r="963" spans="1:2" x14ac:dyDescent="0.25">
      <c r="A963" s="2" t="s">
        <v>2591</v>
      </c>
      <c r="B963" s="3">
        <v>7.5500000000000007</v>
      </c>
    </row>
    <row r="964" spans="1:2" x14ac:dyDescent="0.25">
      <c r="A964" s="2" t="s">
        <v>3111</v>
      </c>
      <c r="B964" s="3">
        <v>7.4666666666666659</v>
      </c>
    </row>
    <row r="965" spans="1:2" x14ac:dyDescent="0.25">
      <c r="A965" s="2" t="s">
        <v>5210</v>
      </c>
      <c r="B965" s="3">
        <v>6.4</v>
      </c>
    </row>
    <row r="966" spans="1:2" x14ac:dyDescent="0.25">
      <c r="A966" s="2" t="s">
        <v>125</v>
      </c>
      <c r="B966" s="3">
        <v>6.5</v>
      </c>
    </row>
    <row r="967" spans="1:2" x14ac:dyDescent="0.25">
      <c r="A967" s="2" t="s">
        <v>5549</v>
      </c>
      <c r="B967" s="3">
        <v>7</v>
      </c>
    </row>
    <row r="968" spans="1:2" x14ac:dyDescent="0.25">
      <c r="A968" s="2" t="s">
        <v>2767</v>
      </c>
      <c r="B968" s="3">
        <v>7.339999999999999</v>
      </c>
    </row>
    <row r="969" spans="1:2" x14ac:dyDescent="0.25">
      <c r="A969" s="2" t="s">
        <v>5027</v>
      </c>
      <c r="B969" s="3">
        <v>6.5500000000000007</v>
      </c>
    </row>
    <row r="970" spans="1:2" x14ac:dyDescent="0.25">
      <c r="A970" s="2" t="s">
        <v>4585</v>
      </c>
      <c r="B970" s="3">
        <v>6.85</v>
      </c>
    </row>
    <row r="971" spans="1:2" x14ac:dyDescent="0.25">
      <c r="A971" s="2" t="s">
        <v>5708</v>
      </c>
      <c r="B971" s="3">
        <v>5.9</v>
      </c>
    </row>
    <row r="972" spans="1:2" x14ac:dyDescent="0.25">
      <c r="A972" s="2" t="s">
        <v>2272</v>
      </c>
      <c r="B972" s="3">
        <v>4.5999999999999996</v>
      </c>
    </row>
    <row r="973" spans="1:2" x14ac:dyDescent="0.25">
      <c r="A973" s="2" t="s">
        <v>5504</v>
      </c>
      <c r="B973" s="3">
        <v>5.8</v>
      </c>
    </row>
    <row r="974" spans="1:2" x14ac:dyDescent="0.25">
      <c r="A974" s="2" t="s">
        <v>6234</v>
      </c>
      <c r="B974" s="3">
        <v>6.2</v>
      </c>
    </row>
    <row r="975" spans="1:2" x14ac:dyDescent="0.25">
      <c r="A975" s="2" t="s">
        <v>4828</v>
      </c>
      <c r="B975" s="3">
        <v>5.5</v>
      </c>
    </row>
    <row r="976" spans="1:2" x14ac:dyDescent="0.25">
      <c r="A976" s="2" t="s">
        <v>4910</v>
      </c>
      <c r="B976" s="3">
        <v>5.2</v>
      </c>
    </row>
    <row r="977" spans="1:2" x14ac:dyDescent="0.25">
      <c r="A977" s="2" t="s">
        <v>6026</v>
      </c>
      <c r="B977" s="3">
        <v>5.7</v>
      </c>
    </row>
    <row r="978" spans="1:2" x14ac:dyDescent="0.25">
      <c r="A978" s="2" t="s">
        <v>3906</v>
      </c>
      <c r="B978" s="3">
        <v>7.2</v>
      </c>
    </row>
    <row r="979" spans="1:2" x14ac:dyDescent="0.25">
      <c r="A979" s="2" t="s">
        <v>4143</v>
      </c>
      <c r="B979" s="3">
        <v>6.6</v>
      </c>
    </row>
    <row r="980" spans="1:2" x14ac:dyDescent="0.25">
      <c r="A980" s="2" t="s">
        <v>139</v>
      </c>
      <c r="B980" s="3">
        <v>6.7666666666666657</v>
      </c>
    </row>
    <row r="981" spans="1:2" x14ac:dyDescent="0.25">
      <c r="A981" s="2" t="s">
        <v>3551</v>
      </c>
      <c r="B981" s="3">
        <v>6.3666666666666671</v>
      </c>
    </row>
    <row r="982" spans="1:2" x14ac:dyDescent="0.25">
      <c r="A982" s="2" t="s">
        <v>2462</v>
      </c>
      <c r="B982" s="3">
        <v>5.4</v>
      </c>
    </row>
    <row r="983" spans="1:2" x14ac:dyDescent="0.25">
      <c r="A983" s="2" t="s">
        <v>5319</v>
      </c>
      <c r="B983" s="3">
        <v>4.0999999999999996</v>
      </c>
    </row>
    <row r="984" spans="1:2" x14ac:dyDescent="0.25">
      <c r="A984" s="2" t="s">
        <v>2331</v>
      </c>
      <c r="B984" s="3">
        <v>8.1</v>
      </c>
    </row>
    <row r="985" spans="1:2" x14ac:dyDescent="0.25">
      <c r="A985" s="2" t="s">
        <v>5780</v>
      </c>
      <c r="B985" s="3">
        <v>8.1</v>
      </c>
    </row>
    <row r="986" spans="1:2" x14ac:dyDescent="0.25">
      <c r="A986" s="2" t="s">
        <v>2702</v>
      </c>
      <c r="B986" s="3">
        <v>6</v>
      </c>
    </row>
    <row r="987" spans="1:2" x14ac:dyDescent="0.25">
      <c r="A987" s="2" t="s">
        <v>2122</v>
      </c>
      <c r="B987" s="3">
        <v>4.5</v>
      </c>
    </row>
    <row r="988" spans="1:2" x14ac:dyDescent="0.25">
      <c r="A988" s="2" t="s">
        <v>2756</v>
      </c>
      <c r="B988" s="3">
        <v>6</v>
      </c>
    </row>
    <row r="989" spans="1:2" x14ac:dyDescent="0.25">
      <c r="A989" s="2" t="s">
        <v>6659</v>
      </c>
      <c r="B989" s="3">
        <v>6.5</v>
      </c>
    </row>
    <row r="990" spans="1:2" x14ac:dyDescent="0.25">
      <c r="A990" s="2" t="s">
        <v>6181</v>
      </c>
      <c r="B990" s="3">
        <v>6.8</v>
      </c>
    </row>
    <row r="991" spans="1:2" x14ac:dyDescent="0.25">
      <c r="A991" s="2" t="s">
        <v>6706</v>
      </c>
      <c r="B991" s="3">
        <v>6.3</v>
      </c>
    </row>
    <row r="992" spans="1:2" x14ac:dyDescent="0.25">
      <c r="A992" s="2" t="s">
        <v>3891</v>
      </c>
      <c r="B992" s="3">
        <v>6.8</v>
      </c>
    </row>
    <row r="993" spans="1:2" x14ac:dyDescent="0.25">
      <c r="A993" s="2" t="s">
        <v>5413</v>
      </c>
      <c r="B993" s="3">
        <v>7.1</v>
      </c>
    </row>
    <row r="994" spans="1:2" x14ac:dyDescent="0.25">
      <c r="A994" s="2" t="s">
        <v>1877</v>
      </c>
      <c r="B994" s="3">
        <v>7.1</v>
      </c>
    </row>
    <row r="995" spans="1:2" x14ac:dyDescent="0.25">
      <c r="A995" s="2" t="s">
        <v>2595</v>
      </c>
      <c r="B995" s="3">
        <v>7.2</v>
      </c>
    </row>
    <row r="996" spans="1:2" x14ac:dyDescent="0.25">
      <c r="A996" s="2" t="s">
        <v>2893</v>
      </c>
      <c r="B996" s="3">
        <v>7.6</v>
      </c>
    </row>
    <row r="997" spans="1:2" x14ac:dyDescent="0.25">
      <c r="A997" s="2" t="s">
        <v>1998</v>
      </c>
      <c r="B997" s="3">
        <v>6.2</v>
      </c>
    </row>
    <row r="998" spans="1:2" x14ac:dyDescent="0.25">
      <c r="A998" s="2" t="s">
        <v>2288</v>
      </c>
      <c r="B998" s="3">
        <v>3.4</v>
      </c>
    </row>
    <row r="999" spans="1:2" x14ac:dyDescent="0.25">
      <c r="A999" s="2" t="s">
        <v>4965</v>
      </c>
      <c r="B999" s="3">
        <v>5</v>
      </c>
    </row>
    <row r="1000" spans="1:2" x14ac:dyDescent="0.25">
      <c r="A1000" s="2" t="s">
        <v>2235</v>
      </c>
      <c r="B1000" s="3">
        <v>7.3</v>
      </c>
    </row>
    <row r="1001" spans="1:2" x14ac:dyDescent="0.25">
      <c r="A1001" s="2" t="s">
        <v>4538</v>
      </c>
      <c r="B1001" s="3">
        <v>6.7</v>
      </c>
    </row>
    <row r="1002" spans="1:2" x14ac:dyDescent="0.25">
      <c r="A1002" s="2" t="s">
        <v>925</v>
      </c>
      <c r="B1002" s="3">
        <v>6.15</v>
      </c>
    </row>
    <row r="1003" spans="1:2" x14ac:dyDescent="0.25">
      <c r="A1003" s="2" t="s">
        <v>107</v>
      </c>
      <c r="B1003" s="3">
        <v>6.0333333333333323</v>
      </c>
    </row>
    <row r="1004" spans="1:2" x14ac:dyDescent="0.25">
      <c r="A1004" s="2" t="s">
        <v>3768</v>
      </c>
      <c r="B1004" s="3">
        <v>5.95</v>
      </c>
    </row>
    <row r="1005" spans="1:2" x14ac:dyDescent="0.25">
      <c r="A1005" s="2" t="s">
        <v>4466</v>
      </c>
      <c r="B1005" s="3">
        <v>4.5</v>
      </c>
    </row>
    <row r="1006" spans="1:2" x14ac:dyDescent="0.25">
      <c r="A1006" s="2" t="s">
        <v>3636</v>
      </c>
      <c r="B1006" s="3">
        <v>6.4</v>
      </c>
    </row>
    <row r="1007" spans="1:2" x14ac:dyDescent="0.25">
      <c r="A1007" s="2" t="s">
        <v>3002</v>
      </c>
      <c r="B1007" s="3">
        <v>6.65</v>
      </c>
    </row>
    <row r="1008" spans="1:2" x14ac:dyDescent="0.25">
      <c r="A1008" s="2" t="s">
        <v>4434</v>
      </c>
      <c r="B1008" s="3">
        <v>4.4000000000000004</v>
      </c>
    </row>
    <row r="1009" spans="1:2" x14ac:dyDescent="0.25">
      <c r="A1009" s="2" t="s">
        <v>1931</v>
      </c>
      <c r="B1009" s="3">
        <v>5.6</v>
      </c>
    </row>
    <row r="1010" spans="1:2" x14ac:dyDescent="0.25">
      <c r="A1010" s="2" t="s">
        <v>5195</v>
      </c>
      <c r="B1010" s="3">
        <v>6.1</v>
      </c>
    </row>
    <row r="1011" spans="1:2" x14ac:dyDescent="0.25">
      <c r="A1011" s="2" t="s">
        <v>5402</v>
      </c>
      <c r="B1011" s="3">
        <v>6.75</v>
      </c>
    </row>
    <row r="1012" spans="1:2" x14ac:dyDescent="0.25">
      <c r="A1012" s="2" t="s">
        <v>361</v>
      </c>
      <c r="B1012" s="3">
        <v>7.8</v>
      </c>
    </row>
    <row r="1013" spans="1:2" x14ac:dyDescent="0.25">
      <c r="A1013" s="2" t="s">
        <v>1392</v>
      </c>
      <c r="B1013" s="3">
        <v>4.5</v>
      </c>
    </row>
    <row r="1014" spans="1:2" x14ac:dyDescent="0.25">
      <c r="A1014" s="2" t="s">
        <v>2732</v>
      </c>
      <c r="B1014" s="3">
        <v>7.4</v>
      </c>
    </row>
    <row r="1015" spans="1:2" x14ac:dyDescent="0.25">
      <c r="A1015" s="2" t="s">
        <v>2917</v>
      </c>
      <c r="B1015" s="3">
        <v>5.3</v>
      </c>
    </row>
    <row r="1016" spans="1:2" x14ac:dyDescent="0.25">
      <c r="A1016" s="2" t="s">
        <v>3426</v>
      </c>
      <c r="B1016" s="3">
        <v>6.4</v>
      </c>
    </row>
    <row r="1017" spans="1:2" x14ac:dyDescent="0.25">
      <c r="A1017" s="2" t="s">
        <v>574</v>
      </c>
      <c r="B1017" s="3">
        <v>5.4499999999999993</v>
      </c>
    </row>
    <row r="1018" spans="1:2" x14ac:dyDescent="0.25">
      <c r="A1018" s="2" t="s">
        <v>5558</v>
      </c>
      <c r="B1018" s="3">
        <v>3</v>
      </c>
    </row>
    <row r="1019" spans="1:2" x14ac:dyDescent="0.25">
      <c r="A1019" s="2" t="s">
        <v>4603</v>
      </c>
      <c r="B1019" s="3">
        <v>7</v>
      </c>
    </row>
    <row r="1020" spans="1:2" x14ac:dyDescent="0.25">
      <c r="A1020" s="2" t="s">
        <v>1846</v>
      </c>
      <c r="B1020" s="3">
        <v>5.2</v>
      </c>
    </row>
    <row r="1021" spans="1:2" x14ac:dyDescent="0.25">
      <c r="A1021" s="2" t="s">
        <v>5398</v>
      </c>
      <c r="B1021" s="3">
        <v>7.5</v>
      </c>
    </row>
    <row r="1022" spans="1:2" x14ac:dyDescent="0.25">
      <c r="A1022" s="2" t="s">
        <v>6603</v>
      </c>
      <c r="B1022" s="3">
        <v>6.5</v>
      </c>
    </row>
    <row r="1023" spans="1:2" x14ac:dyDescent="0.25">
      <c r="A1023" s="2" t="s">
        <v>3456</v>
      </c>
      <c r="B1023" s="3">
        <v>6.3</v>
      </c>
    </row>
    <row r="1024" spans="1:2" x14ac:dyDescent="0.25">
      <c r="A1024" s="2" t="s">
        <v>3999</v>
      </c>
      <c r="B1024" s="3">
        <v>4.7</v>
      </c>
    </row>
    <row r="1025" spans="1:2" x14ac:dyDescent="0.25">
      <c r="A1025" s="2" t="s">
        <v>956</v>
      </c>
      <c r="B1025" s="3">
        <v>5.3000000000000007</v>
      </c>
    </row>
    <row r="1026" spans="1:2" x14ac:dyDescent="0.25">
      <c r="A1026" s="2" t="s">
        <v>5935</v>
      </c>
      <c r="B1026" s="3">
        <v>7.4</v>
      </c>
    </row>
    <row r="1027" spans="1:2" x14ac:dyDescent="0.25">
      <c r="A1027" s="2" t="s">
        <v>1310</v>
      </c>
      <c r="B1027" s="3">
        <v>5.7</v>
      </c>
    </row>
    <row r="1028" spans="1:2" x14ac:dyDescent="0.25">
      <c r="A1028" s="2" t="s">
        <v>1595</v>
      </c>
      <c r="B1028" s="3">
        <v>5.7</v>
      </c>
    </row>
    <row r="1029" spans="1:2" x14ac:dyDescent="0.25">
      <c r="A1029" s="2" t="s">
        <v>3120</v>
      </c>
      <c r="B1029" s="3">
        <v>5.5</v>
      </c>
    </row>
    <row r="1030" spans="1:2" x14ac:dyDescent="0.25">
      <c r="A1030" s="2" t="s">
        <v>4390</v>
      </c>
      <c r="B1030" s="3">
        <v>6.5</v>
      </c>
    </row>
    <row r="1031" spans="1:2" x14ac:dyDescent="0.25">
      <c r="A1031" s="2" t="s">
        <v>2984</v>
      </c>
      <c r="B1031" s="3">
        <v>6.666666666666667</v>
      </c>
    </row>
    <row r="1032" spans="1:2" x14ac:dyDescent="0.25">
      <c r="A1032" s="2" t="s">
        <v>3807</v>
      </c>
      <c r="B1032" s="3">
        <v>5.8</v>
      </c>
    </row>
    <row r="1033" spans="1:2" x14ac:dyDescent="0.25">
      <c r="A1033" s="2" t="s">
        <v>3661</v>
      </c>
      <c r="B1033" s="3">
        <v>4</v>
      </c>
    </row>
    <row r="1034" spans="1:2" x14ac:dyDescent="0.25">
      <c r="A1034" s="2" t="s">
        <v>3038</v>
      </c>
      <c r="B1034" s="3">
        <v>6.1</v>
      </c>
    </row>
    <row r="1035" spans="1:2" x14ac:dyDescent="0.25">
      <c r="A1035" s="2" t="s">
        <v>1088</v>
      </c>
      <c r="B1035" s="3">
        <v>6.8999999999999995</v>
      </c>
    </row>
    <row r="1036" spans="1:2" x14ac:dyDescent="0.25">
      <c r="A1036" s="2" t="s">
        <v>4334</v>
      </c>
      <c r="B1036" s="3">
        <v>4.9000000000000004</v>
      </c>
    </row>
    <row r="1037" spans="1:2" x14ac:dyDescent="0.25">
      <c r="A1037" s="2" t="s">
        <v>3543</v>
      </c>
      <c r="B1037" s="3">
        <v>5.3</v>
      </c>
    </row>
    <row r="1038" spans="1:2" x14ac:dyDescent="0.25">
      <c r="A1038" s="2" t="s">
        <v>5816</v>
      </c>
      <c r="B1038" s="3">
        <v>6.6</v>
      </c>
    </row>
    <row r="1039" spans="1:2" x14ac:dyDescent="0.25">
      <c r="A1039" s="2" t="s">
        <v>2211</v>
      </c>
      <c r="B1039" s="3">
        <v>7.6</v>
      </c>
    </row>
    <row r="1040" spans="1:2" x14ac:dyDescent="0.25">
      <c r="A1040" s="2" t="s">
        <v>1014</v>
      </c>
      <c r="B1040" s="3">
        <v>6.1499999999999995</v>
      </c>
    </row>
    <row r="1041" spans="1:2" x14ac:dyDescent="0.25">
      <c r="A1041" s="2" t="s">
        <v>2567</v>
      </c>
      <c r="B1041" s="3">
        <v>8.1999999999999993</v>
      </c>
    </row>
    <row r="1042" spans="1:2" x14ac:dyDescent="0.25">
      <c r="A1042" s="2" t="s">
        <v>2405</v>
      </c>
      <c r="B1042" s="3">
        <v>2.6</v>
      </c>
    </row>
    <row r="1043" spans="1:2" x14ac:dyDescent="0.25">
      <c r="A1043" s="2" t="s">
        <v>4605</v>
      </c>
      <c r="B1043" s="3">
        <v>5.666666666666667</v>
      </c>
    </row>
    <row r="1044" spans="1:2" x14ac:dyDescent="0.25">
      <c r="A1044" s="2" t="s">
        <v>279</v>
      </c>
      <c r="B1044" s="3">
        <v>6.3</v>
      </c>
    </row>
    <row r="1045" spans="1:2" x14ac:dyDescent="0.25">
      <c r="A1045" s="2" t="s">
        <v>227</v>
      </c>
      <c r="B1045" s="3">
        <v>5.45</v>
      </c>
    </row>
    <row r="1046" spans="1:2" x14ac:dyDescent="0.25">
      <c r="A1046" s="2" t="s">
        <v>6103</v>
      </c>
      <c r="B1046" s="3">
        <v>5.85</v>
      </c>
    </row>
    <row r="1047" spans="1:2" x14ac:dyDescent="0.25">
      <c r="A1047" s="2" t="s">
        <v>1117</v>
      </c>
      <c r="B1047" s="3">
        <v>7.1399999999999988</v>
      </c>
    </row>
    <row r="1048" spans="1:2" x14ac:dyDescent="0.25">
      <c r="A1048" s="2" t="s">
        <v>2368</v>
      </c>
      <c r="B1048" s="3">
        <v>6.1</v>
      </c>
    </row>
    <row r="1049" spans="1:2" x14ac:dyDescent="0.25">
      <c r="A1049" s="2" t="s">
        <v>2829</v>
      </c>
      <c r="B1049" s="3">
        <v>7.3999999999999995</v>
      </c>
    </row>
    <row r="1050" spans="1:2" x14ac:dyDescent="0.25">
      <c r="A1050" s="2" t="s">
        <v>2891</v>
      </c>
      <c r="B1050" s="3">
        <v>7.1</v>
      </c>
    </row>
    <row r="1051" spans="1:2" x14ac:dyDescent="0.25">
      <c r="A1051" s="2" t="s">
        <v>3108</v>
      </c>
      <c r="B1051" s="3">
        <v>5.7</v>
      </c>
    </row>
    <row r="1052" spans="1:2" x14ac:dyDescent="0.25">
      <c r="A1052" s="2" t="s">
        <v>2551</v>
      </c>
      <c r="B1052" s="3">
        <v>6.15</v>
      </c>
    </row>
    <row r="1053" spans="1:2" x14ac:dyDescent="0.25">
      <c r="A1053" s="2" t="s">
        <v>50</v>
      </c>
      <c r="B1053" s="3">
        <v>6.7454545454545469</v>
      </c>
    </row>
    <row r="1054" spans="1:2" x14ac:dyDescent="0.25">
      <c r="A1054" s="2" t="s">
        <v>2750</v>
      </c>
      <c r="B1054" s="3">
        <v>4.3</v>
      </c>
    </row>
    <row r="1055" spans="1:2" x14ac:dyDescent="0.25">
      <c r="A1055" s="2" t="s">
        <v>6344</v>
      </c>
      <c r="B1055" s="3">
        <v>6.2</v>
      </c>
    </row>
    <row r="1056" spans="1:2" x14ac:dyDescent="0.25">
      <c r="A1056" s="2" t="s">
        <v>2571</v>
      </c>
      <c r="B1056" s="3">
        <v>7.7</v>
      </c>
    </row>
    <row r="1057" spans="1:2" x14ac:dyDescent="0.25">
      <c r="A1057" s="2" t="s">
        <v>411</v>
      </c>
      <c r="B1057" s="3">
        <v>5.95</v>
      </c>
    </row>
    <row r="1058" spans="1:2" x14ac:dyDescent="0.25">
      <c r="A1058" s="2" t="s">
        <v>446</v>
      </c>
      <c r="B1058" s="3">
        <v>7.1</v>
      </c>
    </row>
    <row r="1059" spans="1:2" x14ac:dyDescent="0.25">
      <c r="A1059" s="2" t="s">
        <v>1323</v>
      </c>
      <c r="B1059" s="3">
        <v>9.5</v>
      </c>
    </row>
    <row r="1060" spans="1:2" x14ac:dyDescent="0.25">
      <c r="A1060" s="2" t="s">
        <v>4076</v>
      </c>
      <c r="B1060" s="3">
        <v>4.7</v>
      </c>
    </row>
    <row r="1061" spans="1:2" x14ac:dyDescent="0.25">
      <c r="A1061" s="2" t="s">
        <v>1758</v>
      </c>
      <c r="B1061" s="3">
        <v>5.7333333333333343</v>
      </c>
    </row>
    <row r="1062" spans="1:2" x14ac:dyDescent="0.25">
      <c r="A1062" s="2" t="s">
        <v>4199</v>
      </c>
      <c r="B1062" s="3">
        <v>5.9</v>
      </c>
    </row>
    <row r="1063" spans="1:2" x14ac:dyDescent="0.25">
      <c r="A1063" s="2" t="s">
        <v>5457</v>
      </c>
      <c r="B1063" s="3">
        <v>7.1000000000000005</v>
      </c>
    </row>
    <row r="1064" spans="1:2" x14ac:dyDescent="0.25">
      <c r="A1064" s="2" t="s">
        <v>4054</v>
      </c>
      <c r="B1064" s="3">
        <v>5.3</v>
      </c>
    </row>
    <row r="1065" spans="1:2" x14ac:dyDescent="0.25">
      <c r="A1065" s="2" t="s">
        <v>4255</v>
      </c>
      <c r="B1065" s="3">
        <v>7.65</v>
      </c>
    </row>
    <row r="1066" spans="1:2" x14ac:dyDescent="0.25">
      <c r="A1066" s="2" t="s">
        <v>2789</v>
      </c>
      <c r="B1066" s="3">
        <v>6.833333333333333</v>
      </c>
    </row>
    <row r="1067" spans="1:2" x14ac:dyDescent="0.25">
      <c r="A1067" s="2" t="s">
        <v>43</v>
      </c>
      <c r="B1067" s="3">
        <v>5.5</v>
      </c>
    </row>
    <row r="1068" spans="1:2" x14ac:dyDescent="0.25">
      <c r="A1068" s="2" t="s">
        <v>1335</v>
      </c>
      <c r="B1068" s="3">
        <v>7.8</v>
      </c>
    </row>
    <row r="1069" spans="1:2" x14ac:dyDescent="0.25">
      <c r="A1069" s="2" t="s">
        <v>3085</v>
      </c>
      <c r="B1069" s="3">
        <v>7.5</v>
      </c>
    </row>
    <row r="1070" spans="1:2" x14ac:dyDescent="0.25">
      <c r="A1070" s="2" t="s">
        <v>4863</v>
      </c>
      <c r="B1070" s="3">
        <v>6.45</v>
      </c>
    </row>
    <row r="1071" spans="1:2" x14ac:dyDescent="0.25">
      <c r="A1071" s="2" t="s">
        <v>6730</v>
      </c>
      <c r="B1071" s="3">
        <v>6.6</v>
      </c>
    </row>
    <row r="1072" spans="1:2" x14ac:dyDescent="0.25">
      <c r="A1072" s="2" t="s">
        <v>3850</v>
      </c>
      <c r="B1072" s="3">
        <v>6.8</v>
      </c>
    </row>
    <row r="1073" spans="1:2" x14ac:dyDescent="0.25">
      <c r="A1073" s="2" t="s">
        <v>6620</v>
      </c>
      <c r="B1073" s="3">
        <v>5.8</v>
      </c>
    </row>
    <row r="1074" spans="1:2" x14ac:dyDescent="0.25">
      <c r="A1074" s="2" t="s">
        <v>3047</v>
      </c>
      <c r="B1074" s="3">
        <v>5.6</v>
      </c>
    </row>
    <row r="1075" spans="1:2" x14ac:dyDescent="0.25">
      <c r="A1075" s="2" t="s">
        <v>3312</v>
      </c>
      <c r="B1075" s="3">
        <v>6.3000000000000007</v>
      </c>
    </row>
    <row r="1076" spans="1:2" x14ac:dyDescent="0.25">
      <c r="A1076" s="2" t="s">
        <v>2126</v>
      </c>
      <c r="B1076" s="3">
        <v>7.55</v>
      </c>
    </row>
    <row r="1077" spans="1:2" x14ac:dyDescent="0.25">
      <c r="A1077" s="2" t="s">
        <v>3479</v>
      </c>
      <c r="B1077" s="3">
        <v>6.2</v>
      </c>
    </row>
    <row r="1078" spans="1:2" x14ac:dyDescent="0.25">
      <c r="A1078" s="2" t="s">
        <v>860</v>
      </c>
      <c r="B1078" s="3">
        <v>6.1</v>
      </c>
    </row>
    <row r="1079" spans="1:2" x14ac:dyDescent="0.25">
      <c r="A1079" s="2" t="s">
        <v>1776</v>
      </c>
      <c r="B1079" s="3">
        <v>6.14</v>
      </c>
    </row>
    <row r="1080" spans="1:2" x14ac:dyDescent="0.25">
      <c r="A1080" s="2" t="s">
        <v>267</v>
      </c>
      <c r="B1080" s="3">
        <v>7.2</v>
      </c>
    </row>
    <row r="1081" spans="1:2" x14ac:dyDescent="0.25">
      <c r="A1081" s="2" t="s">
        <v>3356</v>
      </c>
      <c r="B1081" s="3">
        <v>6.9</v>
      </c>
    </row>
    <row r="1082" spans="1:2" x14ac:dyDescent="0.25">
      <c r="A1082" s="2" t="s">
        <v>661</v>
      </c>
      <c r="B1082" s="3">
        <v>6.6</v>
      </c>
    </row>
    <row r="1083" spans="1:2" x14ac:dyDescent="0.25">
      <c r="A1083" s="2" t="s">
        <v>3983</v>
      </c>
      <c r="B1083" s="3">
        <v>5.3</v>
      </c>
    </row>
    <row r="1084" spans="1:2" x14ac:dyDescent="0.25">
      <c r="A1084" s="2" t="s">
        <v>1637</v>
      </c>
      <c r="B1084" s="3">
        <v>4.8</v>
      </c>
    </row>
    <row r="1085" spans="1:2" x14ac:dyDescent="0.25">
      <c r="A1085" s="2" t="s">
        <v>2128</v>
      </c>
      <c r="B1085" s="3">
        <v>6.4</v>
      </c>
    </row>
    <row r="1086" spans="1:2" x14ac:dyDescent="0.25">
      <c r="A1086" s="2" t="s">
        <v>6543</v>
      </c>
      <c r="B1086" s="3">
        <v>6.8</v>
      </c>
    </row>
    <row r="1087" spans="1:2" x14ac:dyDescent="0.25">
      <c r="A1087" s="2" t="s">
        <v>305</v>
      </c>
      <c r="B1087" s="3">
        <v>6.3666666666666671</v>
      </c>
    </row>
    <row r="1088" spans="1:2" x14ac:dyDescent="0.25">
      <c r="A1088" s="2" t="s">
        <v>1666</v>
      </c>
      <c r="B1088" s="3">
        <v>6</v>
      </c>
    </row>
    <row r="1089" spans="1:2" x14ac:dyDescent="0.25">
      <c r="A1089" s="2" t="s">
        <v>4545</v>
      </c>
      <c r="B1089" s="3">
        <v>7</v>
      </c>
    </row>
    <row r="1090" spans="1:2" x14ac:dyDescent="0.25">
      <c r="A1090" s="2" t="s">
        <v>3133</v>
      </c>
      <c r="B1090" s="3">
        <v>5.0999999999999996</v>
      </c>
    </row>
    <row r="1091" spans="1:2" x14ac:dyDescent="0.25">
      <c r="A1091" s="2" t="s">
        <v>2039</v>
      </c>
      <c r="B1091" s="3">
        <v>7.4</v>
      </c>
    </row>
    <row r="1092" spans="1:2" x14ac:dyDescent="0.25">
      <c r="A1092" s="2" t="s">
        <v>3564</v>
      </c>
      <c r="B1092" s="3">
        <v>5.7</v>
      </c>
    </row>
    <row r="1093" spans="1:2" x14ac:dyDescent="0.25">
      <c r="A1093" s="2" t="s">
        <v>1470</v>
      </c>
      <c r="B1093" s="3">
        <v>6.3</v>
      </c>
    </row>
    <row r="1094" spans="1:2" x14ac:dyDescent="0.25">
      <c r="A1094" s="2" t="s">
        <v>281</v>
      </c>
      <c r="B1094" s="3">
        <v>6.85</v>
      </c>
    </row>
    <row r="1095" spans="1:2" x14ac:dyDescent="0.25">
      <c r="A1095" s="2" t="s">
        <v>363</v>
      </c>
      <c r="B1095" s="3">
        <v>7.25</v>
      </c>
    </row>
    <row r="1096" spans="1:2" x14ac:dyDescent="0.25">
      <c r="A1096" s="2" t="s">
        <v>888</v>
      </c>
      <c r="B1096" s="3">
        <v>5.5</v>
      </c>
    </row>
    <row r="1097" spans="1:2" x14ac:dyDescent="0.25">
      <c r="A1097" s="2" t="s">
        <v>6194</v>
      </c>
      <c r="B1097" s="3">
        <v>6.9</v>
      </c>
    </row>
    <row r="1098" spans="1:2" x14ac:dyDescent="0.25">
      <c r="A1098" s="2" t="s">
        <v>177</v>
      </c>
      <c r="B1098" s="3">
        <v>6.7799999999999994</v>
      </c>
    </row>
    <row r="1099" spans="1:2" x14ac:dyDescent="0.25">
      <c r="A1099" s="2" t="s">
        <v>5041</v>
      </c>
      <c r="B1099" s="3">
        <v>7.1</v>
      </c>
    </row>
    <row r="1100" spans="1:2" x14ac:dyDescent="0.25">
      <c r="A1100" s="2" t="s">
        <v>3518</v>
      </c>
      <c r="B1100" s="3">
        <v>6.5</v>
      </c>
    </row>
    <row r="1101" spans="1:2" x14ac:dyDescent="0.25">
      <c r="A1101" s="2" t="s">
        <v>182</v>
      </c>
      <c r="B1101" s="3">
        <v>6.5222222222222221</v>
      </c>
    </row>
    <row r="1102" spans="1:2" x14ac:dyDescent="0.25">
      <c r="A1102" s="2" t="s">
        <v>5146</v>
      </c>
      <c r="B1102" s="3">
        <v>7.3</v>
      </c>
    </row>
    <row r="1103" spans="1:2" x14ac:dyDescent="0.25">
      <c r="A1103" s="2" t="s">
        <v>1724</v>
      </c>
      <c r="B1103" s="3">
        <v>6.4750000000000005</v>
      </c>
    </row>
    <row r="1104" spans="1:2" x14ac:dyDescent="0.25">
      <c r="A1104" s="2" t="s">
        <v>854</v>
      </c>
      <c r="B1104" s="3">
        <v>5.9666666666666659</v>
      </c>
    </row>
    <row r="1105" spans="1:2" x14ac:dyDescent="0.25">
      <c r="A1105" s="2" t="s">
        <v>2216</v>
      </c>
      <c r="B1105" s="3">
        <v>5.8</v>
      </c>
    </row>
    <row r="1106" spans="1:2" x14ac:dyDescent="0.25">
      <c r="A1106" s="2" t="s">
        <v>3923</v>
      </c>
      <c r="B1106" s="3">
        <v>4.0999999999999996</v>
      </c>
    </row>
    <row r="1107" spans="1:2" x14ac:dyDescent="0.25">
      <c r="A1107" s="2" t="s">
        <v>1197</v>
      </c>
      <c r="B1107" s="3">
        <v>5.25</v>
      </c>
    </row>
    <row r="1108" spans="1:2" x14ac:dyDescent="0.25">
      <c r="A1108" s="2" t="s">
        <v>3324</v>
      </c>
      <c r="B1108" s="3">
        <v>7.5</v>
      </c>
    </row>
    <row r="1109" spans="1:2" x14ac:dyDescent="0.25">
      <c r="A1109" s="2" t="s">
        <v>1109</v>
      </c>
      <c r="B1109" s="3">
        <v>5.45</v>
      </c>
    </row>
    <row r="1110" spans="1:2" x14ac:dyDescent="0.25">
      <c r="A1110" s="2" t="s">
        <v>5395</v>
      </c>
      <c r="B1110" s="3">
        <v>5.5</v>
      </c>
    </row>
    <row r="1111" spans="1:2" x14ac:dyDescent="0.25">
      <c r="A1111" s="2" t="s">
        <v>342</v>
      </c>
      <c r="B1111" s="3">
        <v>4.5500000000000007</v>
      </c>
    </row>
    <row r="1112" spans="1:2" x14ac:dyDescent="0.25">
      <c r="A1112" s="2" t="s">
        <v>1558</v>
      </c>
      <c r="B1112" s="3">
        <v>7.1</v>
      </c>
    </row>
    <row r="1113" spans="1:2" x14ac:dyDescent="0.25">
      <c r="A1113" s="2" t="s">
        <v>4492</v>
      </c>
      <c r="B1113" s="3">
        <v>6.8500000000000005</v>
      </c>
    </row>
    <row r="1114" spans="1:2" x14ac:dyDescent="0.25">
      <c r="A1114" s="2" t="s">
        <v>1034</v>
      </c>
      <c r="B1114" s="3">
        <v>6.2333333333333334</v>
      </c>
    </row>
    <row r="1115" spans="1:2" x14ac:dyDescent="0.25">
      <c r="A1115" s="2" t="s">
        <v>1094</v>
      </c>
      <c r="B1115" s="3">
        <v>5.3999999999999995</v>
      </c>
    </row>
    <row r="1116" spans="1:2" x14ac:dyDescent="0.25">
      <c r="A1116" s="2" t="s">
        <v>2265</v>
      </c>
      <c r="B1116" s="3">
        <v>6.4</v>
      </c>
    </row>
    <row r="1117" spans="1:2" x14ac:dyDescent="0.25">
      <c r="A1117" s="2" t="s">
        <v>539</v>
      </c>
      <c r="B1117" s="3">
        <v>6.3166666666666664</v>
      </c>
    </row>
    <row r="1118" spans="1:2" x14ac:dyDescent="0.25">
      <c r="A1118" s="2" t="s">
        <v>3569</v>
      </c>
      <c r="B1118" s="3">
        <v>5.4</v>
      </c>
    </row>
    <row r="1119" spans="1:2" x14ac:dyDescent="0.25">
      <c r="A1119" s="2" t="s">
        <v>5581</v>
      </c>
      <c r="B1119" s="3">
        <v>5.8</v>
      </c>
    </row>
    <row r="1120" spans="1:2" x14ac:dyDescent="0.25">
      <c r="A1120" s="2" t="s">
        <v>1722</v>
      </c>
      <c r="B1120" s="3">
        <v>6.75</v>
      </c>
    </row>
    <row r="1121" spans="1:2" x14ac:dyDescent="0.25">
      <c r="A1121" s="2" t="s">
        <v>2064</v>
      </c>
      <c r="B1121" s="3">
        <v>8.3000000000000007</v>
      </c>
    </row>
    <row r="1122" spans="1:2" x14ac:dyDescent="0.25">
      <c r="A1122" s="2" t="s">
        <v>5866</v>
      </c>
      <c r="B1122" s="3">
        <v>6.25</v>
      </c>
    </row>
    <row r="1123" spans="1:2" x14ac:dyDescent="0.25">
      <c r="A1123" s="2" t="s">
        <v>4884</v>
      </c>
      <c r="B1123" s="3">
        <v>6.333333333333333</v>
      </c>
    </row>
    <row r="1124" spans="1:2" x14ac:dyDescent="0.25">
      <c r="A1124" s="2" t="s">
        <v>3122</v>
      </c>
      <c r="B1124" s="3">
        <v>6.9499999999999993</v>
      </c>
    </row>
    <row r="1125" spans="1:2" x14ac:dyDescent="0.25">
      <c r="A1125" s="2" t="s">
        <v>623</v>
      </c>
      <c r="B1125" s="3">
        <v>4.88</v>
      </c>
    </row>
    <row r="1126" spans="1:2" x14ac:dyDescent="0.25">
      <c r="A1126" s="2" t="s">
        <v>613</v>
      </c>
      <c r="B1126" s="3">
        <v>6.15</v>
      </c>
    </row>
    <row r="1127" spans="1:2" x14ac:dyDescent="0.25">
      <c r="A1127" s="2" t="s">
        <v>6496</v>
      </c>
      <c r="B1127" s="3">
        <v>7.3</v>
      </c>
    </row>
    <row r="1128" spans="1:2" x14ac:dyDescent="0.25">
      <c r="A1128" s="2" t="s">
        <v>6403</v>
      </c>
      <c r="B1128" s="3">
        <v>5.6</v>
      </c>
    </row>
    <row r="1129" spans="1:2" x14ac:dyDescent="0.25">
      <c r="A1129" s="2" t="s">
        <v>307</v>
      </c>
      <c r="B1129" s="3">
        <v>6.2000000000000011</v>
      </c>
    </row>
    <row r="1130" spans="1:2" x14ac:dyDescent="0.25">
      <c r="A1130" s="2" t="s">
        <v>1113</v>
      </c>
      <c r="B1130" s="3">
        <v>6</v>
      </c>
    </row>
    <row r="1131" spans="1:2" x14ac:dyDescent="0.25">
      <c r="A1131" s="2" t="s">
        <v>1798</v>
      </c>
      <c r="B1131" s="3">
        <v>6.3</v>
      </c>
    </row>
    <row r="1132" spans="1:2" x14ac:dyDescent="0.25">
      <c r="A1132" s="2" t="s">
        <v>3578</v>
      </c>
      <c r="B1132" s="3">
        <v>6.25</v>
      </c>
    </row>
    <row r="1133" spans="1:2" x14ac:dyDescent="0.25">
      <c r="A1133" s="2" t="s">
        <v>4521</v>
      </c>
      <c r="B1133" s="3">
        <v>6.0333333333333341</v>
      </c>
    </row>
    <row r="1134" spans="1:2" x14ac:dyDescent="0.25">
      <c r="A1134" s="2" t="s">
        <v>5751</v>
      </c>
      <c r="B1134" s="3">
        <v>5.0999999999999996</v>
      </c>
    </row>
    <row r="1135" spans="1:2" x14ac:dyDescent="0.25">
      <c r="A1135" s="2" t="s">
        <v>913</v>
      </c>
      <c r="B1135" s="3">
        <v>6.65</v>
      </c>
    </row>
    <row r="1136" spans="1:2" x14ac:dyDescent="0.25">
      <c r="A1136" s="2" t="s">
        <v>4650</v>
      </c>
      <c r="B1136" s="3">
        <v>6.5</v>
      </c>
    </row>
    <row r="1137" spans="1:2" x14ac:dyDescent="0.25">
      <c r="A1137" s="2" t="s">
        <v>1379</v>
      </c>
      <c r="B1137" s="3">
        <v>5.6333333333333329</v>
      </c>
    </row>
    <row r="1138" spans="1:2" x14ac:dyDescent="0.25">
      <c r="A1138" s="2" t="s">
        <v>966</v>
      </c>
      <c r="B1138" s="3">
        <v>6.3000000000000007</v>
      </c>
    </row>
    <row r="1139" spans="1:2" x14ac:dyDescent="0.25">
      <c r="A1139" s="2" t="s">
        <v>560</v>
      </c>
      <c r="B1139" s="3">
        <v>5.2249999999999996</v>
      </c>
    </row>
    <row r="1140" spans="1:2" x14ac:dyDescent="0.25">
      <c r="A1140" s="2" t="s">
        <v>5328</v>
      </c>
      <c r="B1140" s="3">
        <v>7</v>
      </c>
    </row>
    <row r="1141" spans="1:2" x14ac:dyDescent="0.25">
      <c r="A1141" s="2" t="s">
        <v>5814</v>
      </c>
      <c r="B1141" s="3">
        <v>7</v>
      </c>
    </row>
    <row r="1142" spans="1:2" x14ac:dyDescent="0.25">
      <c r="A1142" s="2" t="s">
        <v>5436</v>
      </c>
      <c r="B1142" s="3">
        <v>6.6</v>
      </c>
    </row>
    <row r="1143" spans="1:2" x14ac:dyDescent="0.25">
      <c r="A1143" s="2" t="s">
        <v>105</v>
      </c>
      <c r="B1143" s="3">
        <v>6.5</v>
      </c>
    </row>
    <row r="1144" spans="1:2" x14ac:dyDescent="0.25">
      <c r="A1144" s="2" t="s">
        <v>2058</v>
      </c>
      <c r="B1144" s="3">
        <v>6.3</v>
      </c>
    </row>
    <row r="1145" spans="1:2" x14ac:dyDescent="0.25">
      <c r="A1145" s="2" t="s">
        <v>2276</v>
      </c>
      <c r="B1145" s="3">
        <v>6.4499999999999993</v>
      </c>
    </row>
    <row r="1146" spans="1:2" x14ac:dyDescent="0.25">
      <c r="A1146" s="2" t="s">
        <v>4220</v>
      </c>
      <c r="B1146" s="3">
        <v>5.6</v>
      </c>
    </row>
    <row r="1147" spans="1:2" x14ac:dyDescent="0.25">
      <c r="A1147" s="2" t="s">
        <v>5956</v>
      </c>
      <c r="B1147" s="3">
        <v>7.2</v>
      </c>
    </row>
    <row r="1148" spans="1:2" x14ac:dyDescent="0.25">
      <c r="A1148" s="2" t="s">
        <v>837</v>
      </c>
      <c r="B1148" s="3">
        <v>7.9</v>
      </c>
    </row>
    <row r="1149" spans="1:2" x14ac:dyDescent="0.25">
      <c r="A1149" s="2" t="s">
        <v>474</v>
      </c>
      <c r="B1149" s="3">
        <v>6.7250000000000005</v>
      </c>
    </row>
    <row r="1150" spans="1:2" x14ac:dyDescent="0.25">
      <c r="A1150" s="2" t="s">
        <v>1645</v>
      </c>
      <c r="B1150" s="3">
        <v>6.2</v>
      </c>
    </row>
    <row r="1151" spans="1:2" x14ac:dyDescent="0.25">
      <c r="A1151" s="2" t="s">
        <v>246</v>
      </c>
      <c r="B1151" s="3">
        <v>5.85</v>
      </c>
    </row>
    <row r="1152" spans="1:2" x14ac:dyDescent="0.25">
      <c r="A1152" s="2" t="s">
        <v>4970</v>
      </c>
      <c r="B1152" s="3">
        <v>6.5666666666666664</v>
      </c>
    </row>
    <row r="1153" spans="1:2" x14ac:dyDescent="0.25">
      <c r="A1153" s="2" t="s">
        <v>3307</v>
      </c>
      <c r="B1153" s="3">
        <v>6.5</v>
      </c>
    </row>
    <row r="1154" spans="1:2" x14ac:dyDescent="0.25">
      <c r="A1154" s="2" t="s">
        <v>1685</v>
      </c>
      <c r="B1154" s="3">
        <v>7.2</v>
      </c>
    </row>
    <row r="1155" spans="1:2" x14ac:dyDescent="0.25">
      <c r="A1155" s="2" t="s">
        <v>4735</v>
      </c>
      <c r="B1155" s="3">
        <v>6.4</v>
      </c>
    </row>
    <row r="1156" spans="1:2" x14ac:dyDescent="0.25">
      <c r="A1156" s="2" t="s">
        <v>6599</v>
      </c>
      <c r="B1156" s="3">
        <v>6.2</v>
      </c>
    </row>
    <row r="1157" spans="1:2" x14ac:dyDescent="0.25">
      <c r="A1157" s="2" t="s">
        <v>702</v>
      </c>
      <c r="B1157" s="3">
        <v>6.8</v>
      </c>
    </row>
    <row r="1158" spans="1:2" x14ac:dyDescent="0.25">
      <c r="A1158" s="2" t="s">
        <v>357</v>
      </c>
      <c r="B1158" s="3">
        <v>5.5333333333333341</v>
      </c>
    </row>
    <row r="1159" spans="1:2" x14ac:dyDescent="0.25">
      <c r="A1159" s="2" t="s">
        <v>899</v>
      </c>
      <c r="B1159" s="3">
        <v>6.6999999999999993</v>
      </c>
    </row>
    <row r="1160" spans="1:2" x14ac:dyDescent="0.25">
      <c r="A1160" s="2" t="s">
        <v>2468</v>
      </c>
      <c r="B1160" s="3">
        <v>5.3</v>
      </c>
    </row>
    <row r="1161" spans="1:2" x14ac:dyDescent="0.25">
      <c r="A1161" s="2" t="s">
        <v>477</v>
      </c>
      <c r="B1161" s="3">
        <v>6.6000000000000005</v>
      </c>
    </row>
    <row r="1162" spans="1:2" x14ac:dyDescent="0.25">
      <c r="A1162" s="2" t="s">
        <v>6701</v>
      </c>
      <c r="B1162" s="3">
        <v>5.4</v>
      </c>
    </row>
    <row r="1163" spans="1:2" x14ac:dyDescent="0.25">
      <c r="A1163" s="2" t="s">
        <v>1516</v>
      </c>
      <c r="B1163" s="3">
        <v>5</v>
      </c>
    </row>
    <row r="1164" spans="1:2" x14ac:dyDescent="0.25">
      <c r="A1164" s="2" t="s">
        <v>5249</v>
      </c>
      <c r="B1164" s="3">
        <v>7.1</v>
      </c>
    </row>
    <row r="1165" spans="1:2" x14ac:dyDescent="0.25">
      <c r="A1165" s="2" t="s">
        <v>2304</v>
      </c>
      <c r="B1165" s="3">
        <v>6.1</v>
      </c>
    </row>
    <row r="1166" spans="1:2" x14ac:dyDescent="0.25">
      <c r="A1166" s="2" t="s">
        <v>5234</v>
      </c>
      <c r="B1166" s="3">
        <v>7</v>
      </c>
    </row>
    <row r="1167" spans="1:2" x14ac:dyDescent="0.25">
      <c r="A1167" s="2" t="s">
        <v>2943</v>
      </c>
      <c r="B1167" s="3">
        <v>6.1</v>
      </c>
    </row>
    <row r="1168" spans="1:2" x14ac:dyDescent="0.25">
      <c r="A1168" s="2" t="s">
        <v>2495</v>
      </c>
      <c r="B1168" s="3">
        <v>7.2</v>
      </c>
    </row>
    <row r="1169" spans="1:2" x14ac:dyDescent="0.25">
      <c r="A1169" s="2" t="s">
        <v>1157</v>
      </c>
      <c r="B1169" s="3">
        <v>7.3</v>
      </c>
    </row>
    <row r="1170" spans="1:2" x14ac:dyDescent="0.25">
      <c r="A1170" s="2" t="s">
        <v>6390</v>
      </c>
      <c r="B1170" s="3">
        <v>7.7</v>
      </c>
    </row>
    <row r="1171" spans="1:2" x14ac:dyDescent="0.25">
      <c r="A1171" s="2" t="s">
        <v>4832</v>
      </c>
      <c r="B1171" s="3">
        <v>5.5</v>
      </c>
    </row>
    <row r="1172" spans="1:2" x14ac:dyDescent="0.25">
      <c r="A1172" s="2" t="s">
        <v>6043</v>
      </c>
      <c r="B1172" s="3">
        <v>3.6</v>
      </c>
    </row>
    <row r="1173" spans="1:2" x14ac:dyDescent="0.25">
      <c r="A1173" s="2" t="s">
        <v>6674</v>
      </c>
      <c r="B1173" s="3">
        <v>8.1</v>
      </c>
    </row>
    <row r="1174" spans="1:2" x14ac:dyDescent="0.25">
      <c r="A1174" s="2" t="s">
        <v>4308</v>
      </c>
      <c r="B1174" s="3">
        <v>7</v>
      </c>
    </row>
    <row r="1175" spans="1:2" x14ac:dyDescent="0.25">
      <c r="A1175" s="2" t="s">
        <v>5840</v>
      </c>
      <c r="B1175" s="3">
        <v>6.8</v>
      </c>
    </row>
    <row r="1176" spans="1:2" x14ac:dyDescent="0.25">
      <c r="A1176" s="2" t="s">
        <v>3781</v>
      </c>
      <c r="B1176" s="3">
        <v>6.6</v>
      </c>
    </row>
    <row r="1177" spans="1:2" x14ac:dyDescent="0.25">
      <c r="A1177" s="2" t="s">
        <v>2696</v>
      </c>
      <c r="B1177" s="3">
        <v>4.0999999999999996</v>
      </c>
    </row>
    <row r="1178" spans="1:2" x14ac:dyDescent="0.25">
      <c r="A1178" s="2" t="s">
        <v>1857</v>
      </c>
      <c r="B1178" s="3">
        <v>4.9000000000000004</v>
      </c>
    </row>
    <row r="1179" spans="1:2" x14ac:dyDescent="0.25">
      <c r="A1179" s="2" t="s">
        <v>1508</v>
      </c>
      <c r="B1179" s="3">
        <v>8.1</v>
      </c>
    </row>
    <row r="1180" spans="1:2" x14ac:dyDescent="0.25">
      <c r="A1180" s="2" t="s">
        <v>886</v>
      </c>
      <c r="B1180" s="3">
        <v>7</v>
      </c>
    </row>
    <row r="1181" spans="1:2" x14ac:dyDescent="0.25">
      <c r="A1181" s="2" t="s">
        <v>2718</v>
      </c>
      <c r="B1181" s="3">
        <v>4.8</v>
      </c>
    </row>
    <row r="1182" spans="1:2" x14ac:dyDescent="0.25">
      <c r="A1182" s="2" t="s">
        <v>3229</v>
      </c>
      <c r="B1182" s="3">
        <v>5.6</v>
      </c>
    </row>
    <row r="1183" spans="1:2" x14ac:dyDescent="0.25">
      <c r="A1183" s="2" t="s">
        <v>3970</v>
      </c>
      <c r="B1183" s="3">
        <v>2.8</v>
      </c>
    </row>
    <row r="1184" spans="1:2" x14ac:dyDescent="0.25">
      <c r="A1184" s="2" t="s">
        <v>1821</v>
      </c>
      <c r="B1184" s="3">
        <v>5.6</v>
      </c>
    </row>
    <row r="1185" spans="1:2" x14ac:dyDescent="0.25">
      <c r="A1185" s="2" t="s">
        <v>3594</v>
      </c>
      <c r="B1185" s="3">
        <v>6.1</v>
      </c>
    </row>
    <row r="1186" spans="1:2" x14ac:dyDescent="0.25">
      <c r="A1186" s="2" t="s">
        <v>4777</v>
      </c>
      <c r="B1186" s="3">
        <v>5.4</v>
      </c>
    </row>
    <row r="1187" spans="1:2" x14ac:dyDescent="0.25">
      <c r="A1187" s="2" t="s">
        <v>733</v>
      </c>
      <c r="B1187" s="3">
        <v>7.1</v>
      </c>
    </row>
    <row r="1188" spans="1:2" x14ac:dyDescent="0.25">
      <c r="A1188" s="2" t="s">
        <v>1672</v>
      </c>
      <c r="B1188" s="3">
        <v>6.7</v>
      </c>
    </row>
    <row r="1189" spans="1:2" x14ac:dyDescent="0.25">
      <c r="A1189" s="2" t="s">
        <v>5019</v>
      </c>
      <c r="B1189" s="3">
        <v>7.5</v>
      </c>
    </row>
    <row r="1190" spans="1:2" x14ac:dyDescent="0.25">
      <c r="A1190" s="2" t="s">
        <v>4245</v>
      </c>
      <c r="B1190" s="3">
        <v>6.1</v>
      </c>
    </row>
    <row r="1191" spans="1:2" x14ac:dyDescent="0.25">
      <c r="A1191" s="2" t="s">
        <v>6011</v>
      </c>
      <c r="B1191" s="3">
        <v>8.1999999999999993</v>
      </c>
    </row>
    <row r="1192" spans="1:2" x14ac:dyDescent="0.25">
      <c r="A1192" s="2" t="s">
        <v>5959</v>
      </c>
      <c r="B1192" s="3">
        <v>5.7</v>
      </c>
    </row>
    <row r="1193" spans="1:2" x14ac:dyDescent="0.25">
      <c r="A1193" s="2" t="s">
        <v>6259</v>
      </c>
      <c r="B1193" s="3">
        <v>7.6</v>
      </c>
    </row>
    <row r="1194" spans="1:2" x14ac:dyDescent="0.25">
      <c r="A1194" s="2" t="s">
        <v>3735</v>
      </c>
      <c r="B1194" s="3">
        <v>8</v>
      </c>
    </row>
    <row r="1195" spans="1:2" x14ac:dyDescent="0.25">
      <c r="A1195" s="2" t="s">
        <v>3557</v>
      </c>
      <c r="B1195" s="3">
        <v>7</v>
      </c>
    </row>
    <row r="1196" spans="1:2" x14ac:dyDescent="0.25">
      <c r="A1196" s="2" t="s">
        <v>1664</v>
      </c>
      <c r="B1196" s="3">
        <v>7.4499999999999993</v>
      </c>
    </row>
    <row r="1197" spans="1:2" x14ac:dyDescent="0.25">
      <c r="A1197" s="2" t="s">
        <v>25</v>
      </c>
      <c r="B1197" s="3">
        <v>6.5</v>
      </c>
    </row>
    <row r="1198" spans="1:2" x14ac:dyDescent="0.25">
      <c r="A1198" s="2" t="s">
        <v>6481</v>
      </c>
      <c r="B1198" s="3">
        <v>5.3</v>
      </c>
    </row>
    <row r="1199" spans="1:2" x14ac:dyDescent="0.25">
      <c r="A1199" s="2" t="s">
        <v>1854</v>
      </c>
      <c r="B1199" s="3">
        <v>6.15</v>
      </c>
    </row>
    <row r="1200" spans="1:2" x14ac:dyDescent="0.25">
      <c r="A1200" s="2" t="s">
        <v>1355</v>
      </c>
      <c r="B1200" s="3">
        <v>7.1</v>
      </c>
    </row>
    <row r="1201" spans="1:2" x14ac:dyDescent="0.25">
      <c r="A1201" s="2" t="s">
        <v>5086</v>
      </c>
      <c r="B1201" s="3">
        <v>7.45</v>
      </c>
    </row>
    <row r="1202" spans="1:2" x14ac:dyDescent="0.25">
      <c r="A1202" s="2" t="s">
        <v>769</v>
      </c>
      <c r="B1202" s="3">
        <v>5.55</v>
      </c>
    </row>
    <row r="1203" spans="1:2" x14ac:dyDescent="0.25">
      <c r="A1203" s="2" t="s">
        <v>6536</v>
      </c>
      <c r="B1203" s="3">
        <v>5.4</v>
      </c>
    </row>
    <row r="1204" spans="1:2" x14ac:dyDescent="0.25">
      <c r="A1204" s="2" t="s">
        <v>3701</v>
      </c>
      <c r="B1204" s="3">
        <v>6.9</v>
      </c>
    </row>
    <row r="1205" spans="1:2" x14ac:dyDescent="0.25">
      <c r="A1205" s="2" t="s">
        <v>1743</v>
      </c>
      <c r="B1205" s="3">
        <v>6.6</v>
      </c>
    </row>
    <row r="1206" spans="1:2" x14ac:dyDescent="0.25">
      <c r="A1206" s="2" t="s">
        <v>6388</v>
      </c>
      <c r="B1206" s="3">
        <v>5.9</v>
      </c>
    </row>
    <row r="1207" spans="1:2" x14ac:dyDescent="0.25">
      <c r="A1207" s="2" t="s">
        <v>2826</v>
      </c>
      <c r="B1207" s="3">
        <v>6.3</v>
      </c>
    </row>
    <row r="1208" spans="1:2" x14ac:dyDescent="0.25">
      <c r="A1208" s="2" t="s">
        <v>1320</v>
      </c>
      <c r="B1208" s="3">
        <v>6</v>
      </c>
    </row>
    <row r="1209" spans="1:2" x14ac:dyDescent="0.25">
      <c r="A1209" s="2" t="s">
        <v>3640</v>
      </c>
      <c r="B1209" s="3">
        <v>6.9</v>
      </c>
    </row>
    <row r="1210" spans="1:2" x14ac:dyDescent="0.25">
      <c r="A1210" s="2" t="s">
        <v>6213</v>
      </c>
      <c r="B1210" s="3">
        <v>7.5</v>
      </c>
    </row>
    <row r="1211" spans="1:2" x14ac:dyDescent="0.25">
      <c r="A1211" s="2" t="s">
        <v>6375</v>
      </c>
      <c r="B1211" s="3">
        <v>7.1</v>
      </c>
    </row>
    <row r="1212" spans="1:2" x14ac:dyDescent="0.25">
      <c r="A1212" s="2" t="s">
        <v>779</v>
      </c>
      <c r="B1212" s="3">
        <v>6.4666666666666659</v>
      </c>
    </row>
    <row r="1213" spans="1:2" x14ac:dyDescent="0.25">
      <c r="A1213" s="2" t="s">
        <v>1504</v>
      </c>
      <c r="B1213" s="3">
        <v>6.9</v>
      </c>
    </row>
    <row r="1214" spans="1:2" x14ac:dyDescent="0.25">
      <c r="A1214" s="2" t="s">
        <v>1524</v>
      </c>
      <c r="B1214" s="3">
        <v>8.3000000000000007</v>
      </c>
    </row>
    <row r="1215" spans="1:2" x14ac:dyDescent="0.25">
      <c r="A1215" s="2" t="s">
        <v>2393</v>
      </c>
      <c r="B1215" s="3">
        <v>4.5</v>
      </c>
    </row>
    <row r="1216" spans="1:2" x14ac:dyDescent="0.25">
      <c r="A1216" s="2" t="s">
        <v>1360</v>
      </c>
      <c r="B1216" s="3">
        <v>7.8</v>
      </c>
    </row>
    <row r="1217" spans="1:2" x14ac:dyDescent="0.25">
      <c r="A1217" s="2" t="s">
        <v>3904</v>
      </c>
      <c r="B1217" s="3">
        <v>5.6</v>
      </c>
    </row>
    <row r="1218" spans="1:2" x14ac:dyDescent="0.25">
      <c r="A1218" s="2" t="s">
        <v>2466</v>
      </c>
      <c r="B1218" s="3">
        <v>3.5</v>
      </c>
    </row>
    <row r="1219" spans="1:2" x14ac:dyDescent="0.25">
      <c r="A1219" s="2" t="s">
        <v>1407</v>
      </c>
      <c r="B1219" s="3">
        <v>4.7</v>
      </c>
    </row>
    <row r="1220" spans="1:2" x14ac:dyDescent="0.25">
      <c r="A1220" s="2" t="s">
        <v>5920</v>
      </c>
      <c r="B1220" s="3">
        <v>5.6</v>
      </c>
    </row>
    <row r="1221" spans="1:2" x14ac:dyDescent="0.25">
      <c r="A1221" s="2" t="s">
        <v>5315</v>
      </c>
      <c r="B1221" s="3">
        <v>8</v>
      </c>
    </row>
    <row r="1222" spans="1:2" x14ac:dyDescent="0.25">
      <c r="A1222" s="2" t="s">
        <v>6024</v>
      </c>
      <c r="B1222" s="3">
        <v>6.7</v>
      </c>
    </row>
    <row r="1223" spans="1:2" x14ac:dyDescent="0.25">
      <c r="A1223" s="2" t="s">
        <v>4267</v>
      </c>
      <c r="B1223" s="3">
        <v>5.6</v>
      </c>
    </row>
    <row r="1224" spans="1:2" x14ac:dyDescent="0.25">
      <c r="A1224" s="2" t="s">
        <v>1961</v>
      </c>
      <c r="B1224" s="3">
        <v>6.9</v>
      </c>
    </row>
    <row r="1225" spans="1:2" x14ac:dyDescent="0.25">
      <c r="A1225" s="2" t="s">
        <v>6590</v>
      </c>
      <c r="B1225" s="3">
        <v>6.1</v>
      </c>
    </row>
    <row r="1226" spans="1:2" x14ac:dyDescent="0.25">
      <c r="A1226" s="2" t="s">
        <v>5008</v>
      </c>
      <c r="B1226" s="3">
        <v>6.8999999999999995</v>
      </c>
    </row>
    <row r="1227" spans="1:2" x14ac:dyDescent="0.25">
      <c r="A1227" s="2" t="s">
        <v>3695</v>
      </c>
      <c r="B1227" s="3">
        <v>5.3</v>
      </c>
    </row>
    <row r="1228" spans="1:2" x14ac:dyDescent="0.25">
      <c r="A1228" s="2" t="s">
        <v>4364</v>
      </c>
      <c r="B1228" s="3">
        <v>5.8999999999999995</v>
      </c>
    </row>
    <row r="1229" spans="1:2" x14ac:dyDescent="0.25">
      <c r="A1229" s="2" t="s">
        <v>6595</v>
      </c>
      <c r="B1229" s="3">
        <v>5.7</v>
      </c>
    </row>
    <row r="1230" spans="1:2" x14ac:dyDescent="0.25">
      <c r="A1230" s="2" t="s">
        <v>6593</v>
      </c>
      <c r="B1230" s="3">
        <v>5.8</v>
      </c>
    </row>
    <row r="1231" spans="1:2" x14ac:dyDescent="0.25">
      <c r="A1231" s="2" t="s">
        <v>6440</v>
      </c>
      <c r="B1231" s="3">
        <v>5.9</v>
      </c>
    </row>
    <row r="1232" spans="1:2" x14ac:dyDescent="0.25">
      <c r="A1232" s="2" t="s">
        <v>2439</v>
      </c>
      <c r="B1232" s="3">
        <v>6.7</v>
      </c>
    </row>
    <row r="1233" spans="1:2" x14ac:dyDescent="0.25">
      <c r="A1233" s="2" t="s">
        <v>6410</v>
      </c>
      <c r="B1233" s="3">
        <v>4.7</v>
      </c>
    </row>
    <row r="1234" spans="1:2" x14ac:dyDescent="0.25">
      <c r="A1234" s="2" t="s">
        <v>200</v>
      </c>
      <c r="B1234" s="3">
        <v>7.5</v>
      </c>
    </row>
    <row r="1235" spans="1:2" x14ac:dyDescent="0.25">
      <c r="A1235" s="2" t="s">
        <v>1499</v>
      </c>
      <c r="B1235" s="3">
        <v>4.7</v>
      </c>
    </row>
    <row r="1236" spans="1:2" x14ac:dyDescent="0.25">
      <c r="A1236" s="2" t="s">
        <v>5373</v>
      </c>
      <c r="B1236" s="3">
        <v>5.5</v>
      </c>
    </row>
    <row r="1237" spans="1:2" x14ac:dyDescent="0.25">
      <c r="A1237" s="2" t="s">
        <v>4138</v>
      </c>
      <c r="B1237" s="3">
        <v>4.5999999999999996</v>
      </c>
    </row>
    <row r="1238" spans="1:2" x14ac:dyDescent="0.25">
      <c r="A1238" s="2" t="s">
        <v>6668</v>
      </c>
      <c r="B1238" s="3">
        <v>7.6</v>
      </c>
    </row>
    <row r="1239" spans="1:2" x14ac:dyDescent="0.25">
      <c r="A1239" s="2" t="s">
        <v>598</v>
      </c>
      <c r="B1239" s="3">
        <v>5.1750000000000007</v>
      </c>
    </row>
    <row r="1240" spans="1:2" x14ac:dyDescent="0.25">
      <c r="A1240" s="2" t="s">
        <v>6106</v>
      </c>
      <c r="B1240" s="3">
        <v>5.6</v>
      </c>
    </row>
    <row r="1241" spans="1:2" x14ac:dyDescent="0.25">
      <c r="A1241" s="2" t="s">
        <v>1913</v>
      </c>
      <c r="B1241" s="3">
        <v>4.5999999999999996</v>
      </c>
    </row>
    <row r="1242" spans="1:2" x14ac:dyDescent="0.25">
      <c r="A1242" s="2" t="s">
        <v>556</v>
      </c>
      <c r="B1242" s="3">
        <v>7</v>
      </c>
    </row>
    <row r="1243" spans="1:2" x14ac:dyDescent="0.25">
      <c r="A1243" s="2" t="s">
        <v>3297</v>
      </c>
      <c r="B1243" s="3">
        <v>5.8</v>
      </c>
    </row>
    <row r="1244" spans="1:2" x14ac:dyDescent="0.25">
      <c r="A1244" s="2" t="s">
        <v>5832</v>
      </c>
      <c r="B1244" s="3">
        <v>6.7666666666666666</v>
      </c>
    </row>
    <row r="1245" spans="1:2" x14ac:dyDescent="0.25">
      <c r="A1245" s="2" t="s">
        <v>1815</v>
      </c>
      <c r="B1245" s="3">
        <v>7.8</v>
      </c>
    </row>
    <row r="1246" spans="1:2" x14ac:dyDescent="0.25">
      <c r="A1246" s="2" t="s">
        <v>2603</v>
      </c>
      <c r="B1246" s="3">
        <v>4.3</v>
      </c>
    </row>
    <row r="1247" spans="1:2" x14ac:dyDescent="0.25">
      <c r="A1247" s="2" t="s">
        <v>221</v>
      </c>
      <c r="B1247" s="3">
        <v>6.1999999999999993</v>
      </c>
    </row>
    <row r="1248" spans="1:2" x14ac:dyDescent="0.25">
      <c r="A1248" s="2" t="s">
        <v>5646</v>
      </c>
      <c r="B1248" s="3">
        <v>7.5</v>
      </c>
    </row>
    <row r="1249" spans="1:2" x14ac:dyDescent="0.25">
      <c r="A1249" s="2" t="s">
        <v>2639</v>
      </c>
      <c r="B1249" s="3">
        <v>7</v>
      </c>
    </row>
    <row r="1250" spans="1:2" x14ac:dyDescent="0.25">
      <c r="A1250" s="2" t="s">
        <v>3466</v>
      </c>
      <c r="B1250" s="3">
        <v>5.9</v>
      </c>
    </row>
    <row r="1251" spans="1:2" x14ac:dyDescent="0.25">
      <c r="A1251" s="2" t="s">
        <v>1904</v>
      </c>
      <c r="B1251" s="3">
        <v>5</v>
      </c>
    </row>
    <row r="1252" spans="1:2" x14ac:dyDescent="0.25">
      <c r="A1252" s="2" t="s">
        <v>1144</v>
      </c>
      <c r="B1252" s="3">
        <v>7.1400000000000006</v>
      </c>
    </row>
    <row r="1253" spans="1:2" x14ac:dyDescent="0.25">
      <c r="A1253" s="2" t="s">
        <v>5669</v>
      </c>
      <c r="B1253" s="3">
        <v>2.8</v>
      </c>
    </row>
    <row r="1254" spans="1:2" x14ac:dyDescent="0.25">
      <c r="A1254" s="2" t="s">
        <v>4784</v>
      </c>
      <c r="B1254" s="3">
        <v>7.1</v>
      </c>
    </row>
    <row r="1255" spans="1:2" x14ac:dyDescent="0.25">
      <c r="A1255" s="2" t="s">
        <v>274</v>
      </c>
      <c r="B1255" s="3">
        <v>5.7</v>
      </c>
    </row>
    <row r="1256" spans="1:2" x14ac:dyDescent="0.25">
      <c r="A1256" s="2" t="s">
        <v>3318</v>
      </c>
      <c r="B1256" s="3">
        <v>5.8</v>
      </c>
    </row>
    <row r="1257" spans="1:2" x14ac:dyDescent="0.25">
      <c r="A1257" s="2" t="s">
        <v>3117</v>
      </c>
      <c r="B1257" s="3">
        <v>6.1</v>
      </c>
    </row>
    <row r="1258" spans="1:2" x14ac:dyDescent="0.25">
      <c r="A1258" s="2" t="s">
        <v>3827</v>
      </c>
      <c r="B1258" s="3">
        <v>5.4</v>
      </c>
    </row>
    <row r="1259" spans="1:2" x14ac:dyDescent="0.25">
      <c r="A1259" s="2" t="s">
        <v>2816</v>
      </c>
      <c r="B1259" s="3">
        <v>5.95</v>
      </c>
    </row>
    <row r="1260" spans="1:2" x14ac:dyDescent="0.25">
      <c r="A1260" s="2" t="s">
        <v>5595</v>
      </c>
      <c r="B1260" s="3">
        <v>6.3</v>
      </c>
    </row>
    <row r="1261" spans="1:2" x14ac:dyDescent="0.25">
      <c r="A1261" s="2" t="s">
        <v>2025</v>
      </c>
      <c r="B1261" s="3">
        <v>3.5</v>
      </c>
    </row>
    <row r="1262" spans="1:2" x14ac:dyDescent="0.25">
      <c r="A1262" s="2" t="s">
        <v>873</v>
      </c>
      <c r="B1262" s="3">
        <v>6.75</v>
      </c>
    </row>
    <row r="1263" spans="1:2" x14ac:dyDescent="0.25">
      <c r="A1263" s="2" t="s">
        <v>1153</v>
      </c>
      <c r="B1263" s="3">
        <v>5.3</v>
      </c>
    </row>
    <row r="1264" spans="1:2" x14ac:dyDescent="0.25">
      <c r="A1264" s="2" t="s">
        <v>2823</v>
      </c>
      <c r="B1264" s="3">
        <v>5.8</v>
      </c>
    </row>
    <row r="1265" spans="1:2" x14ac:dyDescent="0.25">
      <c r="A1265" s="2" t="s">
        <v>2529</v>
      </c>
      <c r="B1265" s="3">
        <v>5.0999999999999996</v>
      </c>
    </row>
    <row r="1266" spans="1:2" x14ac:dyDescent="0.25">
      <c r="A1266" s="2" t="s">
        <v>4192</v>
      </c>
      <c r="B1266" s="3">
        <v>5.3</v>
      </c>
    </row>
    <row r="1267" spans="1:2" x14ac:dyDescent="0.25">
      <c r="A1267" s="2" t="s">
        <v>6149</v>
      </c>
      <c r="B1267" s="3">
        <v>7.6</v>
      </c>
    </row>
    <row r="1268" spans="1:2" x14ac:dyDescent="0.25">
      <c r="A1268" s="2" t="s">
        <v>677</v>
      </c>
      <c r="B1268" s="3">
        <v>4.8</v>
      </c>
    </row>
    <row r="1269" spans="1:2" x14ac:dyDescent="0.25">
      <c r="A1269" s="2" t="s">
        <v>3166</v>
      </c>
      <c r="B1269" s="3">
        <v>7.6333333333333329</v>
      </c>
    </row>
    <row r="1270" spans="1:2" x14ac:dyDescent="0.25">
      <c r="A1270" s="2" t="s">
        <v>1005</v>
      </c>
      <c r="B1270" s="3">
        <v>5.6999999999999993</v>
      </c>
    </row>
    <row r="1271" spans="1:2" x14ac:dyDescent="0.25">
      <c r="A1271" s="2" t="s">
        <v>999</v>
      </c>
      <c r="B1271" s="3">
        <v>6.8</v>
      </c>
    </row>
    <row r="1272" spans="1:2" x14ac:dyDescent="0.25">
      <c r="A1272" s="2" t="s">
        <v>659</v>
      </c>
      <c r="B1272" s="3">
        <v>5.7</v>
      </c>
    </row>
    <row r="1273" spans="1:2" x14ac:dyDescent="0.25">
      <c r="A1273" s="2" t="s">
        <v>2019</v>
      </c>
      <c r="B1273" s="3">
        <v>6.5666666666666673</v>
      </c>
    </row>
    <row r="1274" spans="1:2" x14ac:dyDescent="0.25">
      <c r="A1274" s="2" t="s">
        <v>5059</v>
      </c>
      <c r="B1274" s="3">
        <v>6.4</v>
      </c>
    </row>
    <row r="1275" spans="1:2" x14ac:dyDescent="0.25">
      <c r="A1275" s="2" t="s">
        <v>3873</v>
      </c>
      <c r="B1275" s="3">
        <v>5.2</v>
      </c>
    </row>
    <row r="1276" spans="1:2" x14ac:dyDescent="0.25">
      <c r="A1276" s="2" t="s">
        <v>4932</v>
      </c>
      <c r="B1276" s="3">
        <v>5.7</v>
      </c>
    </row>
    <row r="1277" spans="1:2" x14ac:dyDescent="0.25">
      <c r="A1277" s="2" t="s">
        <v>5946</v>
      </c>
      <c r="B1277" s="3">
        <v>6.2</v>
      </c>
    </row>
    <row r="1278" spans="1:2" x14ac:dyDescent="0.25">
      <c r="A1278" s="2" t="s">
        <v>1317</v>
      </c>
      <c r="B1278" s="3">
        <v>5.6</v>
      </c>
    </row>
    <row r="1279" spans="1:2" x14ac:dyDescent="0.25">
      <c r="A1279" s="2" t="s">
        <v>6002</v>
      </c>
      <c r="B1279" s="3">
        <v>7.5</v>
      </c>
    </row>
    <row r="1280" spans="1:2" x14ac:dyDescent="0.25">
      <c r="A1280" s="2" t="s">
        <v>6394</v>
      </c>
      <c r="B1280" s="3">
        <v>6.8</v>
      </c>
    </row>
    <row r="1281" spans="1:2" x14ac:dyDescent="0.25">
      <c r="A1281" s="2" t="s">
        <v>1832</v>
      </c>
      <c r="B1281" s="3">
        <v>5.2</v>
      </c>
    </row>
    <row r="1282" spans="1:2" x14ac:dyDescent="0.25">
      <c r="A1282" s="2" t="s">
        <v>1885</v>
      </c>
      <c r="B1282" s="3">
        <v>7.2</v>
      </c>
    </row>
    <row r="1283" spans="1:2" x14ac:dyDescent="0.25">
      <c r="A1283" s="2" t="s">
        <v>3234</v>
      </c>
      <c r="B1283" s="3">
        <v>6.4749999999999996</v>
      </c>
    </row>
    <row r="1284" spans="1:2" x14ac:dyDescent="0.25">
      <c r="A1284" s="2" t="s">
        <v>1599</v>
      </c>
      <c r="B1284" s="3">
        <v>5.2</v>
      </c>
    </row>
    <row r="1285" spans="1:2" x14ac:dyDescent="0.25">
      <c r="A1285" s="2" t="s">
        <v>1992</v>
      </c>
      <c r="B1285" s="3">
        <v>7.1333333333333329</v>
      </c>
    </row>
    <row r="1286" spans="1:2" x14ac:dyDescent="0.25">
      <c r="A1286" s="2" t="s">
        <v>3520</v>
      </c>
      <c r="B1286" s="3">
        <v>6</v>
      </c>
    </row>
    <row r="1287" spans="1:2" x14ac:dyDescent="0.25">
      <c r="A1287" s="2" t="s">
        <v>3495</v>
      </c>
      <c r="B1287" s="3">
        <v>4.5</v>
      </c>
    </row>
    <row r="1288" spans="1:2" x14ac:dyDescent="0.25">
      <c r="A1288" s="2" t="s">
        <v>847</v>
      </c>
      <c r="B1288" s="3">
        <v>6.6</v>
      </c>
    </row>
    <row r="1289" spans="1:2" x14ac:dyDescent="0.25">
      <c r="A1289" s="2" t="s">
        <v>2690</v>
      </c>
      <c r="B1289" s="3">
        <v>5</v>
      </c>
    </row>
    <row r="1290" spans="1:2" x14ac:dyDescent="0.25">
      <c r="A1290" s="2" t="s">
        <v>3627</v>
      </c>
      <c r="B1290" s="3">
        <v>6.1</v>
      </c>
    </row>
    <row r="1291" spans="1:2" x14ac:dyDescent="0.25">
      <c r="A1291" s="2" t="s">
        <v>3416</v>
      </c>
      <c r="B1291" s="3">
        <v>7.5</v>
      </c>
    </row>
    <row r="1292" spans="1:2" x14ac:dyDescent="0.25">
      <c r="A1292" s="2" t="s">
        <v>6408</v>
      </c>
      <c r="B1292" s="3">
        <v>7.4</v>
      </c>
    </row>
    <row r="1293" spans="1:2" x14ac:dyDescent="0.25">
      <c r="A1293" s="2" t="s">
        <v>6618</v>
      </c>
      <c r="B1293" s="3">
        <v>3.3</v>
      </c>
    </row>
    <row r="1294" spans="1:2" x14ac:dyDescent="0.25">
      <c r="A1294" s="2" t="s">
        <v>4014</v>
      </c>
      <c r="B1294" s="3">
        <v>4.9000000000000004</v>
      </c>
    </row>
    <row r="1295" spans="1:2" x14ac:dyDescent="0.25">
      <c r="A1295" s="2" t="s">
        <v>2616</v>
      </c>
      <c r="B1295" s="3">
        <v>8</v>
      </c>
    </row>
    <row r="1296" spans="1:2" x14ac:dyDescent="0.25">
      <c r="A1296" s="2" t="s">
        <v>1889</v>
      </c>
      <c r="B1296" s="3">
        <v>7.5</v>
      </c>
    </row>
    <row r="1297" spans="1:2" x14ac:dyDescent="0.25">
      <c r="A1297" s="2" t="s">
        <v>1452</v>
      </c>
      <c r="B1297" s="3">
        <v>2.8</v>
      </c>
    </row>
    <row r="1298" spans="1:2" x14ac:dyDescent="0.25">
      <c r="A1298" s="2" t="s">
        <v>1731</v>
      </c>
      <c r="B1298" s="3">
        <v>5.6</v>
      </c>
    </row>
    <row r="1299" spans="1:2" x14ac:dyDescent="0.25">
      <c r="A1299" s="2" t="s">
        <v>5736</v>
      </c>
      <c r="B1299" s="3">
        <v>6.2</v>
      </c>
    </row>
    <row r="1300" spans="1:2" x14ac:dyDescent="0.25">
      <c r="A1300" s="2" t="s">
        <v>6472</v>
      </c>
      <c r="B1300" s="3">
        <v>6.1</v>
      </c>
    </row>
    <row r="1301" spans="1:2" x14ac:dyDescent="0.25">
      <c r="A1301" s="2" t="s">
        <v>4098</v>
      </c>
      <c r="B1301" s="3">
        <v>5.95</v>
      </c>
    </row>
    <row r="1302" spans="1:2" x14ac:dyDescent="0.25">
      <c r="A1302" s="2" t="s">
        <v>1768</v>
      </c>
      <c r="B1302" s="3">
        <v>6.85</v>
      </c>
    </row>
    <row r="1303" spans="1:2" x14ac:dyDescent="0.25">
      <c r="A1303" s="2" t="s">
        <v>5344</v>
      </c>
      <c r="B1303" s="3">
        <v>7.4</v>
      </c>
    </row>
    <row r="1304" spans="1:2" x14ac:dyDescent="0.25">
      <c r="A1304" s="2" t="s">
        <v>6192</v>
      </c>
      <c r="B1304" s="3">
        <v>6.2</v>
      </c>
    </row>
    <row r="1305" spans="1:2" x14ac:dyDescent="0.25">
      <c r="A1305" s="2" t="s">
        <v>2162</v>
      </c>
      <c r="B1305" s="3">
        <v>6.2</v>
      </c>
    </row>
    <row r="1306" spans="1:2" x14ac:dyDescent="0.25">
      <c r="A1306" s="2" t="s">
        <v>2521</v>
      </c>
      <c r="B1306" s="3">
        <v>8</v>
      </c>
    </row>
    <row r="1307" spans="1:2" x14ac:dyDescent="0.25">
      <c r="A1307" s="2" t="s">
        <v>6330</v>
      </c>
      <c r="B1307" s="3">
        <v>6.7</v>
      </c>
    </row>
    <row r="1308" spans="1:2" x14ac:dyDescent="0.25">
      <c r="A1308" s="2" t="s">
        <v>4624</v>
      </c>
      <c r="B1308" s="3">
        <v>3.6</v>
      </c>
    </row>
    <row r="1309" spans="1:2" x14ac:dyDescent="0.25">
      <c r="A1309" s="2" t="s">
        <v>6357</v>
      </c>
      <c r="B1309" s="3">
        <v>7</v>
      </c>
    </row>
    <row r="1310" spans="1:2" x14ac:dyDescent="0.25">
      <c r="A1310" s="2" t="s">
        <v>835</v>
      </c>
      <c r="B1310" s="3">
        <v>6.35</v>
      </c>
    </row>
    <row r="1311" spans="1:2" x14ac:dyDescent="0.25">
      <c r="A1311" s="2" t="s">
        <v>4928</v>
      </c>
      <c r="B1311" s="3">
        <v>7</v>
      </c>
    </row>
    <row r="1312" spans="1:2" x14ac:dyDescent="0.25">
      <c r="A1312" s="2" t="s">
        <v>5291</v>
      </c>
      <c r="B1312" s="3">
        <v>7.5</v>
      </c>
    </row>
    <row r="1313" spans="1:2" x14ac:dyDescent="0.25">
      <c r="A1313" s="2" t="s">
        <v>1560</v>
      </c>
      <c r="B1313" s="3">
        <v>6.8</v>
      </c>
    </row>
    <row r="1314" spans="1:2" x14ac:dyDescent="0.25">
      <c r="A1314" s="2" t="s">
        <v>435</v>
      </c>
      <c r="B1314" s="3">
        <v>7.1111111111111107</v>
      </c>
    </row>
    <row r="1315" spans="1:2" x14ac:dyDescent="0.25">
      <c r="A1315" s="2" t="s">
        <v>4899</v>
      </c>
      <c r="B1315" s="3">
        <v>8</v>
      </c>
    </row>
    <row r="1316" spans="1:2" x14ac:dyDescent="0.25">
      <c r="A1316" s="2" t="s">
        <v>5205</v>
      </c>
      <c r="B1316" s="3">
        <v>6.4</v>
      </c>
    </row>
    <row r="1317" spans="1:2" x14ac:dyDescent="0.25">
      <c r="A1317" s="2" t="s">
        <v>2357</v>
      </c>
      <c r="B1317" s="3">
        <v>5.6</v>
      </c>
    </row>
    <row r="1318" spans="1:2" x14ac:dyDescent="0.25">
      <c r="A1318" s="2" t="s">
        <v>5348</v>
      </c>
      <c r="B1318" s="3">
        <v>7.5</v>
      </c>
    </row>
    <row r="1319" spans="1:2" x14ac:dyDescent="0.25">
      <c r="A1319" s="2" t="s">
        <v>1273</v>
      </c>
      <c r="B1319" s="3">
        <v>7.25</v>
      </c>
    </row>
    <row r="1320" spans="1:2" x14ac:dyDescent="0.25">
      <c r="A1320" s="2" t="s">
        <v>6229</v>
      </c>
      <c r="B1320" s="3">
        <v>6.6</v>
      </c>
    </row>
    <row r="1321" spans="1:2" x14ac:dyDescent="0.25">
      <c r="A1321" s="2" t="s">
        <v>233</v>
      </c>
      <c r="B1321" s="3">
        <v>3.7</v>
      </c>
    </row>
    <row r="1322" spans="1:2" x14ac:dyDescent="0.25">
      <c r="A1322" s="2" t="s">
        <v>1207</v>
      </c>
      <c r="B1322" s="3">
        <v>1.7</v>
      </c>
    </row>
    <row r="1323" spans="1:2" x14ac:dyDescent="0.25">
      <c r="A1323" s="2" t="s">
        <v>3305</v>
      </c>
      <c r="B1323" s="3">
        <v>6.26</v>
      </c>
    </row>
    <row r="1324" spans="1:2" x14ac:dyDescent="0.25">
      <c r="A1324" s="2" t="s">
        <v>2773</v>
      </c>
      <c r="B1324" s="3">
        <v>7.3</v>
      </c>
    </row>
    <row r="1325" spans="1:2" x14ac:dyDescent="0.25">
      <c r="A1325" s="2" t="s">
        <v>547</v>
      </c>
      <c r="B1325" s="3">
        <v>6.15</v>
      </c>
    </row>
    <row r="1326" spans="1:2" x14ac:dyDescent="0.25">
      <c r="A1326" s="2" t="s">
        <v>2933</v>
      </c>
      <c r="B1326" s="3">
        <v>6.95</v>
      </c>
    </row>
    <row r="1327" spans="1:2" x14ac:dyDescent="0.25">
      <c r="A1327" s="2" t="s">
        <v>1065</v>
      </c>
      <c r="B1327" s="3">
        <v>6.1</v>
      </c>
    </row>
    <row r="1328" spans="1:2" x14ac:dyDescent="0.25">
      <c r="A1328" s="2" t="s">
        <v>787</v>
      </c>
      <c r="B1328" s="3">
        <v>6.9</v>
      </c>
    </row>
    <row r="1329" spans="1:2" x14ac:dyDescent="0.25">
      <c r="A1329" s="2" t="s">
        <v>6070</v>
      </c>
      <c r="B1329" s="3">
        <v>6.3</v>
      </c>
    </row>
    <row r="1330" spans="1:2" x14ac:dyDescent="0.25">
      <c r="A1330" s="2" t="s">
        <v>4368</v>
      </c>
      <c r="B1330" s="3">
        <v>8.3000000000000007</v>
      </c>
    </row>
    <row r="1331" spans="1:2" x14ac:dyDescent="0.25">
      <c r="A1331" s="2" t="s">
        <v>1437</v>
      </c>
      <c r="B1331" s="3">
        <v>6.1</v>
      </c>
    </row>
    <row r="1332" spans="1:2" x14ac:dyDescent="0.25">
      <c r="A1332" s="2" t="s">
        <v>4114</v>
      </c>
      <c r="B1332" s="3">
        <v>5.9</v>
      </c>
    </row>
    <row r="1333" spans="1:2" x14ac:dyDescent="0.25">
      <c r="A1333" s="2" t="s">
        <v>2023</v>
      </c>
      <c r="B1333" s="3">
        <v>5.3</v>
      </c>
    </row>
    <row r="1334" spans="1:2" x14ac:dyDescent="0.25">
      <c r="A1334" s="2" t="s">
        <v>35</v>
      </c>
      <c r="B1334" s="3">
        <v>6.9499999999999993</v>
      </c>
    </row>
    <row r="1335" spans="1:2" x14ac:dyDescent="0.25">
      <c r="A1335" s="2" t="s">
        <v>1412</v>
      </c>
      <c r="B1335" s="3">
        <v>7.1</v>
      </c>
    </row>
    <row r="1336" spans="1:2" x14ac:dyDescent="0.25">
      <c r="A1336" s="2" t="s">
        <v>237</v>
      </c>
      <c r="B1336" s="3">
        <v>5.5</v>
      </c>
    </row>
    <row r="1337" spans="1:2" x14ac:dyDescent="0.25">
      <c r="A1337" s="2" t="s">
        <v>2370</v>
      </c>
      <c r="B1337" s="3">
        <v>6.5</v>
      </c>
    </row>
    <row r="1338" spans="1:2" x14ac:dyDescent="0.25">
      <c r="A1338" s="2" t="s">
        <v>3382</v>
      </c>
      <c r="B1338" s="3">
        <v>7.1</v>
      </c>
    </row>
    <row r="1339" spans="1:2" x14ac:dyDescent="0.25">
      <c r="A1339" s="2" t="s">
        <v>6050</v>
      </c>
      <c r="B1339" s="3">
        <v>5.3</v>
      </c>
    </row>
    <row r="1340" spans="1:2" x14ac:dyDescent="0.25">
      <c r="A1340" s="2" t="s">
        <v>3430</v>
      </c>
      <c r="B1340" s="3">
        <v>5.7</v>
      </c>
    </row>
    <row r="1341" spans="1:2" x14ac:dyDescent="0.25">
      <c r="A1341" s="2" t="s">
        <v>773</v>
      </c>
      <c r="B1341" s="3">
        <v>6.7666666666666657</v>
      </c>
    </row>
    <row r="1342" spans="1:2" x14ac:dyDescent="0.25">
      <c r="A1342" s="2" t="s">
        <v>4877</v>
      </c>
      <c r="B1342" s="3">
        <v>6</v>
      </c>
    </row>
    <row r="1343" spans="1:2" x14ac:dyDescent="0.25">
      <c r="A1343" s="2" t="s">
        <v>6318</v>
      </c>
      <c r="B1343" s="3">
        <v>6</v>
      </c>
    </row>
    <row r="1344" spans="1:2" x14ac:dyDescent="0.25">
      <c r="A1344" s="2" t="s">
        <v>1338</v>
      </c>
      <c r="B1344" s="3">
        <v>3.2</v>
      </c>
    </row>
    <row r="1345" spans="1:2" x14ac:dyDescent="0.25">
      <c r="A1345" s="2" t="s">
        <v>1611</v>
      </c>
      <c r="B1345" s="3">
        <v>6.7</v>
      </c>
    </row>
    <row r="1346" spans="1:2" x14ac:dyDescent="0.25">
      <c r="A1346" s="2" t="s">
        <v>5061</v>
      </c>
      <c r="B1346" s="3">
        <v>4.8</v>
      </c>
    </row>
    <row r="1347" spans="1:2" x14ac:dyDescent="0.25">
      <c r="A1347" s="2" t="s">
        <v>4432</v>
      </c>
      <c r="B1347" s="3">
        <v>5.3</v>
      </c>
    </row>
    <row r="1348" spans="1:2" x14ac:dyDescent="0.25">
      <c r="A1348" s="2" t="s">
        <v>1809</v>
      </c>
      <c r="B1348" s="3">
        <v>4.3</v>
      </c>
    </row>
    <row r="1349" spans="1:2" x14ac:dyDescent="0.25">
      <c r="A1349" s="2" t="s">
        <v>3963</v>
      </c>
      <c r="B1349" s="3">
        <v>7.1</v>
      </c>
    </row>
    <row r="1350" spans="1:2" x14ac:dyDescent="0.25">
      <c r="A1350" s="2" t="s">
        <v>2680</v>
      </c>
      <c r="B1350" s="3">
        <v>7.7</v>
      </c>
    </row>
    <row r="1351" spans="1:2" x14ac:dyDescent="0.25">
      <c r="A1351" s="2" t="s">
        <v>1976</v>
      </c>
      <c r="B1351" s="3">
        <v>5.6</v>
      </c>
    </row>
    <row r="1352" spans="1:2" x14ac:dyDescent="0.25">
      <c r="A1352" s="2" t="s">
        <v>1548</v>
      </c>
      <c r="B1352" s="3">
        <v>6.8</v>
      </c>
    </row>
    <row r="1353" spans="1:2" x14ac:dyDescent="0.25">
      <c r="A1353" s="2" t="s">
        <v>3263</v>
      </c>
      <c r="B1353" s="3">
        <v>6.7</v>
      </c>
    </row>
    <row r="1354" spans="1:2" x14ac:dyDescent="0.25">
      <c r="A1354" s="2" t="s">
        <v>5562</v>
      </c>
      <c r="B1354" s="3">
        <v>7.7</v>
      </c>
    </row>
    <row r="1355" spans="1:2" x14ac:dyDescent="0.25">
      <c r="A1355" s="2" t="s">
        <v>6575</v>
      </c>
      <c r="B1355" s="3">
        <v>6.2</v>
      </c>
    </row>
    <row r="1356" spans="1:2" x14ac:dyDescent="0.25">
      <c r="A1356" s="2" t="s">
        <v>1477</v>
      </c>
      <c r="B1356" s="3">
        <v>4.7</v>
      </c>
    </row>
    <row r="1357" spans="1:2" x14ac:dyDescent="0.25">
      <c r="A1357" s="2" t="s">
        <v>4449</v>
      </c>
      <c r="B1357" s="3">
        <v>7.15</v>
      </c>
    </row>
    <row r="1358" spans="1:2" x14ac:dyDescent="0.25">
      <c r="A1358" s="2" t="s">
        <v>5002</v>
      </c>
      <c r="B1358" s="3">
        <v>6.7</v>
      </c>
    </row>
    <row r="1359" spans="1:2" x14ac:dyDescent="0.25">
      <c r="A1359" s="2" t="s">
        <v>1494</v>
      </c>
      <c r="B1359" s="3">
        <v>6.5</v>
      </c>
    </row>
    <row r="1360" spans="1:2" x14ac:dyDescent="0.25">
      <c r="A1360" s="2" t="s">
        <v>1536</v>
      </c>
      <c r="B1360" s="3">
        <v>6.9</v>
      </c>
    </row>
    <row r="1361" spans="1:2" x14ac:dyDescent="0.25">
      <c r="A1361" s="2" t="s">
        <v>5400</v>
      </c>
      <c r="B1361" s="3">
        <v>5.2</v>
      </c>
    </row>
    <row r="1362" spans="1:2" x14ac:dyDescent="0.25">
      <c r="A1362" s="2" t="s">
        <v>2909</v>
      </c>
      <c r="B1362" s="3">
        <v>6.7</v>
      </c>
    </row>
    <row r="1363" spans="1:2" x14ac:dyDescent="0.25">
      <c r="A1363" s="2" t="s">
        <v>4728</v>
      </c>
      <c r="B1363" s="3">
        <v>3.6</v>
      </c>
    </row>
    <row r="1364" spans="1:2" x14ac:dyDescent="0.25">
      <c r="A1364" s="2" t="s">
        <v>2628</v>
      </c>
      <c r="B1364" s="3">
        <v>6.5</v>
      </c>
    </row>
    <row r="1365" spans="1:2" x14ac:dyDescent="0.25">
      <c r="A1365" s="2" t="s">
        <v>1720</v>
      </c>
      <c r="B1365" s="3">
        <v>6.25</v>
      </c>
    </row>
    <row r="1366" spans="1:2" x14ac:dyDescent="0.25">
      <c r="A1366" s="2" t="s">
        <v>471</v>
      </c>
      <c r="B1366" s="3">
        <v>7.6</v>
      </c>
    </row>
    <row r="1367" spans="1:2" x14ac:dyDescent="0.25">
      <c r="A1367" s="2" t="s">
        <v>5180</v>
      </c>
      <c r="B1367" s="3">
        <v>7</v>
      </c>
    </row>
    <row r="1368" spans="1:2" x14ac:dyDescent="0.25">
      <c r="A1368" s="2" t="s">
        <v>1241</v>
      </c>
      <c r="B1368" s="3">
        <v>6.4</v>
      </c>
    </row>
    <row r="1369" spans="1:2" x14ac:dyDescent="0.25">
      <c r="A1369" s="2" t="s">
        <v>6322</v>
      </c>
      <c r="B1369" s="3">
        <v>6.9</v>
      </c>
    </row>
    <row r="1370" spans="1:2" x14ac:dyDescent="0.25">
      <c r="A1370" s="2" t="s">
        <v>6285</v>
      </c>
      <c r="B1370" s="3">
        <v>6.7</v>
      </c>
    </row>
    <row r="1371" spans="1:2" x14ac:dyDescent="0.25">
      <c r="A1371" s="2" t="s">
        <v>6132</v>
      </c>
      <c r="B1371" s="3">
        <v>6.7</v>
      </c>
    </row>
    <row r="1372" spans="1:2" x14ac:dyDescent="0.25">
      <c r="A1372" s="2" t="s">
        <v>715</v>
      </c>
      <c r="B1372" s="3">
        <v>5</v>
      </c>
    </row>
    <row r="1373" spans="1:2" x14ac:dyDescent="0.25">
      <c r="A1373" s="2" t="s">
        <v>1044</v>
      </c>
      <c r="B1373" s="3">
        <v>5.85</v>
      </c>
    </row>
    <row r="1374" spans="1:2" x14ac:dyDescent="0.25">
      <c r="A1374" s="2" t="s">
        <v>1002</v>
      </c>
      <c r="B1374" s="3">
        <v>6.8</v>
      </c>
    </row>
    <row r="1375" spans="1:2" x14ac:dyDescent="0.25">
      <c r="A1375" s="2" t="s">
        <v>6249</v>
      </c>
      <c r="B1375" s="3">
        <v>7.9</v>
      </c>
    </row>
    <row r="1376" spans="1:2" x14ac:dyDescent="0.25">
      <c r="A1376" s="2" t="s">
        <v>2553</v>
      </c>
      <c r="B1376" s="3">
        <v>5.2</v>
      </c>
    </row>
    <row r="1377" spans="1:2" x14ac:dyDescent="0.25">
      <c r="A1377" s="2" t="s">
        <v>384</v>
      </c>
      <c r="B1377" s="3">
        <v>6.0000000000000009</v>
      </c>
    </row>
    <row r="1378" spans="1:2" x14ac:dyDescent="0.25">
      <c r="A1378" s="2" t="s">
        <v>5683</v>
      </c>
      <c r="B1378" s="3">
        <v>6.7</v>
      </c>
    </row>
    <row r="1379" spans="1:2" x14ac:dyDescent="0.25">
      <c r="A1379" s="2" t="s">
        <v>5660</v>
      </c>
      <c r="B1379" s="3">
        <v>7.1</v>
      </c>
    </row>
    <row r="1380" spans="1:2" x14ac:dyDescent="0.25">
      <c r="A1380" s="2" t="s">
        <v>210</v>
      </c>
      <c r="B1380" s="3">
        <v>6</v>
      </c>
    </row>
    <row r="1381" spans="1:2" x14ac:dyDescent="0.25">
      <c r="A1381" s="2" t="s">
        <v>785</v>
      </c>
      <c r="B1381" s="3">
        <v>6.4</v>
      </c>
    </row>
    <row r="1382" spans="1:2" x14ac:dyDescent="0.25">
      <c r="A1382" s="2" t="s">
        <v>6264</v>
      </c>
      <c r="B1382" s="3">
        <v>7.3</v>
      </c>
    </row>
    <row r="1383" spans="1:2" x14ac:dyDescent="0.25">
      <c r="A1383" s="2" t="s">
        <v>1789</v>
      </c>
      <c r="B1383" s="3">
        <v>6.2</v>
      </c>
    </row>
    <row r="1384" spans="1:2" x14ac:dyDescent="0.25">
      <c r="A1384" s="2" t="s">
        <v>5352</v>
      </c>
      <c r="B1384" s="3">
        <v>4.9000000000000004</v>
      </c>
    </row>
    <row r="1385" spans="1:2" x14ac:dyDescent="0.25">
      <c r="A1385" s="2" t="s">
        <v>5381</v>
      </c>
      <c r="B1385" s="3">
        <v>5.8</v>
      </c>
    </row>
    <row r="1386" spans="1:2" x14ac:dyDescent="0.25">
      <c r="A1386" s="2" t="s">
        <v>5448</v>
      </c>
      <c r="B1386" s="3">
        <v>7.3</v>
      </c>
    </row>
    <row r="1387" spans="1:2" x14ac:dyDescent="0.25">
      <c r="A1387" s="2" t="s">
        <v>5838</v>
      </c>
      <c r="B1387" s="3">
        <v>8.5</v>
      </c>
    </row>
    <row r="1388" spans="1:2" x14ac:dyDescent="0.25">
      <c r="A1388" s="2" t="s">
        <v>1607</v>
      </c>
      <c r="B1388" s="3">
        <v>4.0999999999999996</v>
      </c>
    </row>
    <row r="1389" spans="1:2" x14ac:dyDescent="0.25">
      <c r="A1389" s="2" t="s">
        <v>611</v>
      </c>
      <c r="B1389" s="3">
        <v>5.7857142857142856</v>
      </c>
    </row>
    <row r="1390" spans="1:2" x14ac:dyDescent="0.25">
      <c r="A1390" s="2" t="s">
        <v>2712</v>
      </c>
      <c r="B1390" s="3">
        <v>5.5</v>
      </c>
    </row>
    <row r="1391" spans="1:2" x14ac:dyDescent="0.25">
      <c r="A1391" s="2" t="s">
        <v>4765</v>
      </c>
      <c r="B1391" s="3">
        <v>5.9</v>
      </c>
    </row>
    <row r="1392" spans="1:2" x14ac:dyDescent="0.25">
      <c r="A1392" s="2" t="s">
        <v>5281</v>
      </c>
      <c r="B1392" s="3">
        <v>7</v>
      </c>
    </row>
    <row r="1393" spans="1:2" x14ac:dyDescent="0.25">
      <c r="A1393" s="2" t="s">
        <v>2015</v>
      </c>
      <c r="B1393" s="3">
        <v>6.7</v>
      </c>
    </row>
    <row r="1394" spans="1:2" x14ac:dyDescent="0.25">
      <c r="A1394" s="2" t="s">
        <v>5997</v>
      </c>
      <c r="B1394" s="3">
        <v>4.4000000000000004</v>
      </c>
    </row>
    <row r="1395" spans="1:2" x14ac:dyDescent="0.25">
      <c r="A1395" s="2" t="s">
        <v>5847</v>
      </c>
      <c r="B1395" s="3">
        <v>6.2</v>
      </c>
    </row>
    <row r="1396" spans="1:2" x14ac:dyDescent="0.25">
      <c r="A1396" s="2" t="s">
        <v>1084</v>
      </c>
      <c r="B1396" s="3">
        <v>7.25</v>
      </c>
    </row>
    <row r="1397" spans="1:2" x14ac:dyDescent="0.25">
      <c r="A1397" s="2" t="s">
        <v>235</v>
      </c>
      <c r="B1397" s="3">
        <v>5.7666666666666666</v>
      </c>
    </row>
    <row r="1398" spans="1:2" x14ac:dyDescent="0.25">
      <c r="A1398" s="2" t="s">
        <v>5828</v>
      </c>
      <c r="B1398" s="3">
        <v>7.2</v>
      </c>
    </row>
    <row r="1399" spans="1:2" x14ac:dyDescent="0.25">
      <c r="A1399" s="2" t="s">
        <v>6366</v>
      </c>
      <c r="B1399" s="3">
        <v>6</v>
      </c>
    </row>
    <row r="1400" spans="1:2" x14ac:dyDescent="0.25">
      <c r="A1400" s="2" t="s">
        <v>3374</v>
      </c>
      <c r="B1400" s="3">
        <v>7.7</v>
      </c>
    </row>
    <row r="1401" spans="1:2" x14ac:dyDescent="0.25">
      <c r="A1401" s="2" t="s">
        <v>2164</v>
      </c>
      <c r="B1401" s="3">
        <v>5.5</v>
      </c>
    </row>
    <row r="1402" spans="1:2" x14ac:dyDescent="0.25">
      <c r="A1402" s="2" t="s">
        <v>6216</v>
      </c>
      <c r="B1402" s="3">
        <v>7.45</v>
      </c>
    </row>
    <row r="1403" spans="1:2" x14ac:dyDescent="0.25">
      <c r="A1403" s="2" t="s">
        <v>3385</v>
      </c>
      <c r="B1403" s="3">
        <v>3.8</v>
      </c>
    </row>
    <row r="1404" spans="1:2" x14ac:dyDescent="0.25">
      <c r="A1404" s="2" t="s">
        <v>5125</v>
      </c>
      <c r="B1404" s="3">
        <v>4.0999999999999996</v>
      </c>
    </row>
    <row r="1405" spans="1:2" x14ac:dyDescent="0.25">
      <c r="A1405" s="2" t="s">
        <v>4983</v>
      </c>
      <c r="B1405" s="3">
        <v>6.1</v>
      </c>
    </row>
    <row r="1406" spans="1:2" x14ac:dyDescent="0.25">
      <c r="A1406" s="2" t="s">
        <v>1577</v>
      </c>
      <c r="B1406" s="3">
        <v>4.5999999999999996</v>
      </c>
    </row>
    <row r="1407" spans="1:2" x14ac:dyDescent="0.25">
      <c r="A1407" s="2" t="s">
        <v>1345</v>
      </c>
      <c r="B1407" s="3">
        <v>5.5</v>
      </c>
    </row>
    <row r="1408" spans="1:2" x14ac:dyDescent="0.25">
      <c r="A1408" s="2" t="s">
        <v>5629</v>
      </c>
      <c r="B1408" s="3">
        <v>6.5</v>
      </c>
    </row>
    <row r="1409" spans="1:2" x14ac:dyDescent="0.25">
      <c r="A1409" s="2" t="s">
        <v>6622</v>
      </c>
      <c r="B1409" s="3">
        <v>6.5</v>
      </c>
    </row>
    <row r="1410" spans="1:2" x14ac:dyDescent="0.25">
      <c r="A1410" s="2" t="s">
        <v>5696</v>
      </c>
      <c r="B1410" s="3">
        <v>6.9</v>
      </c>
    </row>
    <row r="1411" spans="1:2" x14ac:dyDescent="0.25">
      <c r="A1411" s="2" t="s">
        <v>2485</v>
      </c>
      <c r="B1411" s="3">
        <v>6.7</v>
      </c>
    </row>
    <row r="1412" spans="1:2" x14ac:dyDescent="0.25">
      <c r="A1412" s="2" t="s">
        <v>4865</v>
      </c>
      <c r="B1412" s="3">
        <v>7.5</v>
      </c>
    </row>
    <row r="1413" spans="1:2" x14ac:dyDescent="0.25">
      <c r="A1413" s="2" t="s">
        <v>1649</v>
      </c>
      <c r="B1413" s="3">
        <v>5</v>
      </c>
    </row>
    <row r="1414" spans="1:2" x14ac:dyDescent="0.25">
      <c r="A1414" s="2" t="s">
        <v>6305</v>
      </c>
      <c r="B1414" s="3">
        <v>8.4</v>
      </c>
    </row>
    <row r="1415" spans="1:2" x14ac:dyDescent="0.25">
      <c r="A1415" s="2" t="s">
        <v>977</v>
      </c>
      <c r="B1415" s="3">
        <v>5.2</v>
      </c>
    </row>
    <row r="1416" spans="1:2" x14ac:dyDescent="0.25">
      <c r="A1416" s="2" t="s">
        <v>3886</v>
      </c>
      <c r="B1416" s="3">
        <v>5.1999999999999993</v>
      </c>
    </row>
    <row r="1417" spans="1:2" x14ac:dyDescent="0.25">
      <c r="A1417" s="2" t="s">
        <v>4229</v>
      </c>
      <c r="B1417" s="3">
        <v>5.8</v>
      </c>
    </row>
    <row r="1418" spans="1:2" x14ac:dyDescent="0.25">
      <c r="A1418" s="2" t="s">
        <v>5369</v>
      </c>
      <c r="B1418" s="3">
        <v>6.9</v>
      </c>
    </row>
    <row r="1419" spans="1:2" x14ac:dyDescent="0.25">
      <c r="A1419" s="2" t="s">
        <v>2084</v>
      </c>
      <c r="B1419" s="3">
        <v>6.3</v>
      </c>
    </row>
    <row r="1420" spans="1:2" x14ac:dyDescent="0.25">
      <c r="A1420" s="2" t="s">
        <v>3253</v>
      </c>
      <c r="B1420" s="3">
        <v>5.6</v>
      </c>
    </row>
    <row r="1421" spans="1:2" x14ac:dyDescent="0.25">
      <c r="A1421" s="2" t="s">
        <v>4799</v>
      </c>
      <c r="B1421" s="3">
        <v>7.4</v>
      </c>
    </row>
    <row r="1422" spans="1:2" x14ac:dyDescent="0.25">
      <c r="A1422" s="2" t="s">
        <v>5637</v>
      </c>
      <c r="B1422" s="3">
        <v>6.3</v>
      </c>
    </row>
    <row r="1423" spans="1:2" x14ac:dyDescent="0.25">
      <c r="A1423" s="2" t="s">
        <v>1817</v>
      </c>
      <c r="B1423" s="3">
        <v>6.3250000000000002</v>
      </c>
    </row>
    <row r="1424" spans="1:2" x14ac:dyDescent="0.25">
      <c r="A1424" s="2" t="s">
        <v>4429</v>
      </c>
      <c r="B1424" s="3">
        <v>6</v>
      </c>
    </row>
    <row r="1425" spans="1:2" x14ac:dyDescent="0.25">
      <c r="A1425" s="2" t="s">
        <v>1078</v>
      </c>
      <c r="B1425" s="3">
        <v>5.5600000000000005</v>
      </c>
    </row>
    <row r="1426" spans="1:2" x14ac:dyDescent="0.25">
      <c r="A1426" s="2" t="s">
        <v>5716</v>
      </c>
      <c r="B1426" s="3">
        <v>7.8</v>
      </c>
    </row>
    <row r="1427" spans="1:2" x14ac:dyDescent="0.25">
      <c r="A1427" s="2" t="s">
        <v>3237</v>
      </c>
      <c r="B1427" s="3">
        <v>6.85</v>
      </c>
    </row>
    <row r="1428" spans="1:2" x14ac:dyDescent="0.25">
      <c r="A1428" s="2" t="s">
        <v>4694</v>
      </c>
      <c r="B1428" s="3">
        <v>5.0999999999999996</v>
      </c>
    </row>
    <row r="1429" spans="1:2" x14ac:dyDescent="0.25">
      <c r="A1429" s="2" t="s">
        <v>3422</v>
      </c>
      <c r="B1429" s="3">
        <v>7</v>
      </c>
    </row>
    <row r="1430" spans="1:2" x14ac:dyDescent="0.25">
      <c r="A1430" s="2" t="s">
        <v>1096</v>
      </c>
      <c r="B1430" s="3">
        <v>5.7</v>
      </c>
    </row>
    <row r="1431" spans="1:2" x14ac:dyDescent="0.25">
      <c r="A1431" s="2" t="s">
        <v>3530</v>
      </c>
      <c r="B1431" s="3">
        <v>6.9</v>
      </c>
    </row>
    <row r="1432" spans="1:2" x14ac:dyDescent="0.25">
      <c r="A1432" s="2" t="s">
        <v>5462</v>
      </c>
      <c r="B1432" s="3">
        <v>7.8</v>
      </c>
    </row>
    <row r="1433" spans="1:2" x14ac:dyDescent="0.25">
      <c r="A1433" s="2" t="s">
        <v>4116</v>
      </c>
      <c r="B1433" s="3">
        <v>6.9</v>
      </c>
    </row>
    <row r="1434" spans="1:2" x14ac:dyDescent="0.25">
      <c r="A1434" s="2" t="s">
        <v>5256</v>
      </c>
      <c r="B1434" s="3">
        <v>5.3</v>
      </c>
    </row>
    <row r="1435" spans="1:2" x14ac:dyDescent="0.25">
      <c r="A1435" s="2" t="s">
        <v>3418</v>
      </c>
      <c r="B1435" s="3">
        <v>5.6</v>
      </c>
    </row>
    <row r="1436" spans="1:2" x14ac:dyDescent="0.25">
      <c r="A1436" s="2" t="s">
        <v>11</v>
      </c>
      <c r="B1436" s="3">
        <v>6.3</v>
      </c>
    </row>
    <row r="1437" spans="1:2" x14ac:dyDescent="0.25">
      <c r="A1437" s="2" t="s">
        <v>2111</v>
      </c>
      <c r="B1437" s="3">
        <v>5.4</v>
      </c>
    </row>
    <row r="1438" spans="1:2" x14ac:dyDescent="0.25">
      <c r="A1438" s="2" t="s">
        <v>5968</v>
      </c>
      <c r="B1438" s="3">
        <v>7</v>
      </c>
    </row>
    <row r="1439" spans="1:2" x14ac:dyDescent="0.25">
      <c r="A1439" s="2" t="s">
        <v>3574</v>
      </c>
      <c r="B1439" s="3">
        <v>5.9</v>
      </c>
    </row>
    <row r="1440" spans="1:2" x14ac:dyDescent="0.25">
      <c r="A1440" s="2" t="s">
        <v>2860</v>
      </c>
      <c r="B1440" s="3">
        <v>5.6999999999999993</v>
      </c>
    </row>
    <row r="1441" spans="1:2" x14ac:dyDescent="0.25">
      <c r="A1441" s="2" t="s">
        <v>87</v>
      </c>
      <c r="B1441" s="3">
        <v>6.4666666666666677</v>
      </c>
    </row>
    <row r="1442" spans="1:2" x14ac:dyDescent="0.25">
      <c r="A1442" s="2" t="s">
        <v>5977</v>
      </c>
      <c r="B1442" s="3">
        <v>7.1</v>
      </c>
    </row>
    <row r="1443" spans="1:2" x14ac:dyDescent="0.25">
      <c r="A1443" s="2" t="s">
        <v>3261</v>
      </c>
      <c r="B1443" s="3">
        <v>5.6</v>
      </c>
    </row>
    <row r="1444" spans="1:2" x14ac:dyDescent="0.25">
      <c r="A1444" s="2" t="s">
        <v>4352</v>
      </c>
      <c r="B1444" s="3">
        <v>7.6</v>
      </c>
    </row>
    <row r="1445" spans="1:2" x14ac:dyDescent="0.25">
      <c r="A1445" s="2" t="s">
        <v>1807</v>
      </c>
      <c r="B1445" s="3">
        <v>7.4</v>
      </c>
    </row>
    <row r="1446" spans="1:2" x14ac:dyDescent="0.25">
      <c r="A1446" s="2" t="s">
        <v>3965</v>
      </c>
      <c r="B1446" s="3">
        <v>5.0999999999999996</v>
      </c>
    </row>
    <row r="1447" spans="1:2" x14ac:dyDescent="0.25">
      <c r="A1447" s="2" t="s">
        <v>1357</v>
      </c>
      <c r="B1447" s="3">
        <v>5.7</v>
      </c>
    </row>
    <row r="1448" spans="1:2" x14ac:dyDescent="0.25">
      <c r="A1448" s="2" t="s">
        <v>4347</v>
      </c>
      <c r="B1448" s="3">
        <v>7.6</v>
      </c>
    </row>
    <row r="1449" spans="1:2" x14ac:dyDescent="0.25">
      <c r="A1449" s="2" t="s">
        <v>892</v>
      </c>
      <c r="B1449" s="3">
        <v>5.6</v>
      </c>
    </row>
    <row r="1450" spans="1:2" x14ac:dyDescent="0.25">
      <c r="A1450" s="2" t="s">
        <v>6511</v>
      </c>
      <c r="B1450" s="3">
        <v>5.0999999999999996</v>
      </c>
    </row>
    <row r="1451" spans="1:2" x14ac:dyDescent="0.25">
      <c r="A1451" s="2" t="s">
        <v>2447</v>
      </c>
      <c r="B1451" s="3">
        <v>5.8</v>
      </c>
    </row>
    <row r="1452" spans="1:2" x14ac:dyDescent="0.25">
      <c r="A1452" s="2" t="s">
        <v>6038</v>
      </c>
      <c r="B1452" s="3">
        <v>5.9</v>
      </c>
    </row>
    <row r="1453" spans="1:2" x14ac:dyDescent="0.25">
      <c r="A1453" s="2" t="s">
        <v>3689</v>
      </c>
      <c r="B1453" s="3">
        <v>5.2</v>
      </c>
    </row>
    <row r="1454" spans="1:2" x14ac:dyDescent="0.25">
      <c r="A1454" s="2" t="s">
        <v>6227</v>
      </c>
      <c r="B1454" s="3">
        <v>6.6</v>
      </c>
    </row>
    <row r="1455" spans="1:2" x14ac:dyDescent="0.25">
      <c r="A1455" s="2" t="s">
        <v>6190</v>
      </c>
      <c r="B1455" s="3">
        <v>6.3</v>
      </c>
    </row>
    <row r="1456" spans="1:2" x14ac:dyDescent="0.25">
      <c r="A1456" s="2" t="s">
        <v>845</v>
      </c>
      <c r="B1456" s="3">
        <v>5.6999999999999993</v>
      </c>
    </row>
    <row r="1457" spans="1:2" x14ac:dyDescent="0.25">
      <c r="A1457" s="2" t="s">
        <v>4284</v>
      </c>
      <c r="B1457" s="3">
        <v>4</v>
      </c>
    </row>
    <row r="1458" spans="1:2" x14ac:dyDescent="0.25">
      <c r="A1458" s="2" t="s">
        <v>1227</v>
      </c>
      <c r="B1458" s="3">
        <v>6.95</v>
      </c>
    </row>
    <row r="1459" spans="1:2" x14ac:dyDescent="0.25">
      <c r="A1459" s="2" t="s">
        <v>1546</v>
      </c>
      <c r="B1459" s="3">
        <v>4.5</v>
      </c>
    </row>
    <row r="1460" spans="1:2" x14ac:dyDescent="0.25">
      <c r="A1460" s="2" t="s">
        <v>6115</v>
      </c>
      <c r="B1460" s="3">
        <v>6</v>
      </c>
    </row>
    <row r="1461" spans="1:2" x14ac:dyDescent="0.25">
      <c r="A1461" s="2" t="s">
        <v>2557</v>
      </c>
      <c r="B1461" s="3">
        <v>5.4</v>
      </c>
    </row>
    <row r="1462" spans="1:2" x14ac:dyDescent="0.25">
      <c r="A1462" s="2" t="s">
        <v>1564</v>
      </c>
      <c r="B1462" s="3">
        <v>6.7</v>
      </c>
    </row>
    <row r="1463" spans="1:2" x14ac:dyDescent="0.25">
      <c r="A1463" s="2" t="s">
        <v>5131</v>
      </c>
      <c r="B1463" s="3">
        <v>6.9</v>
      </c>
    </row>
    <row r="1464" spans="1:2" x14ac:dyDescent="0.25">
      <c r="A1464" s="2" t="s">
        <v>5095</v>
      </c>
      <c r="B1464" s="3">
        <v>5.5</v>
      </c>
    </row>
    <row r="1465" spans="1:2" x14ac:dyDescent="0.25">
      <c r="A1465" s="2" t="s">
        <v>429</v>
      </c>
      <c r="B1465" s="3">
        <v>6.3666666666666671</v>
      </c>
    </row>
    <row r="1466" spans="1:2" x14ac:dyDescent="0.25">
      <c r="A1466" s="2" t="s">
        <v>1514</v>
      </c>
      <c r="B1466" s="3">
        <v>5.4</v>
      </c>
    </row>
    <row r="1467" spans="1:2" x14ac:dyDescent="0.25">
      <c r="A1467" s="2" t="s">
        <v>3302</v>
      </c>
      <c r="B1467" s="3">
        <v>6.8</v>
      </c>
    </row>
    <row r="1468" spans="1:2" x14ac:dyDescent="0.25">
      <c r="A1468" s="2" t="s">
        <v>2156</v>
      </c>
      <c r="B1468" s="3">
        <v>6.9</v>
      </c>
    </row>
    <row r="1469" spans="1:2" x14ac:dyDescent="0.25">
      <c r="A1469" s="2" t="s">
        <v>5796</v>
      </c>
      <c r="B1469" s="3">
        <v>6.7</v>
      </c>
    </row>
    <row r="1470" spans="1:2" x14ac:dyDescent="0.25">
      <c r="A1470" s="2" t="s">
        <v>2002</v>
      </c>
      <c r="B1470" s="3">
        <v>4.5999999999999996</v>
      </c>
    </row>
    <row r="1471" spans="1:2" x14ac:dyDescent="0.25">
      <c r="A1471" s="2" t="s">
        <v>871</v>
      </c>
      <c r="B1471" s="3">
        <v>6.6</v>
      </c>
    </row>
    <row r="1472" spans="1:2" x14ac:dyDescent="0.25">
      <c r="A1472" s="2" t="s">
        <v>2403</v>
      </c>
      <c r="B1472" s="3">
        <v>3</v>
      </c>
    </row>
    <row r="1473" spans="1:2" x14ac:dyDescent="0.25">
      <c r="A1473" s="2" t="s">
        <v>5079</v>
      </c>
      <c r="B1473" s="3">
        <v>6.7</v>
      </c>
    </row>
    <row r="1474" spans="1:2" x14ac:dyDescent="0.25">
      <c r="A1474" s="2" t="s">
        <v>2754</v>
      </c>
      <c r="B1474" s="3">
        <v>7.6000000000000005</v>
      </c>
    </row>
    <row r="1475" spans="1:2" x14ac:dyDescent="0.25">
      <c r="A1475" s="2" t="s">
        <v>2565</v>
      </c>
      <c r="B1475" s="3">
        <v>6.8</v>
      </c>
    </row>
    <row r="1476" spans="1:2" x14ac:dyDescent="0.25">
      <c r="A1476" s="2" t="s">
        <v>4810</v>
      </c>
      <c r="B1476" s="3">
        <v>6.2</v>
      </c>
    </row>
    <row r="1477" spans="1:2" x14ac:dyDescent="0.25">
      <c r="A1477" s="2" t="s">
        <v>4038</v>
      </c>
      <c r="B1477" s="3">
        <v>5</v>
      </c>
    </row>
    <row r="1478" spans="1:2" x14ac:dyDescent="0.25">
      <c r="A1478" s="2" t="s">
        <v>6074</v>
      </c>
      <c r="B1478" s="3">
        <v>7.2</v>
      </c>
    </row>
    <row r="1479" spans="1:2" x14ac:dyDescent="0.25">
      <c r="A1479" s="2" t="s">
        <v>5836</v>
      </c>
      <c r="B1479" s="3">
        <v>7.3</v>
      </c>
    </row>
    <row r="1480" spans="1:2" x14ac:dyDescent="0.25">
      <c r="A1480" s="2" t="s">
        <v>5364</v>
      </c>
      <c r="B1480" s="3">
        <v>6.1</v>
      </c>
    </row>
    <row r="1481" spans="1:2" x14ac:dyDescent="0.25">
      <c r="A1481" s="2" t="s">
        <v>5566</v>
      </c>
      <c r="B1481" s="3">
        <v>7.2</v>
      </c>
    </row>
    <row r="1482" spans="1:2" x14ac:dyDescent="0.25">
      <c r="A1482" s="2" t="s">
        <v>982</v>
      </c>
      <c r="B1482" s="3">
        <v>6.5333333333333323</v>
      </c>
    </row>
    <row r="1483" spans="1:2" x14ac:dyDescent="0.25">
      <c r="A1483" s="2" t="s">
        <v>5805</v>
      </c>
      <c r="B1483" s="3">
        <v>4.2</v>
      </c>
    </row>
    <row r="1484" spans="1:2" x14ac:dyDescent="0.25">
      <c r="A1484" s="2" t="s">
        <v>317</v>
      </c>
      <c r="B1484" s="3">
        <v>7.08</v>
      </c>
    </row>
    <row r="1485" spans="1:2" x14ac:dyDescent="0.25">
      <c r="A1485" s="2" t="s">
        <v>512</v>
      </c>
      <c r="B1485" s="3">
        <v>7.7666666666666657</v>
      </c>
    </row>
    <row r="1486" spans="1:2" x14ac:dyDescent="0.25">
      <c r="A1486" s="2" t="s">
        <v>6202</v>
      </c>
      <c r="B1486" s="3">
        <v>6.2</v>
      </c>
    </row>
    <row r="1487" spans="1:2" x14ac:dyDescent="0.25">
      <c r="A1487" s="2" t="s">
        <v>2152</v>
      </c>
      <c r="B1487" s="3">
        <v>7.8</v>
      </c>
    </row>
    <row r="1488" spans="1:2" x14ac:dyDescent="0.25">
      <c r="A1488" s="2" t="s">
        <v>2207</v>
      </c>
      <c r="B1488" s="3">
        <v>7.2</v>
      </c>
    </row>
    <row r="1489" spans="1:2" x14ac:dyDescent="0.25">
      <c r="A1489" s="2" t="s">
        <v>4325</v>
      </c>
      <c r="B1489" s="3">
        <v>5.5</v>
      </c>
    </row>
    <row r="1490" spans="1:2" x14ac:dyDescent="0.25">
      <c r="A1490" s="2" t="s">
        <v>2761</v>
      </c>
      <c r="B1490" s="3">
        <v>5.9</v>
      </c>
    </row>
    <row r="1491" spans="1:2" x14ac:dyDescent="0.25">
      <c r="A1491" s="2" t="s">
        <v>4921</v>
      </c>
      <c r="B1491" s="3">
        <v>6.8</v>
      </c>
    </row>
    <row r="1492" spans="1:2" x14ac:dyDescent="0.25">
      <c r="A1492" s="2" t="s">
        <v>1926</v>
      </c>
      <c r="B1492" s="3">
        <v>7.2</v>
      </c>
    </row>
    <row r="1493" spans="1:2" x14ac:dyDescent="0.25">
      <c r="A1493" s="2" t="s">
        <v>4698</v>
      </c>
      <c r="B1493" s="3">
        <v>4.0999999999999996</v>
      </c>
    </row>
    <row r="1494" spans="1:2" x14ac:dyDescent="0.25">
      <c r="A1494" s="2" t="s">
        <v>3761</v>
      </c>
      <c r="B1494" s="3">
        <v>6.8</v>
      </c>
    </row>
    <row r="1495" spans="1:2" x14ac:dyDescent="0.25">
      <c r="A1495" s="2" t="s">
        <v>441</v>
      </c>
      <c r="B1495" s="3">
        <v>6.6</v>
      </c>
    </row>
    <row r="1496" spans="1:2" x14ac:dyDescent="0.25">
      <c r="A1496" s="2" t="s">
        <v>711</v>
      </c>
      <c r="B1496" s="3">
        <v>6.8999999999999995</v>
      </c>
    </row>
    <row r="1497" spans="1:2" x14ac:dyDescent="0.25">
      <c r="A1497" s="2" t="s">
        <v>2498</v>
      </c>
      <c r="B1497" s="3">
        <v>7.2</v>
      </c>
    </row>
    <row r="1498" spans="1:2" x14ac:dyDescent="0.25">
      <c r="A1498" s="2" t="s">
        <v>979</v>
      </c>
      <c r="B1498" s="3">
        <v>5.8999999999999995</v>
      </c>
    </row>
    <row r="1499" spans="1:2" x14ac:dyDescent="0.25">
      <c r="A1499" s="2" t="s">
        <v>5633</v>
      </c>
      <c r="B1499" s="3">
        <v>5.3</v>
      </c>
    </row>
    <row r="1500" spans="1:2" x14ac:dyDescent="0.25">
      <c r="A1500" s="2" t="s">
        <v>1733</v>
      </c>
      <c r="B1500" s="3">
        <v>7.5</v>
      </c>
    </row>
    <row r="1501" spans="1:2" x14ac:dyDescent="0.25">
      <c r="A1501" s="2" t="s">
        <v>6449</v>
      </c>
      <c r="B1501" s="3">
        <v>6.7</v>
      </c>
    </row>
    <row r="1502" spans="1:2" x14ac:dyDescent="0.25">
      <c r="A1502" s="2" t="s">
        <v>1627</v>
      </c>
      <c r="B1502" s="3">
        <v>6.3</v>
      </c>
    </row>
    <row r="1503" spans="1:2" x14ac:dyDescent="0.25">
      <c r="A1503" s="2" t="s">
        <v>4935</v>
      </c>
      <c r="B1503" s="3">
        <v>6.4</v>
      </c>
    </row>
    <row r="1504" spans="1:2" x14ac:dyDescent="0.25">
      <c r="A1504" s="2" t="s">
        <v>1963</v>
      </c>
      <c r="B1504" s="3">
        <v>7</v>
      </c>
    </row>
    <row r="1505" spans="1:2" x14ac:dyDescent="0.25">
      <c r="A1505" s="2" t="s">
        <v>4248</v>
      </c>
      <c r="B1505" s="3">
        <v>6</v>
      </c>
    </row>
    <row r="1506" spans="1:2" x14ac:dyDescent="0.25">
      <c r="A1506" s="2" t="s">
        <v>5535</v>
      </c>
      <c r="B1506" s="3">
        <v>7.1</v>
      </c>
    </row>
    <row r="1507" spans="1:2" x14ac:dyDescent="0.25">
      <c r="A1507" s="2" t="s">
        <v>1988</v>
      </c>
      <c r="B1507" s="3">
        <v>7.4333333333333327</v>
      </c>
    </row>
    <row r="1508" spans="1:2" x14ac:dyDescent="0.25">
      <c r="A1508" s="2" t="s">
        <v>6445</v>
      </c>
      <c r="B1508" s="3">
        <v>5.7</v>
      </c>
    </row>
    <row r="1509" spans="1:2" x14ac:dyDescent="0.25">
      <c r="A1509" s="2" t="s">
        <v>4513</v>
      </c>
      <c r="B1509" s="3">
        <v>5.6</v>
      </c>
    </row>
    <row r="1510" spans="1:2" x14ac:dyDescent="0.25">
      <c r="A1510" s="2" t="s">
        <v>2930</v>
      </c>
      <c r="B1510" s="3">
        <v>6.2</v>
      </c>
    </row>
    <row r="1511" spans="1:2" x14ac:dyDescent="0.25">
      <c r="A1511" s="2" t="s">
        <v>4972</v>
      </c>
      <c r="B1511" s="3">
        <v>6.85</v>
      </c>
    </row>
    <row r="1512" spans="1:2" x14ac:dyDescent="0.25">
      <c r="A1512" s="2" t="s">
        <v>4425</v>
      </c>
      <c r="B1512" s="3">
        <v>6</v>
      </c>
    </row>
    <row r="1513" spans="1:2" x14ac:dyDescent="0.25">
      <c r="A1513" s="2" t="s">
        <v>5577</v>
      </c>
      <c r="B1513" s="3">
        <v>7.4000000000000012</v>
      </c>
    </row>
    <row r="1514" spans="1:2" x14ac:dyDescent="0.25">
      <c r="A1514" s="2" t="s">
        <v>2563</v>
      </c>
      <c r="B1514" s="3">
        <v>5.65</v>
      </c>
    </row>
    <row r="1515" spans="1:2" x14ac:dyDescent="0.25">
      <c r="A1515" s="2" t="s">
        <v>3644</v>
      </c>
      <c r="B1515" s="3">
        <v>6.8666666666666671</v>
      </c>
    </row>
    <row r="1516" spans="1:2" x14ac:dyDescent="0.25">
      <c r="A1516" s="2" t="s">
        <v>2543</v>
      </c>
      <c r="B1516" s="3">
        <v>3.5</v>
      </c>
    </row>
    <row r="1517" spans="1:2" x14ac:dyDescent="0.25">
      <c r="A1517" s="2" t="s">
        <v>4157</v>
      </c>
      <c r="B1517" s="3">
        <v>5</v>
      </c>
    </row>
    <row r="1518" spans="1:2" x14ac:dyDescent="0.25">
      <c r="A1518" s="2" t="s">
        <v>2168</v>
      </c>
      <c r="B1518" s="3">
        <v>5.8</v>
      </c>
    </row>
    <row r="1519" spans="1:2" x14ac:dyDescent="0.25">
      <c r="A1519" s="2" t="s">
        <v>6504</v>
      </c>
      <c r="B1519" s="3">
        <v>6.8</v>
      </c>
    </row>
    <row r="1520" spans="1:2" x14ac:dyDescent="0.25">
      <c r="A1520" s="2" t="s">
        <v>6077</v>
      </c>
      <c r="B1520" s="3">
        <v>6.5500000000000007</v>
      </c>
    </row>
    <row r="1521" spans="1:2" x14ac:dyDescent="0.25">
      <c r="A1521" s="2" t="s">
        <v>2925</v>
      </c>
      <c r="B1521" s="3">
        <v>5.6333333333333329</v>
      </c>
    </row>
    <row r="1522" spans="1:2" x14ac:dyDescent="0.25">
      <c r="A1522" s="2" t="s">
        <v>4861</v>
      </c>
      <c r="B1522" s="3">
        <v>6.3</v>
      </c>
    </row>
    <row r="1523" spans="1:2" x14ac:dyDescent="0.25">
      <c r="A1523" s="2" t="s">
        <v>184</v>
      </c>
      <c r="B1523" s="3">
        <v>7.1749999999999989</v>
      </c>
    </row>
    <row r="1524" spans="1:2" x14ac:dyDescent="0.25">
      <c r="A1524" s="2" t="s">
        <v>4709</v>
      </c>
      <c r="B1524" s="3">
        <v>3.9</v>
      </c>
    </row>
    <row r="1525" spans="1:2" x14ac:dyDescent="0.25">
      <c r="A1525" s="2" t="s">
        <v>3952</v>
      </c>
      <c r="B1525" s="3">
        <v>6.5</v>
      </c>
    </row>
    <row r="1526" spans="1:2" x14ac:dyDescent="0.25">
      <c r="A1526" s="2" t="s">
        <v>820</v>
      </c>
      <c r="B1526" s="3">
        <v>6</v>
      </c>
    </row>
    <row r="1527" spans="1:2" x14ac:dyDescent="0.25">
      <c r="A1527" s="2" t="s">
        <v>5880</v>
      </c>
      <c r="B1527" s="3">
        <v>7.6</v>
      </c>
    </row>
    <row r="1528" spans="1:2" x14ac:dyDescent="0.25">
      <c r="A1528" s="2" t="s">
        <v>6601</v>
      </c>
      <c r="B1528" s="3">
        <v>5.5</v>
      </c>
    </row>
    <row r="1529" spans="1:2" x14ac:dyDescent="0.25">
      <c r="A1529" s="2" t="s">
        <v>2282</v>
      </c>
      <c r="B1529" s="3">
        <v>7.24</v>
      </c>
    </row>
    <row r="1530" spans="1:2" x14ac:dyDescent="0.25">
      <c r="A1530" s="2" t="s">
        <v>4479</v>
      </c>
      <c r="B1530" s="3">
        <v>6.85</v>
      </c>
    </row>
    <row r="1531" spans="1:2" x14ac:dyDescent="0.25">
      <c r="A1531" s="2" t="s">
        <v>4683</v>
      </c>
      <c r="B1531" s="3">
        <v>6.5</v>
      </c>
    </row>
    <row r="1532" spans="1:2" x14ac:dyDescent="0.25">
      <c r="A1532" s="2" t="s">
        <v>2183</v>
      </c>
      <c r="B1532" s="3">
        <v>5.78</v>
      </c>
    </row>
    <row r="1533" spans="1:2" x14ac:dyDescent="0.25">
      <c r="A1533" s="2" t="s">
        <v>463</v>
      </c>
      <c r="B1533" s="3">
        <v>6</v>
      </c>
    </row>
    <row r="1534" spans="1:2" x14ac:dyDescent="0.25">
      <c r="A1534" s="2" t="s">
        <v>1830</v>
      </c>
      <c r="B1534" s="3">
        <v>6.8</v>
      </c>
    </row>
    <row r="1535" spans="1:2" x14ac:dyDescent="0.25">
      <c r="A1535" s="2" t="s">
        <v>444</v>
      </c>
      <c r="B1535" s="3">
        <v>6.2</v>
      </c>
    </row>
    <row r="1536" spans="1:2" x14ac:dyDescent="0.25">
      <c r="A1536" s="2" t="s">
        <v>6647</v>
      </c>
      <c r="B1536" s="3">
        <v>8.1</v>
      </c>
    </row>
    <row r="1537" spans="1:2" x14ac:dyDescent="0.25">
      <c r="A1537" s="2" t="s">
        <v>3481</v>
      </c>
      <c r="B1537" s="3">
        <v>5.65</v>
      </c>
    </row>
    <row r="1538" spans="1:2" x14ac:dyDescent="0.25">
      <c r="A1538" s="2" t="s">
        <v>2145</v>
      </c>
      <c r="B1538" s="3">
        <v>6.8</v>
      </c>
    </row>
    <row r="1539" spans="1:2" x14ac:dyDescent="0.25">
      <c r="A1539" s="2" t="s">
        <v>3512</v>
      </c>
      <c r="B1539" s="3">
        <v>6.5</v>
      </c>
    </row>
    <row r="1540" spans="1:2" x14ac:dyDescent="0.25">
      <c r="A1540" s="2" t="s">
        <v>2455</v>
      </c>
      <c r="B1540" s="3">
        <v>3.4</v>
      </c>
    </row>
    <row r="1541" spans="1:2" x14ac:dyDescent="0.25">
      <c r="A1541" s="2" t="s">
        <v>3020</v>
      </c>
      <c r="B1541" s="3">
        <v>4.4333333333333336</v>
      </c>
    </row>
    <row r="1542" spans="1:2" x14ac:dyDescent="0.25">
      <c r="A1542" s="2" t="s">
        <v>1063</v>
      </c>
      <c r="B1542" s="3">
        <v>5.9</v>
      </c>
    </row>
    <row r="1543" spans="1:2" x14ac:dyDescent="0.25">
      <c r="A1543" s="2" t="s">
        <v>4490</v>
      </c>
      <c r="B1543" s="3">
        <v>8.1</v>
      </c>
    </row>
    <row r="1544" spans="1:2" x14ac:dyDescent="0.25">
      <c r="A1544" s="2" t="s">
        <v>2523</v>
      </c>
      <c r="B1544" s="3">
        <v>4.5</v>
      </c>
    </row>
    <row r="1545" spans="1:2" x14ac:dyDescent="0.25">
      <c r="A1545" s="2" t="s">
        <v>1909</v>
      </c>
      <c r="B1545" s="3">
        <v>4</v>
      </c>
    </row>
    <row r="1546" spans="1:2" x14ac:dyDescent="0.25">
      <c r="A1546" s="2" t="s">
        <v>1916</v>
      </c>
      <c r="B1546" s="3">
        <v>4.2</v>
      </c>
    </row>
    <row r="1547" spans="1:2" x14ac:dyDescent="0.25">
      <c r="A1547" s="2" t="s">
        <v>1282</v>
      </c>
      <c r="B1547" s="3">
        <v>6.1833333333333327</v>
      </c>
    </row>
    <row r="1548" spans="1:2" x14ac:dyDescent="0.25">
      <c r="A1548" s="2" t="s">
        <v>3287</v>
      </c>
      <c r="B1548" s="3">
        <v>7.3</v>
      </c>
    </row>
    <row r="1549" spans="1:2" x14ac:dyDescent="0.25">
      <c r="A1549" s="2" t="s">
        <v>2857</v>
      </c>
      <c r="B1549" s="3">
        <v>8</v>
      </c>
    </row>
    <row r="1550" spans="1:2" x14ac:dyDescent="0.25">
      <c r="A1550" s="2" t="s">
        <v>5995</v>
      </c>
      <c r="B1550" s="3">
        <v>7.2</v>
      </c>
    </row>
    <row r="1551" spans="1:2" x14ac:dyDescent="0.25">
      <c r="A1551" s="2" t="s">
        <v>6273</v>
      </c>
      <c r="B1551" s="3">
        <v>7.4</v>
      </c>
    </row>
    <row r="1552" spans="1:2" x14ac:dyDescent="0.25">
      <c r="A1552" s="2" t="s">
        <v>2775</v>
      </c>
      <c r="B1552" s="3">
        <v>5.4</v>
      </c>
    </row>
    <row r="1553" spans="1:2" x14ac:dyDescent="0.25">
      <c r="A1553" s="2" t="s">
        <v>4486</v>
      </c>
      <c r="B1553" s="3">
        <v>3.8</v>
      </c>
    </row>
    <row r="1554" spans="1:2" x14ac:dyDescent="0.25">
      <c r="A1554" s="2" t="s">
        <v>675</v>
      </c>
      <c r="B1554" s="3">
        <v>6.42</v>
      </c>
    </row>
    <row r="1555" spans="1:2" x14ac:dyDescent="0.25">
      <c r="A1555" s="2" t="s">
        <v>4451</v>
      </c>
      <c r="B1555" s="3">
        <v>6.3</v>
      </c>
    </row>
    <row r="1556" spans="1:2" x14ac:dyDescent="0.25">
      <c r="A1556" s="2" t="s">
        <v>582</v>
      </c>
      <c r="B1556" s="3">
        <v>6.5249999999999995</v>
      </c>
    </row>
    <row r="1557" spans="1:2" x14ac:dyDescent="0.25">
      <c r="A1557" s="2" t="s">
        <v>4019</v>
      </c>
      <c r="B1557" s="3">
        <v>5.8</v>
      </c>
    </row>
    <row r="1558" spans="1:2" x14ac:dyDescent="0.25">
      <c r="A1558" s="2" t="s">
        <v>1678</v>
      </c>
      <c r="B1558" s="3">
        <v>6.7</v>
      </c>
    </row>
    <row r="1559" spans="1:2" x14ac:dyDescent="0.25">
      <c r="A1559" s="2" t="s">
        <v>3883</v>
      </c>
      <c r="B1559" s="3">
        <v>4.5999999999999996</v>
      </c>
    </row>
    <row r="1560" spans="1:2" x14ac:dyDescent="0.25">
      <c r="A1560" s="2" t="s">
        <v>3908</v>
      </c>
      <c r="B1560" s="3">
        <v>7</v>
      </c>
    </row>
    <row r="1561" spans="1:2" x14ac:dyDescent="0.25">
      <c r="A1561" s="2" t="s">
        <v>6174</v>
      </c>
      <c r="B1561" s="3">
        <v>4.0999999999999996</v>
      </c>
    </row>
    <row r="1562" spans="1:2" x14ac:dyDescent="0.25">
      <c r="A1562" s="2" t="s">
        <v>5720</v>
      </c>
      <c r="B1562" s="3">
        <v>7.15</v>
      </c>
    </row>
    <row r="1563" spans="1:2" x14ac:dyDescent="0.25">
      <c r="A1563" s="2" t="s">
        <v>4733</v>
      </c>
      <c r="B1563" s="3">
        <v>4.8</v>
      </c>
    </row>
    <row r="1564" spans="1:2" x14ac:dyDescent="0.25">
      <c r="A1564" s="2" t="s">
        <v>3404</v>
      </c>
      <c r="B1564" s="3">
        <v>6.5</v>
      </c>
    </row>
    <row r="1565" spans="1:2" x14ac:dyDescent="0.25">
      <c r="A1565" s="2" t="s">
        <v>2694</v>
      </c>
      <c r="B1565" s="3">
        <v>6.15</v>
      </c>
    </row>
    <row r="1566" spans="1:2" x14ac:dyDescent="0.25">
      <c r="A1566" s="2" t="s">
        <v>1668</v>
      </c>
      <c r="B1566" s="3">
        <v>6.4</v>
      </c>
    </row>
    <row r="1567" spans="1:2" x14ac:dyDescent="0.25">
      <c r="A1567" s="2" t="s">
        <v>766</v>
      </c>
      <c r="B1567" s="3">
        <v>6.85</v>
      </c>
    </row>
    <row r="1568" spans="1:2" x14ac:dyDescent="0.25">
      <c r="A1568" s="2" t="s">
        <v>5049</v>
      </c>
      <c r="B1568" s="3">
        <v>7.3599999999999994</v>
      </c>
    </row>
    <row r="1569" spans="1:2" x14ac:dyDescent="0.25">
      <c r="A1569" s="2" t="s">
        <v>5377</v>
      </c>
      <c r="B1569" s="3">
        <v>5.9</v>
      </c>
    </row>
    <row r="1570" spans="1:2" x14ac:dyDescent="0.25">
      <c r="A1570" s="2" t="s">
        <v>2017</v>
      </c>
      <c r="B1570" s="3">
        <v>8.6</v>
      </c>
    </row>
    <row r="1571" spans="1:2" x14ac:dyDescent="0.25">
      <c r="A1571" s="2" t="s">
        <v>629</v>
      </c>
      <c r="B1571" s="3">
        <v>6.5</v>
      </c>
    </row>
    <row r="1572" spans="1:2" x14ac:dyDescent="0.25">
      <c r="A1572" s="2" t="s">
        <v>5105</v>
      </c>
      <c r="B1572" s="3">
        <v>6.9</v>
      </c>
    </row>
    <row r="1573" spans="1:2" x14ac:dyDescent="0.25">
      <c r="A1573" s="2" t="s">
        <v>717</v>
      </c>
      <c r="B1573" s="3">
        <v>5.95</v>
      </c>
    </row>
    <row r="1574" spans="1:2" x14ac:dyDescent="0.25">
      <c r="A1574" s="2" t="s">
        <v>3715</v>
      </c>
      <c r="B1574" s="3">
        <v>6.15</v>
      </c>
    </row>
    <row r="1575" spans="1:2" x14ac:dyDescent="0.25">
      <c r="A1575" s="2" t="s">
        <v>752</v>
      </c>
      <c r="B1575" s="3">
        <v>6.74</v>
      </c>
    </row>
    <row r="1576" spans="1:2" x14ac:dyDescent="0.25">
      <c r="A1576" s="2" t="s">
        <v>688</v>
      </c>
      <c r="B1576" s="3">
        <v>6.6833333333333336</v>
      </c>
    </row>
    <row r="1577" spans="1:2" x14ac:dyDescent="0.25">
      <c r="A1577" s="2" t="s">
        <v>5900</v>
      </c>
      <c r="B1577" s="3">
        <v>7.8</v>
      </c>
    </row>
    <row r="1578" spans="1:2" x14ac:dyDescent="0.25">
      <c r="A1578" s="2" t="s">
        <v>1496</v>
      </c>
      <c r="B1578" s="3">
        <v>7.2</v>
      </c>
    </row>
    <row r="1579" spans="1:2" x14ac:dyDescent="0.25">
      <c r="A1579" s="2" t="s">
        <v>1086</v>
      </c>
      <c r="B1579" s="3">
        <v>7.8500000000000005</v>
      </c>
    </row>
    <row r="1580" spans="1:2" x14ac:dyDescent="0.25">
      <c r="A1580" s="2" t="s">
        <v>2978</v>
      </c>
      <c r="B1580" s="3">
        <v>6.5500000000000007</v>
      </c>
    </row>
    <row r="1581" spans="1:2" x14ac:dyDescent="0.25">
      <c r="A1581" s="2" t="s">
        <v>4258</v>
      </c>
      <c r="B1581" s="3">
        <v>6.6800000000000015</v>
      </c>
    </row>
    <row r="1582" spans="1:2" x14ac:dyDescent="0.25">
      <c r="A1582" s="2" t="s">
        <v>5337</v>
      </c>
      <c r="B1582" s="3">
        <v>7.4</v>
      </c>
    </row>
    <row r="1583" spans="1:2" x14ac:dyDescent="0.25">
      <c r="A1583" s="2" t="s">
        <v>1395</v>
      </c>
      <c r="B1583" s="3">
        <v>5.8</v>
      </c>
    </row>
    <row r="1584" spans="1:2" x14ac:dyDescent="0.25">
      <c r="A1584" s="2" t="s">
        <v>1475</v>
      </c>
      <c r="B1584" s="3">
        <v>8.6999999999999993</v>
      </c>
    </row>
    <row r="1585" spans="1:2" x14ac:dyDescent="0.25">
      <c r="A1585" s="2" t="s">
        <v>6101</v>
      </c>
      <c r="B1585" s="3">
        <v>5.4</v>
      </c>
    </row>
    <row r="1586" spans="1:2" x14ac:dyDescent="0.25">
      <c r="A1586" s="2" t="s">
        <v>6280</v>
      </c>
      <c r="B1586" s="3">
        <v>7.1</v>
      </c>
    </row>
    <row r="1587" spans="1:2" x14ac:dyDescent="0.25">
      <c r="A1587" s="2" t="s">
        <v>2407</v>
      </c>
      <c r="B1587" s="3">
        <v>4.9000000000000004</v>
      </c>
    </row>
    <row r="1588" spans="1:2" x14ac:dyDescent="0.25">
      <c r="A1588" s="2" t="s">
        <v>2177</v>
      </c>
      <c r="B1588" s="3">
        <v>6.2</v>
      </c>
    </row>
    <row r="1589" spans="1:2" x14ac:dyDescent="0.25">
      <c r="A1589" s="2" t="s">
        <v>6534</v>
      </c>
      <c r="B1589" s="3">
        <v>7.2</v>
      </c>
    </row>
    <row r="1590" spans="1:2" x14ac:dyDescent="0.25">
      <c r="A1590" s="2" t="s">
        <v>2046</v>
      </c>
      <c r="B1590" s="3">
        <v>5.7</v>
      </c>
    </row>
    <row r="1591" spans="1:2" x14ac:dyDescent="0.25">
      <c r="A1591" s="2" t="s">
        <v>6109</v>
      </c>
      <c r="B1591" s="3">
        <v>6.35</v>
      </c>
    </row>
    <row r="1592" spans="1:2" x14ac:dyDescent="0.25">
      <c r="A1592" s="2" t="s">
        <v>5190</v>
      </c>
      <c r="B1592" s="3">
        <v>7.4</v>
      </c>
    </row>
    <row r="1593" spans="1:2" x14ac:dyDescent="0.25">
      <c r="A1593" s="2" t="s">
        <v>3546</v>
      </c>
      <c r="B1593" s="3">
        <v>6</v>
      </c>
    </row>
    <row r="1594" spans="1:2" x14ac:dyDescent="0.25">
      <c r="A1594" s="2" t="s">
        <v>4824</v>
      </c>
      <c r="B1594" s="3">
        <v>4.9000000000000004</v>
      </c>
    </row>
    <row r="1595" spans="1:2" x14ac:dyDescent="0.25">
      <c r="A1595" s="2" t="s">
        <v>260</v>
      </c>
      <c r="B1595" s="3">
        <v>7.85</v>
      </c>
    </row>
    <row r="1596" spans="1:2" x14ac:dyDescent="0.25">
      <c r="A1596" s="2" t="s">
        <v>1588</v>
      </c>
      <c r="B1596" s="3">
        <v>8.4</v>
      </c>
    </row>
    <row r="1597" spans="1:2" x14ac:dyDescent="0.25">
      <c r="A1597" s="2" t="s">
        <v>5981</v>
      </c>
      <c r="B1597" s="3">
        <v>5.3</v>
      </c>
    </row>
    <row r="1598" spans="1:2" x14ac:dyDescent="0.25">
      <c r="A1598" s="2" t="s">
        <v>6522</v>
      </c>
      <c r="B1598" s="3">
        <v>7.2</v>
      </c>
    </row>
    <row r="1599" spans="1:2" x14ac:dyDescent="0.25">
      <c r="A1599" s="2" t="s">
        <v>2633</v>
      </c>
      <c r="B1599" s="3">
        <v>7.2</v>
      </c>
    </row>
    <row r="1600" spans="1:2" x14ac:dyDescent="0.25">
      <c r="A1600" s="2" t="s">
        <v>5798</v>
      </c>
      <c r="B1600" s="3">
        <v>7.2</v>
      </c>
    </row>
    <row r="1601" spans="1:2" x14ac:dyDescent="0.25">
      <c r="A1601" s="2" t="s">
        <v>2027</v>
      </c>
      <c r="B1601" s="3">
        <v>7.1</v>
      </c>
    </row>
    <row r="1602" spans="1:2" x14ac:dyDescent="0.25">
      <c r="A1602" s="2" t="s">
        <v>529</v>
      </c>
      <c r="B1602" s="3">
        <v>7.0500000000000007</v>
      </c>
    </row>
    <row r="1603" spans="1:2" x14ac:dyDescent="0.25">
      <c r="A1603" s="2" t="s">
        <v>5619</v>
      </c>
      <c r="B1603" s="3">
        <v>4.5</v>
      </c>
    </row>
    <row r="1604" spans="1:2" x14ac:dyDescent="0.25">
      <c r="A1604" s="2" t="s">
        <v>4134</v>
      </c>
      <c r="B1604" s="3">
        <v>6.3</v>
      </c>
    </row>
    <row r="1605" spans="1:2" x14ac:dyDescent="0.25">
      <c r="A1605" s="2" t="s">
        <v>3915</v>
      </c>
      <c r="B1605" s="3">
        <v>7.4</v>
      </c>
    </row>
    <row r="1606" spans="1:2" x14ac:dyDescent="0.25">
      <c r="A1606" s="2" t="s">
        <v>2673</v>
      </c>
      <c r="B1606" s="3">
        <v>3.2</v>
      </c>
    </row>
    <row r="1607" spans="1:2" x14ac:dyDescent="0.25">
      <c r="A1607" s="2" t="s">
        <v>1864</v>
      </c>
      <c r="B1607" s="3">
        <v>5.4</v>
      </c>
    </row>
    <row r="1608" spans="1:2" x14ac:dyDescent="0.25">
      <c r="A1608" s="2" t="s">
        <v>2120</v>
      </c>
      <c r="B1608" s="3">
        <v>6.6</v>
      </c>
    </row>
    <row r="1609" spans="1:2" x14ac:dyDescent="0.25">
      <c r="A1609" s="2" t="s">
        <v>2669</v>
      </c>
      <c r="B1609" s="3">
        <v>5.7</v>
      </c>
    </row>
    <row r="1610" spans="1:2" x14ac:dyDescent="0.25">
      <c r="A1610" s="2" t="s">
        <v>4336</v>
      </c>
      <c r="B1610" s="3">
        <v>5.8</v>
      </c>
    </row>
    <row r="1611" spans="1:2" x14ac:dyDescent="0.25">
      <c r="A1611" s="2" t="s">
        <v>6176</v>
      </c>
      <c r="B1611" s="3">
        <v>5.3</v>
      </c>
    </row>
    <row r="1612" spans="1:2" x14ac:dyDescent="0.25">
      <c r="A1612" s="2" t="s">
        <v>3026</v>
      </c>
      <c r="B1612" s="3">
        <v>7.0666666666666664</v>
      </c>
    </row>
    <row r="1613" spans="1:2" x14ac:dyDescent="0.25">
      <c r="A1613" s="2" t="s">
        <v>101</v>
      </c>
      <c r="B1613" s="3">
        <v>6.7625000000000002</v>
      </c>
    </row>
    <row r="1614" spans="1:2" x14ac:dyDescent="0.25">
      <c r="A1614" s="2" t="s">
        <v>3052</v>
      </c>
      <c r="B1614" s="3">
        <v>6.5666666666666664</v>
      </c>
    </row>
    <row r="1615" spans="1:2" x14ac:dyDescent="0.25">
      <c r="A1615" s="2" t="s">
        <v>3681</v>
      </c>
      <c r="B1615" s="3">
        <v>6.5333333333333341</v>
      </c>
    </row>
    <row r="1616" spans="1:2" x14ac:dyDescent="0.25">
      <c r="A1616" s="2" t="s">
        <v>1447</v>
      </c>
      <c r="B1616" s="3">
        <v>4.8</v>
      </c>
    </row>
    <row r="1617" spans="1:2" x14ac:dyDescent="0.25">
      <c r="A1617" s="2" t="s">
        <v>3428</v>
      </c>
      <c r="B1617" s="3">
        <v>6.9</v>
      </c>
    </row>
    <row r="1618" spans="1:2" x14ac:dyDescent="0.25">
      <c r="A1618" s="2" t="s">
        <v>6451</v>
      </c>
      <c r="B1618" s="3">
        <v>6.3</v>
      </c>
    </row>
    <row r="1619" spans="1:2" x14ac:dyDescent="0.25">
      <c r="A1619" s="2" t="s">
        <v>2887</v>
      </c>
      <c r="B1619" s="3">
        <v>4.75</v>
      </c>
    </row>
    <row r="1620" spans="1:2" x14ac:dyDescent="0.25">
      <c r="A1620" s="2" t="s">
        <v>4596</v>
      </c>
      <c r="B1620" s="3">
        <v>6.8</v>
      </c>
    </row>
    <row r="1621" spans="1:2" x14ac:dyDescent="0.25">
      <c r="A1621" s="2" t="s">
        <v>1531</v>
      </c>
      <c r="B1621" s="3">
        <v>5.6</v>
      </c>
    </row>
    <row r="1622" spans="1:2" x14ac:dyDescent="0.25">
      <c r="A1622" s="2" t="s">
        <v>6328</v>
      </c>
      <c r="B1622" s="3">
        <v>7.3</v>
      </c>
    </row>
    <row r="1623" spans="1:2" x14ac:dyDescent="0.25">
      <c r="A1623" s="2" t="s">
        <v>3534</v>
      </c>
      <c r="B1623" s="3">
        <v>6.5333333333333341</v>
      </c>
    </row>
    <row r="1624" spans="1:2" x14ac:dyDescent="0.25">
      <c r="A1624" s="2" t="s">
        <v>4879</v>
      </c>
      <c r="B1624" s="3">
        <v>6.6</v>
      </c>
    </row>
    <row r="1625" spans="1:2" x14ac:dyDescent="0.25">
      <c r="A1625" s="2" t="s">
        <v>454</v>
      </c>
      <c r="B1625" s="3">
        <v>7.45</v>
      </c>
    </row>
    <row r="1626" spans="1:2" x14ac:dyDescent="0.25">
      <c r="A1626" s="2" t="s">
        <v>1870</v>
      </c>
      <c r="B1626" s="3">
        <v>6.8</v>
      </c>
    </row>
    <row r="1627" spans="1:2" x14ac:dyDescent="0.25">
      <c r="A1627" s="2" t="s">
        <v>771</v>
      </c>
      <c r="B1627" s="3">
        <v>6.45</v>
      </c>
    </row>
    <row r="1628" spans="1:2" x14ac:dyDescent="0.25">
      <c r="A1628" s="2" t="s">
        <v>5068</v>
      </c>
      <c r="B1628" s="3">
        <v>7</v>
      </c>
    </row>
    <row r="1629" spans="1:2" x14ac:dyDescent="0.25">
      <c r="A1629" s="2" t="s">
        <v>350</v>
      </c>
      <c r="B1629" s="3">
        <v>7.0749999999999993</v>
      </c>
    </row>
    <row r="1630" spans="1:2" x14ac:dyDescent="0.25">
      <c r="A1630" s="2" t="s">
        <v>4312</v>
      </c>
      <c r="B1630" s="3">
        <v>5.6</v>
      </c>
    </row>
    <row r="1631" spans="1:2" x14ac:dyDescent="0.25">
      <c r="A1631" s="2" t="s">
        <v>4399</v>
      </c>
      <c r="B1631" s="3">
        <v>4.8</v>
      </c>
    </row>
    <row r="1632" spans="1:2" x14ac:dyDescent="0.25">
      <c r="A1632" s="2" t="s">
        <v>3981</v>
      </c>
      <c r="B1632" s="3">
        <v>5.2</v>
      </c>
    </row>
    <row r="1633" spans="1:2" x14ac:dyDescent="0.25">
      <c r="A1633" s="2" t="s">
        <v>2474</v>
      </c>
      <c r="B1633" s="3">
        <v>5.5</v>
      </c>
    </row>
    <row r="1634" spans="1:2" x14ac:dyDescent="0.25">
      <c r="A1634" s="2" t="s">
        <v>2139</v>
      </c>
      <c r="B1634" s="3">
        <v>6.5</v>
      </c>
    </row>
    <row r="1635" spans="1:2" x14ac:dyDescent="0.25">
      <c r="A1635" s="2" t="s">
        <v>6501</v>
      </c>
      <c r="B1635" s="3">
        <v>6.8</v>
      </c>
    </row>
    <row r="1636" spans="1:2" x14ac:dyDescent="0.25">
      <c r="A1636" s="2" t="s">
        <v>2427</v>
      </c>
      <c r="B1636" s="3">
        <v>5.2</v>
      </c>
    </row>
    <row r="1637" spans="1:2" x14ac:dyDescent="0.25">
      <c r="A1637" s="2" t="s">
        <v>2645</v>
      </c>
      <c r="B1637" s="3">
        <v>6.5</v>
      </c>
    </row>
    <row r="1638" spans="1:2" x14ac:dyDescent="0.25">
      <c r="A1638" s="2" t="s">
        <v>3247</v>
      </c>
      <c r="B1638" s="3">
        <v>6.9</v>
      </c>
    </row>
    <row r="1639" spans="1:2" x14ac:dyDescent="0.25">
      <c r="A1639" s="2" t="s">
        <v>4155</v>
      </c>
      <c r="B1639" s="3">
        <v>6.6599999999999993</v>
      </c>
    </row>
    <row r="1640" spans="1:2" x14ac:dyDescent="0.25">
      <c r="A1640" s="2" t="s">
        <v>1331</v>
      </c>
      <c r="B1640" s="3">
        <v>7.3</v>
      </c>
    </row>
    <row r="1641" spans="1:2" x14ac:dyDescent="0.25">
      <c r="A1641" s="2" t="s">
        <v>3901</v>
      </c>
      <c r="B1641" s="3">
        <v>6.9</v>
      </c>
    </row>
    <row r="1642" spans="1:2" x14ac:dyDescent="0.25">
      <c r="A1642" s="2" t="s">
        <v>2866</v>
      </c>
      <c r="B1642" s="3">
        <v>7.4333333333333336</v>
      </c>
    </row>
    <row r="1643" spans="1:2" x14ac:dyDescent="0.25">
      <c r="A1643" s="2" t="s">
        <v>1211</v>
      </c>
      <c r="B1643" s="3">
        <v>6.7</v>
      </c>
    </row>
    <row r="1644" spans="1:2" x14ac:dyDescent="0.25">
      <c r="A1644" s="2" t="s">
        <v>984</v>
      </c>
      <c r="B1644" s="3">
        <v>6.7</v>
      </c>
    </row>
    <row r="1645" spans="1:2" x14ac:dyDescent="0.25">
      <c r="A1645" s="2" t="s">
        <v>1071</v>
      </c>
      <c r="B1645" s="3">
        <v>6.4333333333333336</v>
      </c>
    </row>
    <row r="1646" spans="1:2" x14ac:dyDescent="0.25">
      <c r="A1646" s="2" t="s">
        <v>4957</v>
      </c>
      <c r="B1646" s="3">
        <v>3</v>
      </c>
    </row>
    <row r="1647" spans="1:2" x14ac:dyDescent="0.25">
      <c r="A1647" s="2" t="s">
        <v>4907</v>
      </c>
      <c r="B1647" s="3">
        <v>7.0333333333333341</v>
      </c>
    </row>
    <row r="1648" spans="1:2" x14ac:dyDescent="0.25">
      <c r="A1648" s="2" t="s">
        <v>6612</v>
      </c>
      <c r="B1648" s="3">
        <v>6.2</v>
      </c>
    </row>
    <row r="1649" spans="1:2" x14ac:dyDescent="0.25">
      <c r="A1649" s="2" t="s">
        <v>5621</v>
      </c>
      <c r="B1649" s="3">
        <v>6.4</v>
      </c>
    </row>
    <row r="1650" spans="1:2" x14ac:dyDescent="0.25">
      <c r="A1650" s="2" t="s">
        <v>219</v>
      </c>
      <c r="B1650" s="3">
        <v>6</v>
      </c>
    </row>
    <row r="1651" spans="1:2" x14ac:dyDescent="0.25">
      <c r="A1651" s="2" t="s">
        <v>340</v>
      </c>
      <c r="B1651" s="3">
        <v>7.5</v>
      </c>
    </row>
    <row r="1652" spans="1:2" x14ac:dyDescent="0.25">
      <c r="A1652" s="2" t="s">
        <v>1137</v>
      </c>
      <c r="B1652" s="3">
        <v>6.7</v>
      </c>
    </row>
    <row r="1653" spans="1:2" x14ac:dyDescent="0.25">
      <c r="A1653" s="2" t="s">
        <v>1518</v>
      </c>
      <c r="B1653" s="3">
        <v>7.0500000000000007</v>
      </c>
    </row>
    <row r="1654" spans="1:2" x14ac:dyDescent="0.25">
      <c r="A1654" s="2" t="s">
        <v>3725</v>
      </c>
      <c r="B1654" s="3">
        <v>5.9</v>
      </c>
    </row>
    <row r="1655" spans="1:2" x14ac:dyDescent="0.25">
      <c r="A1655" s="2" t="s">
        <v>1183</v>
      </c>
      <c r="B1655" s="3">
        <v>5.9</v>
      </c>
    </row>
    <row r="1656" spans="1:2" x14ac:dyDescent="0.25">
      <c r="A1656" s="2" t="s">
        <v>6288</v>
      </c>
      <c r="B1656" s="3">
        <v>7.3</v>
      </c>
    </row>
    <row r="1657" spans="1:2" x14ac:dyDescent="0.25">
      <c r="A1657" s="2" t="s">
        <v>1630</v>
      </c>
      <c r="B1657" s="3">
        <v>5.4</v>
      </c>
    </row>
    <row r="1658" spans="1:2" x14ac:dyDescent="0.25">
      <c r="A1658" s="2" t="s">
        <v>6608</v>
      </c>
      <c r="B1658" s="3">
        <v>5.2</v>
      </c>
    </row>
    <row r="1659" spans="1:2" x14ac:dyDescent="0.25">
      <c r="A1659" s="2" t="s">
        <v>4343</v>
      </c>
      <c r="B1659" s="3">
        <v>7.1000000000000005</v>
      </c>
    </row>
    <row r="1660" spans="1:2" x14ac:dyDescent="0.25">
      <c r="A1660" s="2" t="s">
        <v>1763</v>
      </c>
      <c r="B1660" s="3">
        <v>6.4750000000000005</v>
      </c>
    </row>
    <row r="1661" spans="1:2" x14ac:dyDescent="0.25">
      <c r="A1661" s="2" t="s">
        <v>519</v>
      </c>
      <c r="B1661" s="3">
        <v>6.9749999999999988</v>
      </c>
    </row>
    <row r="1662" spans="1:2" x14ac:dyDescent="0.25">
      <c r="A1662" s="2" t="s">
        <v>5201</v>
      </c>
      <c r="B1662" s="3">
        <v>7.1</v>
      </c>
    </row>
    <row r="1663" spans="1:2" x14ac:dyDescent="0.25">
      <c r="A1663" s="2" t="s">
        <v>1604</v>
      </c>
      <c r="B1663" s="3">
        <v>5.7</v>
      </c>
    </row>
    <row r="1664" spans="1:2" x14ac:dyDescent="0.25">
      <c r="A1664" s="2" t="s">
        <v>293</v>
      </c>
      <c r="B1664" s="3">
        <v>6.2</v>
      </c>
    </row>
    <row r="1665" spans="1:2" x14ac:dyDescent="0.25">
      <c r="A1665" s="2" t="s">
        <v>6456</v>
      </c>
      <c r="B1665" s="3">
        <v>7.2</v>
      </c>
    </row>
    <row r="1666" spans="1:2" x14ac:dyDescent="0.25">
      <c r="A1666" s="2" t="s">
        <v>65</v>
      </c>
      <c r="B1666" s="3">
        <v>5.25</v>
      </c>
    </row>
    <row r="1667" spans="1:2" x14ac:dyDescent="0.25">
      <c r="A1667" s="2" t="s">
        <v>6676</v>
      </c>
      <c r="B1667" s="3">
        <v>7.7</v>
      </c>
    </row>
    <row r="1668" spans="1:2" x14ac:dyDescent="0.25">
      <c r="A1668" s="2" t="s">
        <v>2397</v>
      </c>
      <c r="B1668" s="3">
        <v>6.6</v>
      </c>
    </row>
    <row r="1669" spans="1:2" x14ac:dyDescent="0.25">
      <c r="A1669" s="2" t="s">
        <v>2527</v>
      </c>
      <c r="B1669" s="3">
        <v>7.3</v>
      </c>
    </row>
    <row r="1670" spans="1:2" x14ac:dyDescent="0.25">
      <c r="A1670" s="2" t="s">
        <v>6478</v>
      </c>
      <c r="B1670" s="3">
        <v>6.1</v>
      </c>
    </row>
    <row r="1671" spans="1:2" x14ac:dyDescent="0.25">
      <c r="A1671" s="2" t="s">
        <v>2171</v>
      </c>
      <c r="B1671" s="3">
        <v>5.0999999999999996</v>
      </c>
    </row>
    <row r="1672" spans="1:2" x14ac:dyDescent="0.25">
      <c r="A1672" s="2" t="s">
        <v>5495</v>
      </c>
      <c r="B1672" s="3">
        <v>7.7</v>
      </c>
    </row>
    <row r="1673" spans="1:2" x14ac:dyDescent="0.25">
      <c r="A1673" s="2" t="s">
        <v>6605</v>
      </c>
      <c r="B1673" s="3">
        <v>5.8</v>
      </c>
    </row>
    <row r="1674" spans="1:2" x14ac:dyDescent="0.25">
      <c r="A1674" s="2" t="s">
        <v>1716</v>
      </c>
      <c r="B1674" s="3">
        <v>6.3</v>
      </c>
    </row>
    <row r="1675" spans="1:2" x14ac:dyDescent="0.25">
      <c r="A1675" s="2" t="s">
        <v>1554</v>
      </c>
      <c r="B1675" s="3">
        <v>5.4</v>
      </c>
    </row>
    <row r="1676" spans="1:2" x14ac:dyDescent="0.25">
      <c r="A1676" s="2" t="s">
        <v>3744</v>
      </c>
      <c r="B1676" s="3">
        <v>6.7</v>
      </c>
    </row>
    <row r="1677" spans="1:2" x14ac:dyDescent="0.25">
      <c r="A1677" s="2" t="s">
        <v>2244</v>
      </c>
      <c r="B1677" s="3">
        <v>6.65</v>
      </c>
    </row>
    <row r="1678" spans="1:2" x14ac:dyDescent="0.25">
      <c r="A1678" s="2" t="s">
        <v>790</v>
      </c>
      <c r="B1678" s="3">
        <v>7.0333333333333341</v>
      </c>
    </row>
    <row r="1679" spans="1:2" x14ac:dyDescent="0.25">
      <c r="A1679" s="2" t="s">
        <v>4147</v>
      </c>
      <c r="B1679" s="3">
        <v>6.7</v>
      </c>
    </row>
    <row r="1680" spans="1:2" x14ac:dyDescent="0.25">
      <c r="A1680" s="2" t="s">
        <v>5427</v>
      </c>
      <c r="B1680" s="3">
        <v>7.4</v>
      </c>
    </row>
    <row r="1681" spans="1:2" x14ac:dyDescent="0.25">
      <c r="A1681" s="2" t="s">
        <v>1520</v>
      </c>
      <c r="B1681" s="3">
        <v>7.5</v>
      </c>
    </row>
    <row r="1682" spans="1:2" x14ac:dyDescent="0.25">
      <c r="A1682" s="2" t="s">
        <v>3668</v>
      </c>
      <c r="B1682" s="3">
        <v>6.7</v>
      </c>
    </row>
    <row r="1683" spans="1:2" x14ac:dyDescent="0.25">
      <c r="A1683" s="2" t="s">
        <v>3050</v>
      </c>
      <c r="B1683" s="3">
        <v>6.1</v>
      </c>
    </row>
    <row r="1684" spans="1:2" x14ac:dyDescent="0.25">
      <c r="A1684" s="2" t="s">
        <v>1090</v>
      </c>
      <c r="B1684" s="3">
        <v>5.4</v>
      </c>
    </row>
    <row r="1685" spans="1:2" x14ac:dyDescent="0.25">
      <c r="A1685" s="2" t="s">
        <v>2708</v>
      </c>
      <c r="B1685" s="3">
        <v>7.4</v>
      </c>
    </row>
    <row r="1686" spans="1:2" x14ac:dyDescent="0.25">
      <c r="A1686" s="2" t="s">
        <v>4223</v>
      </c>
      <c r="B1686" s="3">
        <v>5.6</v>
      </c>
    </row>
    <row r="1687" spans="1:2" x14ac:dyDescent="0.25">
      <c r="A1687" s="2" t="s">
        <v>2682</v>
      </c>
      <c r="B1687" s="3">
        <v>3.6</v>
      </c>
    </row>
    <row r="1688" spans="1:2" x14ac:dyDescent="0.25">
      <c r="A1688" s="2" t="s">
        <v>4890</v>
      </c>
      <c r="B1688" s="3">
        <v>6.15</v>
      </c>
    </row>
    <row r="1689" spans="1:2" x14ac:dyDescent="0.25">
      <c r="A1689" s="2" t="s">
        <v>2821</v>
      </c>
      <c r="B1689" s="3">
        <v>6.6</v>
      </c>
    </row>
    <row r="1690" spans="1:2" x14ac:dyDescent="0.25">
      <c r="A1690" s="2" t="s">
        <v>3277</v>
      </c>
      <c r="B1690" s="3">
        <v>7.3</v>
      </c>
    </row>
    <row r="1691" spans="1:2" x14ac:dyDescent="0.25">
      <c r="A1691" s="2" t="s">
        <v>4292</v>
      </c>
      <c r="B1691" s="3">
        <v>5.8</v>
      </c>
    </row>
    <row r="1692" spans="1:2" x14ac:dyDescent="0.25">
      <c r="A1692" s="2" t="s">
        <v>2209</v>
      </c>
      <c r="B1692" s="3">
        <v>6.6</v>
      </c>
    </row>
    <row r="1693" spans="1:2" x14ac:dyDescent="0.25">
      <c r="A1693" s="2" t="s">
        <v>2593</v>
      </c>
      <c r="B1693" s="3">
        <v>6.2</v>
      </c>
    </row>
    <row r="1694" spans="1:2" x14ac:dyDescent="0.25">
      <c r="A1694" s="2" t="s">
        <v>4306</v>
      </c>
      <c r="B1694" s="3">
        <v>4.5</v>
      </c>
    </row>
    <row r="1695" spans="1:2" x14ac:dyDescent="0.25">
      <c r="A1695" s="2" t="s">
        <v>6726</v>
      </c>
      <c r="B1695" s="3">
        <v>5.7</v>
      </c>
    </row>
    <row r="1696" spans="1:2" x14ac:dyDescent="0.25">
      <c r="A1696" s="2" t="s">
        <v>6291</v>
      </c>
      <c r="B1696" s="3">
        <v>7.3</v>
      </c>
    </row>
    <row r="1697" spans="1:2" x14ac:dyDescent="0.25">
      <c r="A1697" s="2" t="s">
        <v>2317</v>
      </c>
      <c r="B1697" s="3">
        <v>4.3</v>
      </c>
    </row>
    <row r="1698" spans="1:2" x14ac:dyDescent="0.25">
      <c r="A1698" s="2" t="s">
        <v>4226</v>
      </c>
      <c r="B1698" s="3">
        <v>5.0999999999999996</v>
      </c>
    </row>
    <row r="1699" spans="1:2" x14ac:dyDescent="0.25">
      <c r="A1699" s="2" t="s">
        <v>6170</v>
      </c>
      <c r="B1699" s="3">
        <v>6.9</v>
      </c>
    </row>
    <row r="1700" spans="1:2" x14ac:dyDescent="0.25">
      <c r="A1700" s="2" t="s">
        <v>2559</v>
      </c>
      <c r="B1700" s="3">
        <v>6.1</v>
      </c>
    </row>
    <row r="1701" spans="1:2" x14ac:dyDescent="0.25">
      <c r="A1701" s="2" t="s">
        <v>73</v>
      </c>
      <c r="B1701" s="3">
        <v>7.7333333333333334</v>
      </c>
    </row>
    <row r="1702" spans="1:2" x14ac:dyDescent="0.25">
      <c r="A1702" s="2" t="s">
        <v>1676</v>
      </c>
      <c r="B1702" s="3">
        <v>6.25</v>
      </c>
    </row>
    <row r="1703" spans="1:2" x14ac:dyDescent="0.25">
      <c r="A1703" s="2" t="s">
        <v>988</v>
      </c>
      <c r="B1703" s="3">
        <v>7.5</v>
      </c>
    </row>
    <row r="1704" spans="1:2" x14ac:dyDescent="0.25">
      <c r="A1704" s="2" t="s">
        <v>3843</v>
      </c>
      <c r="B1704" s="3">
        <v>5.5</v>
      </c>
    </row>
    <row r="1705" spans="1:2" x14ac:dyDescent="0.25">
      <c r="A1705" s="2" t="s">
        <v>493</v>
      </c>
      <c r="B1705" s="3">
        <v>7.2</v>
      </c>
    </row>
    <row r="1706" spans="1:2" x14ac:dyDescent="0.25">
      <c r="A1706" s="2" t="s">
        <v>5602</v>
      </c>
      <c r="B1706" s="3">
        <v>5.9</v>
      </c>
    </row>
    <row r="1707" spans="1:2" x14ac:dyDescent="0.25">
      <c r="A1707" s="2" t="s">
        <v>3869</v>
      </c>
      <c r="B1707" s="3">
        <v>6.92</v>
      </c>
    </row>
    <row r="1708" spans="1:2" x14ac:dyDescent="0.25">
      <c r="A1708" s="2" t="s">
        <v>3095</v>
      </c>
      <c r="B1708" s="3">
        <v>6.6</v>
      </c>
    </row>
    <row r="1709" spans="1:2" x14ac:dyDescent="0.25">
      <c r="A1709" s="2" t="s">
        <v>1711</v>
      </c>
      <c r="B1709" s="3">
        <v>5.6833333333333336</v>
      </c>
    </row>
    <row r="1710" spans="1:2" x14ac:dyDescent="0.25">
      <c r="A1710" s="2" t="s">
        <v>3006</v>
      </c>
      <c r="B1710" s="3">
        <v>7.5166666666666666</v>
      </c>
    </row>
    <row r="1711" spans="1:2" x14ac:dyDescent="0.25">
      <c r="A1711" s="2" t="s">
        <v>3993</v>
      </c>
      <c r="B1711" s="3">
        <v>6.1999999999999993</v>
      </c>
    </row>
    <row r="1712" spans="1:2" x14ac:dyDescent="0.25">
      <c r="A1712" s="2" t="s">
        <v>417</v>
      </c>
      <c r="B1712" s="3">
        <v>5.99</v>
      </c>
    </row>
    <row r="1713" spans="1:2" x14ac:dyDescent="0.25">
      <c r="A1713" s="2" t="s">
        <v>2813</v>
      </c>
      <c r="B1713" s="3">
        <v>5.8</v>
      </c>
    </row>
    <row r="1714" spans="1:2" x14ac:dyDescent="0.25">
      <c r="A1714" s="2" t="s">
        <v>141</v>
      </c>
      <c r="B1714" s="3">
        <v>6.12</v>
      </c>
    </row>
    <row r="1715" spans="1:2" x14ac:dyDescent="0.25">
      <c r="A1715" s="2" t="s">
        <v>5341</v>
      </c>
      <c r="B1715" s="3">
        <v>7.1</v>
      </c>
    </row>
    <row r="1716" spans="1:2" x14ac:dyDescent="0.25">
      <c r="A1716" s="2" t="s">
        <v>1533</v>
      </c>
      <c r="B1716" s="3">
        <v>4.5</v>
      </c>
    </row>
    <row r="1717" spans="1:2" x14ac:dyDescent="0.25">
      <c r="A1717" s="2" t="s">
        <v>4526</v>
      </c>
      <c r="B1717" s="3">
        <v>7.6</v>
      </c>
    </row>
    <row r="1718" spans="1:2" x14ac:dyDescent="0.25">
      <c r="A1718" s="2" t="s">
        <v>67</v>
      </c>
      <c r="B1718" s="3">
        <v>6.5666666666666673</v>
      </c>
    </row>
    <row r="1719" spans="1:2" x14ac:dyDescent="0.25">
      <c r="A1719" s="2" t="s">
        <v>2998</v>
      </c>
      <c r="B1719" s="3">
        <v>3.3</v>
      </c>
    </row>
    <row r="1720" spans="1:2" x14ac:dyDescent="0.25">
      <c r="A1720" s="2" t="s">
        <v>1887</v>
      </c>
      <c r="B1720" s="3">
        <v>5.8</v>
      </c>
    </row>
    <row r="1721" spans="1:2" x14ac:dyDescent="0.25">
      <c r="A1721" s="2" t="s">
        <v>6340</v>
      </c>
      <c r="B1721" s="3">
        <v>6.5</v>
      </c>
    </row>
    <row r="1722" spans="1:2" x14ac:dyDescent="0.25">
      <c r="A1722" s="2" t="s">
        <v>572</v>
      </c>
      <c r="B1722" s="3">
        <v>6.9333333333333327</v>
      </c>
    </row>
    <row r="1723" spans="1:2" x14ac:dyDescent="0.25">
      <c r="A1723" s="2" t="s">
        <v>3976</v>
      </c>
      <c r="B1723" s="3">
        <v>6.4</v>
      </c>
    </row>
    <row r="1724" spans="1:2" x14ac:dyDescent="0.25">
      <c r="A1724" s="2" t="s">
        <v>2769</v>
      </c>
      <c r="B1724" s="3">
        <v>6.7</v>
      </c>
    </row>
    <row r="1725" spans="1:2" x14ac:dyDescent="0.25">
      <c r="A1725" s="2" t="s">
        <v>48</v>
      </c>
      <c r="B1725" s="3">
        <v>5.5</v>
      </c>
    </row>
    <row r="1726" spans="1:2" x14ac:dyDescent="0.25">
      <c r="A1726" s="2" t="s">
        <v>5653</v>
      </c>
      <c r="B1726" s="3">
        <v>7.1</v>
      </c>
    </row>
    <row r="1727" spans="1:2" x14ac:dyDescent="0.25">
      <c r="A1727" s="2" t="s">
        <v>2818</v>
      </c>
      <c r="B1727" s="3">
        <v>6.55</v>
      </c>
    </row>
    <row r="1728" spans="1:2" x14ac:dyDescent="0.25">
      <c r="A1728" s="2" t="s">
        <v>448</v>
      </c>
      <c r="B1728" s="3">
        <v>5.78</v>
      </c>
    </row>
    <row r="1729" spans="1:2" x14ac:dyDescent="0.25">
      <c r="A1729" s="2" t="s">
        <v>1752</v>
      </c>
      <c r="B1729" s="3">
        <v>6.2</v>
      </c>
    </row>
    <row r="1730" spans="1:2" x14ac:dyDescent="0.25">
      <c r="A1730" s="2" t="s">
        <v>2049</v>
      </c>
      <c r="B1730" s="3">
        <v>5.9</v>
      </c>
    </row>
    <row r="1731" spans="1:2" x14ac:dyDescent="0.25">
      <c r="A1731" s="2" t="s">
        <v>1653</v>
      </c>
      <c r="B1731" s="3">
        <v>6.6</v>
      </c>
    </row>
    <row r="1732" spans="1:2" x14ac:dyDescent="0.25">
      <c r="A1732" s="2" t="s">
        <v>2076</v>
      </c>
      <c r="B1732" s="3">
        <v>7.6</v>
      </c>
    </row>
    <row r="1733" spans="1:2" x14ac:dyDescent="0.25">
      <c r="A1733" s="2" t="s">
        <v>4203</v>
      </c>
      <c r="B1733" s="3">
        <v>4</v>
      </c>
    </row>
    <row r="1734" spans="1:2" x14ac:dyDescent="0.25">
      <c r="A1734" s="2" t="s">
        <v>1075</v>
      </c>
      <c r="B1734" s="3">
        <v>6.85</v>
      </c>
    </row>
    <row r="1735" spans="1:2" x14ac:dyDescent="0.25">
      <c r="A1735" s="2" t="s">
        <v>523</v>
      </c>
      <c r="B1735" s="3">
        <v>5.3</v>
      </c>
    </row>
    <row r="1736" spans="1:2" x14ac:dyDescent="0.25">
      <c r="A1736" s="2" t="s">
        <v>6313</v>
      </c>
      <c r="B1736" s="3">
        <v>7.1</v>
      </c>
    </row>
    <row r="1737" spans="1:2" x14ac:dyDescent="0.25">
      <c r="A1737" s="2" t="s">
        <v>3585</v>
      </c>
      <c r="B1737" s="3">
        <v>6.2249999999999996</v>
      </c>
    </row>
    <row r="1738" spans="1:2" x14ac:dyDescent="0.25">
      <c r="A1738" s="2" t="s">
        <v>679</v>
      </c>
      <c r="B1738" s="3">
        <v>5.4833333333333334</v>
      </c>
    </row>
    <row r="1739" spans="1:2" x14ac:dyDescent="0.25">
      <c r="A1739" s="2" t="s">
        <v>2879</v>
      </c>
      <c r="B1739" s="3">
        <v>6.9333333333333336</v>
      </c>
    </row>
    <row r="1740" spans="1:2" x14ac:dyDescent="0.25">
      <c r="A1740" s="2" t="s">
        <v>5188</v>
      </c>
      <c r="B1740" s="3">
        <v>6.5</v>
      </c>
    </row>
    <row r="1741" spans="1:2" x14ac:dyDescent="0.25">
      <c r="A1741" s="2" t="s">
        <v>4235</v>
      </c>
      <c r="B1741" s="3">
        <v>7.2</v>
      </c>
    </row>
    <row r="1742" spans="1:2" x14ac:dyDescent="0.25">
      <c r="A1742" s="2" t="s">
        <v>3273</v>
      </c>
      <c r="B1742" s="3">
        <v>7.1</v>
      </c>
    </row>
    <row r="1743" spans="1:2" x14ac:dyDescent="0.25">
      <c r="A1743" s="2" t="s">
        <v>742</v>
      </c>
      <c r="B1743" s="3">
        <v>5.8</v>
      </c>
    </row>
    <row r="1744" spans="1:2" x14ac:dyDescent="0.25">
      <c r="A1744" s="2" t="s">
        <v>80</v>
      </c>
      <c r="B1744" s="3">
        <v>6.85</v>
      </c>
    </row>
    <row r="1745" spans="1:2" x14ac:dyDescent="0.25">
      <c r="A1745" s="2" t="s">
        <v>5293</v>
      </c>
      <c r="B1745" s="3">
        <v>4.4000000000000004</v>
      </c>
    </row>
    <row r="1746" spans="1:2" x14ac:dyDescent="0.25">
      <c r="A1746" s="2" t="s">
        <v>1022</v>
      </c>
      <c r="B1746" s="3">
        <v>5.7</v>
      </c>
    </row>
    <row r="1747" spans="1:2" x14ac:dyDescent="0.25">
      <c r="A1747" s="2" t="s">
        <v>5406</v>
      </c>
      <c r="B1747" s="3">
        <v>6.6</v>
      </c>
    </row>
    <row r="1748" spans="1:2" x14ac:dyDescent="0.25">
      <c r="A1748" s="2" t="s">
        <v>3855</v>
      </c>
      <c r="B1748" s="3">
        <v>6.8</v>
      </c>
    </row>
    <row r="1749" spans="1:2" x14ac:dyDescent="0.25">
      <c r="A1749" s="2" t="s">
        <v>1105</v>
      </c>
      <c r="B1749" s="3">
        <v>6.4333333333333336</v>
      </c>
    </row>
    <row r="1750" spans="1:2" x14ac:dyDescent="0.25">
      <c r="A1750" s="2" t="s">
        <v>3438</v>
      </c>
      <c r="B1750" s="3">
        <v>6.8</v>
      </c>
    </row>
    <row r="1751" spans="1:2" x14ac:dyDescent="0.25">
      <c r="A1751" s="2" t="s">
        <v>6524</v>
      </c>
      <c r="B1751" s="3">
        <v>6.8</v>
      </c>
    </row>
    <row r="1752" spans="1:2" x14ac:dyDescent="0.25">
      <c r="A1752" s="2" t="s">
        <v>3600</v>
      </c>
      <c r="B1752" s="3">
        <v>6.6</v>
      </c>
    </row>
    <row r="1753" spans="1:2" x14ac:dyDescent="0.25">
      <c r="A1753" s="2" t="s">
        <v>198</v>
      </c>
      <c r="B1753" s="3">
        <v>7.7</v>
      </c>
    </row>
    <row r="1754" spans="1:2" x14ac:dyDescent="0.25">
      <c r="A1754" s="2" t="s">
        <v>1621</v>
      </c>
      <c r="B1754" s="3">
        <v>6</v>
      </c>
    </row>
    <row r="1755" spans="1:2" x14ac:dyDescent="0.25">
      <c r="A1755" s="2" t="s">
        <v>6125</v>
      </c>
      <c r="B1755" s="3">
        <v>7.6</v>
      </c>
    </row>
    <row r="1756" spans="1:2" x14ac:dyDescent="0.25">
      <c r="A1756" s="2" t="s">
        <v>189</v>
      </c>
      <c r="B1756" s="3">
        <v>6.35</v>
      </c>
    </row>
    <row r="1757" spans="1:2" x14ac:dyDescent="0.25">
      <c r="A1757" s="2" t="s">
        <v>1461</v>
      </c>
      <c r="B1757" s="3">
        <v>5.2</v>
      </c>
    </row>
    <row r="1758" spans="1:2" x14ac:dyDescent="0.25">
      <c r="A1758" s="2" t="s">
        <v>2080</v>
      </c>
      <c r="B1758" s="3">
        <v>5.8000000000000007</v>
      </c>
    </row>
    <row r="1759" spans="1:2" x14ac:dyDescent="0.25">
      <c r="A1759" s="2" t="s">
        <v>6704</v>
      </c>
      <c r="B1759" s="3">
        <v>5.6</v>
      </c>
    </row>
    <row r="1760" spans="1:2" x14ac:dyDescent="0.25">
      <c r="A1760" s="2" t="s">
        <v>3299</v>
      </c>
      <c r="B1760" s="3">
        <v>4.8</v>
      </c>
    </row>
    <row r="1761" spans="1:2" x14ac:dyDescent="0.25">
      <c r="A1761" s="2" t="s">
        <v>3871</v>
      </c>
      <c r="B1761" s="3">
        <v>6.3</v>
      </c>
    </row>
    <row r="1762" spans="1:2" x14ac:dyDescent="0.25">
      <c r="A1762" s="2" t="s">
        <v>3917</v>
      </c>
      <c r="B1762" s="3">
        <v>7.65</v>
      </c>
    </row>
    <row r="1763" spans="1:2" x14ac:dyDescent="0.25">
      <c r="A1763" s="2" t="s">
        <v>5304</v>
      </c>
      <c r="B1763" s="3">
        <v>7.7</v>
      </c>
    </row>
    <row r="1764" spans="1:2" x14ac:dyDescent="0.25">
      <c r="A1764" s="2" t="s">
        <v>2160</v>
      </c>
      <c r="B1764" s="3">
        <v>3.3</v>
      </c>
    </row>
    <row r="1765" spans="1:2" x14ac:dyDescent="0.25">
      <c r="A1765" s="2" t="s">
        <v>365</v>
      </c>
      <c r="B1765" s="3">
        <v>6.8</v>
      </c>
    </row>
    <row r="1766" spans="1:2" x14ac:dyDescent="0.25">
      <c r="A1766" s="2" t="s">
        <v>3514</v>
      </c>
      <c r="B1766" s="3">
        <v>6.4</v>
      </c>
    </row>
    <row r="1767" spans="1:2" x14ac:dyDescent="0.25">
      <c r="A1767" s="2" t="s">
        <v>3822</v>
      </c>
      <c r="B1767" s="3">
        <v>6.5</v>
      </c>
    </row>
    <row r="1768" spans="1:2" x14ac:dyDescent="0.25">
      <c r="A1768" s="2" t="s">
        <v>5842</v>
      </c>
      <c r="B1768" s="3">
        <v>6.7</v>
      </c>
    </row>
    <row r="1769" spans="1:2" x14ac:dyDescent="0.25">
      <c r="A1769" s="2" t="s">
        <v>1204</v>
      </c>
      <c r="B1769" s="3">
        <v>6</v>
      </c>
    </row>
    <row r="1770" spans="1:2" x14ac:dyDescent="0.25">
      <c r="A1770" s="2" t="s">
        <v>1185</v>
      </c>
      <c r="B1770" s="3">
        <v>4.0999999999999996</v>
      </c>
    </row>
    <row r="1771" spans="1:2" x14ac:dyDescent="0.25">
      <c r="A1771" s="2" t="s">
        <v>1481</v>
      </c>
      <c r="B1771" s="3">
        <v>6.7</v>
      </c>
    </row>
    <row r="1772" spans="1:2" x14ac:dyDescent="0.25">
      <c r="A1772" s="2" t="s">
        <v>6400</v>
      </c>
      <c r="B1772" s="3">
        <v>5.8</v>
      </c>
    </row>
    <row r="1773" spans="1:2" x14ac:dyDescent="0.25">
      <c r="A1773" s="2" t="s">
        <v>62</v>
      </c>
      <c r="B1773" s="3">
        <v>8.1333333333333329</v>
      </c>
    </row>
    <row r="1774" spans="1:2" x14ac:dyDescent="0.25">
      <c r="A1774" s="2" t="s">
        <v>1146</v>
      </c>
      <c r="B1774" s="3">
        <v>6.8</v>
      </c>
    </row>
    <row r="1775" spans="1:2" x14ac:dyDescent="0.25">
      <c r="A1775" s="2" t="s">
        <v>1540</v>
      </c>
      <c r="B1775" s="3">
        <v>2.5</v>
      </c>
    </row>
    <row r="1776" spans="1:2" x14ac:dyDescent="0.25">
      <c r="A1776" s="2" t="s">
        <v>6362</v>
      </c>
      <c r="B1776" s="3">
        <v>6.3</v>
      </c>
    </row>
    <row r="1777" spans="1:2" x14ac:dyDescent="0.25">
      <c r="A1777" s="2" t="s">
        <v>3258</v>
      </c>
      <c r="B1777" s="3">
        <v>5.0500000000000007</v>
      </c>
    </row>
    <row r="1778" spans="1:2" x14ac:dyDescent="0.25">
      <c r="A1778" s="2" t="s">
        <v>6268</v>
      </c>
      <c r="B1778" s="3">
        <v>6.2</v>
      </c>
    </row>
    <row r="1779" spans="1:2" x14ac:dyDescent="0.25">
      <c r="A1779" s="2" t="s">
        <v>216</v>
      </c>
      <c r="B1779" s="3">
        <v>4.3000000000000007</v>
      </c>
    </row>
    <row r="1780" spans="1:2" x14ac:dyDescent="0.25">
      <c r="A1780" s="2" t="s">
        <v>2052</v>
      </c>
      <c r="B1780" s="3">
        <v>8.5</v>
      </c>
    </row>
    <row r="1781" spans="1:2" x14ac:dyDescent="0.25">
      <c r="A1781" s="2" t="s">
        <v>1828</v>
      </c>
      <c r="B1781" s="3">
        <v>6.3</v>
      </c>
    </row>
    <row r="1782" spans="1:2" x14ac:dyDescent="0.25">
      <c r="A1782" s="2" t="s">
        <v>5588</v>
      </c>
      <c r="B1782" s="3">
        <v>8.4</v>
      </c>
    </row>
    <row r="1783" spans="1:2" x14ac:dyDescent="0.25">
      <c r="A1783" s="2" t="s">
        <v>5892</v>
      </c>
      <c r="B1783" s="3">
        <v>6.2</v>
      </c>
    </row>
    <row r="1784" spans="1:2" x14ac:dyDescent="0.25">
      <c r="A1784" s="2" t="s">
        <v>1501</v>
      </c>
      <c r="B1784" s="3">
        <v>7.1</v>
      </c>
    </row>
    <row r="1785" spans="1:2" x14ac:dyDescent="0.25">
      <c r="A1785" s="2" t="s">
        <v>6697</v>
      </c>
      <c r="B1785" s="3">
        <v>7.8</v>
      </c>
    </row>
    <row r="1786" spans="1:2" x14ac:dyDescent="0.25">
      <c r="A1786" s="2" t="s">
        <v>6682</v>
      </c>
      <c r="B1786" s="3">
        <v>6.4</v>
      </c>
    </row>
    <row r="1787" spans="1:2" x14ac:dyDescent="0.25">
      <c r="A1787" s="2" t="s">
        <v>4676</v>
      </c>
      <c r="B1787" s="3">
        <v>5.3</v>
      </c>
    </row>
    <row r="1788" spans="1:2" x14ac:dyDescent="0.25">
      <c r="A1788" s="2" t="s">
        <v>2036</v>
      </c>
      <c r="B1788" s="3">
        <v>6.2</v>
      </c>
    </row>
    <row r="1789" spans="1:2" x14ac:dyDescent="0.25">
      <c r="A1789" s="2" t="s">
        <v>5312</v>
      </c>
      <c r="B1789" s="3">
        <v>6.9499999999999993</v>
      </c>
    </row>
    <row r="1790" spans="1:2" x14ac:dyDescent="0.25">
      <c r="A1790" s="2" t="s">
        <v>2443</v>
      </c>
      <c r="B1790" s="3">
        <v>6.2</v>
      </c>
    </row>
    <row r="1791" spans="1:2" x14ac:dyDescent="0.25">
      <c r="A1791" s="2" t="s">
        <v>252</v>
      </c>
      <c r="B1791" s="3">
        <v>6.625</v>
      </c>
    </row>
    <row r="1792" spans="1:2" x14ac:dyDescent="0.25">
      <c r="A1792" s="2" t="s">
        <v>6266</v>
      </c>
      <c r="B1792" s="3">
        <v>5.2</v>
      </c>
    </row>
    <row r="1793" spans="1:2" x14ac:dyDescent="0.25">
      <c r="A1793" s="2" t="s">
        <v>1552</v>
      </c>
      <c r="B1793" s="3">
        <v>6.3</v>
      </c>
    </row>
    <row r="1794" spans="1:2" x14ac:dyDescent="0.25">
      <c r="A1794" s="2" t="s">
        <v>6045</v>
      </c>
      <c r="B1794" s="3">
        <v>5.0999999999999996</v>
      </c>
    </row>
    <row r="1795" spans="1:2" x14ac:dyDescent="0.25">
      <c r="A1795" s="2" t="s">
        <v>6060</v>
      </c>
      <c r="B1795" s="3">
        <v>6.4</v>
      </c>
    </row>
    <row r="1796" spans="1:2" x14ac:dyDescent="0.25">
      <c r="A1796" s="2" t="s">
        <v>5000</v>
      </c>
      <c r="B1796" s="3">
        <v>7.4</v>
      </c>
    </row>
    <row r="1797" spans="1:2" x14ac:dyDescent="0.25">
      <c r="A1797" s="2" t="s">
        <v>5902</v>
      </c>
      <c r="B1797" s="3">
        <v>6.7</v>
      </c>
    </row>
    <row r="1798" spans="1:2" x14ac:dyDescent="0.25">
      <c r="A1798" s="2" t="s">
        <v>6396</v>
      </c>
      <c r="B1798" s="3">
        <v>7.1</v>
      </c>
    </row>
    <row r="1799" spans="1:2" x14ac:dyDescent="0.25">
      <c r="A1799" s="2" t="s">
        <v>1861</v>
      </c>
      <c r="B1799" s="3">
        <v>6.9</v>
      </c>
    </row>
    <row r="1800" spans="1:2" x14ac:dyDescent="0.25">
      <c r="A1800" s="2" t="s">
        <v>626</v>
      </c>
      <c r="B1800" s="3">
        <v>5.2666666666666666</v>
      </c>
    </row>
    <row r="1801" spans="1:2" x14ac:dyDescent="0.25">
      <c r="A1801" s="2" t="s">
        <v>1275</v>
      </c>
      <c r="B1801" s="3">
        <v>4.9000000000000004</v>
      </c>
    </row>
    <row r="1802" spans="1:2" x14ac:dyDescent="0.25">
      <c r="A1802" s="2" t="s">
        <v>6405</v>
      </c>
      <c r="B1802" s="3">
        <v>6.4</v>
      </c>
    </row>
    <row r="1803" spans="1:2" x14ac:dyDescent="0.25">
      <c r="A1803" s="2" t="s">
        <v>5904</v>
      </c>
      <c r="B1803" s="3">
        <v>6.4</v>
      </c>
    </row>
    <row r="1804" spans="1:2" x14ac:dyDescent="0.25">
      <c r="A1804" s="2" t="s">
        <v>348</v>
      </c>
      <c r="B1804" s="3">
        <v>5.6538461538461551</v>
      </c>
    </row>
    <row r="1805" spans="1:2" x14ac:dyDescent="0.25">
      <c r="A1805" s="2" t="s">
        <v>696</v>
      </c>
      <c r="B1805" s="3">
        <v>7.15</v>
      </c>
    </row>
    <row r="1806" spans="1:2" x14ac:dyDescent="0.25">
      <c r="A1806" s="2" t="s">
        <v>2913</v>
      </c>
      <c r="B1806" s="3">
        <v>6.5</v>
      </c>
    </row>
    <row r="1807" spans="1:2" x14ac:dyDescent="0.25">
      <c r="A1807" s="2" t="s">
        <v>6626</v>
      </c>
      <c r="B1807" s="3">
        <v>5.6</v>
      </c>
    </row>
    <row r="1808" spans="1:2" x14ac:dyDescent="0.25">
      <c r="A1808" s="2" t="s">
        <v>5949</v>
      </c>
      <c r="B1808" s="3">
        <v>6.5</v>
      </c>
    </row>
    <row r="1809" spans="1:2" x14ac:dyDescent="0.25">
      <c r="A1809" s="2" t="s">
        <v>1129</v>
      </c>
      <c r="B1809" s="3">
        <v>7.6</v>
      </c>
    </row>
    <row r="1810" spans="1:2" x14ac:dyDescent="0.25">
      <c r="A1810" s="2" t="s">
        <v>6020</v>
      </c>
      <c r="B1810" s="3">
        <v>7.3</v>
      </c>
    </row>
    <row r="1811" spans="1:2" x14ac:dyDescent="0.25">
      <c r="A1811" s="2" t="s">
        <v>4440</v>
      </c>
      <c r="B1811" s="3">
        <v>4.7333333333333334</v>
      </c>
    </row>
    <row r="1812" spans="1:2" x14ac:dyDescent="0.25">
      <c r="A1812" s="2" t="s">
        <v>2290</v>
      </c>
      <c r="B1812" s="3">
        <v>4.7</v>
      </c>
    </row>
    <row r="1813" spans="1:2" x14ac:dyDescent="0.25">
      <c r="A1813" s="2" t="s">
        <v>1473</v>
      </c>
      <c r="B1813" s="3">
        <v>7.7999999999999989</v>
      </c>
    </row>
    <row r="1814" spans="1:2" x14ac:dyDescent="0.25">
      <c r="A1814" s="2" t="s">
        <v>850</v>
      </c>
      <c r="B1814" s="3">
        <v>7.6333333333333329</v>
      </c>
    </row>
    <row r="1815" spans="1:2" x14ac:dyDescent="0.25">
      <c r="A1815" s="2" t="s">
        <v>495</v>
      </c>
      <c r="B1815" s="3">
        <v>6.8111111111111109</v>
      </c>
    </row>
    <row r="1816" spans="1:2" x14ac:dyDescent="0.25">
      <c r="A1816" s="2" t="s">
        <v>5878</v>
      </c>
      <c r="B1816" s="3">
        <v>7.2</v>
      </c>
    </row>
    <row r="1817" spans="1:2" x14ac:dyDescent="0.25">
      <c r="A1817" s="2" t="s">
        <v>6186</v>
      </c>
      <c r="B1817" s="3">
        <v>6.9</v>
      </c>
    </row>
    <row r="1818" spans="1:2" x14ac:dyDescent="0.25">
      <c r="A1818" s="2" t="s">
        <v>4161</v>
      </c>
      <c r="B1818" s="3">
        <v>7.25</v>
      </c>
    </row>
    <row r="1819" spans="1:2" x14ac:dyDescent="0.25">
      <c r="A1819" s="2" t="s">
        <v>1713</v>
      </c>
      <c r="B1819" s="3">
        <v>6.5400000000000009</v>
      </c>
    </row>
    <row r="1820" spans="1:2" x14ac:dyDescent="0.25">
      <c r="A1820" s="2" t="s">
        <v>4083</v>
      </c>
      <c r="B1820" s="3">
        <v>7.3</v>
      </c>
    </row>
    <row r="1821" spans="1:2" x14ac:dyDescent="0.25">
      <c r="A1821" s="2" t="s">
        <v>4918</v>
      </c>
      <c r="B1821" s="3">
        <v>7.3</v>
      </c>
    </row>
    <row r="1822" spans="1:2" x14ac:dyDescent="0.25">
      <c r="A1822" s="2" t="s">
        <v>4349</v>
      </c>
      <c r="B1822" s="3">
        <v>6.3999999999999995</v>
      </c>
    </row>
    <row r="1823" spans="1:2" x14ac:dyDescent="0.25">
      <c r="A1823" s="2" t="s">
        <v>5525</v>
      </c>
      <c r="B1823" s="3">
        <v>7.15</v>
      </c>
    </row>
    <row r="1824" spans="1:2" x14ac:dyDescent="0.25">
      <c r="A1824" s="2" t="s">
        <v>1024</v>
      </c>
      <c r="B1824" s="3">
        <v>6.6599999999999993</v>
      </c>
    </row>
    <row r="1825" spans="1:2" x14ac:dyDescent="0.25">
      <c r="A1825" s="2" t="s">
        <v>57</v>
      </c>
      <c r="B1825" s="3">
        <v>6.6</v>
      </c>
    </row>
    <row r="1826" spans="1:2" x14ac:dyDescent="0.25">
      <c r="A1826" s="2" t="s">
        <v>403</v>
      </c>
      <c r="B1826" s="3">
        <v>7.3272727272727272</v>
      </c>
    </row>
    <row r="1827" spans="1:2" x14ac:dyDescent="0.25">
      <c r="A1827" s="2" t="s">
        <v>1192</v>
      </c>
      <c r="B1827" s="3">
        <v>6.5333333333333341</v>
      </c>
    </row>
    <row r="1828" spans="1:2" x14ac:dyDescent="0.25">
      <c r="A1828" s="2" t="s">
        <v>6428</v>
      </c>
      <c r="B1828" s="3">
        <v>6.3</v>
      </c>
    </row>
    <row r="1829" spans="1:2" x14ac:dyDescent="0.25">
      <c r="A1829" s="2" t="s">
        <v>6293</v>
      </c>
      <c r="B1829" s="3">
        <v>6</v>
      </c>
    </row>
    <row r="1830" spans="1:2" x14ac:dyDescent="0.25">
      <c r="A1830" s="2" t="s">
        <v>1950</v>
      </c>
      <c r="B1830" s="3">
        <v>6</v>
      </c>
    </row>
    <row r="1831" spans="1:2" x14ac:dyDescent="0.25">
      <c r="A1831" s="2" t="s">
        <v>2476</v>
      </c>
      <c r="B1831" s="3">
        <v>6.4</v>
      </c>
    </row>
    <row r="1832" spans="1:2" x14ac:dyDescent="0.25">
      <c r="A1832" s="2" t="s">
        <v>4554</v>
      </c>
      <c r="B1832" s="3">
        <v>6.6333333333333329</v>
      </c>
    </row>
    <row r="1833" spans="1:2" x14ac:dyDescent="0.25">
      <c r="A1833" s="2" t="s">
        <v>2124</v>
      </c>
      <c r="B1833" s="3">
        <v>6.2</v>
      </c>
    </row>
    <row r="1834" spans="1:2" x14ac:dyDescent="0.25">
      <c r="A1834" s="2" t="s">
        <v>5918</v>
      </c>
      <c r="B1834" s="3">
        <v>7.2</v>
      </c>
    </row>
    <row r="1835" spans="1:2" x14ac:dyDescent="0.25">
      <c r="A1835" s="2" t="s">
        <v>6063</v>
      </c>
      <c r="B1835" s="3">
        <v>5.7</v>
      </c>
    </row>
    <row r="1836" spans="1:2" x14ac:dyDescent="0.25">
      <c r="A1836" s="2" t="s">
        <v>5354</v>
      </c>
      <c r="B1836" s="3">
        <v>2.7</v>
      </c>
    </row>
    <row r="1837" spans="1:2" x14ac:dyDescent="0.25">
      <c r="A1837" s="2" t="s">
        <v>3610</v>
      </c>
      <c r="B1837" s="3">
        <v>6.4</v>
      </c>
    </row>
    <row r="1838" spans="1:2" x14ac:dyDescent="0.25">
      <c r="A1838" s="2" t="s">
        <v>3630</v>
      </c>
      <c r="B1838" s="3">
        <v>5.3</v>
      </c>
    </row>
    <row r="1839" spans="1:2" x14ac:dyDescent="0.25">
      <c r="A1839" s="2" t="s">
        <v>3486</v>
      </c>
      <c r="B1839" s="3">
        <v>4.0999999999999996</v>
      </c>
    </row>
    <row r="1840" spans="1:2" x14ac:dyDescent="0.25">
      <c r="A1840" s="2" t="s">
        <v>6736</v>
      </c>
      <c r="B1840" s="3">
        <v>7.7</v>
      </c>
    </row>
    <row r="1841" spans="1:2" x14ac:dyDescent="0.25">
      <c r="A1841" s="2" t="s">
        <v>4102</v>
      </c>
      <c r="B1841" s="3">
        <v>6.4</v>
      </c>
    </row>
    <row r="1842" spans="1:2" x14ac:dyDescent="0.25">
      <c r="A1842" s="2" t="s">
        <v>456</v>
      </c>
      <c r="B1842" s="3">
        <v>6.875</v>
      </c>
    </row>
    <row r="1843" spans="1:2" x14ac:dyDescent="0.25">
      <c r="A1843" s="2" t="s">
        <v>4419</v>
      </c>
      <c r="B1843" s="3">
        <v>5.4</v>
      </c>
    </row>
    <row r="1844" spans="1:2" x14ac:dyDescent="0.25">
      <c r="A1844" s="2" t="s">
        <v>4981</v>
      </c>
      <c r="B1844" s="3">
        <v>5.9</v>
      </c>
    </row>
    <row r="1845" spans="1:2" x14ac:dyDescent="0.25">
      <c r="A1845" s="2" t="s">
        <v>2229</v>
      </c>
      <c r="B1845" s="3">
        <v>5.3</v>
      </c>
    </row>
    <row r="1846" spans="1:2" x14ac:dyDescent="0.25">
      <c r="A1846" s="2" t="s">
        <v>5283</v>
      </c>
      <c r="B1846" s="3">
        <v>7.8</v>
      </c>
    </row>
    <row r="1847" spans="1:2" x14ac:dyDescent="0.25">
      <c r="A1847" s="2" t="s">
        <v>352</v>
      </c>
      <c r="B1847" s="3">
        <v>6.05</v>
      </c>
    </row>
    <row r="1848" spans="1:2" x14ac:dyDescent="0.25">
      <c r="A1848" s="2" t="s">
        <v>1100</v>
      </c>
      <c r="B1848" s="3">
        <v>5.5</v>
      </c>
    </row>
    <row r="1849" spans="1:2" x14ac:dyDescent="0.25">
      <c r="A1849" s="2" t="s">
        <v>1625</v>
      </c>
      <c r="B1849" s="3">
        <v>5</v>
      </c>
    </row>
    <row r="1850" spans="1:2" x14ac:dyDescent="0.25">
      <c r="A1850" s="2" t="s">
        <v>4396</v>
      </c>
      <c r="B1850" s="3">
        <v>4.5</v>
      </c>
    </row>
    <row r="1851" spans="1:2" x14ac:dyDescent="0.25">
      <c r="A1851" s="2" t="s">
        <v>433</v>
      </c>
      <c r="B1851" s="3">
        <v>6.4</v>
      </c>
    </row>
    <row r="1852" spans="1:2" x14ac:dyDescent="0.25">
      <c r="A1852" s="2" t="s">
        <v>904</v>
      </c>
      <c r="B1852" s="3">
        <v>6.55</v>
      </c>
    </row>
    <row r="1853" spans="1:2" x14ac:dyDescent="0.25">
      <c r="A1853" s="2" t="s">
        <v>4264</v>
      </c>
      <c r="B1853" s="3">
        <v>6.8</v>
      </c>
    </row>
    <row r="1854" spans="1:2" x14ac:dyDescent="0.25">
      <c r="A1854" s="2" t="s">
        <v>499</v>
      </c>
      <c r="B1854" s="3">
        <v>5.75</v>
      </c>
    </row>
    <row r="1855" spans="1:2" x14ac:dyDescent="0.25">
      <c r="A1855" s="2" t="s">
        <v>3809</v>
      </c>
      <c r="B1855" s="3">
        <v>4.5999999999999996</v>
      </c>
    </row>
    <row r="1856" spans="1:2" x14ac:dyDescent="0.25">
      <c r="A1856" s="2" t="s">
        <v>231</v>
      </c>
      <c r="B1856" s="3">
        <v>6.9600000000000009</v>
      </c>
    </row>
    <row r="1857" spans="1:2" x14ac:dyDescent="0.25">
      <c r="A1857" s="2" t="s">
        <v>4314</v>
      </c>
      <c r="B1857" s="3">
        <v>6.1</v>
      </c>
    </row>
    <row r="1858" spans="1:2" x14ac:dyDescent="0.25">
      <c r="A1858" s="2" t="s">
        <v>3327</v>
      </c>
      <c r="B1858" s="3">
        <v>5.7249999999999996</v>
      </c>
    </row>
    <row r="1859" spans="1:2" x14ac:dyDescent="0.25">
      <c r="A1859" s="2" t="s">
        <v>5830</v>
      </c>
      <c r="B1859" s="3">
        <v>5.0999999999999996</v>
      </c>
    </row>
    <row r="1860" spans="1:2" x14ac:dyDescent="0.25">
      <c r="A1860" s="2" t="s">
        <v>1835</v>
      </c>
      <c r="B1860" s="3">
        <v>4.5</v>
      </c>
    </row>
    <row r="1861" spans="1:2" x14ac:dyDescent="0.25">
      <c r="A1861" s="2" t="s">
        <v>2976</v>
      </c>
      <c r="B1861" s="3">
        <v>6.8</v>
      </c>
    </row>
    <row r="1862" spans="1:2" x14ac:dyDescent="0.25">
      <c r="A1862" s="2" t="s">
        <v>5506</v>
      </c>
      <c r="B1862" s="3">
        <v>6.5</v>
      </c>
    </row>
    <row r="1863" spans="1:2" x14ac:dyDescent="0.25">
      <c r="A1863" s="2" t="s">
        <v>3989</v>
      </c>
      <c r="B1863" s="3">
        <v>5.9</v>
      </c>
    </row>
    <row r="1864" spans="1:2" x14ac:dyDescent="0.25">
      <c r="A1864" s="2" t="s">
        <v>2445</v>
      </c>
      <c r="B1864" s="3">
        <v>2.8</v>
      </c>
    </row>
    <row r="1865" spans="1:2" x14ac:dyDescent="0.25">
      <c r="A1865" s="2" t="s">
        <v>4632</v>
      </c>
      <c r="B1865" s="3">
        <v>4.7</v>
      </c>
    </row>
    <row r="1866" spans="1:2" x14ac:dyDescent="0.25">
      <c r="A1866" s="2" t="s">
        <v>1372</v>
      </c>
      <c r="B1866" s="3">
        <v>7.4</v>
      </c>
    </row>
    <row r="1867" spans="1:2" x14ac:dyDescent="0.25">
      <c r="A1867" s="2" t="s">
        <v>6211</v>
      </c>
      <c r="B1867" s="3">
        <v>6.5</v>
      </c>
    </row>
    <row r="1868" spans="1:2" x14ac:dyDescent="0.25">
      <c r="A1868" s="2" t="s">
        <v>2422</v>
      </c>
      <c r="B1868" s="3">
        <v>6.2</v>
      </c>
    </row>
    <row r="1869" spans="1:2" x14ac:dyDescent="0.25">
      <c r="A1869" s="2" t="s">
        <v>3972</v>
      </c>
      <c r="B1869" s="3">
        <v>7.2</v>
      </c>
    </row>
    <row r="1870" spans="1:2" x14ac:dyDescent="0.25">
      <c r="A1870" s="2" t="s">
        <v>3747</v>
      </c>
      <c r="B1870" s="3">
        <v>6.8</v>
      </c>
    </row>
    <row r="1871" spans="1:2" x14ac:dyDescent="0.25">
      <c r="A1871" s="2" t="s">
        <v>6716</v>
      </c>
      <c r="B1871" s="3">
        <v>7.2</v>
      </c>
    </row>
    <row r="1872" spans="1:2" x14ac:dyDescent="0.25">
      <c r="A1872" s="2" t="s">
        <v>2345</v>
      </c>
      <c r="B1872" s="3">
        <v>7.25</v>
      </c>
    </row>
    <row r="1873" spans="1:2" x14ac:dyDescent="0.25">
      <c r="A1873" s="2" t="s">
        <v>2464</v>
      </c>
      <c r="B1873" s="3">
        <v>5.2</v>
      </c>
    </row>
    <row r="1874" spans="1:2" x14ac:dyDescent="0.25">
      <c r="A1874" s="2" t="s">
        <v>3893</v>
      </c>
      <c r="B1874" s="3">
        <v>5.15</v>
      </c>
    </row>
    <row r="1875" spans="1:2" x14ac:dyDescent="0.25">
      <c r="A1875" s="2" t="s">
        <v>2458</v>
      </c>
      <c r="B1875" s="3">
        <v>5.6</v>
      </c>
    </row>
    <row r="1876" spans="1:2" x14ac:dyDescent="0.25">
      <c r="A1876" s="2" t="s">
        <v>761</v>
      </c>
      <c r="B1876" s="3">
        <v>4.3999999999999995</v>
      </c>
    </row>
    <row r="1877" spans="1:2" x14ac:dyDescent="0.25">
      <c r="A1877" s="2" t="s">
        <v>5252</v>
      </c>
      <c r="B1877" s="3">
        <v>7.9</v>
      </c>
    </row>
    <row r="1878" spans="1:2" x14ac:dyDescent="0.25">
      <c r="A1878" s="2" t="s">
        <v>6159</v>
      </c>
      <c r="B1878" s="3">
        <v>6.3</v>
      </c>
    </row>
    <row r="1879" spans="1:2" x14ac:dyDescent="0.25">
      <c r="A1879" s="2" t="s">
        <v>3214</v>
      </c>
      <c r="B1879" s="3">
        <v>6.8</v>
      </c>
    </row>
    <row r="1880" spans="1:2" x14ac:dyDescent="0.25">
      <c r="A1880" s="2" t="s">
        <v>206</v>
      </c>
      <c r="B1880" s="3">
        <v>6</v>
      </c>
    </row>
    <row r="1881" spans="1:2" x14ac:dyDescent="0.25">
      <c r="A1881" s="2" t="s">
        <v>2381</v>
      </c>
      <c r="B1881" s="3">
        <v>7.1</v>
      </c>
    </row>
    <row r="1882" spans="1:2" x14ac:dyDescent="0.25">
      <c r="A1882" s="2" t="s">
        <v>4549</v>
      </c>
      <c r="B1882" s="3">
        <v>3.5</v>
      </c>
    </row>
    <row r="1883" spans="1:2" x14ac:dyDescent="0.25">
      <c r="A1883" s="2" t="s">
        <v>6485</v>
      </c>
      <c r="B1883" s="3">
        <v>6.4</v>
      </c>
    </row>
    <row r="1884" spans="1:2" x14ac:dyDescent="0.25">
      <c r="A1884" s="2" t="s">
        <v>2255</v>
      </c>
      <c r="B1884" s="3">
        <v>8.4</v>
      </c>
    </row>
    <row r="1885" spans="1:2" x14ac:dyDescent="0.25">
      <c r="A1885" s="2" t="s">
        <v>521</v>
      </c>
      <c r="B1885" s="3">
        <v>6.8400000000000007</v>
      </c>
    </row>
    <row r="1886" spans="1:2" x14ac:dyDescent="0.25">
      <c r="A1886" s="2" t="s">
        <v>327</v>
      </c>
      <c r="B1886" s="3">
        <v>5.8636363636363633</v>
      </c>
    </row>
    <row r="1887" spans="1:2" x14ac:dyDescent="0.25">
      <c r="A1887" s="2" t="s">
        <v>2257</v>
      </c>
      <c r="B1887" s="3">
        <v>8</v>
      </c>
    </row>
    <row r="1888" spans="1:2" x14ac:dyDescent="0.25">
      <c r="A1888" s="2" t="s">
        <v>6740</v>
      </c>
      <c r="B1888" s="3">
        <v>7.3</v>
      </c>
    </row>
    <row r="1889" spans="1:2" x14ac:dyDescent="0.25">
      <c r="A1889" s="2" t="s">
        <v>283</v>
      </c>
      <c r="B1889" s="3">
        <v>6.8</v>
      </c>
    </row>
    <row r="1890" spans="1:2" x14ac:dyDescent="0.25">
      <c r="A1890" s="2" t="s">
        <v>137</v>
      </c>
      <c r="B1890" s="3">
        <v>7.8</v>
      </c>
    </row>
    <row r="1891" spans="1:2" x14ac:dyDescent="0.25">
      <c r="A1891" s="2" t="s">
        <v>5885</v>
      </c>
      <c r="B1891" s="3">
        <v>7.2</v>
      </c>
    </row>
    <row r="1892" spans="1:2" x14ac:dyDescent="0.25">
      <c r="A1892" s="2" t="s">
        <v>5161</v>
      </c>
      <c r="B1892" s="3">
        <v>7</v>
      </c>
    </row>
    <row r="1893" spans="1:2" x14ac:dyDescent="0.25">
      <c r="A1893" s="2" t="s">
        <v>388</v>
      </c>
      <c r="B1893" s="3">
        <v>6.8000000000000007</v>
      </c>
    </row>
    <row r="1894" spans="1:2" x14ac:dyDescent="0.25">
      <c r="A1894" s="2" t="s">
        <v>160</v>
      </c>
      <c r="B1894" s="3">
        <v>7.18</v>
      </c>
    </row>
    <row r="1895" spans="1:2" x14ac:dyDescent="0.25">
      <c r="A1895" s="2" t="s">
        <v>1200</v>
      </c>
      <c r="B1895" s="3">
        <v>5.8</v>
      </c>
    </row>
    <row r="1896" spans="1:2" x14ac:dyDescent="0.25">
      <c r="A1896" s="2" t="s">
        <v>6355</v>
      </c>
      <c r="B1896" s="3">
        <v>7.3</v>
      </c>
    </row>
    <row r="1897" spans="1:2" x14ac:dyDescent="0.25">
      <c r="A1897" s="2" t="s">
        <v>4119</v>
      </c>
      <c r="B1897" s="3">
        <v>6.6</v>
      </c>
    </row>
    <row r="1898" spans="1:2" x14ac:dyDescent="0.25">
      <c r="A1898" s="2" t="s">
        <v>5321</v>
      </c>
      <c r="B1898" s="3">
        <v>6.2</v>
      </c>
    </row>
    <row r="1899" spans="1:2" x14ac:dyDescent="0.25">
      <c r="A1899" s="2" t="s">
        <v>1756</v>
      </c>
      <c r="B1899" s="3">
        <v>6.6</v>
      </c>
    </row>
    <row r="1900" spans="1:2" x14ac:dyDescent="0.25">
      <c r="A1900" s="2" t="s">
        <v>5459</v>
      </c>
      <c r="B1900" s="3">
        <v>6.95</v>
      </c>
    </row>
    <row r="1901" spans="1:2" x14ac:dyDescent="0.25">
      <c r="A1901" s="2" t="s">
        <v>338</v>
      </c>
      <c r="B1901" s="3">
        <v>6.2</v>
      </c>
    </row>
    <row r="1902" spans="1:2" x14ac:dyDescent="0.25">
      <c r="A1902" s="2" t="s">
        <v>5017</v>
      </c>
      <c r="B1902" s="3">
        <v>6.6</v>
      </c>
    </row>
    <row r="1903" spans="1:2" x14ac:dyDescent="0.25">
      <c r="A1903" s="2" t="s">
        <v>3921</v>
      </c>
      <c r="B1903" s="3">
        <v>2.4</v>
      </c>
    </row>
    <row r="1904" spans="1:2" x14ac:dyDescent="0.25">
      <c r="A1904" s="2" t="s">
        <v>828</v>
      </c>
      <c r="B1904" s="3">
        <v>6.9333333333333336</v>
      </c>
    </row>
    <row r="1905" spans="1:2" x14ac:dyDescent="0.25">
      <c r="A1905" s="2" t="s">
        <v>3089</v>
      </c>
      <c r="B1905" s="3">
        <v>5.2666666666666666</v>
      </c>
    </row>
    <row r="1906" spans="1:2" x14ac:dyDescent="0.25">
      <c r="A1906" s="2" t="s">
        <v>683</v>
      </c>
      <c r="B1906" s="3">
        <v>6.5</v>
      </c>
    </row>
    <row r="1907" spans="1:2" x14ac:dyDescent="0.25">
      <c r="A1907" s="2" t="s">
        <v>5938</v>
      </c>
      <c r="B1907" s="3">
        <v>7</v>
      </c>
    </row>
    <row r="1908" spans="1:2" x14ac:dyDescent="0.25">
      <c r="A1908" s="2" t="s">
        <v>1781</v>
      </c>
      <c r="B1908" s="3">
        <v>6.2333333333333343</v>
      </c>
    </row>
    <row r="1909" spans="1:2" x14ac:dyDescent="0.25">
      <c r="A1909" s="2" t="s">
        <v>1879</v>
      </c>
      <c r="B1909" s="3">
        <v>5.9</v>
      </c>
    </row>
    <row r="1910" spans="1:2" x14ac:dyDescent="0.25">
      <c r="A1910" s="2" t="s">
        <v>5966</v>
      </c>
      <c r="B1910" s="3">
        <v>6.2</v>
      </c>
    </row>
    <row r="1911" spans="1:2" x14ac:dyDescent="0.25">
      <c r="A1911" s="2" t="s">
        <v>6200</v>
      </c>
      <c r="B1911" s="3">
        <v>7.4</v>
      </c>
    </row>
    <row r="1912" spans="1:2" x14ac:dyDescent="0.25">
      <c r="A1912" s="2" t="s">
        <v>2187</v>
      </c>
      <c r="B1912" s="3">
        <v>6.6</v>
      </c>
    </row>
    <row r="1913" spans="1:2" x14ac:dyDescent="0.25">
      <c r="A1913" s="2" t="s">
        <v>5244</v>
      </c>
      <c r="B1913" s="3">
        <v>5.7</v>
      </c>
    </row>
    <row r="1914" spans="1:2" x14ac:dyDescent="0.25">
      <c r="A1914" s="2" t="s">
        <v>1221</v>
      </c>
      <c r="B1914" s="3">
        <v>5.166666666666667</v>
      </c>
    </row>
    <row r="1915" spans="1:2" x14ac:dyDescent="0.25">
      <c r="A1915" s="2" t="s">
        <v>1883</v>
      </c>
      <c r="B1915" s="3">
        <v>6.1</v>
      </c>
    </row>
    <row r="1916" spans="1:2" x14ac:dyDescent="0.25">
      <c r="A1916" s="2" t="s">
        <v>1639</v>
      </c>
      <c r="B1916" s="3">
        <v>7.416666666666667</v>
      </c>
    </row>
    <row r="1917" spans="1:2" x14ac:dyDescent="0.25">
      <c r="A1917" s="2" t="s">
        <v>6310</v>
      </c>
      <c r="B1917" s="3">
        <v>5.0999999999999996</v>
      </c>
    </row>
    <row r="1918" spans="1:2" x14ac:dyDescent="0.25">
      <c r="A1918" s="2" t="s">
        <v>5519</v>
      </c>
      <c r="B1918" s="3">
        <v>8.5</v>
      </c>
    </row>
    <row r="1919" spans="1:2" x14ac:dyDescent="0.25">
      <c r="A1919" s="2" t="s">
        <v>638</v>
      </c>
      <c r="B1919" s="3">
        <v>6.9000000000000012</v>
      </c>
    </row>
    <row r="1920" spans="1:2" x14ac:dyDescent="0.25">
      <c r="A1920" s="2" t="s">
        <v>4528</v>
      </c>
      <c r="B1920" s="3">
        <v>7</v>
      </c>
    </row>
    <row r="1921" spans="1:2" x14ac:dyDescent="0.25">
      <c r="A1921" s="2" t="s">
        <v>1018</v>
      </c>
      <c r="B1921" s="3">
        <v>5.9</v>
      </c>
    </row>
    <row r="1922" spans="1:2" x14ac:dyDescent="0.25">
      <c r="A1922" s="2" t="s">
        <v>1141</v>
      </c>
      <c r="B1922" s="3">
        <v>6.35</v>
      </c>
    </row>
    <row r="1923" spans="1:2" x14ac:dyDescent="0.25">
      <c r="A1923" s="2" t="s">
        <v>1726</v>
      </c>
      <c r="B1923" s="3">
        <v>4.9000000000000004</v>
      </c>
    </row>
    <row r="1924" spans="1:2" x14ac:dyDescent="0.25">
      <c r="A1924" s="2" t="s">
        <v>5302</v>
      </c>
      <c r="B1924" s="3">
        <v>6.9</v>
      </c>
    </row>
    <row r="1925" spans="1:2" x14ac:dyDescent="0.25">
      <c r="A1925" s="2" t="s">
        <v>393</v>
      </c>
      <c r="B1925" s="3">
        <v>5.5</v>
      </c>
    </row>
    <row r="1926" spans="1:2" x14ac:dyDescent="0.25">
      <c r="A1926" s="2" t="s">
        <v>1793</v>
      </c>
      <c r="B1926" s="3">
        <v>6</v>
      </c>
    </row>
    <row r="1927" spans="1:2" x14ac:dyDescent="0.25">
      <c r="A1927" s="2" t="s">
        <v>3503</v>
      </c>
      <c r="B1927" s="3">
        <v>6.6</v>
      </c>
    </row>
    <row r="1928" spans="1:2" x14ac:dyDescent="0.25">
      <c r="A1928" s="2" t="s">
        <v>6567</v>
      </c>
      <c r="B1928" s="3">
        <v>5.5</v>
      </c>
    </row>
    <row r="1929" spans="1:2" x14ac:dyDescent="0.25">
      <c r="A1929" s="2" t="s">
        <v>6708</v>
      </c>
      <c r="B1929" s="3">
        <v>5.2</v>
      </c>
    </row>
    <row r="1930" spans="1:2" x14ac:dyDescent="0.25">
      <c r="A1930" s="2" t="s">
        <v>515</v>
      </c>
      <c r="B1930" s="3">
        <v>6.833333333333333</v>
      </c>
    </row>
    <row r="1931" spans="1:2" x14ac:dyDescent="0.25">
      <c r="A1931" s="2" t="s">
        <v>5876</v>
      </c>
      <c r="B1931" s="3">
        <v>4.8</v>
      </c>
    </row>
    <row r="1932" spans="1:2" x14ac:dyDescent="0.25">
      <c r="A1932" s="2" t="s">
        <v>1160</v>
      </c>
      <c r="B1932" s="3">
        <v>6.2</v>
      </c>
    </row>
    <row r="1933" spans="1:2" x14ac:dyDescent="0.25">
      <c r="A1933" s="2" t="s">
        <v>3310</v>
      </c>
      <c r="B1933" s="3">
        <v>6</v>
      </c>
    </row>
    <row r="1934" spans="1:2" x14ac:dyDescent="0.25">
      <c r="A1934" s="2" t="s">
        <v>4805</v>
      </c>
      <c r="B1934" s="3">
        <v>6.2</v>
      </c>
    </row>
    <row r="1935" spans="1:2" x14ac:dyDescent="0.25">
      <c r="A1935" s="2" t="s">
        <v>5286</v>
      </c>
      <c r="B1935" s="3">
        <v>7.1</v>
      </c>
    </row>
    <row r="1936" spans="1:2" x14ac:dyDescent="0.25">
      <c r="A1936" s="2" t="s">
        <v>2294</v>
      </c>
      <c r="B1936" s="3">
        <v>3.6</v>
      </c>
    </row>
    <row r="1937" spans="1:2" x14ac:dyDescent="0.25">
      <c r="A1937" s="2" t="s">
        <v>5392</v>
      </c>
      <c r="B1937" s="3">
        <v>6.9</v>
      </c>
    </row>
    <row r="1938" spans="1:2" x14ac:dyDescent="0.25">
      <c r="A1938" s="2" t="s">
        <v>1139</v>
      </c>
      <c r="B1938" s="3">
        <v>6.2749999999999995</v>
      </c>
    </row>
    <row r="1939" spans="1:2" x14ac:dyDescent="0.25">
      <c r="A1939" s="2" t="s">
        <v>4599</v>
      </c>
      <c r="B1939" s="3">
        <v>6.1</v>
      </c>
    </row>
    <row r="1940" spans="1:2" x14ac:dyDescent="0.25">
      <c r="A1940" s="2" t="s">
        <v>6442</v>
      </c>
      <c r="B1940" s="3">
        <v>6.1</v>
      </c>
    </row>
    <row r="1941" spans="1:2" x14ac:dyDescent="0.25">
      <c r="A1941" s="2" t="s">
        <v>39</v>
      </c>
      <c r="B1941" s="3">
        <v>7.6</v>
      </c>
    </row>
    <row r="1942" spans="1:2" x14ac:dyDescent="0.25">
      <c r="A1942" s="2" t="s">
        <v>5513</v>
      </c>
      <c r="B1942" s="3">
        <v>7.2</v>
      </c>
    </row>
    <row r="1943" spans="1:2" x14ac:dyDescent="0.25">
      <c r="A1943" s="2" t="s">
        <v>5722</v>
      </c>
      <c r="B1943" s="3">
        <v>6.8</v>
      </c>
    </row>
    <row r="1944" spans="1:2" x14ac:dyDescent="0.25">
      <c r="A1944" s="2" t="s">
        <v>413</v>
      </c>
      <c r="B1944" s="3">
        <v>5.95</v>
      </c>
    </row>
    <row r="1945" spans="1:2" x14ac:dyDescent="0.25">
      <c r="A1945" s="2" t="s">
        <v>2515</v>
      </c>
      <c r="B1945" s="3">
        <v>5.4</v>
      </c>
    </row>
    <row r="1946" spans="1:2" x14ac:dyDescent="0.25">
      <c r="A1946" s="2" t="s">
        <v>4300</v>
      </c>
      <c r="B1946" s="3">
        <v>5.4</v>
      </c>
    </row>
    <row r="1947" spans="1:2" x14ac:dyDescent="0.25">
      <c r="A1947" s="2" t="s">
        <v>6530</v>
      </c>
      <c r="B1947" s="3">
        <v>4.7</v>
      </c>
    </row>
    <row r="1948" spans="1:2" x14ac:dyDescent="0.25">
      <c r="A1948" s="2" t="s">
        <v>5022</v>
      </c>
      <c r="B1948" s="3">
        <v>8.4</v>
      </c>
    </row>
    <row r="1949" spans="1:2" x14ac:dyDescent="0.25">
      <c r="A1949" s="2" t="s">
        <v>1929</v>
      </c>
      <c r="B1949" s="3">
        <v>4.8</v>
      </c>
    </row>
    <row r="1950" spans="1:2" x14ac:dyDescent="0.25">
      <c r="A1950" s="2" t="s">
        <v>2365</v>
      </c>
      <c r="B1950" s="3">
        <v>8.6999999999999993</v>
      </c>
    </row>
    <row r="1951" spans="1:2" x14ac:dyDescent="0.25">
      <c r="A1951" s="2" t="s">
        <v>2656</v>
      </c>
      <c r="B1951" s="3">
        <v>7.2</v>
      </c>
    </row>
    <row r="1952" spans="1:2" x14ac:dyDescent="0.25">
      <c r="A1952" s="2" t="s">
        <v>5766</v>
      </c>
      <c r="B1952" s="3">
        <v>5.3</v>
      </c>
    </row>
    <row r="1953" spans="1:2" x14ac:dyDescent="0.25">
      <c r="A1953" s="2" t="s">
        <v>3152</v>
      </c>
      <c r="B1953" s="3">
        <v>5.7</v>
      </c>
    </row>
    <row r="1954" spans="1:2" x14ac:dyDescent="0.25">
      <c r="A1954" s="2" t="s">
        <v>6066</v>
      </c>
      <c r="B1954" s="3">
        <v>6.9</v>
      </c>
    </row>
    <row r="1955" spans="1:2" x14ac:dyDescent="0.25">
      <c r="A1955" s="2" t="s">
        <v>5845</v>
      </c>
      <c r="B1955" s="3">
        <v>6.8</v>
      </c>
    </row>
    <row r="1956" spans="1:2" x14ac:dyDescent="0.25">
      <c r="A1956" s="2" t="s">
        <v>1123</v>
      </c>
      <c r="B1956" s="3">
        <v>6.1</v>
      </c>
    </row>
    <row r="1957" spans="1:2" x14ac:dyDescent="0.25">
      <c r="A1957" s="2" t="s">
        <v>5325</v>
      </c>
      <c r="B1957" s="3">
        <v>4.7</v>
      </c>
    </row>
    <row r="1958" spans="1:2" x14ac:dyDescent="0.25">
      <c r="A1958" s="2" t="s">
        <v>2071</v>
      </c>
      <c r="B1958" s="3">
        <v>6</v>
      </c>
    </row>
    <row r="1959" spans="1:2" x14ac:dyDescent="0.25">
      <c r="A1959" s="2" t="s">
        <v>2611</v>
      </c>
      <c r="B1959" s="3">
        <v>7.8</v>
      </c>
    </row>
    <row r="1960" spans="1:2" x14ac:dyDescent="0.25">
      <c r="A1960" s="2" t="s">
        <v>111</v>
      </c>
      <c r="B1960" s="3">
        <v>7.3000000000000007</v>
      </c>
    </row>
    <row r="1961" spans="1:2" x14ac:dyDescent="0.25">
      <c r="A1961" s="2" t="s">
        <v>1051</v>
      </c>
      <c r="B1961" s="3">
        <v>5.75</v>
      </c>
    </row>
    <row r="1962" spans="1:2" x14ac:dyDescent="0.25">
      <c r="A1962" s="2" t="s">
        <v>1959</v>
      </c>
      <c r="B1962" s="3">
        <v>7.3750000000000009</v>
      </c>
    </row>
    <row r="1963" spans="1:2" x14ac:dyDescent="0.25">
      <c r="A1963" s="2" t="s">
        <v>2577</v>
      </c>
      <c r="B1963" s="3">
        <v>7.1428571428571432</v>
      </c>
    </row>
    <row r="1964" spans="1:2" x14ac:dyDescent="0.25">
      <c r="A1964" s="2" t="s">
        <v>5700</v>
      </c>
      <c r="B1964" s="3">
        <v>7.2</v>
      </c>
    </row>
    <row r="1965" spans="1:2" x14ac:dyDescent="0.25">
      <c r="A1965" s="2" t="s">
        <v>103</v>
      </c>
      <c r="B1965" s="3">
        <v>5.4499999999999993</v>
      </c>
    </row>
    <row r="1966" spans="1:2" x14ac:dyDescent="0.25">
      <c r="A1966" s="2" t="s">
        <v>4543</v>
      </c>
      <c r="B1966" s="3">
        <v>6.2</v>
      </c>
    </row>
    <row r="1967" spans="1:2" x14ac:dyDescent="0.25">
      <c r="A1967" s="2" t="s">
        <v>2876</v>
      </c>
      <c r="B1967" s="3">
        <v>6</v>
      </c>
    </row>
    <row r="1968" spans="1:2" x14ac:dyDescent="0.25">
      <c r="A1968" s="2" t="s">
        <v>2483</v>
      </c>
      <c r="B1968" s="3">
        <v>7.1</v>
      </c>
    </row>
    <row r="1969" spans="1:2" x14ac:dyDescent="0.25">
      <c r="A1969" s="2" t="s">
        <v>6687</v>
      </c>
      <c r="B1969" s="3">
        <v>7.1</v>
      </c>
    </row>
    <row r="1970" spans="1:2" x14ac:dyDescent="0.25">
      <c r="A1970" s="2" t="s">
        <v>3526</v>
      </c>
      <c r="B1970" s="3">
        <v>4.5999999999999996</v>
      </c>
    </row>
    <row r="1971" spans="1:2" x14ac:dyDescent="0.25">
      <c r="A1971" s="2" t="s">
        <v>5785</v>
      </c>
      <c r="B1971" s="3">
        <v>6.7</v>
      </c>
    </row>
    <row r="1972" spans="1:2" x14ac:dyDescent="0.25">
      <c r="A1972" s="2" t="s">
        <v>1852</v>
      </c>
      <c r="B1972" s="3">
        <v>5.2</v>
      </c>
    </row>
    <row r="1973" spans="1:2" x14ac:dyDescent="0.25">
      <c r="A1973" s="2" t="s">
        <v>4445</v>
      </c>
      <c r="B1973" s="3">
        <v>6.9</v>
      </c>
    </row>
    <row r="1974" spans="1:2" x14ac:dyDescent="0.25">
      <c r="A1974" s="2" t="s">
        <v>5932</v>
      </c>
      <c r="B1974" s="3">
        <v>7.4</v>
      </c>
    </row>
    <row r="1975" spans="1:2" x14ac:dyDescent="0.25">
      <c r="A1975" s="2" t="s">
        <v>4968</v>
      </c>
      <c r="B1975" s="3">
        <v>5.7</v>
      </c>
    </row>
    <row r="1976" spans="1:2" x14ac:dyDescent="0.25">
      <c r="A1976" s="2" t="s">
        <v>776</v>
      </c>
      <c r="B1976" s="3">
        <v>7.0333333333333341</v>
      </c>
    </row>
    <row r="1977" spans="1:2" x14ac:dyDescent="0.25">
      <c r="A1977" s="2" t="s">
        <v>450</v>
      </c>
      <c r="B1977" s="3">
        <v>6.14</v>
      </c>
    </row>
    <row r="1978" spans="1:2" x14ac:dyDescent="0.25">
      <c r="A1978" s="2" t="s">
        <v>2379</v>
      </c>
      <c r="B1978" s="3">
        <v>3.4</v>
      </c>
    </row>
    <row r="1979" spans="1:2" x14ac:dyDescent="0.25">
      <c r="A1979" s="2" t="s">
        <v>2021</v>
      </c>
      <c r="B1979" s="3">
        <v>5.4</v>
      </c>
    </row>
    <row r="1980" spans="1:2" x14ac:dyDescent="0.25">
      <c r="A1980" s="2" t="s">
        <v>3686</v>
      </c>
      <c r="B1980" s="3">
        <v>6.5</v>
      </c>
    </row>
    <row r="1981" spans="1:2" x14ac:dyDescent="0.25">
      <c r="A1981" s="2" t="s">
        <v>815</v>
      </c>
      <c r="B1981" s="3">
        <v>6.839999999999999</v>
      </c>
    </row>
    <row r="1982" spans="1:2" x14ac:dyDescent="0.25">
      <c r="A1982" s="2" t="s">
        <v>5072</v>
      </c>
      <c r="B1982" s="3">
        <v>5.6</v>
      </c>
    </row>
    <row r="1983" spans="1:2" x14ac:dyDescent="0.25">
      <c r="A1983" s="2" t="s">
        <v>1693</v>
      </c>
      <c r="B1983" s="3">
        <v>6.1</v>
      </c>
    </row>
    <row r="1984" spans="1:2" x14ac:dyDescent="0.25">
      <c r="A1984" s="2" t="s">
        <v>5263</v>
      </c>
      <c r="B1984" s="3">
        <v>4.6500000000000004</v>
      </c>
    </row>
    <row r="1985" spans="1:2" x14ac:dyDescent="0.25">
      <c r="A1985" s="2" t="s">
        <v>1583</v>
      </c>
      <c r="B1985" s="3">
        <v>7.7</v>
      </c>
    </row>
    <row r="1986" spans="1:2" x14ac:dyDescent="0.25">
      <c r="A1986" s="2" t="s">
        <v>3245</v>
      </c>
      <c r="B1986" s="3">
        <v>6.5</v>
      </c>
    </row>
    <row r="1987" spans="1:2" x14ac:dyDescent="0.25">
      <c r="A1987" s="2" t="s">
        <v>3010</v>
      </c>
      <c r="B1987" s="3">
        <v>5.45</v>
      </c>
    </row>
    <row r="1988" spans="1:2" x14ac:dyDescent="0.25">
      <c r="A1988" s="2" t="s">
        <v>1619</v>
      </c>
      <c r="B1988" s="3">
        <v>6.4</v>
      </c>
    </row>
    <row r="1989" spans="1:2" x14ac:dyDescent="0.25">
      <c r="A1989" s="2" t="s">
        <v>2898</v>
      </c>
      <c r="B1989" s="3">
        <v>6.5</v>
      </c>
    </row>
    <row r="1990" spans="1:2" x14ac:dyDescent="0.25">
      <c r="A1990" s="2" t="s">
        <v>6634</v>
      </c>
      <c r="B1990" s="3">
        <v>6.6</v>
      </c>
    </row>
    <row r="1991" spans="1:2" x14ac:dyDescent="0.25">
      <c r="A1991" s="2" t="s">
        <v>991</v>
      </c>
      <c r="B1991" s="3">
        <v>6.1333333333333329</v>
      </c>
    </row>
    <row r="1992" spans="1:2" x14ac:dyDescent="0.25">
      <c r="A1992" s="2" t="s">
        <v>1417</v>
      </c>
      <c r="B1992" s="3">
        <v>6.7</v>
      </c>
    </row>
    <row r="1993" spans="1:2" x14ac:dyDescent="0.25">
      <c r="A1993" s="2" t="s">
        <v>5466</v>
      </c>
      <c r="B1993" s="3">
        <v>6.9</v>
      </c>
    </row>
    <row r="1994" spans="1:2" x14ac:dyDescent="0.25">
      <c r="A1994" s="2" t="s">
        <v>2884</v>
      </c>
      <c r="B1994" s="3">
        <v>6.5</v>
      </c>
    </row>
    <row r="1995" spans="1:2" x14ac:dyDescent="0.25">
      <c r="A1995" s="2" t="s">
        <v>4023</v>
      </c>
      <c r="B1995" s="3">
        <v>7.5</v>
      </c>
    </row>
    <row r="1996" spans="1:2" x14ac:dyDescent="0.25">
      <c r="A1996" s="2" t="s">
        <v>1891</v>
      </c>
      <c r="B1996" s="3">
        <v>6</v>
      </c>
    </row>
    <row r="1997" spans="1:2" x14ac:dyDescent="0.25">
      <c r="A1997" s="2" t="s">
        <v>5115</v>
      </c>
      <c r="B1997" s="3">
        <v>6.65</v>
      </c>
    </row>
    <row r="1998" spans="1:2" x14ac:dyDescent="0.25">
      <c r="A1998" s="2" t="s">
        <v>1647</v>
      </c>
      <c r="B1998" s="3">
        <v>7.3</v>
      </c>
    </row>
    <row r="1999" spans="1:2" x14ac:dyDescent="0.25">
      <c r="A1999" s="2" t="s">
        <v>1996</v>
      </c>
      <c r="B1999" s="3">
        <v>8.4749999999999996</v>
      </c>
    </row>
    <row r="2000" spans="1:2" x14ac:dyDescent="0.25">
      <c r="A2000" s="2" t="s">
        <v>405</v>
      </c>
      <c r="B2000" s="3">
        <v>6.25</v>
      </c>
    </row>
    <row r="2001" spans="1:2" x14ac:dyDescent="0.25">
      <c r="A2001" s="2" t="s">
        <v>3819</v>
      </c>
      <c r="B2001" s="3">
        <v>6.4333333333333336</v>
      </c>
    </row>
    <row r="2002" spans="1:2" x14ac:dyDescent="0.25">
      <c r="A2002" s="2" t="s">
        <v>3412</v>
      </c>
      <c r="B2002" s="3">
        <v>7.1</v>
      </c>
    </row>
    <row r="2003" spans="1:2" x14ac:dyDescent="0.25">
      <c r="A2003" s="2" t="s">
        <v>5279</v>
      </c>
      <c r="B2003" s="3">
        <v>7.6</v>
      </c>
    </row>
    <row r="2004" spans="1:2" x14ac:dyDescent="0.25">
      <c r="A2004" s="2" t="s">
        <v>6047</v>
      </c>
      <c r="B2004" s="3">
        <v>7</v>
      </c>
    </row>
    <row r="2005" spans="1:2" x14ac:dyDescent="0.25">
      <c r="A2005" s="2" t="s">
        <v>6532</v>
      </c>
      <c r="B2005" s="3">
        <v>5.0999999999999996</v>
      </c>
    </row>
    <row r="2006" spans="1:2" x14ac:dyDescent="0.25">
      <c r="A2006" s="2" t="s">
        <v>1454</v>
      </c>
      <c r="B2006" s="3">
        <v>7.55</v>
      </c>
    </row>
    <row r="2007" spans="1:2" x14ac:dyDescent="0.25">
      <c r="A2007" s="2" t="s">
        <v>5076</v>
      </c>
      <c r="B2007" s="3">
        <v>6.7</v>
      </c>
    </row>
    <row r="2008" spans="1:2" x14ac:dyDescent="0.25">
      <c r="A2008" s="2" t="s">
        <v>2637</v>
      </c>
      <c r="B2008" s="3">
        <v>8.1</v>
      </c>
    </row>
    <row r="2009" spans="1:2" x14ac:dyDescent="0.25">
      <c r="A2009" s="2" t="s">
        <v>591</v>
      </c>
      <c r="B2009" s="3">
        <v>6.7</v>
      </c>
    </row>
    <row r="2010" spans="1:2" x14ac:dyDescent="0.25">
      <c r="A2010" s="2" t="s">
        <v>2579</v>
      </c>
      <c r="B2010" s="3">
        <v>4.0999999999999996</v>
      </c>
    </row>
    <row r="2011" spans="1:2" x14ac:dyDescent="0.25">
      <c r="A2011" s="2" t="s">
        <v>187</v>
      </c>
      <c r="B2011" s="3">
        <v>5.9333333333333327</v>
      </c>
    </row>
    <row r="2012" spans="1:2" x14ac:dyDescent="0.25">
      <c r="A2012" s="2" t="s">
        <v>1401</v>
      </c>
      <c r="B2012" s="3">
        <v>7.1</v>
      </c>
    </row>
    <row r="2013" spans="1:2" x14ac:dyDescent="0.25">
      <c r="A2013" s="2" t="s">
        <v>3507</v>
      </c>
      <c r="B2013" s="3">
        <v>6.9666666666666659</v>
      </c>
    </row>
    <row r="2014" spans="1:2" x14ac:dyDescent="0.25">
      <c r="A2014" s="2" t="s">
        <v>3497</v>
      </c>
      <c r="B2014" s="3">
        <v>6.1</v>
      </c>
    </row>
    <row r="2015" spans="1:2" x14ac:dyDescent="0.25">
      <c r="A2015" s="2" t="s">
        <v>6257</v>
      </c>
      <c r="B2015" s="3">
        <v>6.9</v>
      </c>
    </row>
    <row r="2016" spans="1:2" x14ac:dyDescent="0.25">
      <c r="A2016" s="2" t="s">
        <v>1491</v>
      </c>
      <c r="B2016" s="3">
        <v>7.5</v>
      </c>
    </row>
    <row r="2017" spans="1:2" x14ac:dyDescent="0.25">
      <c r="A2017" s="2" t="s">
        <v>1613</v>
      </c>
      <c r="B2017" s="3">
        <v>6.5</v>
      </c>
    </row>
    <row r="2018" spans="1:2" x14ac:dyDescent="0.25">
      <c r="A2018" s="2" t="s">
        <v>1813</v>
      </c>
      <c r="B2018" s="3">
        <v>5.3</v>
      </c>
    </row>
    <row r="2019" spans="1:2" x14ac:dyDescent="0.25">
      <c r="A2019" s="2" t="s">
        <v>5714</v>
      </c>
      <c r="B2019" s="3">
        <v>7.8</v>
      </c>
    </row>
    <row r="2020" spans="1:2" x14ac:dyDescent="0.25">
      <c r="A2020" s="2" t="s">
        <v>1445</v>
      </c>
      <c r="B2020" s="3">
        <v>4.8</v>
      </c>
    </row>
    <row r="2021" spans="1:2" x14ac:dyDescent="0.25">
      <c r="A2021" s="2" t="s">
        <v>5853</v>
      </c>
      <c r="B2021" s="3">
        <v>5.4</v>
      </c>
    </row>
    <row r="2022" spans="1:2" x14ac:dyDescent="0.25">
      <c r="A2022" s="2" t="s">
        <v>5773</v>
      </c>
      <c r="B2022" s="3">
        <v>7.4</v>
      </c>
    </row>
    <row r="2023" spans="1:2" x14ac:dyDescent="0.25">
      <c r="A2023" s="2" t="s">
        <v>4296</v>
      </c>
      <c r="B2023" s="3">
        <v>3.6</v>
      </c>
    </row>
    <row r="2024" spans="1:2" x14ac:dyDescent="0.25">
      <c r="A2024" s="2" t="s">
        <v>1011</v>
      </c>
      <c r="B2024" s="3">
        <v>7.1833333333333327</v>
      </c>
    </row>
    <row r="2025" spans="1:2" x14ac:dyDescent="0.25">
      <c r="A2025" s="2" t="s">
        <v>2337</v>
      </c>
      <c r="B2025" s="3">
        <v>5.5</v>
      </c>
    </row>
    <row r="2026" spans="1:2" x14ac:dyDescent="0.25">
      <c r="A2026" s="2" t="s">
        <v>3334</v>
      </c>
      <c r="B2026" s="3">
        <v>7.15</v>
      </c>
    </row>
    <row r="2027" spans="1:2" x14ac:dyDescent="0.25">
      <c r="A2027" s="2" t="s">
        <v>2269</v>
      </c>
      <c r="B2027" s="3">
        <v>7.4</v>
      </c>
    </row>
    <row r="2028" spans="1:2" x14ac:dyDescent="0.25">
      <c r="A2028" s="2" t="s">
        <v>919</v>
      </c>
      <c r="B2028" s="3">
        <v>5.9</v>
      </c>
    </row>
    <row r="2029" spans="1:2" x14ac:dyDescent="0.25">
      <c r="A2029" s="2" t="s">
        <v>158</v>
      </c>
      <c r="B2029" s="3">
        <v>5.9</v>
      </c>
    </row>
    <row r="2030" spans="1:2" x14ac:dyDescent="0.25">
      <c r="A2030" s="2" t="s">
        <v>3711</v>
      </c>
      <c r="B2030" s="3">
        <v>5.625</v>
      </c>
    </row>
    <row r="2031" spans="1:2" x14ac:dyDescent="0.25">
      <c r="A2031" s="2" t="s">
        <v>6636</v>
      </c>
      <c r="B2031" s="3">
        <v>3.9</v>
      </c>
    </row>
    <row r="2032" spans="1:2" x14ac:dyDescent="0.25">
      <c r="A2032" s="2" t="s">
        <v>5122</v>
      </c>
      <c r="B2032" s="3">
        <v>6.3</v>
      </c>
    </row>
    <row r="2033" spans="1:2" x14ac:dyDescent="0.25">
      <c r="A2033" s="2" t="s">
        <v>2862</v>
      </c>
      <c r="B2033" s="3">
        <v>6.9249999999999998</v>
      </c>
    </row>
    <row r="2034" spans="1:2" x14ac:dyDescent="0.25">
      <c r="A2034" s="2" t="s">
        <v>6649</v>
      </c>
      <c r="B2034" s="3">
        <v>6.5</v>
      </c>
    </row>
    <row r="2035" spans="1:2" x14ac:dyDescent="0.25">
      <c r="A2035" s="2" t="s">
        <v>6072</v>
      </c>
      <c r="B2035" s="3">
        <v>7.1</v>
      </c>
    </row>
    <row r="2036" spans="1:2" x14ac:dyDescent="0.25">
      <c r="A2036" s="2" t="s">
        <v>3717</v>
      </c>
      <c r="B2036" s="3">
        <v>7.833333333333333</v>
      </c>
    </row>
    <row r="2037" spans="1:2" x14ac:dyDescent="0.25">
      <c r="A2037" s="2" t="s">
        <v>302</v>
      </c>
      <c r="B2037" s="3">
        <v>6.5687499999999996</v>
      </c>
    </row>
    <row r="2038" spans="1:2" x14ac:dyDescent="0.25">
      <c r="A2038" s="2" t="s">
        <v>6447</v>
      </c>
      <c r="B2038" s="3">
        <v>7.9</v>
      </c>
    </row>
    <row r="2039" spans="1:2" x14ac:dyDescent="0.25">
      <c r="A2039" s="2" t="s">
        <v>5568</v>
      </c>
      <c r="B2039" s="3">
        <v>7.8000000000000007</v>
      </c>
    </row>
    <row r="2040" spans="1:2" x14ac:dyDescent="0.25">
      <c r="A2040" s="2" t="s">
        <v>2205</v>
      </c>
      <c r="B2040" s="3">
        <v>8.3000000000000007</v>
      </c>
    </row>
    <row r="2041" spans="1:2" x14ac:dyDescent="0.25">
      <c r="A2041" s="2" t="s">
        <v>2148</v>
      </c>
      <c r="B2041" s="3">
        <v>7.95</v>
      </c>
    </row>
    <row r="2042" spans="1:2" x14ac:dyDescent="0.25">
      <c r="A2042" s="2" t="s">
        <v>915</v>
      </c>
      <c r="B2042" s="3">
        <v>8.0000000000000018</v>
      </c>
    </row>
    <row r="2043" spans="1:2" x14ac:dyDescent="0.25">
      <c r="A2043" s="2" t="s">
        <v>3378</v>
      </c>
      <c r="B2043" s="3">
        <v>6.7</v>
      </c>
    </row>
    <row r="2044" spans="1:2" x14ac:dyDescent="0.25">
      <c r="A2044" s="2" t="s">
        <v>1397</v>
      </c>
      <c r="B2044" s="3">
        <v>3.4</v>
      </c>
    </row>
    <row r="2045" spans="1:2" x14ac:dyDescent="0.25">
      <c r="A2045" s="2" t="s">
        <v>2453</v>
      </c>
      <c r="B2045" s="3">
        <v>5.7</v>
      </c>
    </row>
    <row r="2046" spans="1:2" x14ac:dyDescent="0.25">
      <c r="A2046" s="2" t="s">
        <v>6458</v>
      </c>
      <c r="B2046" s="3">
        <v>5.6333333333333329</v>
      </c>
    </row>
    <row r="2047" spans="1:2" x14ac:dyDescent="0.25">
      <c r="A2047" s="2" t="s">
        <v>6135</v>
      </c>
      <c r="B2047" s="3">
        <v>6.6</v>
      </c>
    </row>
    <row r="2048" spans="1:2" x14ac:dyDescent="0.25">
      <c r="A2048" s="2" t="s">
        <v>4232</v>
      </c>
      <c r="B2048" s="3">
        <v>5.8000000000000007</v>
      </c>
    </row>
    <row r="2049" spans="1:2" x14ac:dyDescent="0.25">
      <c r="A2049" s="2" t="s">
        <v>5433</v>
      </c>
      <c r="B2049" s="3">
        <v>3.9</v>
      </c>
    </row>
    <row r="2050" spans="1:2" x14ac:dyDescent="0.25">
      <c r="A2050" s="2" t="s">
        <v>4141</v>
      </c>
      <c r="B2050" s="3">
        <v>8</v>
      </c>
    </row>
    <row r="2051" spans="1:2" x14ac:dyDescent="0.25">
      <c r="A2051" s="2" t="s">
        <v>4190</v>
      </c>
      <c r="B2051" s="3">
        <v>7.2</v>
      </c>
    </row>
    <row r="2052" spans="1:2" x14ac:dyDescent="0.25">
      <c r="A2052" s="2" t="s">
        <v>2965</v>
      </c>
      <c r="B2052" s="3">
        <v>7.4</v>
      </c>
    </row>
    <row r="2053" spans="1:2" x14ac:dyDescent="0.25">
      <c r="A2053" s="2" t="s">
        <v>932</v>
      </c>
      <c r="B2053" s="3">
        <v>7.07</v>
      </c>
    </row>
    <row r="2054" spans="1:2" x14ac:dyDescent="0.25">
      <c r="A2054" s="2" t="s">
        <v>1125</v>
      </c>
      <c r="B2054" s="3">
        <v>6.3</v>
      </c>
    </row>
    <row r="2055" spans="1:2" x14ac:dyDescent="0.25">
      <c r="A2055" s="2" t="s">
        <v>378</v>
      </c>
      <c r="B2055" s="3">
        <v>6.1249999999999991</v>
      </c>
    </row>
    <row r="2056" spans="1:2" x14ac:dyDescent="0.25">
      <c r="A2056" s="2" t="s">
        <v>329</v>
      </c>
      <c r="B2056" s="3">
        <v>7</v>
      </c>
    </row>
    <row r="2057" spans="1:2" x14ac:dyDescent="0.25">
      <c r="A2057" s="2" t="s">
        <v>648</v>
      </c>
      <c r="B2057" s="3">
        <v>6</v>
      </c>
    </row>
    <row r="2058" spans="1:2" x14ac:dyDescent="0.25">
      <c r="A2058" s="2" t="s">
        <v>3646</v>
      </c>
      <c r="B2058" s="3">
        <v>7.3</v>
      </c>
    </row>
    <row r="2059" spans="1:2" x14ac:dyDescent="0.25">
      <c r="A2059" s="2" t="s">
        <v>2808</v>
      </c>
      <c r="B2059" s="3">
        <v>4.9999999999999991</v>
      </c>
    </row>
    <row r="2060" spans="1:2" x14ac:dyDescent="0.25">
      <c r="A2060" s="2" t="s">
        <v>2538</v>
      </c>
      <c r="B2060" s="3">
        <v>7.3</v>
      </c>
    </row>
    <row r="2061" spans="1:2" x14ac:dyDescent="0.25">
      <c r="A2061" s="2" t="s">
        <v>2724</v>
      </c>
      <c r="B2061" s="3">
        <v>3.2</v>
      </c>
    </row>
    <row r="2062" spans="1:2" x14ac:dyDescent="0.25">
      <c r="A2062" s="2" t="s">
        <v>6507</v>
      </c>
      <c r="B2062" s="3">
        <v>6</v>
      </c>
    </row>
    <row r="2063" spans="1:2" x14ac:dyDescent="0.25">
      <c r="A2063" s="2" t="s">
        <v>632</v>
      </c>
      <c r="B2063" s="3">
        <v>6.4499999999999993</v>
      </c>
    </row>
    <row r="2064" spans="1:2" x14ac:dyDescent="0.25">
      <c r="A2064" s="2" t="s">
        <v>3800</v>
      </c>
      <c r="B2064" s="3">
        <v>6.1</v>
      </c>
    </row>
    <row r="2065" spans="1:2" x14ac:dyDescent="0.25">
      <c r="A2065" s="2" t="s">
        <v>5617</v>
      </c>
      <c r="B2065" s="3">
        <v>6.6</v>
      </c>
    </row>
    <row r="2066" spans="1:2" x14ac:dyDescent="0.25">
      <c r="A2066" s="2" t="s">
        <v>2630</v>
      </c>
      <c r="B2066" s="3">
        <v>5.0999999999999996</v>
      </c>
    </row>
    <row r="2067" spans="1:2" x14ac:dyDescent="0.25">
      <c r="A2067" s="2" t="s">
        <v>3045</v>
      </c>
      <c r="B2067" s="3">
        <v>6.4</v>
      </c>
    </row>
    <row r="2068" spans="1:2" x14ac:dyDescent="0.25">
      <c r="A2068" s="2" t="s">
        <v>4339</v>
      </c>
      <c r="B2068" s="3">
        <v>5.3</v>
      </c>
    </row>
    <row r="2069" spans="1:2" x14ac:dyDescent="0.25">
      <c r="A2069" s="2" t="s">
        <v>2957</v>
      </c>
      <c r="B2069" s="3">
        <v>5.5</v>
      </c>
    </row>
    <row r="2070" spans="1:2" x14ac:dyDescent="0.25">
      <c r="A2070" s="2" t="s">
        <v>3365</v>
      </c>
      <c r="B2070" s="3">
        <v>6.3</v>
      </c>
    </row>
    <row r="2071" spans="1:2" x14ac:dyDescent="0.25">
      <c r="A2071" s="2" t="s">
        <v>941</v>
      </c>
      <c r="B2071" s="3">
        <v>7.5</v>
      </c>
    </row>
    <row r="2072" spans="1:2" x14ac:dyDescent="0.25">
      <c r="A2072" s="2" t="s">
        <v>5267</v>
      </c>
      <c r="B2072" s="3">
        <v>3.95</v>
      </c>
    </row>
    <row r="2073" spans="1:2" x14ac:dyDescent="0.25">
      <c r="A2073" s="2" t="s">
        <v>5909</v>
      </c>
      <c r="B2073" s="3">
        <v>6.9</v>
      </c>
    </row>
    <row r="2074" spans="1:2" x14ac:dyDescent="0.25">
      <c r="A2074" s="2" t="s">
        <v>109</v>
      </c>
      <c r="B2074" s="3">
        <v>5.6000000000000005</v>
      </c>
    </row>
    <row r="2075" spans="1:2" x14ac:dyDescent="0.25">
      <c r="A2075" s="2" t="s">
        <v>4573</v>
      </c>
      <c r="B2075" s="3">
        <v>6.3</v>
      </c>
    </row>
    <row r="2076" spans="1:2" x14ac:dyDescent="0.25">
      <c r="A2076" s="2" t="s">
        <v>4647</v>
      </c>
      <c r="B2076" s="3">
        <v>2.8</v>
      </c>
    </row>
    <row r="2077" spans="1:2" x14ac:dyDescent="0.25">
      <c r="A2077" s="2" t="s">
        <v>4888</v>
      </c>
      <c r="B2077" s="3">
        <v>7.5500000000000007</v>
      </c>
    </row>
    <row r="2078" spans="1:2" x14ac:dyDescent="0.25">
      <c r="A2078" s="2" t="s">
        <v>921</v>
      </c>
      <c r="B2078" s="3">
        <v>7.6999999999999993</v>
      </c>
    </row>
    <row r="2079" spans="1:2" x14ac:dyDescent="0.25">
      <c r="A2079" s="2" t="s">
        <v>3192</v>
      </c>
      <c r="B2079" s="3">
        <v>5.76</v>
      </c>
    </row>
    <row r="2080" spans="1:2" x14ac:dyDescent="0.25">
      <c r="A2080" s="2" t="s">
        <v>53</v>
      </c>
      <c r="B2080" s="3">
        <v>6.1999999999999993</v>
      </c>
    </row>
    <row r="2081" spans="1:2" x14ac:dyDescent="0.25">
      <c r="A2081" s="2" t="s">
        <v>1151</v>
      </c>
      <c r="B2081" s="3">
        <v>5.8666666666666671</v>
      </c>
    </row>
    <row r="2082" spans="1:2" x14ac:dyDescent="0.25">
      <c r="A2082" s="2" t="s">
        <v>4830</v>
      </c>
      <c r="B2082" s="3">
        <v>5.25</v>
      </c>
    </row>
    <row r="2083" spans="1:2" x14ac:dyDescent="0.25">
      <c r="A2083" s="2" t="s">
        <v>5954</v>
      </c>
      <c r="B2083" s="3">
        <v>6</v>
      </c>
    </row>
    <row r="2084" spans="1:2" x14ac:dyDescent="0.25">
      <c r="A2084" s="2" t="s">
        <v>2758</v>
      </c>
      <c r="B2084" s="3">
        <v>5.4</v>
      </c>
    </row>
    <row r="2085" spans="1:2" x14ac:dyDescent="0.25">
      <c r="A2085" s="2" t="s">
        <v>879</v>
      </c>
      <c r="B2085" s="3">
        <v>5.6333333333333329</v>
      </c>
    </row>
    <row r="2086" spans="1:2" x14ac:dyDescent="0.25">
      <c r="A2086" s="2" t="s">
        <v>3321</v>
      </c>
      <c r="B2086" s="3">
        <v>3.8</v>
      </c>
    </row>
    <row r="2087" spans="1:2" x14ac:dyDescent="0.25">
      <c r="A2087" s="2" t="s">
        <v>2771</v>
      </c>
      <c r="B2087" s="3">
        <v>5.85</v>
      </c>
    </row>
    <row r="2088" spans="1:2" x14ac:dyDescent="0.25">
      <c r="A2088" s="2" t="s">
        <v>6412</v>
      </c>
      <c r="B2088" s="3">
        <v>6.3</v>
      </c>
    </row>
    <row r="2089" spans="1:2" x14ac:dyDescent="0.25">
      <c r="A2089" s="2" t="s">
        <v>3072</v>
      </c>
      <c r="B2089" s="3">
        <v>4.4000000000000004</v>
      </c>
    </row>
    <row r="2090" spans="1:2" x14ac:dyDescent="0.25">
      <c r="A2090" s="2" t="s">
        <v>5310</v>
      </c>
      <c r="B2090" s="3">
        <v>6.8</v>
      </c>
    </row>
    <row r="2091" spans="1:2" x14ac:dyDescent="0.25">
      <c r="A2091" s="2" t="s">
        <v>505</v>
      </c>
      <c r="B2091" s="3">
        <v>6.5200000000000005</v>
      </c>
    </row>
    <row r="2092" spans="1:2" x14ac:dyDescent="0.25">
      <c r="A2092" s="2" t="s">
        <v>196</v>
      </c>
      <c r="B2092" s="3">
        <v>7.4375</v>
      </c>
    </row>
    <row r="2093" spans="1:2" x14ac:dyDescent="0.25">
      <c r="A2093" s="2" t="s">
        <v>917</v>
      </c>
      <c r="B2093" s="3">
        <v>6.35</v>
      </c>
    </row>
    <row r="2094" spans="1:2" x14ac:dyDescent="0.25">
      <c r="A2094" s="2" t="s">
        <v>4588</v>
      </c>
      <c r="B2094" s="3">
        <v>5.0999999999999996</v>
      </c>
    </row>
    <row r="2095" spans="1:2" x14ac:dyDescent="0.25">
      <c r="A2095" s="2" t="s">
        <v>1873</v>
      </c>
      <c r="B2095" s="3">
        <v>4.55</v>
      </c>
    </row>
    <row r="2096" spans="1:2" x14ac:dyDescent="0.25">
      <c r="A2096" s="2" t="s">
        <v>486</v>
      </c>
      <c r="B2096" s="3">
        <v>6.1</v>
      </c>
    </row>
    <row r="2097" spans="1:2" x14ac:dyDescent="0.25">
      <c r="A2097" s="2" t="s">
        <v>1121</v>
      </c>
      <c r="B2097" s="3">
        <v>4.4000000000000004</v>
      </c>
    </row>
    <row r="2098" spans="1:2" x14ac:dyDescent="0.25">
      <c r="A2098" s="2" t="s">
        <v>651</v>
      </c>
      <c r="B2098" s="3">
        <v>6.4</v>
      </c>
    </row>
    <row r="2099" spans="1:2" x14ac:dyDescent="0.25">
      <c r="A2099" s="2" t="s">
        <v>4064</v>
      </c>
      <c r="B2099" s="3">
        <v>5.0999999999999996</v>
      </c>
    </row>
    <row r="2100" spans="1:2" x14ac:dyDescent="0.25">
      <c r="A2100" s="2" t="s">
        <v>2919</v>
      </c>
      <c r="B2100" s="3">
        <v>4.8</v>
      </c>
    </row>
    <row r="2101" spans="1:2" x14ac:dyDescent="0.25">
      <c r="A2101" s="2" t="s">
        <v>4991</v>
      </c>
      <c r="B2101" s="3">
        <v>6.1</v>
      </c>
    </row>
    <row r="2102" spans="1:2" x14ac:dyDescent="0.25">
      <c r="A2102" s="2" t="s">
        <v>1538</v>
      </c>
      <c r="B2102" s="3">
        <v>6.9</v>
      </c>
    </row>
    <row r="2103" spans="1:2" x14ac:dyDescent="0.25">
      <c r="A2103" s="2" t="s">
        <v>6653</v>
      </c>
      <c r="B2103" s="3">
        <v>4.7</v>
      </c>
    </row>
    <row r="2104" spans="1:2" x14ac:dyDescent="0.25">
      <c r="A2104" s="2" t="s">
        <v>5423</v>
      </c>
      <c r="B2104" s="3">
        <v>6.5</v>
      </c>
    </row>
    <row r="2105" spans="1:2" x14ac:dyDescent="0.25">
      <c r="A2105" s="2" t="s">
        <v>4043</v>
      </c>
      <c r="B2105" s="3">
        <v>6.4</v>
      </c>
    </row>
    <row r="2106" spans="1:2" x14ac:dyDescent="0.25">
      <c r="A2106" s="2" t="s">
        <v>3538</v>
      </c>
      <c r="B2106" s="3">
        <v>6.25</v>
      </c>
    </row>
    <row r="2107" spans="1:2" x14ac:dyDescent="0.25">
      <c r="A2107" s="2" t="s">
        <v>5490</v>
      </c>
      <c r="B2107" s="3">
        <v>7.2</v>
      </c>
    </row>
    <row r="2108" spans="1:2" x14ac:dyDescent="0.25">
      <c r="A2108" s="2" t="s">
        <v>2692</v>
      </c>
      <c r="B2108" s="3">
        <v>8.3000000000000007</v>
      </c>
    </row>
    <row r="2109" spans="1:2" x14ac:dyDescent="0.25">
      <c r="A2109" s="2" t="s">
        <v>312</v>
      </c>
      <c r="B2109" s="3">
        <v>6.2333333333333343</v>
      </c>
    </row>
    <row r="2110" spans="1:2" x14ac:dyDescent="0.25">
      <c r="A2110" s="2" t="s">
        <v>4962</v>
      </c>
      <c r="B2110" s="3">
        <v>7.8</v>
      </c>
    </row>
    <row r="2111" spans="1:2" x14ac:dyDescent="0.25">
      <c r="A2111" s="2" t="s">
        <v>795</v>
      </c>
      <c r="B2111" s="3">
        <v>5.8000000000000007</v>
      </c>
    </row>
    <row r="2112" spans="1:2" x14ac:dyDescent="0.25">
      <c r="A2112" s="2" t="s">
        <v>123</v>
      </c>
      <c r="B2112" s="3">
        <v>6.85</v>
      </c>
    </row>
    <row r="2113" spans="1:2" x14ac:dyDescent="0.25">
      <c r="A2113" s="2" t="s">
        <v>5857</v>
      </c>
      <c r="B2113" s="3">
        <v>3.8</v>
      </c>
    </row>
    <row r="2114" spans="1:2" x14ac:dyDescent="0.25">
      <c r="A2114" s="2" t="s">
        <v>1579</v>
      </c>
      <c r="B2114" s="3">
        <v>6.1</v>
      </c>
    </row>
    <row r="2115" spans="1:2" x14ac:dyDescent="0.25">
      <c r="A2115" s="2" t="s">
        <v>1837</v>
      </c>
      <c r="B2115" s="3">
        <v>4.8</v>
      </c>
    </row>
    <row r="2116" spans="1:2" x14ac:dyDescent="0.25">
      <c r="A2116" s="2" t="s">
        <v>20</v>
      </c>
      <c r="B2116" s="3">
        <v>5.45</v>
      </c>
    </row>
    <row r="2117" spans="1:2" x14ac:dyDescent="0.25">
      <c r="A2117" s="2" t="s">
        <v>1783</v>
      </c>
      <c r="B2117" s="3">
        <v>6.1</v>
      </c>
    </row>
    <row r="2118" spans="1:2" x14ac:dyDescent="0.25">
      <c r="A2118" s="2" t="s">
        <v>6031</v>
      </c>
      <c r="B2118" s="3">
        <v>7.2</v>
      </c>
    </row>
    <row r="2119" spans="1:2" x14ac:dyDescent="0.25">
      <c r="A2119" s="2" t="s">
        <v>5005</v>
      </c>
      <c r="B2119" s="3">
        <v>6.9</v>
      </c>
    </row>
    <row r="2120" spans="1:2" x14ac:dyDescent="0.25">
      <c r="A2120" s="2" t="s">
        <v>3154</v>
      </c>
      <c r="B2120" s="3">
        <v>5</v>
      </c>
    </row>
    <row r="2121" spans="1:2" x14ac:dyDescent="0.25">
      <c r="A2121" s="2" t="s">
        <v>2284</v>
      </c>
      <c r="B2121" s="3">
        <v>4.4000000000000004</v>
      </c>
    </row>
    <row r="2122" spans="1:2" x14ac:dyDescent="0.25">
      <c r="A2122" s="2" t="s">
        <v>2355</v>
      </c>
      <c r="B2122" s="3">
        <v>3.3</v>
      </c>
    </row>
    <row r="2123" spans="1:2" x14ac:dyDescent="0.25">
      <c r="A2123" s="2" t="s">
        <v>359</v>
      </c>
      <c r="B2123" s="3">
        <v>6.125</v>
      </c>
    </row>
    <row r="2124" spans="1:2" x14ac:dyDescent="0.25">
      <c r="A2124" s="2" t="s">
        <v>3473</v>
      </c>
      <c r="B2124" s="3">
        <v>6.9</v>
      </c>
    </row>
    <row r="2125" spans="1:2" x14ac:dyDescent="0.25">
      <c r="A2125" s="2" t="s">
        <v>2242</v>
      </c>
      <c r="B2125" s="3">
        <v>7.5</v>
      </c>
    </row>
    <row r="2126" spans="1:2" x14ac:dyDescent="0.25">
      <c r="A2126" s="2" t="s">
        <v>525</v>
      </c>
      <c r="B2126" s="3">
        <v>6.8833333333333329</v>
      </c>
    </row>
    <row r="2127" spans="1:2" x14ac:dyDescent="0.25">
      <c r="A2127" s="2" t="s">
        <v>1039</v>
      </c>
      <c r="B2127" s="3">
        <v>7.6</v>
      </c>
    </row>
    <row r="2128" spans="1:2" x14ac:dyDescent="0.25">
      <c r="A2128" s="2" t="s">
        <v>1754</v>
      </c>
      <c r="B2128" s="3">
        <v>7.7</v>
      </c>
    </row>
    <row r="2129" spans="1:2" x14ac:dyDescent="0.25">
      <c r="A2129" s="2" t="s">
        <v>2142</v>
      </c>
      <c r="B2129" s="3">
        <v>6.55</v>
      </c>
    </row>
    <row r="2130" spans="1:2" x14ac:dyDescent="0.25">
      <c r="A2130" s="2" t="s">
        <v>1661</v>
      </c>
      <c r="B2130" s="3">
        <v>6.7</v>
      </c>
    </row>
    <row r="2131" spans="1:2" x14ac:dyDescent="0.25">
      <c r="A2131" s="2" t="s">
        <v>5453</v>
      </c>
      <c r="B2131" s="3">
        <v>7.1</v>
      </c>
    </row>
    <row r="2132" spans="1:2" x14ac:dyDescent="0.25">
      <c r="A2132" s="2" t="s">
        <v>754</v>
      </c>
      <c r="B2132" s="3">
        <v>6.125</v>
      </c>
    </row>
    <row r="2133" spans="1:2" x14ac:dyDescent="0.25">
      <c r="A2133" s="2" t="s">
        <v>2154</v>
      </c>
      <c r="B2133" s="3">
        <v>7.25</v>
      </c>
    </row>
    <row r="2134" spans="1:2" x14ac:dyDescent="0.25">
      <c r="A2134" s="2" t="s">
        <v>2698</v>
      </c>
      <c r="B2134" s="3">
        <v>3.4</v>
      </c>
    </row>
    <row r="2135" spans="1:2" x14ac:dyDescent="0.25">
      <c r="A2135" s="2" t="s">
        <v>3817</v>
      </c>
      <c r="B2135" s="3">
        <v>8.1</v>
      </c>
    </row>
    <row r="2136" spans="1:2" x14ac:dyDescent="0.25">
      <c r="A2136" s="2" t="s">
        <v>2937</v>
      </c>
      <c r="B2136" s="3">
        <v>7.3285714285714283</v>
      </c>
    </row>
    <row r="2137" spans="1:2" x14ac:dyDescent="0.25">
      <c r="A2137" s="2" t="s">
        <v>826</v>
      </c>
      <c r="B2137" s="3">
        <v>7.25</v>
      </c>
    </row>
    <row r="2138" spans="1:2" x14ac:dyDescent="0.25">
      <c r="A2138" s="2" t="s">
        <v>6232</v>
      </c>
      <c r="B2138" s="3">
        <v>6.7</v>
      </c>
    </row>
    <row r="2139" spans="1:2" x14ac:dyDescent="0.25">
      <c r="A2139" s="2" t="s">
        <v>937</v>
      </c>
      <c r="B2139" s="3">
        <v>7.6</v>
      </c>
    </row>
    <row r="2140" spans="1:2" x14ac:dyDescent="0.25">
      <c r="A2140" s="2" t="s">
        <v>2874</v>
      </c>
      <c r="B2140" s="3">
        <v>7.3</v>
      </c>
    </row>
    <row r="2141" spans="1:2" x14ac:dyDescent="0.25">
      <c r="A2141" s="2" t="s">
        <v>4560</v>
      </c>
      <c r="B2141" s="3">
        <v>7.4</v>
      </c>
    </row>
    <row r="2142" spans="1:2" x14ac:dyDescent="0.25">
      <c r="A2142" s="2" t="s">
        <v>3832</v>
      </c>
      <c r="B2142" s="3">
        <v>6.05</v>
      </c>
    </row>
    <row r="2143" spans="1:2" x14ac:dyDescent="0.25">
      <c r="A2143" s="2" t="s">
        <v>262</v>
      </c>
      <c r="B2143" s="3">
        <v>6.666666666666667</v>
      </c>
    </row>
    <row r="2144" spans="1:2" x14ac:dyDescent="0.25">
      <c r="A2144" s="2" t="s">
        <v>2641</v>
      </c>
      <c r="B2144" s="3">
        <v>5.4</v>
      </c>
    </row>
    <row r="2145" spans="1:2" x14ac:dyDescent="0.25">
      <c r="A2145" s="2" t="s">
        <v>1512</v>
      </c>
      <c r="B2145" s="3">
        <v>7.2</v>
      </c>
    </row>
    <row r="2146" spans="1:2" x14ac:dyDescent="0.25">
      <c r="A2146" s="2" t="s">
        <v>5677</v>
      </c>
      <c r="B2146" s="3">
        <v>7.666666666666667</v>
      </c>
    </row>
    <row r="2147" spans="1:2" x14ac:dyDescent="0.25">
      <c r="A2147" s="2" t="s">
        <v>558</v>
      </c>
      <c r="B2147" s="3">
        <v>5.833333333333333</v>
      </c>
    </row>
    <row r="2148" spans="1:2" x14ac:dyDescent="0.25">
      <c r="A2148" s="2" t="s">
        <v>1439</v>
      </c>
      <c r="B2148" s="3">
        <v>5.7</v>
      </c>
    </row>
    <row r="2149" spans="1:2" x14ac:dyDescent="0.25">
      <c r="A2149" s="2" t="s">
        <v>6386</v>
      </c>
      <c r="B2149" s="3">
        <v>5.95</v>
      </c>
    </row>
    <row r="2150" spans="1:2" x14ac:dyDescent="0.25">
      <c r="A2150" s="2" t="s">
        <v>4273</v>
      </c>
      <c r="B2150" s="3">
        <v>6.2</v>
      </c>
    </row>
    <row r="2151" spans="1:2" x14ac:dyDescent="0.25">
      <c r="A2151" s="2" t="s">
        <v>6342</v>
      </c>
      <c r="B2151" s="3">
        <v>6.6</v>
      </c>
    </row>
    <row r="2152" spans="1:2" x14ac:dyDescent="0.25">
      <c r="A2152" s="2" t="s">
        <v>554</v>
      </c>
      <c r="B2152" s="3">
        <v>7.3749999999999991</v>
      </c>
    </row>
    <row r="2153" spans="1:2" x14ac:dyDescent="0.25">
      <c r="A2153" s="2" t="s">
        <v>5642</v>
      </c>
      <c r="B2153" s="3">
        <v>6.5</v>
      </c>
    </row>
    <row r="2154" spans="1:2" x14ac:dyDescent="0.25">
      <c r="A2154" s="2" t="s">
        <v>3786</v>
      </c>
      <c r="B2154" s="3">
        <v>6</v>
      </c>
    </row>
    <row r="2155" spans="1:2" x14ac:dyDescent="0.25">
      <c r="A2155" s="2" t="s">
        <v>6225</v>
      </c>
      <c r="B2155" s="3">
        <v>5.3</v>
      </c>
    </row>
    <row r="2156" spans="1:2" x14ac:dyDescent="0.25">
      <c r="A2156" s="2" t="s">
        <v>60</v>
      </c>
      <c r="B2156" s="3">
        <v>5.5</v>
      </c>
    </row>
    <row r="2157" spans="1:2" x14ac:dyDescent="0.25">
      <c r="A2157" s="2" t="s">
        <v>5228</v>
      </c>
      <c r="B2157" s="3">
        <v>7.1</v>
      </c>
    </row>
    <row r="2158" spans="1:2" x14ac:dyDescent="0.25">
      <c r="A2158" s="2" t="s">
        <v>2972</v>
      </c>
      <c r="B2158" s="3">
        <v>7.1999999999999993</v>
      </c>
    </row>
    <row r="2159" spans="1:2" x14ac:dyDescent="0.25">
      <c r="A2159" s="2" t="s">
        <v>3064</v>
      </c>
      <c r="B2159" s="3">
        <v>7.25</v>
      </c>
    </row>
    <row r="2160" spans="1:2" x14ac:dyDescent="0.25">
      <c r="A2160" s="2" t="s">
        <v>248</v>
      </c>
      <c r="B2160" s="3">
        <v>6.125</v>
      </c>
    </row>
    <row r="2161" spans="1:2" x14ac:dyDescent="0.25">
      <c r="A2161" s="2" t="s">
        <v>5025</v>
      </c>
      <c r="B2161" s="3">
        <v>5.8</v>
      </c>
    </row>
    <row r="2162" spans="1:2" x14ac:dyDescent="0.25">
      <c r="A2162" s="2" t="s">
        <v>6631</v>
      </c>
      <c r="B2162" s="3">
        <v>7.5</v>
      </c>
    </row>
    <row r="2163" spans="1:2" x14ac:dyDescent="0.25">
      <c r="A2163" s="2" t="s">
        <v>2353</v>
      </c>
      <c r="B2163" s="3">
        <v>3.1</v>
      </c>
    </row>
    <row r="2164" spans="1:2" x14ac:dyDescent="0.25">
      <c r="A2164" s="2" t="s">
        <v>1234</v>
      </c>
      <c r="B2164" s="3">
        <v>6.166666666666667</v>
      </c>
    </row>
    <row r="2165" spans="1:2" x14ac:dyDescent="0.25">
      <c r="A2165" s="2" t="s">
        <v>4792</v>
      </c>
      <c r="B2165" s="3">
        <v>5.3</v>
      </c>
    </row>
    <row r="2166" spans="1:2" x14ac:dyDescent="0.25">
      <c r="A2166" s="2" t="s">
        <v>484</v>
      </c>
      <c r="B2166" s="3">
        <v>6.7</v>
      </c>
    </row>
    <row r="2167" spans="1:2" x14ac:dyDescent="0.25">
      <c r="A2167" s="2" t="s">
        <v>334</v>
      </c>
      <c r="B2167" s="3">
        <v>5.7</v>
      </c>
    </row>
    <row r="2168" spans="1:2" x14ac:dyDescent="0.25">
      <c r="A2168" s="2" t="s">
        <v>3208</v>
      </c>
      <c r="B2168" s="3">
        <v>7.55</v>
      </c>
    </row>
    <row r="2169" spans="1:2" x14ac:dyDescent="0.25">
      <c r="A2169" s="2" t="s">
        <v>3458</v>
      </c>
      <c r="B2169" s="3">
        <v>6.0500000000000007</v>
      </c>
    </row>
    <row r="2170" spans="1:2" x14ac:dyDescent="0.25">
      <c r="A2170" s="2" t="s">
        <v>4282</v>
      </c>
      <c r="B2170" s="3">
        <v>7.1333333333333329</v>
      </c>
    </row>
    <row r="2171" spans="1:2" x14ac:dyDescent="0.25">
      <c r="A2171" s="2" t="s">
        <v>5192</v>
      </c>
      <c r="B2171" s="3">
        <v>4.0999999999999996</v>
      </c>
    </row>
    <row r="2172" spans="1:2" x14ac:dyDescent="0.25">
      <c r="A2172" s="2" t="s">
        <v>170</v>
      </c>
      <c r="B2172" s="3">
        <v>6.4599999999999991</v>
      </c>
    </row>
    <row r="2173" spans="1:2" x14ac:dyDescent="0.25">
      <c r="A2173" s="2" t="s">
        <v>5212</v>
      </c>
      <c r="B2173" s="3">
        <v>7.2666666666666666</v>
      </c>
    </row>
    <row r="2174" spans="1:2" x14ac:dyDescent="0.25">
      <c r="A2174" s="2" t="s">
        <v>3249</v>
      </c>
      <c r="B2174" s="3">
        <v>6.3</v>
      </c>
    </row>
    <row r="2175" spans="1:2" x14ac:dyDescent="0.25">
      <c r="A2175" s="2" t="s">
        <v>5553</v>
      </c>
      <c r="B2175" s="3">
        <v>3.3</v>
      </c>
    </row>
    <row r="2176" spans="1:2" x14ac:dyDescent="0.25">
      <c r="A2176" s="2" t="s">
        <v>298</v>
      </c>
      <c r="B2176" s="3">
        <v>5.4666666666666659</v>
      </c>
    </row>
    <row r="2177" spans="1:2" x14ac:dyDescent="0.25">
      <c r="A2177" s="2" t="s">
        <v>2536</v>
      </c>
      <c r="B2177" s="3">
        <v>5.8</v>
      </c>
    </row>
    <row r="2178" spans="1:2" x14ac:dyDescent="0.25">
      <c r="A2178" s="2" t="s">
        <v>1881</v>
      </c>
      <c r="B2178" s="3">
        <v>5.3</v>
      </c>
    </row>
    <row r="2179" spans="1:2" x14ac:dyDescent="0.25">
      <c r="A2179" s="2" t="s">
        <v>4790</v>
      </c>
      <c r="B2179" s="3">
        <v>7.6</v>
      </c>
    </row>
    <row r="2180" spans="1:2" x14ac:dyDescent="0.25">
      <c r="A2180" s="2" t="s">
        <v>3679</v>
      </c>
      <c r="B2180" s="3">
        <v>6.1</v>
      </c>
    </row>
    <row r="2181" spans="1:2" x14ac:dyDescent="0.25">
      <c r="A2181" s="2" t="s">
        <v>4408</v>
      </c>
      <c r="B2181" s="3">
        <v>4.5</v>
      </c>
    </row>
    <row r="2182" spans="1:2" x14ac:dyDescent="0.25">
      <c r="A2182" s="2" t="s">
        <v>3221</v>
      </c>
      <c r="B2182" s="3">
        <v>6.5</v>
      </c>
    </row>
    <row r="2183" spans="1:2" x14ac:dyDescent="0.25">
      <c r="A2183" s="2" t="s">
        <v>3336</v>
      </c>
      <c r="B2183" s="3">
        <v>6.1</v>
      </c>
    </row>
    <row r="2184" spans="1:2" x14ac:dyDescent="0.25">
      <c r="A2184" s="2" t="s">
        <v>6029</v>
      </c>
      <c r="B2184" s="3">
        <v>7.6</v>
      </c>
    </row>
    <row r="2185" spans="1:2" x14ac:dyDescent="0.25">
      <c r="A2185" s="2" t="s">
        <v>6041</v>
      </c>
      <c r="B2185" s="3">
        <v>5.9</v>
      </c>
    </row>
    <row r="2186" spans="1:2" x14ac:dyDescent="0.25">
      <c r="A2186" s="2" t="s">
        <v>2843</v>
      </c>
      <c r="B2186" s="3">
        <v>7.9</v>
      </c>
    </row>
    <row r="2187" spans="1:2" x14ac:dyDescent="0.25">
      <c r="A2187" s="2" t="s">
        <v>4033</v>
      </c>
      <c r="B2187" s="3">
        <v>5.9</v>
      </c>
    </row>
    <row r="2188" spans="1:2" x14ac:dyDescent="0.25">
      <c r="A2188" s="2" t="s">
        <v>6353</v>
      </c>
      <c r="B2188" s="3">
        <v>7.5</v>
      </c>
    </row>
    <row r="2189" spans="1:2" x14ac:dyDescent="0.25">
      <c r="A2189" s="2" t="s">
        <v>1597</v>
      </c>
      <c r="B2189" s="3">
        <v>5.7</v>
      </c>
    </row>
    <row r="2190" spans="1:2" x14ac:dyDescent="0.25">
      <c r="A2190" s="2" t="s">
        <v>6710</v>
      </c>
      <c r="B2190" s="3">
        <v>7.2</v>
      </c>
    </row>
    <row r="2191" spans="1:2" x14ac:dyDescent="0.25">
      <c r="A2191" s="2" t="s">
        <v>5371</v>
      </c>
      <c r="B2191" s="3">
        <v>5.3</v>
      </c>
    </row>
    <row r="2192" spans="1:2" x14ac:dyDescent="0.25">
      <c r="A2192" s="2" t="s">
        <v>2609</v>
      </c>
      <c r="B2192" s="3">
        <v>6.2</v>
      </c>
    </row>
    <row r="2193" spans="1:2" x14ac:dyDescent="0.25">
      <c r="A2193" s="2" t="s">
        <v>576</v>
      </c>
      <c r="B2193" s="3">
        <v>6.5</v>
      </c>
    </row>
    <row r="2194" spans="1:2" x14ac:dyDescent="0.25">
      <c r="A2194" s="2" t="s">
        <v>3727</v>
      </c>
      <c r="B2194" s="3">
        <v>7.15</v>
      </c>
    </row>
    <row r="2195" spans="1:2" x14ac:dyDescent="0.25">
      <c r="A2195" s="2" t="s">
        <v>419</v>
      </c>
      <c r="B2195" s="3">
        <v>6.3</v>
      </c>
    </row>
    <row r="2196" spans="1:2" x14ac:dyDescent="0.25">
      <c r="A2196" s="2" t="s">
        <v>1683</v>
      </c>
      <c r="B2196" s="3">
        <v>4.8</v>
      </c>
    </row>
    <row r="2197" spans="1:2" x14ac:dyDescent="0.25">
      <c r="A2197" s="2" t="s">
        <v>3798</v>
      </c>
      <c r="B2197" s="3">
        <v>7.1</v>
      </c>
    </row>
    <row r="2198" spans="1:2" x14ac:dyDescent="0.25">
      <c r="A2198" s="2" t="s">
        <v>5912</v>
      </c>
      <c r="B2198" s="3">
        <v>7.7</v>
      </c>
    </row>
    <row r="2199" spans="1:2" x14ac:dyDescent="0.25">
      <c r="A2199" s="2" t="s">
        <v>5174</v>
      </c>
      <c r="B2199" s="3">
        <v>7.05</v>
      </c>
    </row>
    <row r="2200" spans="1:2" x14ac:dyDescent="0.25">
      <c r="A2200" s="2" t="s">
        <v>4385</v>
      </c>
      <c r="B2200" s="3">
        <v>4.5999999999999996</v>
      </c>
    </row>
    <row r="2201" spans="1:2" x14ac:dyDescent="0.25">
      <c r="A2201" s="2" t="s">
        <v>3848</v>
      </c>
      <c r="B2201" s="3">
        <v>6.05</v>
      </c>
    </row>
    <row r="2202" spans="1:2" x14ac:dyDescent="0.25">
      <c r="A2202" s="2" t="s">
        <v>2470</v>
      </c>
      <c r="B2202" s="3">
        <v>7.1</v>
      </c>
    </row>
    <row r="2203" spans="1:2" x14ac:dyDescent="0.25">
      <c r="A2203" s="2" t="s">
        <v>958</v>
      </c>
      <c r="B2203" s="3">
        <v>6.25</v>
      </c>
    </row>
    <row r="2204" spans="1:2" x14ac:dyDescent="0.25">
      <c r="A2204" s="2" t="s">
        <v>4506</v>
      </c>
      <c r="B2204" s="3">
        <v>6.6</v>
      </c>
    </row>
    <row r="2205" spans="1:2" x14ac:dyDescent="0.25">
      <c r="A2205" s="2" t="s">
        <v>2203</v>
      </c>
      <c r="B2205" s="3">
        <v>5.3</v>
      </c>
    </row>
    <row r="2206" spans="1:2" x14ac:dyDescent="0.25">
      <c r="A2206" s="2" t="s">
        <v>1187</v>
      </c>
      <c r="B2206" s="3">
        <v>6.75</v>
      </c>
    </row>
    <row r="2207" spans="1:2" x14ac:dyDescent="0.25">
      <c r="A2207" s="2" t="s">
        <v>3613</v>
      </c>
      <c r="B2207" s="3">
        <v>6.35</v>
      </c>
    </row>
    <row r="2208" spans="1:2" x14ac:dyDescent="0.25">
      <c r="A2208" s="2" t="s">
        <v>2307</v>
      </c>
      <c r="B2208" s="3">
        <v>5.3</v>
      </c>
    </row>
    <row r="2209" spans="1:2" x14ac:dyDescent="0.25">
      <c r="A2209" s="2" t="s">
        <v>5141</v>
      </c>
      <c r="B2209" s="3">
        <v>6.2</v>
      </c>
    </row>
    <row r="2210" spans="1:2" x14ac:dyDescent="0.25">
      <c r="A2210" s="2" t="s">
        <v>2420</v>
      </c>
      <c r="B2210" s="3">
        <v>6.4</v>
      </c>
    </row>
    <row r="2211" spans="1:2" x14ac:dyDescent="0.25">
      <c r="A2211" s="2" t="s">
        <v>256</v>
      </c>
      <c r="B2211" s="3">
        <v>6.7833333333333341</v>
      </c>
    </row>
    <row r="2212" spans="1:2" x14ac:dyDescent="0.25">
      <c r="A2212" s="2" t="s">
        <v>1704</v>
      </c>
      <c r="B2212" s="3">
        <v>5.5</v>
      </c>
    </row>
    <row r="2213" spans="1:2" x14ac:dyDescent="0.25">
      <c r="A2213" s="2" t="s">
        <v>3858</v>
      </c>
      <c r="B2213" s="3">
        <v>4.2</v>
      </c>
    </row>
    <row r="2214" spans="1:2" x14ac:dyDescent="0.25">
      <c r="A2214" s="2" t="s">
        <v>2716</v>
      </c>
      <c r="B2214" s="3">
        <v>3.25</v>
      </c>
    </row>
    <row r="2215" spans="1:2" x14ac:dyDescent="0.25">
      <c r="A2215" s="2" t="s">
        <v>2519</v>
      </c>
      <c r="B2215" s="3">
        <v>3.9</v>
      </c>
    </row>
    <row r="2216" spans="1:2" x14ac:dyDescent="0.25">
      <c r="A2216" s="2" t="s">
        <v>1479</v>
      </c>
      <c r="B2216" s="3">
        <v>3.7</v>
      </c>
    </row>
    <row r="2217" spans="1:2" x14ac:dyDescent="0.25">
      <c r="A2217" s="2" t="s">
        <v>4298</v>
      </c>
      <c r="B2217" s="3">
        <v>3.1</v>
      </c>
    </row>
    <row r="2218" spans="1:2" x14ac:dyDescent="0.25">
      <c r="A2218" s="2" t="s">
        <v>1069</v>
      </c>
      <c r="B2218" s="3">
        <v>7.0666666666666664</v>
      </c>
    </row>
    <row r="2219" spans="1:2" x14ac:dyDescent="0.25">
      <c r="A2219" s="2" t="s">
        <v>1942</v>
      </c>
      <c r="B2219" s="3">
        <v>7.1</v>
      </c>
    </row>
    <row r="2220" spans="1:2" x14ac:dyDescent="0.25">
      <c r="A2220" s="2" t="s">
        <v>3676</v>
      </c>
      <c r="B2220" s="3">
        <v>3.4</v>
      </c>
    </row>
    <row r="2221" spans="1:2" x14ac:dyDescent="0.25">
      <c r="A2221" s="2" t="s">
        <v>3804</v>
      </c>
      <c r="B2221" s="3">
        <v>5.6</v>
      </c>
    </row>
    <row r="2222" spans="1:2" x14ac:dyDescent="0.25">
      <c r="A2222" s="2" t="s">
        <v>4457</v>
      </c>
      <c r="B2222" s="3">
        <v>5.9</v>
      </c>
    </row>
    <row r="2223" spans="1:2" x14ac:dyDescent="0.25">
      <c r="A2223" s="2" t="s">
        <v>1741</v>
      </c>
      <c r="B2223" s="3">
        <v>7.1</v>
      </c>
    </row>
    <row r="2224" spans="1:2" x14ac:dyDescent="0.25">
      <c r="A2224" s="2" t="s">
        <v>2373</v>
      </c>
      <c r="B2224" s="3">
        <v>5.2</v>
      </c>
    </row>
    <row r="2225" spans="1:2" x14ac:dyDescent="0.25">
      <c r="A2225" s="2" t="s">
        <v>276</v>
      </c>
      <c r="B2225" s="3">
        <v>4.8999999999999995</v>
      </c>
    </row>
    <row r="2226" spans="1:2" x14ac:dyDescent="0.25">
      <c r="A2226" s="2" t="s">
        <v>6728</v>
      </c>
      <c r="B2226" s="3">
        <v>7.2</v>
      </c>
    </row>
    <row r="2227" spans="1:2" x14ac:dyDescent="0.25">
      <c r="A2227" s="2" t="s">
        <v>6122</v>
      </c>
      <c r="B2227" s="3">
        <v>6.8</v>
      </c>
    </row>
    <row r="2228" spans="1:2" x14ac:dyDescent="0.25">
      <c r="A2228" s="2" t="s">
        <v>4472</v>
      </c>
      <c r="B2228" s="3">
        <v>6.5500000000000007</v>
      </c>
    </row>
    <row r="2229" spans="1:2" x14ac:dyDescent="0.25">
      <c r="A2229" s="2" t="s">
        <v>4482</v>
      </c>
      <c r="B2229" s="3">
        <v>6.3</v>
      </c>
    </row>
    <row r="2230" spans="1:2" x14ac:dyDescent="0.25">
      <c r="A2230" s="2" t="s">
        <v>1575</v>
      </c>
      <c r="B2230" s="3">
        <v>3.7199999999999998</v>
      </c>
    </row>
    <row r="2231" spans="1:2" x14ac:dyDescent="0.25">
      <c r="A2231" s="2" t="s">
        <v>4516</v>
      </c>
      <c r="B2231" s="3">
        <v>7</v>
      </c>
    </row>
    <row r="2232" spans="1:2" x14ac:dyDescent="0.25">
      <c r="A2232" s="2" t="s">
        <v>2661</v>
      </c>
      <c r="B2232" s="3">
        <v>5.0999999999999996</v>
      </c>
    </row>
    <row r="2233" spans="1:2" x14ac:dyDescent="0.25">
      <c r="A2233" s="2" t="s">
        <v>1866</v>
      </c>
      <c r="B2233" s="3">
        <v>5.0999999999999996</v>
      </c>
    </row>
    <row r="2234" spans="1:2" x14ac:dyDescent="0.25">
      <c r="A2234" s="2" t="s">
        <v>5864</v>
      </c>
      <c r="B2234" s="3">
        <v>6.3</v>
      </c>
    </row>
    <row r="2235" spans="1:2" x14ac:dyDescent="0.25">
      <c r="A2235" s="2" t="s">
        <v>4427</v>
      </c>
      <c r="B2235" s="3">
        <v>3.1</v>
      </c>
    </row>
    <row r="2236" spans="1:2" x14ac:dyDescent="0.25">
      <c r="A2236" s="2" t="s">
        <v>1844</v>
      </c>
      <c r="B2236" s="3">
        <v>7.1</v>
      </c>
    </row>
    <row r="2237" spans="1:2" x14ac:dyDescent="0.25">
      <c r="A2237" s="2" t="s">
        <v>6573</v>
      </c>
      <c r="B2237" s="3">
        <v>6.2</v>
      </c>
    </row>
    <row r="2238" spans="1:2" x14ac:dyDescent="0.25">
      <c r="A2238" s="2" t="s">
        <v>5037</v>
      </c>
      <c r="B2238" s="3">
        <v>5.3</v>
      </c>
    </row>
    <row r="2239" spans="1:2" x14ac:dyDescent="0.25">
      <c r="A2239" s="2" t="s">
        <v>2012</v>
      </c>
      <c r="B2239" s="3">
        <v>4.4000000000000004</v>
      </c>
    </row>
    <row r="2240" spans="1:2" x14ac:dyDescent="0.25">
      <c r="A2240" s="2" t="s">
        <v>2201</v>
      </c>
      <c r="B2240" s="3">
        <v>7.55</v>
      </c>
    </row>
    <row r="2241" spans="1:2" x14ac:dyDescent="0.25">
      <c r="A2241" s="2" t="s">
        <v>4797</v>
      </c>
      <c r="B2241" s="3">
        <v>7.15</v>
      </c>
    </row>
    <row r="2242" spans="1:2" x14ac:dyDescent="0.25">
      <c r="A2242" s="2" t="s">
        <v>3142</v>
      </c>
      <c r="B2242" s="3">
        <v>6.333333333333333</v>
      </c>
    </row>
    <row r="2243" spans="1:2" x14ac:dyDescent="0.25">
      <c r="A2243" s="2" t="s">
        <v>1745</v>
      </c>
      <c r="B2243" s="3">
        <v>5.7</v>
      </c>
    </row>
    <row r="2244" spans="1:2" x14ac:dyDescent="0.25">
      <c r="A2244" s="2" t="s">
        <v>5546</v>
      </c>
      <c r="B2244" s="3">
        <v>6.25</v>
      </c>
    </row>
    <row r="2245" spans="1:2" x14ac:dyDescent="0.25">
      <c r="A2245" s="2" t="s">
        <v>5246</v>
      </c>
      <c r="B2245" s="3">
        <v>8</v>
      </c>
    </row>
    <row r="2246" spans="1:2" x14ac:dyDescent="0.25">
      <c r="A2246" s="2" t="s">
        <v>968</v>
      </c>
      <c r="B2246" s="3">
        <v>7</v>
      </c>
    </row>
    <row r="2247" spans="1:2" x14ac:dyDescent="0.25">
      <c r="A2247" s="2" t="s">
        <v>5472</v>
      </c>
      <c r="B2247" s="3">
        <v>7.1</v>
      </c>
    </row>
    <row r="2248" spans="1:2" x14ac:dyDescent="0.25">
      <c r="A2248" s="2" t="s">
        <v>1415</v>
      </c>
      <c r="B2248" s="3">
        <v>6.55</v>
      </c>
    </row>
    <row r="2249" spans="1:2" x14ac:dyDescent="0.25">
      <c r="A2249" s="2" t="s">
        <v>5747</v>
      </c>
      <c r="B2249" s="3">
        <v>7.3</v>
      </c>
    </row>
    <row r="2250" spans="1:2" x14ac:dyDescent="0.25">
      <c r="A2250" s="2" t="s">
        <v>6498</v>
      </c>
      <c r="B2250" s="3">
        <v>4.8</v>
      </c>
    </row>
    <row r="2251" spans="1:2" x14ac:dyDescent="0.25">
      <c r="A2251" s="2" t="s">
        <v>1948</v>
      </c>
      <c r="B2251" s="3">
        <v>5.3</v>
      </c>
    </row>
    <row r="2252" spans="1:2" x14ac:dyDescent="0.25">
      <c r="A2252" s="2" t="s">
        <v>5274</v>
      </c>
      <c r="B2252" s="3">
        <v>2.1</v>
      </c>
    </row>
    <row r="2253" spans="1:2" x14ac:dyDescent="0.25">
      <c r="A2253" s="2" t="s">
        <v>2309</v>
      </c>
      <c r="B2253" s="3">
        <v>3.4</v>
      </c>
    </row>
    <row r="2254" spans="1:2" x14ac:dyDescent="0.25">
      <c r="A2254" s="2" t="s">
        <v>2686</v>
      </c>
      <c r="B2254" s="3">
        <v>6.8</v>
      </c>
    </row>
    <row r="2255" spans="1:2" x14ac:dyDescent="0.25">
      <c r="A2255" s="2" t="s">
        <v>2435</v>
      </c>
      <c r="B2255" s="3">
        <v>7</v>
      </c>
    </row>
    <row r="2256" spans="1:2" x14ac:dyDescent="0.25">
      <c r="A2256" s="2" t="s">
        <v>4722</v>
      </c>
      <c r="B2256" s="3">
        <v>5.4</v>
      </c>
    </row>
    <row r="2257" spans="1:2" x14ac:dyDescent="0.25">
      <c r="A2257" s="2" t="s">
        <v>323</v>
      </c>
      <c r="B2257" s="3">
        <v>5.6000000000000005</v>
      </c>
    </row>
    <row r="2258" spans="1:2" x14ac:dyDescent="0.25">
      <c r="A2258" s="2" t="s">
        <v>1823</v>
      </c>
      <c r="B2258" s="3">
        <v>5.9249999999999998</v>
      </c>
    </row>
    <row r="2259" spans="1:2" x14ac:dyDescent="0.25">
      <c r="A2259" s="2" t="s">
        <v>1405</v>
      </c>
      <c r="B2259" s="3">
        <v>6.8</v>
      </c>
    </row>
    <row r="2260" spans="1:2" x14ac:dyDescent="0.25">
      <c r="A2260" s="2" t="s">
        <v>1634</v>
      </c>
      <c r="B2260" s="3">
        <v>6.7</v>
      </c>
    </row>
    <row r="2261" spans="1:2" x14ac:dyDescent="0.25">
      <c r="A2261" s="2" t="s">
        <v>3723</v>
      </c>
      <c r="B2261" s="3">
        <v>6.5666666666666664</v>
      </c>
    </row>
    <row r="2262" spans="1:2" x14ac:dyDescent="0.25">
      <c r="A2262" s="2" t="s">
        <v>2625</v>
      </c>
      <c r="B2262" s="3">
        <v>6.5</v>
      </c>
    </row>
    <row r="2263" spans="1:2" x14ac:dyDescent="0.25">
      <c r="A2263" s="2" t="s">
        <v>1591</v>
      </c>
      <c r="B2263" s="3">
        <v>7.15</v>
      </c>
    </row>
    <row r="2264" spans="1:2" x14ac:dyDescent="0.25">
      <c r="A2264" s="2" t="s">
        <v>6332</v>
      </c>
      <c r="B2264" s="3">
        <v>4.7</v>
      </c>
    </row>
    <row r="2265" spans="1:2" x14ac:dyDescent="0.25">
      <c r="A2265" s="2" t="s">
        <v>2648</v>
      </c>
      <c r="B2265" s="3">
        <v>4</v>
      </c>
    </row>
    <row r="2266" spans="1:2" x14ac:dyDescent="0.25">
      <c r="A2266" s="2" t="s">
        <v>5763</v>
      </c>
      <c r="B2266" s="3">
        <v>5.9</v>
      </c>
    </row>
    <row r="2267" spans="1:2" x14ac:dyDescent="0.25">
      <c r="A2267" s="2" t="s">
        <v>4846</v>
      </c>
      <c r="B2267" s="3">
        <v>7.2</v>
      </c>
    </row>
    <row r="2268" spans="1:2" x14ac:dyDescent="0.25">
      <c r="A2268" s="2" t="s">
        <v>1680</v>
      </c>
      <c r="B2268" s="3">
        <v>5.8</v>
      </c>
    </row>
    <row r="2269" spans="1:2" x14ac:dyDescent="0.25">
      <c r="A2269" s="2" t="s">
        <v>223</v>
      </c>
      <c r="B2269" s="3">
        <v>6.0200000000000005</v>
      </c>
    </row>
    <row r="2270" spans="1:2" x14ac:dyDescent="0.25">
      <c r="A2270" s="2" t="s">
        <v>5136</v>
      </c>
      <c r="B2270" s="3">
        <v>7</v>
      </c>
    </row>
    <row r="2271" spans="1:2" x14ac:dyDescent="0.25">
      <c r="A2271" s="2" t="s">
        <v>852</v>
      </c>
      <c r="B2271" s="3">
        <v>7.628571428571429</v>
      </c>
    </row>
    <row r="2272" spans="1:2" x14ac:dyDescent="0.25">
      <c r="A2272" s="2" t="s">
        <v>131</v>
      </c>
      <c r="B2272" s="3">
        <v>6.6</v>
      </c>
    </row>
    <row r="2273" spans="1:2" x14ac:dyDescent="0.25">
      <c r="A2273" s="2" t="s">
        <v>121</v>
      </c>
      <c r="B2273" s="3">
        <v>6.1090909090909093</v>
      </c>
    </row>
    <row r="2274" spans="1:2" x14ac:dyDescent="0.25">
      <c r="A2274" s="2" t="s">
        <v>5476</v>
      </c>
      <c r="B2274" s="3">
        <v>6.6</v>
      </c>
    </row>
    <row r="2275" spans="1:2" x14ac:dyDescent="0.25">
      <c r="A2275" s="2" t="s">
        <v>4858</v>
      </c>
      <c r="B2275" s="3">
        <v>5.6</v>
      </c>
    </row>
    <row r="2276" spans="1:2" x14ac:dyDescent="0.25">
      <c r="A2276" s="2" t="s">
        <v>2158</v>
      </c>
      <c r="B2276" s="3">
        <v>5.3</v>
      </c>
    </row>
    <row r="2277" spans="1:2" x14ac:dyDescent="0.25">
      <c r="A2277" s="2" t="s">
        <v>4834</v>
      </c>
      <c r="B2277" s="3">
        <v>5.6</v>
      </c>
    </row>
    <row r="2278" spans="1:2" x14ac:dyDescent="0.25">
      <c r="A2278" s="2" t="s">
        <v>321</v>
      </c>
      <c r="B2278" s="3">
        <v>6.3</v>
      </c>
    </row>
    <row r="2279" spans="1:2" x14ac:dyDescent="0.25">
      <c r="A2279" s="2" t="s">
        <v>4242</v>
      </c>
      <c r="B2279" s="3">
        <v>4.5999999999999996</v>
      </c>
    </row>
    <row r="2280" spans="1:2" x14ac:dyDescent="0.25">
      <c r="A2280" s="2" t="s">
        <v>4872</v>
      </c>
      <c r="B2280" s="3">
        <v>5</v>
      </c>
    </row>
    <row r="2281" spans="1:2" x14ac:dyDescent="0.25">
      <c r="A2281" s="2" t="s">
        <v>5502</v>
      </c>
      <c r="B2281" s="3">
        <v>5.0999999999999996</v>
      </c>
    </row>
    <row r="2282" spans="1:2" x14ac:dyDescent="0.25">
      <c r="A2282" s="2" t="s">
        <v>4661</v>
      </c>
      <c r="B2282" s="3">
        <v>5.4</v>
      </c>
    </row>
    <row r="2283" spans="1:2" x14ac:dyDescent="0.25">
      <c r="A2283" s="2" t="s">
        <v>6000</v>
      </c>
      <c r="B2283" s="3">
        <v>6.5</v>
      </c>
    </row>
    <row r="2284" spans="1:2" x14ac:dyDescent="0.25">
      <c r="A2284" s="2" t="s">
        <v>1031</v>
      </c>
      <c r="B2284" s="3">
        <v>5.0999999999999996</v>
      </c>
    </row>
    <row r="2285" spans="1:2" x14ac:dyDescent="0.25">
      <c r="A2285" s="2" t="s">
        <v>5788</v>
      </c>
      <c r="B2285" s="3">
        <v>5.6</v>
      </c>
    </row>
    <row r="2286" spans="1:2" x14ac:dyDescent="0.25">
      <c r="A2286" s="2" t="s">
        <v>2089</v>
      </c>
      <c r="B2286" s="3">
        <v>6.1</v>
      </c>
    </row>
    <row r="2287" spans="1:2" x14ac:dyDescent="0.25">
      <c r="A2287" s="2" t="s">
        <v>1770</v>
      </c>
      <c r="B2287" s="3">
        <v>6.660000000000001</v>
      </c>
    </row>
    <row r="2288" spans="1:2" x14ac:dyDescent="0.25">
      <c r="A2288" s="2" t="s">
        <v>2509</v>
      </c>
      <c r="B2288" s="3">
        <v>7.1</v>
      </c>
    </row>
    <row r="2289" spans="1:2" x14ac:dyDescent="0.25">
      <c r="A2289" s="2" t="s">
        <v>6526</v>
      </c>
      <c r="B2289" s="3">
        <v>7.5</v>
      </c>
    </row>
    <row r="2290" spans="1:2" x14ac:dyDescent="0.25">
      <c r="A2290" s="2" t="s">
        <v>1968</v>
      </c>
      <c r="B2290" s="3">
        <v>5.3000000000000007</v>
      </c>
    </row>
    <row r="2291" spans="1:2" x14ac:dyDescent="0.25">
      <c r="A2291" s="2" t="s">
        <v>2992</v>
      </c>
      <c r="B2291" s="3">
        <v>4.4499999999999993</v>
      </c>
    </row>
    <row r="2292" spans="1:2" x14ac:dyDescent="0.25">
      <c r="A2292" s="2" t="s">
        <v>1850</v>
      </c>
      <c r="B2292" s="3">
        <v>6.5</v>
      </c>
    </row>
    <row r="2293" spans="1:2" x14ac:dyDescent="0.25">
      <c r="A2293" s="2" t="s">
        <v>1385</v>
      </c>
      <c r="B2293" s="3">
        <v>3.4</v>
      </c>
    </row>
    <row r="2294" spans="1:2" x14ac:dyDescent="0.25">
      <c r="A2294" s="2" t="s">
        <v>971</v>
      </c>
      <c r="B2294" s="3">
        <v>5.4</v>
      </c>
    </row>
    <row r="2295" spans="1:2" x14ac:dyDescent="0.25">
      <c r="A2295" s="2" t="s">
        <v>3813</v>
      </c>
      <c r="B2295" s="3">
        <v>8.1</v>
      </c>
    </row>
    <row r="2296" spans="1:2" x14ac:dyDescent="0.25">
      <c r="A2296" s="2" t="s">
        <v>5597</v>
      </c>
      <c r="B2296" s="3">
        <v>7.2</v>
      </c>
    </row>
    <row r="2297" spans="1:2" x14ac:dyDescent="0.25">
      <c r="A2297" s="2" t="s">
        <v>5307</v>
      </c>
      <c r="B2297" s="3">
        <v>7.7</v>
      </c>
    </row>
    <row r="2298" spans="1:2" x14ac:dyDescent="0.25">
      <c r="A2298" s="2" t="s">
        <v>663</v>
      </c>
      <c r="B2298" s="3">
        <v>7.4666666666666659</v>
      </c>
    </row>
    <row r="2299" spans="1:2" x14ac:dyDescent="0.25">
      <c r="A2299" s="2" t="s">
        <v>908</v>
      </c>
      <c r="B2299" s="3">
        <v>7.0090909090909097</v>
      </c>
    </row>
    <row r="2300" spans="1:2" x14ac:dyDescent="0.25">
      <c r="A2300" s="2" t="s">
        <v>1902</v>
      </c>
      <c r="B2300" s="3">
        <v>7.2</v>
      </c>
    </row>
    <row r="2301" spans="1:2" x14ac:dyDescent="0.25">
      <c r="A2301" s="2" t="s">
        <v>4401</v>
      </c>
      <c r="B2301" s="3">
        <v>3.6</v>
      </c>
    </row>
    <row r="2302" spans="1:2" x14ac:dyDescent="0.25">
      <c r="A2302" s="2" t="s">
        <v>5330</v>
      </c>
      <c r="B2302" s="3">
        <v>7.2</v>
      </c>
    </row>
    <row r="2303" spans="1:2" x14ac:dyDescent="0.25">
      <c r="A2303" s="2" t="s">
        <v>3033</v>
      </c>
      <c r="B2303" s="3">
        <v>6.05</v>
      </c>
    </row>
    <row r="2304" spans="1:2" x14ac:dyDescent="0.25">
      <c r="A2304" s="2" t="s">
        <v>5451</v>
      </c>
      <c r="B2304" s="3">
        <v>7.4</v>
      </c>
    </row>
    <row r="2305" spans="1:2" x14ac:dyDescent="0.25">
      <c r="A2305" s="2" t="s">
        <v>5011</v>
      </c>
      <c r="B2305" s="3">
        <v>6.9749999999999996</v>
      </c>
    </row>
    <row r="2306" spans="1:2" x14ac:dyDescent="0.25">
      <c r="A2306" s="2" t="s">
        <v>6359</v>
      </c>
      <c r="B2306" s="3">
        <v>7.3</v>
      </c>
    </row>
    <row r="2307" spans="1:2" x14ac:dyDescent="0.25">
      <c r="A2307" s="2" t="s">
        <v>2493</v>
      </c>
      <c r="B2307" s="3">
        <v>5.45</v>
      </c>
    </row>
    <row r="2308" spans="1:2" x14ac:dyDescent="0.25">
      <c r="A2308" s="2" t="s">
        <v>1217</v>
      </c>
      <c r="B2308" s="3">
        <v>6.4</v>
      </c>
    </row>
    <row r="2309" spans="1:2" x14ac:dyDescent="0.25">
      <c r="A2309" s="2" t="s">
        <v>3642</v>
      </c>
      <c r="B2309" s="3">
        <v>7.15</v>
      </c>
    </row>
    <row r="2310" spans="1:2" x14ac:dyDescent="0.25">
      <c r="A2310" s="2" t="s">
        <v>5237</v>
      </c>
      <c r="B2310" s="3">
        <v>5.0999999999999996</v>
      </c>
    </row>
    <row r="2311" spans="1:2" x14ac:dyDescent="0.25">
      <c r="A2311" s="2" t="s">
        <v>858</v>
      </c>
      <c r="B2311" s="3">
        <v>6.9749999999999996</v>
      </c>
    </row>
    <row r="2312" spans="1:2" x14ac:dyDescent="0.25">
      <c r="A2312" s="2" t="s">
        <v>1306</v>
      </c>
      <c r="B2312" s="3">
        <v>4</v>
      </c>
    </row>
    <row r="2313" spans="1:2" x14ac:dyDescent="0.25">
      <c r="A2313" s="2" t="s">
        <v>2220</v>
      </c>
      <c r="B2313" s="3">
        <v>5</v>
      </c>
    </row>
    <row r="2314" spans="1:2" x14ac:dyDescent="0.25">
      <c r="A2314" s="2" t="s">
        <v>6528</v>
      </c>
      <c r="B2314" s="3">
        <v>6.6</v>
      </c>
    </row>
    <row r="2315" spans="1:2" x14ac:dyDescent="0.25">
      <c r="A2315" s="2" t="s">
        <v>5571</v>
      </c>
      <c r="B2315" s="3">
        <v>6.8000000000000007</v>
      </c>
    </row>
    <row r="2316" spans="1:2" x14ac:dyDescent="0.25">
      <c r="A2316" s="2" t="s">
        <v>2618</v>
      </c>
      <c r="B2316" s="3">
        <v>7.1</v>
      </c>
    </row>
    <row r="2317" spans="1:2" x14ac:dyDescent="0.25">
      <c r="B2317"/>
    </row>
    <row r="2318" spans="1:2" x14ac:dyDescent="0.25">
      <c r="B2318"/>
    </row>
    <row r="2319" spans="1:2" x14ac:dyDescent="0.25">
      <c r="B2319"/>
    </row>
    <row r="2320" spans="1:2" x14ac:dyDescent="0.25">
      <c r="B23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5D9B-A5EE-4BEE-86AE-AEF2EBE853CB}">
  <dimension ref="A1:I4289"/>
  <sheetViews>
    <sheetView workbookViewId="0"/>
  </sheetViews>
  <sheetFormatPr defaultRowHeight="18" customHeight="1" x14ac:dyDescent="0.25"/>
  <cols>
    <col min="1" max="1" width="79.7109375" bestFit="1" customWidth="1"/>
    <col min="2" max="3" width="15.7109375" style="7" bestFit="1" customWidth="1"/>
    <col min="4" max="4" width="12" bestFit="1" customWidth="1"/>
    <col min="6" max="6" width="27.85546875" bestFit="1" customWidth="1"/>
    <col min="7" max="7" width="15.28515625" bestFit="1" customWidth="1"/>
    <col min="8" max="8" width="10.140625" bestFit="1" customWidth="1"/>
    <col min="9" max="9" width="11.28515625" bestFit="1" customWidth="1"/>
  </cols>
  <sheetData>
    <row r="1" spans="1:9" ht="18" customHeight="1" x14ac:dyDescent="0.25">
      <c r="A1" t="s">
        <v>6777</v>
      </c>
      <c r="F1" s="15" t="s">
        <v>6769</v>
      </c>
      <c r="G1" s="15" t="s">
        <v>6770</v>
      </c>
    </row>
    <row r="2" spans="1:9" ht="18" customHeight="1" x14ac:dyDescent="0.25">
      <c r="F2" s="16">
        <f>MAX(D4:D4288)</f>
        <v>165600000</v>
      </c>
      <c r="G2" s="12">
        <f>CORREL(B4:B4288,C4:C4288)</f>
        <v>0.31398010406401772</v>
      </c>
    </row>
    <row r="3" spans="1:9" ht="18" customHeight="1" x14ac:dyDescent="0.25">
      <c r="A3" s="1" t="s">
        <v>6746</v>
      </c>
      <c r="B3" s="7" t="s">
        <v>6766</v>
      </c>
      <c r="C3" s="7" t="s">
        <v>6767</v>
      </c>
      <c r="D3" t="s">
        <v>6768</v>
      </c>
    </row>
    <row r="4" spans="1:9" ht="18" customHeight="1" x14ac:dyDescent="0.25">
      <c r="A4" s="2" t="s">
        <v>2356</v>
      </c>
      <c r="B4" s="7">
        <v>48334413</v>
      </c>
      <c r="C4" s="7">
        <v>1500000</v>
      </c>
      <c r="D4" s="7">
        <f>B4-C4</f>
        <v>46834413</v>
      </c>
      <c r="F4" s="11" t="s">
        <v>6771</v>
      </c>
    </row>
    <row r="5" spans="1:9" ht="18" customHeight="1" x14ac:dyDescent="0.25">
      <c r="A5" s="2" t="s">
        <v>6551</v>
      </c>
      <c r="B5" s="7">
        <v>27024</v>
      </c>
      <c r="C5" s="7">
        <v>5600000</v>
      </c>
      <c r="D5" s="7">
        <f t="shared" ref="D5:D68" si="0">B5-C5</f>
        <v>-5572976</v>
      </c>
      <c r="F5" s="12" t="s">
        <v>6772</v>
      </c>
      <c r="G5" s="12" t="s">
        <v>6773</v>
      </c>
      <c r="H5" s="12" t="s">
        <v>6</v>
      </c>
      <c r="I5" s="12" t="s">
        <v>6774</v>
      </c>
    </row>
    <row r="6" spans="1:9" ht="18" customHeight="1" x14ac:dyDescent="0.25">
      <c r="A6" s="2" t="s">
        <v>2330</v>
      </c>
      <c r="B6" s="7">
        <v>48334413</v>
      </c>
      <c r="C6" s="7">
        <v>1500000</v>
      </c>
      <c r="D6" s="7">
        <f t="shared" si="0"/>
        <v>46834413</v>
      </c>
      <c r="F6" s="13" t="s">
        <v>268</v>
      </c>
      <c r="G6" s="14">
        <v>181600000</v>
      </c>
      <c r="H6" s="14">
        <v>16000000</v>
      </c>
      <c r="I6" s="14">
        <f t="shared" ref="I6" si="1">G6-H6</f>
        <v>165600000</v>
      </c>
    </row>
    <row r="7" spans="1:9" ht="18" customHeight="1" x14ac:dyDescent="0.25">
      <c r="A7" s="2" t="s">
        <v>585</v>
      </c>
      <c r="B7" s="7">
        <v>71897215</v>
      </c>
      <c r="C7" s="7">
        <v>15000000</v>
      </c>
      <c r="D7" s="7">
        <f t="shared" si="0"/>
        <v>56897215</v>
      </c>
    </row>
    <row r="8" spans="1:9" ht="18" customHeight="1" x14ac:dyDescent="0.25">
      <c r="A8" s="2" t="s">
        <v>6632</v>
      </c>
      <c r="B8" s="7">
        <v>14616</v>
      </c>
      <c r="C8" s="7">
        <v>12000000</v>
      </c>
      <c r="D8" s="7">
        <f t="shared" si="0"/>
        <v>-11985384</v>
      </c>
      <c r="F8" s="4" t="s">
        <v>6775</v>
      </c>
      <c r="G8" s="8"/>
      <c r="H8" s="8"/>
      <c r="I8" s="8"/>
    </row>
    <row r="9" spans="1:9" ht="18" customHeight="1" x14ac:dyDescent="0.25">
      <c r="A9" s="2" t="s">
        <v>3093</v>
      </c>
      <c r="B9" s="7">
        <v>38176108</v>
      </c>
      <c r="C9" s="7">
        <v>16000000</v>
      </c>
      <c r="D9" s="7">
        <f t="shared" si="0"/>
        <v>22176108</v>
      </c>
      <c r="F9" s="5" t="s">
        <v>6776</v>
      </c>
      <c r="G9" s="5" t="s">
        <v>6773</v>
      </c>
      <c r="H9" s="5" t="s">
        <v>6</v>
      </c>
      <c r="I9" s="5" t="s">
        <v>6774</v>
      </c>
    </row>
    <row r="10" spans="1:9" ht="18" customHeight="1" x14ac:dyDescent="0.25">
      <c r="A10" s="2" t="s">
        <v>1233</v>
      </c>
      <c r="B10" s="7">
        <v>48334413</v>
      </c>
      <c r="C10" s="7">
        <v>39751583.5</v>
      </c>
      <c r="D10" s="7">
        <f t="shared" si="0"/>
        <v>8582829.5</v>
      </c>
      <c r="F10" s="9" t="s">
        <v>136</v>
      </c>
      <c r="G10" s="10">
        <v>102308900</v>
      </c>
      <c r="H10" s="10">
        <v>6000000</v>
      </c>
      <c r="I10" s="10">
        <v>96308900</v>
      </c>
    </row>
    <row r="11" spans="1:9" ht="18" customHeight="1" x14ac:dyDescent="0.25">
      <c r="A11" s="2" t="s">
        <v>678</v>
      </c>
      <c r="B11" s="7">
        <v>66941559</v>
      </c>
      <c r="C11" s="7">
        <v>85000000</v>
      </c>
      <c r="D11" s="7">
        <f t="shared" si="0"/>
        <v>-18058441</v>
      </c>
      <c r="F11" s="9" t="s">
        <v>428</v>
      </c>
      <c r="G11" s="10">
        <v>160100342</v>
      </c>
      <c r="H11" s="10">
        <v>40000000</v>
      </c>
      <c r="I11" s="10">
        <v>120100342</v>
      </c>
    </row>
    <row r="12" spans="1:9" ht="18" customHeight="1" x14ac:dyDescent="0.25">
      <c r="A12" s="2" t="s">
        <v>6486</v>
      </c>
      <c r="B12" s="7">
        <v>53481</v>
      </c>
      <c r="C12" s="7">
        <v>8000000</v>
      </c>
      <c r="D12" s="7">
        <f t="shared" si="0"/>
        <v>-7946519</v>
      </c>
      <c r="F12" s="9" t="s">
        <v>91</v>
      </c>
      <c r="G12" s="10">
        <v>106593296</v>
      </c>
      <c r="H12" s="10">
        <v>7500000</v>
      </c>
      <c r="I12" s="10">
        <v>99093296</v>
      </c>
    </row>
    <row r="13" spans="1:9" ht="18" customHeight="1" x14ac:dyDescent="0.25">
      <c r="A13" s="2" t="s">
        <v>1966</v>
      </c>
      <c r="B13" s="7">
        <v>48334413</v>
      </c>
      <c r="C13" s="7">
        <v>6000000</v>
      </c>
      <c r="D13" s="7">
        <f t="shared" si="0"/>
        <v>42334413</v>
      </c>
      <c r="F13" s="9" t="s">
        <v>114</v>
      </c>
      <c r="G13" s="10">
        <v>104007828</v>
      </c>
      <c r="H13" s="10">
        <v>5000000</v>
      </c>
      <c r="I13" s="10">
        <v>99007828</v>
      </c>
    </row>
    <row r="14" spans="1:9" ht="18" customHeight="1" x14ac:dyDescent="0.25">
      <c r="A14" s="2" t="s">
        <v>2585</v>
      </c>
      <c r="B14" s="7">
        <v>48334413</v>
      </c>
      <c r="C14" s="7">
        <v>350000</v>
      </c>
      <c r="D14" s="7">
        <f t="shared" si="0"/>
        <v>47984413</v>
      </c>
      <c r="F14" s="9" t="s">
        <v>66</v>
      </c>
      <c r="G14" s="10">
        <v>107917283</v>
      </c>
      <c r="H14" s="10">
        <v>15000</v>
      </c>
      <c r="I14" s="10">
        <v>107902283</v>
      </c>
    </row>
    <row r="15" spans="1:9" ht="18" customHeight="1" x14ac:dyDescent="0.25">
      <c r="A15" s="2" t="s">
        <v>1278</v>
      </c>
      <c r="B15" s="7">
        <v>48334413</v>
      </c>
      <c r="C15" s="7">
        <v>39751583.5</v>
      </c>
      <c r="D15" s="7">
        <f t="shared" si="0"/>
        <v>8582829.5</v>
      </c>
      <c r="F15" s="9" t="s">
        <v>485</v>
      </c>
      <c r="G15" s="10">
        <v>153200000</v>
      </c>
      <c r="H15" s="10">
        <v>21400000</v>
      </c>
      <c r="I15" s="10">
        <v>131800000</v>
      </c>
    </row>
    <row r="16" spans="1:9" ht="18" customHeight="1" x14ac:dyDescent="0.25">
      <c r="A16" s="2" t="s">
        <v>4571</v>
      </c>
      <c r="B16" s="7">
        <v>12232937</v>
      </c>
      <c r="C16" s="7">
        <v>22000000</v>
      </c>
      <c r="D16" s="7">
        <f t="shared" si="0"/>
        <v>-9767063</v>
      </c>
      <c r="F16" s="9" t="s">
        <v>97</v>
      </c>
      <c r="G16" s="10">
        <v>105500000</v>
      </c>
      <c r="H16" s="10">
        <v>4000000</v>
      </c>
      <c r="I16" s="10">
        <v>101500000</v>
      </c>
    </row>
    <row r="17" spans="1:9" ht="18" customHeight="1" x14ac:dyDescent="0.25">
      <c r="A17" s="2" t="s">
        <v>922</v>
      </c>
      <c r="B17" s="7">
        <v>56667870</v>
      </c>
      <c r="C17" s="7">
        <v>20000000</v>
      </c>
      <c r="D17" s="7">
        <f t="shared" si="0"/>
        <v>36667870</v>
      </c>
      <c r="F17" s="9" t="s">
        <v>63</v>
      </c>
      <c r="G17" s="10">
        <v>107930000</v>
      </c>
      <c r="H17" s="10">
        <v>8000000</v>
      </c>
      <c r="I17" s="10">
        <v>99930000</v>
      </c>
    </row>
    <row r="18" spans="1:9" ht="18" customHeight="1" x14ac:dyDescent="0.25">
      <c r="A18" s="2" t="s">
        <v>4108</v>
      </c>
      <c r="B18" s="7">
        <v>18329466</v>
      </c>
      <c r="C18" s="7">
        <v>18000000</v>
      </c>
      <c r="D18" s="7">
        <f t="shared" si="0"/>
        <v>329466</v>
      </c>
      <c r="F18" s="9" t="s">
        <v>21</v>
      </c>
      <c r="G18" s="10">
        <v>110175871</v>
      </c>
      <c r="H18" s="10">
        <v>10000000</v>
      </c>
      <c r="I18" s="10">
        <v>100175871</v>
      </c>
    </row>
    <row r="19" spans="1:9" ht="18" customHeight="1" x14ac:dyDescent="0.25">
      <c r="A19" s="2" t="s">
        <v>943</v>
      </c>
      <c r="B19" s="7">
        <v>56044241</v>
      </c>
      <c r="C19" s="7">
        <v>37000000</v>
      </c>
      <c r="D19" s="7">
        <f t="shared" si="0"/>
        <v>19044241</v>
      </c>
      <c r="F19" s="9" t="s">
        <v>268</v>
      </c>
      <c r="G19" s="10">
        <v>181600000</v>
      </c>
      <c r="H19" s="10">
        <v>16000000</v>
      </c>
      <c r="I19" s="10">
        <v>165600000</v>
      </c>
    </row>
    <row r="20" spans="1:9" ht="18" customHeight="1" x14ac:dyDescent="0.25">
      <c r="A20" s="2" t="s">
        <v>1043</v>
      </c>
      <c r="B20" s="7">
        <v>52822418</v>
      </c>
      <c r="C20" s="7">
        <v>50000000</v>
      </c>
      <c r="D20" s="7">
        <f t="shared" si="0"/>
        <v>2822418</v>
      </c>
    </row>
    <row r="21" spans="1:9" ht="18" customHeight="1" x14ac:dyDescent="0.25">
      <c r="A21" s="2" t="s">
        <v>583</v>
      </c>
      <c r="B21" s="7">
        <v>71975611</v>
      </c>
      <c r="C21" s="7">
        <v>25000000</v>
      </c>
      <c r="D21" s="7">
        <f t="shared" si="0"/>
        <v>46975611</v>
      </c>
    </row>
    <row r="22" spans="1:9" ht="18" customHeight="1" x14ac:dyDescent="0.25">
      <c r="A22" s="2" t="s">
        <v>3788</v>
      </c>
      <c r="B22" s="7">
        <v>24375436</v>
      </c>
      <c r="C22" s="7">
        <v>42000000</v>
      </c>
      <c r="D22" s="7">
        <f t="shared" si="0"/>
        <v>-17624564</v>
      </c>
    </row>
    <row r="23" spans="1:9" ht="18" customHeight="1" x14ac:dyDescent="0.25">
      <c r="A23" s="2" t="s">
        <v>3169</v>
      </c>
      <c r="B23" s="7">
        <v>36883539</v>
      </c>
      <c r="C23" s="7">
        <v>52000000</v>
      </c>
      <c r="D23" s="7">
        <f t="shared" si="0"/>
        <v>-15116461</v>
      </c>
    </row>
    <row r="24" spans="1:9" ht="18" customHeight="1" x14ac:dyDescent="0.25">
      <c r="A24" s="2" t="s">
        <v>2430</v>
      </c>
      <c r="B24" s="7">
        <v>48334413</v>
      </c>
      <c r="C24" s="7">
        <v>1000000</v>
      </c>
      <c r="D24" s="7">
        <f t="shared" si="0"/>
        <v>47334413</v>
      </c>
    </row>
    <row r="25" spans="1:9" ht="18" customHeight="1" x14ac:dyDescent="0.25">
      <c r="A25" s="2" t="s">
        <v>747</v>
      </c>
      <c r="B25" s="7">
        <v>64149837</v>
      </c>
      <c r="C25" s="7">
        <v>20000000</v>
      </c>
      <c r="D25" s="7">
        <f t="shared" si="0"/>
        <v>44149837</v>
      </c>
    </row>
    <row r="26" spans="1:9" ht="18" customHeight="1" x14ac:dyDescent="0.25">
      <c r="A26" s="2" t="s">
        <v>2077</v>
      </c>
      <c r="B26" s="7">
        <v>48334413</v>
      </c>
      <c r="C26" s="7">
        <v>4000000</v>
      </c>
      <c r="D26" s="7">
        <f t="shared" si="0"/>
        <v>44334413</v>
      </c>
    </row>
    <row r="27" spans="1:9" ht="18" customHeight="1" x14ac:dyDescent="0.25">
      <c r="A27" s="2" t="s">
        <v>6319</v>
      </c>
      <c r="B27" s="7">
        <v>127437</v>
      </c>
      <c r="C27" s="7">
        <v>18000000</v>
      </c>
      <c r="D27" s="7">
        <f t="shared" si="0"/>
        <v>-17872563</v>
      </c>
    </row>
    <row r="28" spans="1:9" ht="18" customHeight="1" x14ac:dyDescent="0.25">
      <c r="A28" s="2" t="s">
        <v>1593</v>
      </c>
      <c r="B28" s="7">
        <v>48334413</v>
      </c>
      <c r="C28" s="7">
        <v>35000000</v>
      </c>
      <c r="D28" s="7">
        <f t="shared" si="0"/>
        <v>13334413</v>
      </c>
    </row>
    <row r="29" spans="1:9" ht="18" customHeight="1" x14ac:dyDescent="0.25">
      <c r="A29" s="2" t="s">
        <v>2471</v>
      </c>
      <c r="B29" s="7">
        <v>48334413</v>
      </c>
      <c r="C29" s="7">
        <v>1000000</v>
      </c>
      <c r="D29" s="7">
        <f t="shared" si="0"/>
        <v>47334413</v>
      </c>
    </row>
    <row r="30" spans="1:9" ht="18" customHeight="1" x14ac:dyDescent="0.25">
      <c r="A30" s="2" t="s">
        <v>518</v>
      </c>
      <c r="B30" s="7">
        <v>75573300</v>
      </c>
      <c r="C30" s="7">
        <v>61000000</v>
      </c>
      <c r="D30" s="7">
        <f t="shared" si="0"/>
        <v>14573300</v>
      </c>
    </row>
    <row r="31" spans="1:9" ht="18" customHeight="1" x14ac:dyDescent="0.25">
      <c r="A31" s="2" t="s">
        <v>2107</v>
      </c>
      <c r="B31" s="7">
        <v>48334413</v>
      </c>
      <c r="C31" s="7">
        <v>3500000</v>
      </c>
      <c r="D31" s="7">
        <f t="shared" si="0"/>
        <v>44834413</v>
      </c>
    </row>
    <row r="32" spans="1:9" ht="18" customHeight="1" x14ac:dyDescent="0.25">
      <c r="A32" s="2" t="s">
        <v>5982</v>
      </c>
      <c r="B32" s="7">
        <v>536767</v>
      </c>
      <c r="C32" s="7">
        <v>60000</v>
      </c>
      <c r="D32" s="7">
        <f t="shared" si="0"/>
        <v>476767</v>
      </c>
    </row>
    <row r="33" spans="1:4" ht="18" customHeight="1" x14ac:dyDescent="0.25">
      <c r="A33" s="2" t="s">
        <v>5191</v>
      </c>
      <c r="B33" s="7">
        <v>4946250</v>
      </c>
      <c r="C33" s="7">
        <v>1000000</v>
      </c>
      <c r="D33" s="7">
        <f t="shared" si="0"/>
        <v>3946250</v>
      </c>
    </row>
    <row r="34" spans="1:4" ht="18" customHeight="1" x14ac:dyDescent="0.25">
      <c r="A34" s="2" t="s">
        <v>1983</v>
      </c>
      <c r="B34" s="7">
        <v>96668826</v>
      </c>
      <c r="C34" s="7">
        <v>10000000</v>
      </c>
      <c r="D34" s="7">
        <f t="shared" si="0"/>
        <v>86668826</v>
      </c>
    </row>
    <row r="35" spans="1:4" ht="18" customHeight="1" x14ac:dyDescent="0.25">
      <c r="A35" s="2" t="s">
        <v>4982</v>
      </c>
      <c r="B35" s="7">
        <v>6851636</v>
      </c>
      <c r="C35" s="7">
        <v>6000000</v>
      </c>
      <c r="D35" s="7">
        <f t="shared" si="0"/>
        <v>851636</v>
      </c>
    </row>
    <row r="36" spans="1:4" ht="18" customHeight="1" x14ac:dyDescent="0.25">
      <c r="A36" s="2" t="s">
        <v>916</v>
      </c>
      <c r="B36" s="7">
        <v>56715371</v>
      </c>
      <c r="C36" s="7">
        <v>12000000</v>
      </c>
      <c r="D36" s="7">
        <f t="shared" si="0"/>
        <v>44715371</v>
      </c>
    </row>
    <row r="37" spans="1:4" ht="18" customHeight="1" x14ac:dyDescent="0.25">
      <c r="A37" s="2" t="s">
        <v>3331</v>
      </c>
      <c r="B37" s="7">
        <v>33349949</v>
      </c>
      <c r="C37" s="7">
        <v>2500000</v>
      </c>
      <c r="D37" s="7">
        <f t="shared" si="0"/>
        <v>30849949</v>
      </c>
    </row>
    <row r="38" spans="1:4" ht="18" customHeight="1" x14ac:dyDescent="0.25">
      <c r="A38" s="2" t="s">
        <v>6162</v>
      </c>
      <c r="B38" s="7">
        <v>261481</v>
      </c>
      <c r="C38" s="7">
        <v>12000000</v>
      </c>
      <c r="D38" s="7">
        <f t="shared" si="0"/>
        <v>-11738519</v>
      </c>
    </row>
    <row r="39" spans="1:4" ht="18" customHeight="1" x14ac:dyDescent="0.25">
      <c r="A39" s="2" t="s">
        <v>3705</v>
      </c>
      <c r="B39" s="7">
        <v>25675765</v>
      </c>
      <c r="C39" s="7">
        <v>13000000</v>
      </c>
      <c r="D39" s="7">
        <f t="shared" si="0"/>
        <v>12675765</v>
      </c>
    </row>
    <row r="40" spans="1:4" ht="18" customHeight="1" x14ac:dyDescent="0.25">
      <c r="A40" s="2" t="s">
        <v>4250</v>
      </c>
      <c r="B40" s="7">
        <v>16248701</v>
      </c>
      <c r="C40" s="7">
        <v>20000000</v>
      </c>
      <c r="D40" s="7">
        <f t="shared" si="0"/>
        <v>-3751299</v>
      </c>
    </row>
    <row r="41" spans="1:4" ht="18" customHeight="1" x14ac:dyDescent="0.25">
      <c r="A41" s="2" t="s">
        <v>408</v>
      </c>
      <c r="B41" s="7">
        <v>81159365</v>
      </c>
      <c r="C41" s="7">
        <v>35000000</v>
      </c>
      <c r="D41" s="7">
        <f t="shared" si="0"/>
        <v>46159365</v>
      </c>
    </row>
    <row r="42" spans="1:4" ht="18" customHeight="1" x14ac:dyDescent="0.25">
      <c r="A42" s="2" t="s">
        <v>1455</v>
      </c>
      <c r="B42" s="7">
        <v>48334413</v>
      </c>
      <c r="C42" s="7">
        <v>39751583.5</v>
      </c>
      <c r="D42" s="7">
        <f t="shared" si="0"/>
        <v>8582829.5</v>
      </c>
    </row>
    <row r="43" spans="1:4" ht="18" customHeight="1" x14ac:dyDescent="0.25">
      <c r="A43" s="2" t="s">
        <v>4508</v>
      </c>
      <c r="B43" s="7">
        <v>13060843</v>
      </c>
      <c r="C43" s="7">
        <v>15000000</v>
      </c>
      <c r="D43" s="7">
        <f t="shared" si="0"/>
        <v>-1939157</v>
      </c>
    </row>
    <row r="44" spans="1:4" ht="18" customHeight="1" x14ac:dyDescent="0.25">
      <c r="A44" s="2" t="s">
        <v>481</v>
      </c>
      <c r="B44" s="7">
        <v>76806312</v>
      </c>
      <c r="C44" s="7">
        <v>30000000</v>
      </c>
      <c r="D44" s="7">
        <f t="shared" si="0"/>
        <v>46806312</v>
      </c>
    </row>
    <row r="45" spans="1:4" ht="18" customHeight="1" x14ac:dyDescent="0.25">
      <c r="A45" s="2" t="s">
        <v>2841</v>
      </c>
      <c r="B45" s="7">
        <v>45063889</v>
      </c>
      <c r="C45" s="7">
        <v>8000000</v>
      </c>
      <c r="D45" s="7">
        <f t="shared" si="0"/>
        <v>37063889</v>
      </c>
    </row>
    <row r="46" spans="1:4" ht="18" customHeight="1" x14ac:dyDescent="0.25">
      <c r="A46" s="2" t="s">
        <v>3162</v>
      </c>
      <c r="B46" s="7">
        <v>37035515</v>
      </c>
      <c r="C46" s="7">
        <v>43000000</v>
      </c>
      <c r="D46" s="7">
        <f t="shared" si="0"/>
        <v>-5964485</v>
      </c>
    </row>
    <row r="47" spans="1:4" ht="18" customHeight="1" x14ac:dyDescent="0.25">
      <c r="A47" s="2" t="s">
        <v>3558</v>
      </c>
      <c r="B47" s="7">
        <v>28637507</v>
      </c>
      <c r="C47" s="7">
        <v>15000000</v>
      </c>
      <c r="D47" s="7">
        <f t="shared" si="0"/>
        <v>13637507</v>
      </c>
    </row>
    <row r="48" spans="1:4" ht="18" customHeight="1" x14ac:dyDescent="0.25">
      <c r="A48" s="2" t="s">
        <v>2590</v>
      </c>
      <c r="B48" s="7">
        <v>48334413</v>
      </c>
      <c r="C48" s="7">
        <v>300000</v>
      </c>
      <c r="D48" s="7">
        <f t="shared" si="0"/>
        <v>48034413</v>
      </c>
    </row>
    <row r="49" spans="1:4" ht="18" customHeight="1" x14ac:dyDescent="0.25">
      <c r="A49" s="2" t="s">
        <v>3464</v>
      </c>
      <c r="B49" s="7">
        <v>30688364</v>
      </c>
      <c r="C49" s="7">
        <v>28000000</v>
      </c>
      <c r="D49" s="7">
        <f t="shared" si="0"/>
        <v>2688364</v>
      </c>
    </row>
    <row r="50" spans="1:4" ht="18" customHeight="1" x14ac:dyDescent="0.25">
      <c r="A50" s="2" t="s">
        <v>4602</v>
      </c>
      <c r="B50" s="7">
        <v>11784000</v>
      </c>
      <c r="C50" s="7">
        <v>20000000</v>
      </c>
      <c r="D50" s="7">
        <f t="shared" si="0"/>
        <v>-8216000</v>
      </c>
    </row>
    <row r="51" spans="1:4" ht="18" customHeight="1" x14ac:dyDescent="0.25">
      <c r="A51" s="2" t="s">
        <v>4753</v>
      </c>
      <c r="B51" s="7">
        <v>9821335</v>
      </c>
      <c r="C51" s="7">
        <v>6000000</v>
      </c>
      <c r="D51" s="7">
        <f t="shared" si="0"/>
        <v>3821335</v>
      </c>
    </row>
    <row r="52" spans="1:4" ht="18" customHeight="1" x14ac:dyDescent="0.25">
      <c r="A52" s="2" t="s">
        <v>1027</v>
      </c>
      <c r="B52" s="7">
        <v>53574088</v>
      </c>
      <c r="C52" s="7">
        <v>55000000</v>
      </c>
      <c r="D52" s="7">
        <f t="shared" si="0"/>
        <v>-1425912</v>
      </c>
    </row>
    <row r="53" spans="1:4" ht="18" customHeight="1" x14ac:dyDescent="0.25">
      <c r="A53" s="2" t="s">
        <v>3037</v>
      </c>
      <c r="B53" s="7">
        <v>39568996</v>
      </c>
      <c r="C53" s="7">
        <v>32000000</v>
      </c>
      <c r="D53" s="7">
        <f t="shared" si="0"/>
        <v>7568996</v>
      </c>
    </row>
    <row r="54" spans="1:4" ht="18" customHeight="1" x14ac:dyDescent="0.25">
      <c r="A54" s="2" t="s">
        <v>3157</v>
      </c>
      <c r="B54" s="7">
        <v>37053924</v>
      </c>
      <c r="C54" s="7">
        <v>28000000</v>
      </c>
      <c r="D54" s="7">
        <f t="shared" si="0"/>
        <v>9053924</v>
      </c>
    </row>
    <row r="55" spans="1:4" ht="18" customHeight="1" x14ac:dyDescent="0.25">
      <c r="A55" s="2" t="s">
        <v>2167</v>
      </c>
      <c r="B55" s="7">
        <v>48334413</v>
      </c>
      <c r="C55" s="7">
        <v>3000000</v>
      </c>
      <c r="D55" s="7">
        <f t="shared" si="0"/>
        <v>45334413</v>
      </c>
    </row>
    <row r="56" spans="1:4" ht="18" customHeight="1" x14ac:dyDescent="0.25">
      <c r="A56" s="2" t="s">
        <v>4291</v>
      </c>
      <c r="B56" s="7">
        <v>15738632</v>
      </c>
      <c r="C56" s="7">
        <v>42000000</v>
      </c>
      <c r="D56" s="7">
        <f t="shared" si="0"/>
        <v>-26261368</v>
      </c>
    </row>
    <row r="57" spans="1:4" ht="18" customHeight="1" x14ac:dyDescent="0.25">
      <c r="A57" s="2" t="s">
        <v>6469</v>
      </c>
      <c r="B57" s="7">
        <v>59774</v>
      </c>
      <c r="C57" s="7">
        <v>39751583.5</v>
      </c>
      <c r="D57" s="7">
        <f t="shared" si="0"/>
        <v>-39691809.5</v>
      </c>
    </row>
    <row r="58" spans="1:4" ht="18" customHeight="1" x14ac:dyDescent="0.25">
      <c r="A58" s="2" t="s">
        <v>1262</v>
      </c>
      <c r="B58" s="7">
        <v>48334413</v>
      </c>
      <c r="C58" s="7">
        <v>39751583.5</v>
      </c>
      <c r="D58" s="7">
        <f t="shared" si="0"/>
        <v>8582829.5</v>
      </c>
    </row>
    <row r="59" spans="1:4" ht="18" customHeight="1" x14ac:dyDescent="0.25">
      <c r="A59" s="2" t="s">
        <v>5761</v>
      </c>
      <c r="B59" s="7">
        <v>1185783</v>
      </c>
      <c r="C59" s="7">
        <v>590000</v>
      </c>
      <c r="D59" s="7">
        <f t="shared" si="0"/>
        <v>595783</v>
      </c>
    </row>
    <row r="60" spans="1:4" ht="18" customHeight="1" x14ac:dyDescent="0.25">
      <c r="A60" s="2" t="s">
        <v>3104</v>
      </c>
      <c r="B60" s="7">
        <v>37939782</v>
      </c>
      <c r="C60" s="7">
        <v>17000000</v>
      </c>
      <c r="D60" s="7">
        <f t="shared" si="0"/>
        <v>20939782</v>
      </c>
    </row>
    <row r="61" spans="1:4" ht="18" customHeight="1" x14ac:dyDescent="0.25">
      <c r="A61" s="2" t="s">
        <v>209</v>
      </c>
      <c r="B61" s="7">
        <v>95001343</v>
      </c>
      <c r="C61" s="7">
        <v>40000000</v>
      </c>
      <c r="D61" s="7">
        <f t="shared" si="0"/>
        <v>55001343</v>
      </c>
    </row>
    <row r="62" spans="1:4" ht="18" customHeight="1" x14ac:dyDescent="0.25">
      <c r="A62" s="2" t="s">
        <v>5563</v>
      </c>
      <c r="B62" s="7">
        <v>2300000</v>
      </c>
      <c r="C62" s="7">
        <v>439000</v>
      </c>
      <c r="D62" s="7">
        <f t="shared" si="0"/>
        <v>1861000</v>
      </c>
    </row>
    <row r="63" spans="1:4" ht="18" customHeight="1" x14ac:dyDescent="0.25">
      <c r="A63" s="2" t="s">
        <v>6615</v>
      </c>
      <c r="B63" s="7">
        <v>17149</v>
      </c>
      <c r="C63" s="7">
        <v>20000000</v>
      </c>
      <c r="D63" s="7">
        <f t="shared" si="0"/>
        <v>-19982851</v>
      </c>
    </row>
    <row r="64" spans="1:4" ht="18" customHeight="1" x14ac:dyDescent="0.25">
      <c r="A64" s="2" t="s">
        <v>3255</v>
      </c>
      <c r="B64" s="7">
        <v>34963967</v>
      </c>
      <c r="C64" s="7">
        <v>8000000</v>
      </c>
      <c r="D64" s="7">
        <f t="shared" si="0"/>
        <v>26963967</v>
      </c>
    </row>
    <row r="65" spans="1:4" ht="18" customHeight="1" x14ac:dyDescent="0.25">
      <c r="A65" s="2" t="s">
        <v>3375</v>
      </c>
      <c r="B65" s="7">
        <v>32391374</v>
      </c>
      <c r="C65" s="7">
        <v>7500000</v>
      </c>
      <c r="D65" s="7">
        <f t="shared" si="0"/>
        <v>24891374</v>
      </c>
    </row>
    <row r="66" spans="1:4" ht="18" customHeight="1" x14ac:dyDescent="0.25">
      <c r="A66" s="2" t="s">
        <v>6424</v>
      </c>
      <c r="B66" s="7">
        <v>84689</v>
      </c>
      <c r="C66" s="7">
        <v>39751583.5</v>
      </c>
      <c r="D66" s="7">
        <f t="shared" si="0"/>
        <v>-39666894.5</v>
      </c>
    </row>
    <row r="67" spans="1:4" ht="18" customHeight="1" x14ac:dyDescent="0.25">
      <c r="A67" s="2" t="s">
        <v>4230</v>
      </c>
      <c r="B67" s="7">
        <v>16574731</v>
      </c>
      <c r="C67" s="7">
        <v>13000000</v>
      </c>
      <c r="D67" s="7">
        <f t="shared" si="0"/>
        <v>3574731</v>
      </c>
    </row>
    <row r="68" spans="1:4" ht="18" customHeight="1" x14ac:dyDescent="0.25">
      <c r="A68" s="2" t="s">
        <v>1871</v>
      </c>
      <c r="B68" s="7">
        <v>48334413</v>
      </c>
      <c r="C68" s="7">
        <v>9000000</v>
      </c>
      <c r="D68" s="7">
        <f t="shared" si="0"/>
        <v>39334413</v>
      </c>
    </row>
    <row r="69" spans="1:4" ht="18" customHeight="1" x14ac:dyDescent="0.25">
      <c r="A69" s="2" t="s">
        <v>2225</v>
      </c>
      <c r="B69" s="7">
        <v>48334413</v>
      </c>
      <c r="C69" s="7">
        <v>2500000</v>
      </c>
      <c r="D69" s="7">
        <f t="shared" ref="D69:D132" si="2">B69-C69</f>
        <v>45834413</v>
      </c>
    </row>
    <row r="70" spans="1:4" ht="18" customHeight="1" x14ac:dyDescent="0.25">
      <c r="A70" s="2" t="s">
        <v>5372</v>
      </c>
      <c r="B70" s="7">
        <v>3559990</v>
      </c>
      <c r="C70" s="7">
        <v>3000000</v>
      </c>
      <c r="D70" s="7">
        <f t="shared" si="2"/>
        <v>559990</v>
      </c>
    </row>
    <row r="71" spans="1:4" ht="18" customHeight="1" x14ac:dyDescent="0.25">
      <c r="A71" s="2" t="s">
        <v>5440</v>
      </c>
      <c r="B71" s="7">
        <v>3076425</v>
      </c>
      <c r="C71" s="7">
        <v>8000000</v>
      </c>
      <c r="D71" s="7">
        <f t="shared" si="2"/>
        <v>-4923575</v>
      </c>
    </row>
    <row r="72" spans="1:4" ht="18" customHeight="1" x14ac:dyDescent="0.25">
      <c r="A72" s="2" t="s">
        <v>6397</v>
      </c>
      <c r="B72" s="7">
        <v>99851</v>
      </c>
      <c r="C72" s="7">
        <v>2500000</v>
      </c>
      <c r="D72" s="7">
        <f t="shared" si="2"/>
        <v>-2400149</v>
      </c>
    </row>
    <row r="73" spans="1:4" ht="18" customHeight="1" x14ac:dyDescent="0.25">
      <c r="A73" s="2" t="s">
        <v>4209</v>
      </c>
      <c r="B73" s="7">
        <v>16930884</v>
      </c>
      <c r="C73" s="7">
        <v>30000000</v>
      </c>
      <c r="D73" s="7">
        <f t="shared" si="2"/>
        <v>-13069116</v>
      </c>
    </row>
    <row r="74" spans="1:4" ht="18" customHeight="1" x14ac:dyDescent="0.25">
      <c r="A74" s="2" t="s">
        <v>3188</v>
      </c>
      <c r="B74" s="7">
        <v>36283504</v>
      </c>
      <c r="C74" s="7">
        <v>40000000</v>
      </c>
      <c r="D74" s="7">
        <f t="shared" si="2"/>
        <v>-3716496</v>
      </c>
    </row>
    <row r="75" spans="1:4" ht="18" customHeight="1" x14ac:dyDescent="0.25">
      <c r="A75" s="2" t="s">
        <v>5220</v>
      </c>
      <c r="B75" s="7">
        <v>4700361</v>
      </c>
      <c r="C75" s="7">
        <v>5000000</v>
      </c>
      <c r="D75" s="7">
        <f t="shared" si="2"/>
        <v>-299639</v>
      </c>
    </row>
    <row r="76" spans="1:4" ht="18" customHeight="1" x14ac:dyDescent="0.25">
      <c r="A76" s="2" t="s">
        <v>3413</v>
      </c>
      <c r="B76" s="7">
        <v>31743332</v>
      </c>
      <c r="C76" s="7">
        <v>30000000</v>
      </c>
      <c r="D76" s="7">
        <f t="shared" si="2"/>
        <v>1743332</v>
      </c>
    </row>
    <row r="77" spans="1:4" ht="18" customHeight="1" x14ac:dyDescent="0.25">
      <c r="A77" s="2" t="s">
        <v>4993</v>
      </c>
      <c r="B77" s="7">
        <v>6734844</v>
      </c>
      <c r="C77" s="7">
        <v>17000000</v>
      </c>
      <c r="D77" s="7">
        <f t="shared" si="2"/>
        <v>-10265156</v>
      </c>
    </row>
    <row r="78" spans="1:4" ht="18" customHeight="1" x14ac:dyDescent="0.25">
      <c r="A78" s="2" t="s">
        <v>1476</v>
      </c>
      <c r="B78" s="7">
        <v>48334413</v>
      </c>
      <c r="C78" s="7">
        <v>39751583.5</v>
      </c>
      <c r="D78" s="7">
        <f t="shared" si="2"/>
        <v>8582829.5</v>
      </c>
    </row>
    <row r="79" spans="1:4" ht="18" customHeight="1" x14ac:dyDescent="0.25">
      <c r="A79" s="2" t="s">
        <v>5656</v>
      </c>
      <c r="B79" s="7">
        <v>1754319</v>
      </c>
      <c r="C79" s="7">
        <v>10000000</v>
      </c>
      <c r="D79" s="7">
        <f t="shared" si="2"/>
        <v>-8245681</v>
      </c>
    </row>
    <row r="80" spans="1:4" ht="18" customHeight="1" x14ac:dyDescent="0.25">
      <c r="A80" s="2" t="s">
        <v>1130</v>
      </c>
      <c r="B80" s="7">
        <v>50800000</v>
      </c>
      <c r="C80" s="7">
        <v>26000000</v>
      </c>
      <c r="D80" s="7">
        <f t="shared" si="2"/>
        <v>24800000</v>
      </c>
    </row>
    <row r="81" spans="1:4" ht="18" customHeight="1" x14ac:dyDescent="0.25">
      <c r="A81" s="2" t="s">
        <v>2653</v>
      </c>
      <c r="B81" s="7">
        <v>48334413</v>
      </c>
      <c r="C81" s="7">
        <v>150000</v>
      </c>
      <c r="D81" s="7">
        <f t="shared" si="2"/>
        <v>48184413</v>
      </c>
    </row>
    <row r="82" spans="1:4" ht="18" customHeight="1" x14ac:dyDescent="0.25">
      <c r="A82" s="2" t="s">
        <v>2088</v>
      </c>
      <c r="B82" s="7">
        <v>48334413</v>
      </c>
      <c r="C82" s="7">
        <v>4000000</v>
      </c>
      <c r="D82" s="7">
        <f t="shared" si="2"/>
        <v>44334413</v>
      </c>
    </row>
    <row r="83" spans="1:4" ht="18" customHeight="1" x14ac:dyDescent="0.25">
      <c r="A83" s="2" t="s">
        <v>1097</v>
      </c>
      <c r="B83" s="7">
        <v>51431160</v>
      </c>
      <c r="C83" s="7">
        <v>20000000</v>
      </c>
      <c r="D83" s="7">
        <f t="shared" si="2"/>
        <v>31431160</v>
      </c>
    </row>
    <row r="84" spans="1:4" ht="18" customHeight="1" x14ac:dyDescent="0.25">
      <c r="A84" s="2" t="s">
        <v>918</v>
      </c>
      <c r="B84" s="7">
        <v>56702901</v>
      </c>
      <c r="C84" s="7">
        <v>60000000</v>
      </c>
      <c r="D84" s="7">
        <f t="shared" si="2"/>
        <v>-3297099</v>
      </c>
    </row>
    <row r="85" spans="1:4" ht="18" customHeight="1" x14ac:dyDescent="0.25">
      <c r="A85" s="2" t="s">
        <v>5114</v>
      </c>
      <c r="B85" s="7">
        <v>5702083</v>
      </c>
      <c r="C85" s="7">
        <v>15000000</v>
      </c>
      <c r="D85" s="7">
        <f t="shared" si="2"/>
        <v>-9297917</v>
      </c>
    </row>
    <row r="86" spans="1:4" ht="18" customHeight="1" x14ac:dyDescent="0.25">
      <c r="A86" s="2" t="s">
        <v>5596</v>
      </c>
      <c r="B86" s="7">
        <v>2148212</v>
      </c>
      <c r="C86" s="7">
        <v>7000000</v>
      </c>
      <c r="D86" s="7">
        <f t="shared" si="2"/>
        <v>-4851788</v>
      </c>
    </row>
    <row r="87" spans="1:4" ht="18" customHeight="1" x14ac:dyDescent="0.25">
      <c r="A87" s="2" t="s">
        <v>2666</v>
      </c>
      <c r="B87" s="7">
        <v>48334413</v>
      </c>
      <c r="C87" s="7">
        <v>120000</v>
      </c>
      <c r="D87" s="7">
        <f t="shared" si="2"/>
        <v>48214413</v>
      </c>
    </row>
    <row r="88" spans="1:4" ht="18" customHeight="1" x14ac:dyDescent="0.25">
      <c r="A88" s="2" t="s">
        <v>2492</v>
      </c>
      <c r="B88" s="7">
        <v>48334413</v>
      </c>
      <c r="C88" s="7">
        <v>800000</v>
      </c>
      <c r="D88" s="7">
        <f t="shared" si="2"/>
        <v>47534413</v>
      </c>
    </row>
    <row r="89" spans="1:4" ht="18" customHeight="1" x14ac:dyDescent="0.25">
      <c r="A89" s="2" t="s">
        <v>2469</v>
      </c>
      <c r="B89" s="7">
        <v>48334413</v>
      </c>
      <c r="C89" s="7">
        <v>1000000</v>
      </c>
      <c r="D89" s="7">
        <f t="shared" si="2"/>
        <v>47334413</v>
      </c>
    </row>
    <row r="90" spans="1:4" ht="18" customHeight="1" x14ac:dyDescent="0.25">
      <c r="A90" s="2" t="s">
        <v>5379</v>
      </c>
      <c r="B90" s="7">
        <v>3500000</v>
      </c>
      <c r="C90" s="7">
        <v>200000</v>
      </c>
      <c r="D90" s="7">
        <f t="shared" si="2"/>
        <v>3300000</v>
      </c>
    </row>
    <row r="91" spans="1:4" ht="18" customHeight="1" x14ac:dyDescent="0.25">
      <c r="A91" s="2" t="s">
        <v>2281</v>
      </c>
      <c r="B91" s="7">
        <v>48334413</v>
      </c>
      <c r="C91" s="7">
        <v>2000000</v>
      </c>
      <c r="D91" s="7">
        <f t="shared" si="2"/>
        <v>46334413</v>
      </c>
    </row>
    <row r="92" spans="1:4" ht="18" customHeight="1" x14ac:dyDescent="0.25">
      <c r="A92" s="2" t="s">
        <v>4923</v>
      </c>
      <c r="B92" s="7">
        <v>7458269</v>
      </c>
      <c r="C92" s="7">
        <v>35000000</v>
      </c>
      <c r="D92" s="7">
        <f t="shared" si="2"/>
        <v>-27541731</v>
      </c>
    </row>
    <row r="93" spans="1:4" ht="18" customHeight="1" x14ac:dyDescent="0.25">
      <c r="A93" s="2" t="s">
        <v>2202</v>
      </c>
      <c r="B93" s="7">
        <v>48334413</v>
      </c>
      <c r="C93" s="7">
        <v>2627000</v>
      </c>
      <c r="D93" s="7">
        <f t="shared" si="2"/>
        <v>45707413</v>
      </c>
    </row>
    <row r="94" spans="1:4" ht="18" customHeight="1" x14ac:dyDescent="0.25">
      <c r="A94" s="2" t="s">
        <v>4316</v>
      </c>
      <c r="B94" s="7">
        <v>15408822</v>
      </c>
      <c r="C94" s="7">
        <v>20000000</v>
      </c>
      <c r="D94" s="7">
        <f t="shared" si="2"/>
        <v>-4591178</v>
      </c>
    </row>
    <row r="95" spans="1:4" ht="18" customHeight="1" x14ac:dyDescent="0.25">
      <c r="A95" s="2" t="s">
        <v>5994</v>
      </c>
      <c r="B95" s="7">
        <v>515005</v>
      </c>
      <c r="C95" s="7">
        <v>560000</v>
      </c>
      <c r="D95" s="7">
        <f t="shared" si="2"/>
        <v>-44995</v>
      </c>
    </row>
    <row r="96" spans="1:4" ht="18" customHeight="1" x14ac:dyDescent="0.25">
      <c r="A96" s="2" t="s">
        <v>4176</v>
      </c>
      <c r="B96" s="7">
        <v>17314483</v>
      </c>
      <c r="C96" s="7">
        <v>4000000</v>
      </c>
      <c r="D96" s="7">
        <f t="shared" si="2"/>
        <v>13314483</v>
      </c>
    </row>
    <row r="97" spans="1:4" ht="18" customHeight="1" x14ac:dyDescent="0.25">
      <c r="A97" s="2" t="s">
        <v>3021</v>
      </c>
      <c r="B97" s="7">
        <v>40041683</v>
      </c>
      <c r="C97" s="7">
        <v>2500000</v>
      </c>
      <c r="D97" s="7">
        <f t="shared" si="2"/>
        <v>37541683</v>
      </c>
    </row>
    <row r="98" spans="1:4" ht="18" customHeight="1" x14ac:dyDescent="0.25">
      <c r="A98" s="2" t="s">
        <v>3437</v>
      </c>
      <c r="B98" s="7">
        <v>31493782</v>
      </c>
      <c r="C98" s="7">
        <v>32000000</v>
      </c>
      <c r="D98" s="7">
        <f t="shared" si="2"/>
        <v>-506218</v>
      </c>
    </row>
    <row r="99" spans="1:4" ht="18" customHeight="1" x14ac:dyDescent="0.25">
      <c r="A99" s="2" t="s">
        <v>5810</v>
      </c>
      <c r="B99" s="7">
        <v>1029017</v>
      </c>
      <c r="C99" s="7">
        <v>6500000</v>
      </c>
      <c r="D99" s="7">
        <f t="shared" si="2"/>
        <v>-5470983</v>
      </c>
    </row>
    <row r="100" spans="1:4" ht="18" customHeight="1" x14ac:dyDescent="0.25">
      <c r="A100" s="2" t="s">
        <v>940</v>
      </c>
      <c r="B100" s="7">
        <v>56083966</v>
      </c>
      <c r="C100" s="7">
        <v>65000000</v>
      </c>
      <c r="D100" s="7">
        <f t="shared" si="2"/>
        <v>-8916034</v>
      </c>
    </row>
    <row r="101" spans="1:4" ht="18" customHeight="1" x14ac:dyDescent="0.25">
      <c r="A101" s="2" t="s">
        <v>68</v>
      </c>
      <c r="B101" s="7">
        <v>107458785</v>
      </c>
      <c r="C101" s="7">
        <v>40000000</v>
      </c>
      <c r="D101" s="7">
        <f t="shared" si="2"/>
        <v>67458785</v>
      </c>
    </row>
    <row r="102" spans="1:4" ht="18" customHeight="1" x14ac:dyDescent="0.25">
      <c r="A102" s="2" t="s">
        <v>6395</v>
      </c>
      <c r="B102" s="7">
        <v>100240</v>
      </c>
      <c r="C102" s="7">
        <v>1000000</v>
      </c>
      <c r="D102" s="7">
        <f t="shared" si="2"/>
        <v>-899760</v>
      </c>
    </row>
    <row r="103" spans="1:4" ht="18" customHeight="1" x14ac:dyDescent="0.25">
      <c r="A103" s="2" t="s">
        <v>2073</v>
      </c>
      <c r="B103" s="7">
        <v>48334413</v>
      </c>
      <c r="C103" s="7">
        <v>4000000</v>
      </c>
      <c r="D103" s="7">
        <f t="shared" si="2"/>
        <v>44334413</v>
      </c>
    </row>
    <row r="104" spans="1:4" ht="18" customHeight="1" x14ac:dyDescent="0.25">
      <c r="A104" s="2" t="s">
        <v>3902</v>
      </c>
      <c r="B104" s="7">
        <v>21835784</v>
      </c>
      <c r="C104" s="7">
        <v>30000000</v>
      </c>
      <c r="D104" s="7">
        <f t="shared" si="2"/>
        <v>-8164216</v>
      </c>
    </row>
    <row r="105" spans="1:4" ht="18" customHeight="1" x14ac:dyDescent="0.25">
      <c r="A105" s="2" t="s">
        <v>3524</v>
      </c>
      <c r="B105" s="7">
        <v>29392418</v>
      </c>
      <c r="C105" s="7">
        <v>10000000</v>
      </c>
      <c r="D105" s="7">
        <f t="shared" si="2"/>
        <v>19392418</v>
      </c>
    </row>
    <row r="106" spans="1:4" ht="18" customHeight="1" x14ac:dyDescent="0.25">
      <c r="A106" s="2" t="s">
        <v>1053</v>
      </c>
      <c r="B106" s="7">
        <v>52528330</v>
      </c>
      <c r="C106" s="7">
        <v>25000000</v>
      </c>
      <c r="D106" s="7">
        <f t="shared" si="2"/>
        <v>27528330</v>
      </c>
    </row>
    <row r="107" spans="1:4" ht="18" customHeight="1" x14ac:dyDescent="0.25">
      <c r="A107" s="2" t="s">
        <v>3673</v>
      </c>
      <c r="B107" s="7">
        <v>26183197</v>
      </c>
      <c r="C107" s="7">
        <v>36000000</v>
      </c>
      <c r="D107" s="7">
        <f t="shared" si="2"/>
        <v>-9816803</v>
      </c>
    </row>
    <row r="108" spans="1:4" ht="18" customHeight="1" x14ac:dyDescent="0.25">
      <c r="A108" s="2" t="s">
        <v>2251</v>
      </c>
      <c r="B108" s="7">
        <v>48334413</v>
      </c>
      <c r="C108" s="7">
        <v>2000000</v>
      </c>
      <c r="D108" s="7">
        <f t="shared" si="2"/>
        <v>46334413</v>
      </c>
    </row>
    <row r="109" spans="1:4" ht="18" customHeight="1" x14ac:dyDescent="0.25">
      <c r="A109" s="2" t="s">
        <v>4788</v>
      </c>
      <c r="B109" s="7">
        <v>9172810</v>
      </c>
      <c r="C109" s="7">
        <v>16000000</v>
      </c>
      <c r="D109" s="7">
        <f t="shared" si="2"/>
        <v>-6827190</v>
      </c>
    </row>
    <row r="110" spans="1:4" ht="18" customHeight="1" x14ac:dyDescent="0.25">
      <c r="A110" s="2" t="s">
        <v>4160</v>
      </c>
      <c r="B110" s="7">
        <v>17508936</v>
      </c>
      <c r="C110" s="7">
        <v>39751583.5</v>
      </c>
      <c r="D110" s="7">
        <f t="shared" si="2"/>
        <v>-22242647.5</v>
      </c>
    </row>
    <row r="111" spans="1:4" ht="18" customHeight="1" x14ac:dyDescent="0.25">
      <c r="A111" s="2" t="s">
        <v>2928</v>
      </c>
      <c r="B111" s="7">
        <v>42615685</v>
      </c>
      <c r="C111" s="7">
        <v>40000000</v>
      </c>
      <c r="D111" s="7">
        <f t="shared" si="2"/>
        <v>2615685</v>
      </c>
    </row>
    <row r="112" spans="1:4" ht="18" customHeight="1" x14ac:dyDescent="0.25">
      <c r="A112" s="2" t="s">
        <v>1633</v>
      </c>
      <c r="B112" s="7">
        <v>48334413</v>
      </c>
      <c r="C112" s="7">
        <v>25000000</v>
      </c>
      <c r="D112" s="7">
        <f t="shared" si="2"/>
        <v>23334413</v>
      </c>
    </row>
    <row r="113" spans="1:4" ht="18" customHeight="1" x14ac:dyDescent="0.25">
      <c r="A113" s="2" t="s">
        <v>5109</v>
      </c>
      <c r="B113" s="7">
        <v>5749134</v>
      </c>
      <c r="C113" s="7">
        <v>20000000</v>
      </c>
      <c r="D113" s="7">
        <f t="shared" si="2"/>
        <v>-14250866</v>
      </c>
    </row>
    <row r="114" spans="1:4" ht="18" customHeight="1" x14ac:dyDescent="0.25">
      <c r="A114" s="2" t="s">
        <v>4184</v>
      </c>
      <c r="B114" s="7">
        <v>17237244</v>
      </c>
      <c r="C114" s="7">
        <v>15000000</v>
      </c>
      <c r="D114" s="7">
        <f t="shared" si="2"/>
        <v>2237244</v>
      </c>
    </row>
    <row r="115" spans="1:4" ht="18" customHeight="1" x14ac:dyDescent="0.25">
      <c r="A115" s="2" t="s">
        <v>3480</v>
      </c>
      <c r="B115" s="7">
        <v>30324946</v>
      </c>
      <c r="C115" s="7">
        <v>17000000</v>
      </c>
      <c r="D115" s="7">
        <f t="shared" si="2"/>
        <v>13324946</v>
      </c>
    </row>
    <row r="116" spans="1:4" ht="18" customHeight="1" x14ac:dyDescent="0.25">
      <c r="A116" s="2" t="s">
        <v>3510</v>
      </c>
      <c r="B116" s="7">
        <v>30000000</v>
      </c>
      <c r="C116" s="7">
        <v>2200000</v>
      </c>
      <c r="D116" s="7">
        <f t="shared" si="2"/>
        <v>27800000</v>
      </c>
    </row>
    <row r="117" spans="1:4" ht="18" customHeight="1" x14ac:dyDescent="0.25">
      <c r="A117" s="2" t="s">
        <v>2851</v>
      </c>
      <c r="B117" s="7">
        <v>44793200</v>
      </c>
      <c r="C117" s="7">
        <v>4500000</v>
      </c>
      <c r="D117" s="7">
        <f t="shared" si="2"/>
        <v>40293200</v>
      </c>
    </row>
    <row r="118" spans="1:4" ht="18" customHeight="1" x14ac:dyDescent="0.25">
      <c r="A118" s="2" t="s">
        <v>1179</v>
      </c>
      <c r="B118" s="7">
        <v>49369900</v>
      </c>
      <c r="C118" s="7">
        <v>7000000</v>
      </c>
      <c r="D118" s="7">
        <f t="shared" si="2"/>
        <v>42369900</v>
      </c>
    </row>
    <row r="119" spans="1:4" ht="18" customHeight="1" x14ac:dyDescent="0.25">
      <c r="A119" s="2" t="s">
        <v>3895</v>
      </c>
      <c r="B119" s="7">
        <v>22168359</v>
      </c>
      <c r="C119" s="7">
        <v>8000000</v>
      </c>
      <c r="D119" s="7">
        <f t="shared" si="2"/>
        <v>14168359</v>
      </c>
    </row>
    <row r="120" spans="1:4" ht="18" customHeight="1" x14ac:dyDescent="0.25">
      <c r="A120" s="2" t="s">
        <v>3658</v>
      </c>
      <c r="B120" s="7">
        <v>53010000</v>
      </c>
      <c r="C120" s="7">
        <v>3600000</v>
      </c>
      <c r="D120" s="7">
        <f t="shared" si="2"/>
        <v>49410000</v>
      </c>
    </row>
    <row r="121" spans="1:4" ht="18" customHeight="1" x14ac:dyDescent="0.25">
      <c r="A121" s="2" t="s">
        <v>3666</v>
      </c>
      <c r="B121" s="7">
        <v>26400000</v>
      </c>
      <c r="C121" s="7">
        <v>16000000</v>
      </c>
      <c r="D121" s="7">
        <f t="shared" si="2"/>
        <v>10400000</v>
      </c>
    </row>
    <row r="122" spans="1:4" ht="18" customHeight="1" x14ac:dyDescent="0.25">
      <c r="A122" s="2" t="s">
        <v>4310</v>
      </c>
      <c r="B122" s="7">
        <v>15483540</v>
      </c>
      <c r="C122" s="7">
        <v>14000000</v>
      </c>
      <c r="D122" s="7">
        <f t="shared" si="2"/>
        <v>1483540</v>
      </c>
    </row>
    <row r="123" spans="1:4" ht="18" customHeight="1" x14ac:dyDescent="0.25">
      <c r="A123" s="2" t="s">
        <v>1717</v>
      </c>
      <c r="B123" s="7">
        <v>48334413</v>
      </c>
      <c r="C123" s="7">
        <v>17000000</v>
      </c>
      <c r="D123" s="7">
        <f t="shared" si="2"/>
        <v>31334413</v>
      </c>
    </row>
    <row r="124" spans="1:4" ht="18" customHeight="1" x14ac:dyDescent="0.25">
      <c r="A124" s="2" t="s">
        <v>2743</v>
      </c>
      <c r="B124" s="7">
        <v>48334413</v>
      </c>
      <c r="C124" s="7">
        <v>1400</v>
      </c>
      <c r="D124" s="7">
        <f t="shared" si="2"/>
        <v>48333013</v>
      </c>
    </row>
    <row r="125" spans="1:4" ht="18" customHeight="1" x14ac:dyDescent="0.25">
      <c r="A125" s="2" t="s">
        <v>3991</v>
      </c>
      <c r="B125" s="7">
        <v>20338609</v>
      </c>
      <c r="C125" s="7">
        <v>10000000</v>
      </c>
      <c r="D125" s="7">
        <f t="shared" si="2"/>
        <v>10338609</v>
      </c>
    </row>
    <row r="126" spans="1:4" ht="18" customHeight="1" x14ac:dyDescent="0.25">
      <c r="A126" s="2" t="s">
        <v>6607</v>
      </c>
      <c r="B126" s="7">
        <v>18434</v>
      </c>
      <c r="C126" s="7">
        <v>39751583.5</v>
      </c>
      <c r="D126" s="7">
        <f t="shared" si="2"/>
        <v>-39733149.5</v>
      </c>
    </row>
    <row r="127" spans="1:4" ht="18" customHeight="1" x14ac:dyDescent="0.25">
      <c r="A127" s="2" t="s">
        <v>3957</v>
      </c>
      <c r="B127" s="7">
        <v>20966644</v>
      </c>
      <c r="C127" s="7">
        <v>3000000</v>
      </c>
      <c r="D127" s="7">
        <f t="shared" si="2"/>
        <v>17966644</v>
      </c>
    </row>
    <row r="128" spans="1:4" ht="18" customHeight="1" x14ac:dyDescent="0.25">
      <c r="A128" s="2" t="s">
        <v>5138</v>
      </c>
      <c r="B128" s="7">
        <v>5480996</v>
      </c>
      <c r="C128" s="7">
        <v>8700000</v>
      </c>
      <c r="D128" s="7">
        <f t="shared" si="2"/>
        <v>-3219004</v>
      </c>
    </row>
    <row r="129" spans="1:4" ht="18" customHeight="1" x14ac:dyDescent="0.25">
      <c r="A129" s="2" t="s">
        <v>4950</v>
      </c>
      <c r="B129" s="7">
        <v>7098492</v>
      </c>
      <c r="C129" s="7">
        <v>500000</v>
      </c>
      <c r="D129" s="7">
        <f t="shared" si="2"/>
        <v>6598492</v>
      </c>
    </row>
    <row r="130" spans="1:4" ht="18" customHeight="1" x14ac:dyDescent="0.25">
      <c r="A130" s="2" t="s">
        <v>4783</v>
      </c>
      <c r="B130" s="7">
        <v>9190525</v>
      </c>
      <c r="C130" s="7">
        <v>7000000</v>
      </c>
      <c r="D130" s="7">
        <f t="shared" si="2"/>
        <v>2190525</v>
      </c>
    </row>
    <row r="131" spans="1:4" ht="18" customHeight="1" x14ac:dyDescent="0.25">
      <c r="A131" s="2" t="s">
        <v>1967</v>
      </c>
      <c r="B131" s="7">
        <v>48334413</v>
      </c>
      <c r="C131" s="7">
        <v>6000000</v>
      </c>
      <c r="D131" s="7">
        <f t="shared" si="2"/>
        <v>42334413</v>
      </c>
    </row>
    <row r="132" spans="1:4" ht="18" customHeight="1" x14ac:dyDescent="0.25">
      <c r="A132" s="2" t="s">
        <v>4238</v>
      </c>
      <c r="B132" s="7">
        <v>16311763</v>
      </c>
      <c r="C132" s="7">
        <v>17000000</v>
      </c>
      <c r="D132" s="7">
        <f t="shared" si="2"/>
        <v>-688237</v>
      </c>
    </row>
    <row r="133" spans="1:4" ht="18" customHeight="1" x14ac:dyDescent="0.25">
      <c r="A133" s="2" t="s">
        <v>4851</v>
      </c>
      <c r="B133" s="7">
        <v>8119205</v>
      </c>
      <c r="C133" s="7">
        <v>28000000</v>
      </c>
      <c r="D133" s="7">
        <f t="shared" ref="D133:D196" si="3">B133-C133</f>
        <v>-19880795</v>
      </c>
    </row>
    <row r="134" spans="1:4" ht="18" customHeight="1" x14ac:dyDescent="0.25">
      <c r="A134" s="2" t="s">
        <v>4791</v>
      </c>
      <c r="B134" s="7">
        <v>9166863</v>
      </c>
      <c r="C134" s="7">
        <v>7000000</v>
      </c>
      <c r="D134" s="7">
        <f t="shared" si="3"/>
        <v>2166863</v>
      </c>
    </row>
    <row r="135" spans="1:4" ht="18" customHeight="1" x14ac:dyDescent="0.25">
      <c r="A135" s="2" t="s">
        <v>5641</v>
      </c>
      <c r="B135" s="7">
        <v>1891821</v>
      </c>
      <c r="C135" s="7">
        <v>52000000</v>
      </c>
      <c r="D135" s="7">
        <f t="shared" si="3"/>
        <v>-50108179</v>
      </c>
    </row>
    <row r="136" spans="1:4" ht="18" customHeight="1" x14ac:dyDescent="0.25">
      <c r="A136" s="2" t="s">
        <v>2300</v>
      </c>
      <c r="B136" s="7">
        <v>48334413</v>
      </c>
      <c r="C136" s="7">
        <v>1800000</v>
      </c>
      <c r="D136" s="7">
        <f t="shared" si="3"/>
        <v>46534413</v>
      </c>
    </row>
    <row r="137" spans="1:4" ht="18" customHeight="1" x14ac:dyDescent="0.25">
      <c r="A137" s="2" t="s">
        <v>1790</v>
      </c>
      <c r="B137" s="7">
        <v>48334413</v>
      </c>
      <c r="C137" s="7">
        <v>12000000</v>
      </c>
      <c r="D137" s="7">
        <f t="shared" si="3"/>
        <v>36334413</v>
      </c>
    </row>
    <row r="138" spans="1:4" ht="18" customHeight="1" x14ac:dyDescent="0.25">
      <c r="A138" s="2" t="s">
        <v>3262</v>
      </c>
      <c r="B138" s="7">
        <v>34746109</v>
      </c>
      <c r="C138" s="7">
        <v>8000000</v>
      </c>
      <c r="D138" s="7">
        <f t="shared" si="3"/>
        <v>26746109</v>
      </c>
    </row>
    <row r="139" spans="1:4" ht="18" customHeight="1" x14ac:dyDescent="0.25">
      <c r="A139" s="2" t="s">
        <v>4104</v>
      </c>
      <c r="B139" s="7">
        <v>18438149</v>
      </c>
      <c r="C139" s="7">
        <v>40000000</v>
      </c>
      <c r="D139" s="7">
        <f t="shared" si="3"/>
        <v>-21561851</v>
      </c>
    </row>
    <row r="140" spans="1:4" ht="18" customHeight="1" x14ac:dyDescent="0.25">
      <c r="A140" s="2" t="s">
        <v>51</v>
      </c>
      <c r="B140" s="7">
        <v>108706165</v>
      </c>
      <c r="C140" s="7">
        <v>40000000</v>
      </c>
      <c r="D140" s="7">
        <f t="shared" si="3"/>
        <v>68706165</v>
      </c>
    </row>
    <row r="141" spans="1:4" ht="18" customHeight="1" x14ac:dyDescent="0.25">
      <c r="A141" s="2" t="s">
        <v>1253</v>
      </c>
      <c r="B141" s="7">
        <v>48334413</v>
      </c>
      <c r="C141" s="7">
        <v>39751583.5</v>
      </c>
      <c r="D141" s="7">
        <f t="shared" si="3"/>
        <v>8582829.5</v>
      </c>
    </row>
    <row r="142" spans="1:4" ht="18" customHeight="1" x14ac:dyDescent="0.25">
      <c r="A142" s="2" t="s">
        <v>2713</v>
      </c>
      <c r="B142" s="7">
        <v>48334413</v>
      </c>
      <c r="C142" s="7">
        <v>45000</v>
      </c>
      <c r="D142" s="7">
        <f t="shared" si="3"/>
        <v>48289413</v>
      </c>
    </row>
    <row r="143" spans="1:4" ht="18" customHeight="1" x14ac:dyDescent="0.25">
      <c r="A143" s="2" t="s">
        <v>1287</v>
      </c>
      <c r="B143" s="7">
        <v>48334413</v>
      </c>
      <c r="C143" s="7">
        <v>39751583.5</v>
      </c>
      <c r="D143" s="7">
        <f t="shared" si="3"/>
        <v>8582829.5</v>
      </c>
    </row>
    <row r="144" spans="1:4" ht="18" customHeight="1" x14ac:dyDescent="0.25">
      <c r="A144" s="2" t="s">
        <v>3250</v>
      </c>
      <c r="B144" s="7">
        <v>35033759</v>
      </c>
      <c r="C144" s="7">
        <v>19000000</v>
      </c>
      <c r="D144" s="7">
        <f t="shared" si="3"/>
        <v>16033759</v>
      </c>
    </row>
    <row r="145" spans="1:4" ht="18" customHeight="1" x14ac:dyDescent="0.25">
      <c r="A145" s="2" t="s">
        <v>5055</v>
      </c>
      <c r="B145" s="7">
        <v>6167817</v>
      </c>
      <c r="C145" s="7">
        <v>47000000</v>
      </c>
      <c r="D145" s="7">
        <f t="shared" si="3"/>
        <v>-40832183</v>
      </c>
    </row>
    <row r="146" spans="1:4" ht="18" customHeight="1" x14ac:dyDescent="0.25">
      <c r="A146" s="2" t="s">
        <v>1150</v>
      </c>
      <c r="B146" s="7">
        <v>50300000</v>
      </c>
      <c r="C146" s="7">
        <v>30000000</v>
      </c>
      <c r="D146" s="7">
        <f t="shared" si="3"/>
        <v>20300000</v>
      </c>
    </row>
    <row r="147" spans="1:4" ht="18" customHeight="1" x14ac:dyDescent="0.25">
      <c r="A147" s="2" t="s">
        <v>3687</v>
      </c>
      <c r="B147" s="7">
        <v>25977365</v>
      </c>
      <c r="C147" s="7">
        <v>28000000</v>
      </c>
      <c r="D147" s="7">
        <f t="shared" si="3"/>
        <v>-2022635</v>
      </c>
    </row>
    <row r="148" spans="1:4" ht="18" customHeight="1" x14ac:dyDescent="0.25">
      <c r="A148" s="2" t="s">
        <v>5214</v>
      </c>
      <c r="B148" s="7">
        <v>4741987</v>
      </c>
      <c r="C148" s="7">
        <v>14000000</v>
      </c>
      <c r="D148" s="7">
        <f t="shared" si="3"/>
        <v>-9258013</v>
      </c>
    </row>
    <row r="149" spans="1:4" ht="18" customHeight="1" x14ac:dyDescent="0.25">
      <c r="A149" s="2" t="s">
        <v>2981</v>
      </c>
      <c r="B149" s="7">
        <v>41227069</v>
      </c>
      <c r="C149" s="7">
        <v>11000000</v>
      </c>
      <c r="D149" s="7">
        <f t="shared" si="3"/>
        <v>30227069</v>
      </c>
    </row>
    <row r="150" spans="1:4" ht="18" customHeight="1" x14ac:dyDescent="0.25">
      <c r="A150" s="2" t="s">
        <v>1608</v>
      </c>
      <c r="B150" s="7">
        <v>48334413</v>
      </c>
      <c r="C150" s="7">
        <v>30000000</v>
      </c>
      <c r="D150" s="7">
        <f t="shared" si="3"/>
        <v>18334413</v>
      </c>
    </row>
    <row r="151" spans="1:4" ht="18" customHeight="1" x14ac:dyDescent="0.25">
      <c r="A151" s="2" t="s">
        <v>6238</v>
      </c>
      <c r="B151" s="7">
        <v>190666</v>
      </c>
      <c r="C151" s="7">
        <v>39751583.5</v>
      </c>
      <c r="D151" s="7">
        <f t="shared" si="3"/>
        <v>-39560917.5</v>
      </c>
    </row>
    <row r="152" spans="1:4" ht="18" customHeight="1" x14ac:dyDescent="0.25">
      <c r="A152" s="2" t="s">
        <v>3696</v>
      </c>
      <c r="B152" s="7">
        <v>25857987</v>
      </c>
      <c r="C152" s="7">
        <v>62000000</v>
      </c>
      <c r="D152" s="7">
        <f t="shared" si="3"/>
        <v>-36142013</v>
      </c>
    </row>
    <row r="153" spans="1:4" ht="18" customHeight="1" x14ac:dyDescent="0.25">
      <c r="A153" s="2" t="s">
        <v>4671</v>
      </c>
      <c r="B153" s="7">
        <v>10719367</v>
      </c>
      <c r="C153" s="7">
        <v>25000000</v>
      </c>
      <c r="D153" s="7">
        <f t="shared" si="3"/>
        <v>-14280633</v>
      </c>
    </row>
    <row r="154" spans="1:4" ht="18" customHeight="1" x14ac:dyDescent="0.25">
      <c r="A154" s="2" t="s">
        <v>1471</v>
      </c>
      <c r="B154" s="7">
        <v>48334413</v>
      </c>
      <c r="C154" s="7">
        <v>39751583.5</v>
      </c>
      <c r="D154" s="7">
        <f t="shared" si="3"/>
        <v>8582829.5</v>
      </c>
    </row>
    <row r="155" spans="1:4" ht="18" customHeight="1" x14ac:dyDescent="0.25">
      <c r="A155" s="2" t="s">
        <v>6406</v>
      </c>
      <c r="B155" s="7">
        <v>95236</v>
      </c>
      <c r="C155" s="7">
        <v>39751583.5</v>
      </c>
      <c r="D155" s="7">
        <f t="shared" si="3"/>
        <v>-39656347.5</v>
      </c>
    </row>
    <row r="156" spans="1:4" ht="18" customHeight="1" x14ac:dyDescent="0.25">
      <c r="A156" s="2" t="s">
        <v>3577</v>
      </c>
      <c r="B156" s="7">
        <v>28064226</v>
      </c>
      <c r="C156" s="7">
        <v>35000000</v>
      </c>
      <c r="D156" s="7">
        <f t="shared" si="3"/>
        <v>-6935774</v>
      </c>
    </row>
    <row r="157" spans="1:4" ht="18" customHeight="1" x14ac:dyDescent="0.25">
      <c r="A157" s="2" t="s">
        <v>6464</v>
      </c>
      <c r="B157" s="7">
        <v>64148</v>
      </c>
      <c r="C157" s="7">
        <v>6500000</v>
      </c>
      <c r="D157" s="7">
        <f t="shared" si="3"/>
        <v>-6435852</v>
      </c>
    </row>
    <row r="158" spans="1:4" ht="18" customHeight="1" x14ac:dyDescent="0.25">
      <c r="A158" s="2" t="s">
        <v>2995</v>
      </c>
      <c r="B158" s="7">
        <v>40566655</v>
      </c>
      <c r="C158" s="7">
        <v>30000000</v>
      </c>
      <c r="D158" s="7">
        <f t="shared" si="3"/>
        <v>10566655</v>
      </c>
    </row>
    <row r="159" spans="1:4" ht="18" customHeight="1" x14ac:dyDescent="0.25">
      <c r="A159" s="2" t="s">
        <v>1194</v>
      </c>
      <c r="B159" s="7">
        <v>48637684</v>
      </c>
      <c r="C159" s="7">
        <v>12500000</v>
      </c>
      <c r="D159" s="7">
        <f t="shared" si="3"/>
        <v>36137684</v>
      </c>
    </row>
    <row r="160" spans="1:4" ht="18" customHeight="1" x14ac:dyDescent="0.25">
      <c r="A160" s="2" t="s">
        <v>724</v>
      </c>
      <c r="B160" s="7">
        <v>65010106</v>
      </c>
      <c r="C160" s="7">
        <v>30000000</v>
      </c>
      <c r="D160" s="7">
        <f t="shared" si="3"/>
        <v>35010106</v>
      </c>
    </row>
    <row r="161" spans="1:4" ht="18" customHeight="1" x14ac:dyDescent="0.25">
      <c r="A161" s="2" t="s">
        <v>4322</v>
      </c>
      <c r="B161" s="7">
        <v>15294553</v>
      </c>
      <c r="C161" s="7">
        <v>12000000</v>
      </c>
      <c r="D161" s="7">
        <f t="shared" si="3"/>
        <v>3294553</v>
      </c>
    </row>
    <row r="162" spans="1:4" ht="18" customHeight="1" x14ac:dyDescent="0.25">
      <c r="A162" s="2" t="s">
        <v>3137</v>
      </c>
      <c r="B162" s="7">
        <v>37516013</v>
      </c>
      <c r="C162" s="7">
        <v>69000000</v>
      </c>
      <c r="D162" s="7">
        <f t="shared" si="3"/>
        <v>-31483987</v>
      </c>
    </row>
    <row r="163" spans="1:4" ht="18" customHeight="1" x14ac:dyDescent="0.25">
      <c r="A163" s="2" t="s">
        <v>2695</v>
      </c>
      <c r="B163" s="7">
        <v>48334413</v>
      </c>
      <c r="C163" s="7">
        <v>70000</v>
      </c>
      <c r="D163" s="7">
        <f t="shared" si="3"/>
        <v>48264413</v>
      </c>
    </row>
    <row r="164" spans="1:4" ht="18" customHeight="1" x14ac:dyDescent="0.25">
      <c r="A164" s="2" t="s">
        <v>1165</v>
      </c>
      <c r="B164" s="7">
        <v>50007168</v>
      </c>
      <c r="C164" s="7">
        <v>50000000</v>
      </c>
      <c r="D164" s="7">
        <f t="shared" si="3"/>
        <v>7168</v>
      </c>
    </row>
    <row r="165" spans="1:4" ht="18" customHeight="1" x14ac:dyDescent="0.25">
      <c r="A165" s="2" t="s">
        <v>1629</v>
      </c>
      <c r="B165" s="7">
        <v>48334413</v>
      </c>
      <c r="C165" s="7">
        <v>26000000</v>
      </c>
      <c r="D165" s="7">
        <f t="shared" si="3"/>
        <v>22334413</v>
      </c>
    </row>
    <row r="166" spans="1:4" ht="18" customHeight="1" x14ac:dyDescent="0.25">
      <c r="A166" s="2" t="s">
        <v>577</v>
      </c>
      <c r="B166" s="7">
        <v>72217000</v>
      </c>
      <c r="C166" s="7">
        <v>12000000</v>
      </c>
      <c r="D166" s="7">
        <f t="shared" si="3"/>
        <v>60217000</v>
      </c>
    </row>
    <row r="167" spans="1:4" ht="18" customHeight="1" x14ac:dyDescent="0.25">
      <c r="A167" s="2" t="s">
        <v>54</v>
      </c>
      <c r="B167" s="7">
        <v>108360000</v>
      </c>
      <c r="C167" s="7">
        <v>30000000</v>
      </c>
      <c r="D167" s="7">
        <f t="shared" si="3"/>
        <v>78360000</v>
      </c>
    </row>
    <row r="168" spans="1:4" ht="18" customHeight="1" x14ac:dyDescent="0.25">
      <c r="A168" s="2" t="s">
        <v>3790</v>
      </c>
      <c r="B168" s="7">
        <v>48687346</v>
      </c>
      <c r="C168" s="7">
        <v>90000000</v>
      </c>
      <c r="D168" s="7">
        <f t="shared" si="3"/>
        <v>-41312654</v>
      </c>
    </row>
    <row r="169" spans="1:4" ht="18" customHeight="1" x14ac:dyDescent="0.25">
      <c r="A169" s="2" t="s">
        <v>630</v>
      </c>
      <c r="B169" s="7">
        <v>70011073</v>
      </c>
      <c r="C169" s="7">
        <v>12000000</v>
      </c>
      <c r="D169" s="7">
        <f t="shared" si="3"/>
        <v>58011073</v>
      </c>
    </row>
    <row r="170" spans="1:4" ht="18" customHeight="1" x14ac:dyDescent="0.25">
      <c r="A170" s="2" t="s">
        <v>4002</v>
      </c>
      <c r="B170" s="7">
        <v>20257000</v>
      </c>
      <c r="C170" s="7">
        <v>7000000</v>
      </c>
      <c r="D170" s="7">
        <f t="shared" si="3"/>
        <v>13257000</v>
      </c>
    </row>
    <row r="171" spans="1:4" ht="18" customHeight="1" x14ac:dyDescent="0.25">
      <c r="A171" s="2" t="s">
        <v>1839</v>
      </c>
      <c r="B171" s="7">
        <v>48334413</v>
      </c>
      <c r="C171" s="7">
        <v>10000000</v>
      </c>
      <c r="D171" s="7">
        <f t="shared" si="3"/>
        <v>38334413</v>
      </c>
    </row>
    <row r="172" spans="1:4" ht="18" customHeight="1" x14ac:dyDescent="0.25">
      <c r="A172" s="2" t="s">
        <v>5567</v>
      </c>
      <c r="B172" s="7">
        <v>2277396</v>
      </c>
      <c r="C172" s="7">
        <v>39751583.5</v>
      </c>
      <c r="D172" s="7">
        <f t="shared" si="3"/>
        <v>-37474187.5</v>
      </c>
    </row>
    <row r="173" spans="1:4" ht="18" customHeight="1" x14ac:dyDescent="0.25">
      <c r="A173" s="2" t="s">
        <v>3885</v>
      </c>
      <c r="B173" s="7">
        <v>22245861</v>
      </c>
      <c r="C173" s="7">
        <v>19000000</v>
      </c>
      <c r="D173" s="7">
        <f t="shared" si="3"/>
        <v>3245861</v>
      </c>
    </row>
    <row r="174" spans="1:4" ht="18" customHeight="1" x14ac:dyDescent="0.25">
      <c r="A174" s="2" t="s">
        <v>4171</v>
      </c>
      <c r="B174" s="7">
        <v>17382982</v>
      </c>
      <c r="C174" s="7">
        <v>5000000</v>
      </c>
      <c r="D174" s="7">
        <f t="shared" si="3"/>
        <v>12382982</v>
      </c>
    </row>
    <row r="175" spans="1:4" ht="18" customHeight="1" x14ac:dyDescent="0.25">
      <c r="A175" s="2" t="s">
        <v>4126</v>
      </c>
      <c r="B175" s="7">
        <v>18004225</v>
      </c>
      <c r="C175" s="7">
        <v>13000000</v>
      </c>
      <c r="D175" s="7">
        <f t="shared" si="3"/>
        <v>5004225</v>
      </c>
    </row>
    <row r="176" spans="1:4" ht="18" customHeight="1" x14ac:dyDescent="0.25">
      <c r="A176" s="2" t="s">
        <v>6121</v>
      </c>
      <c r="B176" s="7">
        <v>317125</v>
      </c>
      <c r="C176" s="7">
        <v>16000000</v>
      </c>
      <c r="D176" s="7">
        <f t="shared" si="3"/>
        <v>-15682875</v>
      </c>
    </row>
    <row r="177" spans="1:4" ht="18" customHeight="1" x14ac:dyDescent="0.25">
      <c r="A177" s="2" t="s">
        <v>2508</v>
      </c>
      <c r="B177" s="7">
        <v>48334413</v>
      </c>
      <c r="C177" s="7">
        <v>750000</v>
      </c>
      <c r="D177" s="7">
        <f t="shared" si="3"/>
        <v>47584413</v>
      </c>
    </row>
    <row r="178" spans="1:4" ht="18" customHeight="1" x14ac:dyDescent="0.25">
      <c r="A178" s="2" t="s">
        <v>4272</v>
      </c>
      <c r="B178" s="7">
        <v>16025394</v>
      </c>
      <c r="C178" s="7">
        <v>39751583.5</v>
      </c>
      <c r="D178" s="7">
        <f t="shared" si="3"/>
        <v>-23726189.5</v>
      </c>
    </row>
    <row r="179" spans="1:4" ht="18" customHeight="1" x14ac:dyDescent="0.25">
      <c r="A179" s="2" t="s">
        <v>3573</v>
      </c>
      <c r="B179" s="7">
        <v>28328132</v>
      </c>
      <c r="C179" s="7">
        <v>58000000</v>
      </c>
      <c r="D179" s="7">
        <f t="shared" si="3"/>
        <v>-29671868</v>
      </c>
    </row>
    <row r="180" spans="1:4" ht="18" customHeight="1" x14ac:dyDescent="0.25">
      <c r="A180" s="2" t="s">
        <v>6369</v>
      </c>
      <c r="B180" s="7">
        <v>108229</v>
      </c>
      <c r="C180" s="7">
        <v>4500000</v>
      </c>
      <c r="D180" s="7">
        <f t="shared" si="3"/>
        <v>-4391771</v>
      </c>
    </row>
    <row r="181" spans="1:4" ht="18" customHeight="1" x14ac:dyDescent="0.25">
      <c r="A181" s="2" t="s">
        <v>2516</v>
      </c>
      <c r="B181" s="7">
        <v>48334413</v>
      </c>
      <c r="C181" s="7">
        <v>650000</v>
      </c>
      <c r="D181" s="7">
        <f t="shared" si="3"/>
        <v>47684413</v>
      </c>
    </row>
    <row r="182" spans="1:4" ht="18" customHeight="1" x14ac:dyDescent="0.25">
      <c r="A182" s="2" t="s">
        <v>5099</v>
      </c>
      <c r="B182" s="7">
        <v>5881504</v>
      </c>
      <c r="C182" s="7">
        <v>39000000</v>
      </c>
      <c r="D182" s="7">
        <f t="shared" si="3"/>
        <v>-33118496</v>
      </c>
    </row>
    <row r="183" spans="1:4" ht="18" customHeight="1" x14ac:dyDescent="0.25">
      <c r="A183" s="2" t="s">
        <v>2291</v>
      </c>
      <c r="B183" s="7">
        <v>48334413</v>
      </c>
      <c r="C183" s="7">
        <v>2000000</v>
      </c>
      <c r="D183" s="7">
        <f t="shared" si="3"/>
        <v>46334413</v>
      </c>
    </row>
    <row r="184" spans="1:4" ht="18" customHeight="1" x14ac:dyDescent="0.25">
      <c r="A184" s="2" t="s">
        <v>3828</v>
      </c>
      <c r="B184" s="7">
        <v>23222861</v>
      </c>
      <c r="C184" s="7">
        <v>26000000</v>
      </c>
      <c r="D184" s="7">
        <f t="shared" si="3"/>
        <v>-2777139</v>
      </c>
    </row>
    <row r="185" spans="1:4" ht="18" customHeight="1" x14ac:dyDescent="0.25">
      <c r="A185" s="2" t="s">
        <v>2781</v>
      </c>
      <c r="B185" s="7">
        <v>47285499</v>
      </c>
      <c r="C185" s="7">
        <v>26000000</v>
      </c>
      <c r="D185" s="7">
        <f t="shared" si="3"/>
        <v>21285499</v>
      </c>
    </row>
    <row r="186" spans="1:4" ht="18" customHeight="1" x14ac:dyDescent="0.25">
      <c r="A186" s="2" t="s">
        <v>5934</v>
      </c>
      <c r="B186" s="7">
        <v>617840</v>
      </c>
      <c r="C186" s="7">
        <v>70000000</v>
      </c>
      <c r="D186" s="7">
        <f t="shared" si="3"/>
        <v>-69382160</v>
      </c>
    </row>
    <row r="187" spans="1:4" ht="18" customHeight="1" x14ac:dyDescent="0.25">
      <c r="A187" s="2" t="s">
        <v>5837</v>
      </c>
      <c r="B187" s="7">
        <v>927107</v>
      </c>
      <c r="C187" s="7">
        <v>15000000</v>
      </c>
      <c r="D187" s="7">
        <f t="shared" si="3"/>
        <v>-14072893</v>
      </c>
    </row>
    <row r="188" spans="1:4" ht="18" customHeight="1" x14ac:dyDescent="0.25">
      <c r="A188" s="2" t="s">
        <v>3776</v>
      </c>
      <c r="B188" s="7">
        <v>24629916</v>
      </c>
      <c r="C188" s="7">
        <v>3000000</v>
      </c>
      <c r="D188" s="7">
        <f t="shared" si="3"/>
        <v>21629916</v>
      </c>
    </row>
    <row r="189" spans="1:4" ht="18" customHeight="1" x14ac:dyDescent="0.25">
      <c r="A189" s="2" t="s">
        <v>5489</v>
      </c>
      <c r="B189" s="7">
        <v>2850263</v>
      </c>
      <c r="C189" s="7">
        <v>2600000</v>
      </c>
      <c r="D189" s="7">
        <f t="shared" si="3"/>
        <v>250263</v>
      </c>
    </row>
    <row r="190" spans="1:4" ht="18" customHeight="1" x14ac:dyDescent="0.25">
      <c r="A190" s="2" t="s">
        <v>2053</v>
      </c>
      <c r="B190" s="7">
        <v>48334413</v>
      </c>
      <c r="C190" s="7">
        <v>4400000</v>
      </c>
      <c r="D190" s="7">
        <f t="shared" si="3"/>
        <v>43934413</v>
      </c>
    </row>
    <row r="191" spans="1:4" ht="18" customHeight="1" x14ac:dyDescent="0.25">
      <c r="A191" s="2" t="s">
        <v>362</v>
      </c>
      <c r="B191" s="7">
        <v>83400000</v>
      </c>
      <c r="C191" s="7">
        <v>3500000</v>
      </c>
      <c r="D191" s="7">
        <f t="shared" si="3"/>
        <v>79900000</v>
      </c>
    </row>
    <row r="192" spans="1:4" ht="18" customHeight="1" x14ac:dyDescent="0.25">
      <c r="A192" s="2" t="s">
        <v>5933</v>
      </c>
      <c r="B192" s="7">
        <v>621240</v>
      </c>
      <c r="C192" s="7">
        <v>39751583.5</v>
      </c>
      <c r="D192" s="7">
        <f t="shared" si="3"/>
        <v>-39130343.5</v>
      </c>
    </row>
    <row r="193" spans="1:4" ht="18" customHeight="1" x14ac:dyDescent="0.25">
      <c r="A193" s="2" t="s">
        <v>4080</v>
      </c>
      <c r="B193" s="7">
        <v>18811135</v>
      </c>
      <c r="C193" s="7">
        <v>39751583.5</v>
      </c>
      <c r="D193" s="7">
        <f t="shared" si="3"/>
        <v>-20940448.5</v>
      </c>
    </row>
    <row r="194" spans="1:4" ht="18" customHeight="1" x14ac:dyDescent="0.25">
      <c r="A194" s="2" t="s">
        <v>5460</v>
      </c>
      <c r="B194" s="7">
        <v>3014541</v>
      </c>
      <c r="C194" s="7">
        <v>8000000</v>
      </c>
      <c r="D194" s="7">
        <f t="shared" si="3"/>
        <v>-4985459</v>
      </c>
    </row>
    <row r="195" spans="1:4" ht="18" customHeight="1" x14ac:dyDescent="0.25">
      <c r="A195" s="2" t="s">
        <v>6114</v>
      </c>
      <c r="B195" s="7">
        <v>326308</v>
      </c>
      <c r="C195" s="7">
        <v>5000000</v>
      </c>
      <c r="D195" s="7">
        <f t="shared" si="3"/>
        <v>-4673692</v>
      </c>
    </row>
    <row r="196" spans="1:4" ht="18" customHeight="1" x14ac:dyDescent="0.25">
      <c r="A196" s="2" t="s">
        <v>4411</v>
      </c>
      <c r="B196" s="7">
        <v>14208384</v>
      </c>
      <c r="C196" s="7">
        <v>30000000</v>
      </c>
      <c r="D196" s="7">
        <f t="shared" si="3"/>
        <v>-15791616</v>
      </c>
    </row>
    <row r="197" spans="1:4" ht="18" customHeight="1" x14ac:dyDescent="0.25">
      <c r="A197" s="2" t="s">
        <v>3694</v>
      </c>
      <c r="B197" s="7">
        <v>25863915</v>
      </c>
      <c r="C197" s="7">
        <v>35000000</v>
      </c>
      <c r="D197" s="7">
        <f t="shared" ref="D197:D260" si="4">B197-C197</f>
        <v>-9136085</v>
      </c>
    </row>
    <row r="198" spans="1:4" ht="18" customHeight="1" x14ac:dyDescent="0.25">
      <c r="A198" s="2" t="s">
        <v>5924</v>
      </c>
      <c r="B198" s="7">
        <v>652526</v>
      </c>
      <c r="C198" s="7">
        <v>40000000</v>
      </c>
      <c r="D198" s="7">
        <f t="shared" si="4"/>
        <v>-39347474</v>
      </c>
    </row>
    <row r="199" spans="1:4" ht="18" customHeight="1" x14ac:dyDescent="0.25">
      <c r="A199" s="2" t="s">
        <v>676</v>
      </c>
      <c r="B199" s="7">
        <v>66950483</v>
      </c>
      <c r="C199" s="7">
        <v>28000000</v>
      </c>
      <c r="D199" s="7">
        <f t="shared" si="4"/>
        <v>38950483</v>
      </c>
    </row>
    <row r="200" spans="1:4" ht="18" customHeight="1" x14ac:dyDescent="0.25">
      <c r="A200" s="2" t="s">
        <v>2262</v>
      </c>
      <c r="B200" s="7">
        <v>48334413</v>
      </c>
      <c r="C200" s="7">
        <v>2000000</v>
      </c>
      <c r="D200" s="7">
        <f t="shared" si="4"/>
        <v>46334413</v>
      </c>
    </row>
    <row r="201" spans="1:4" ht="18" customHeight="1" x14ac:dyDescent="0.25">
      <c r="A201" s="2" t="s">
        <v>4478</v>
      </c>
      <c r="B201" s="7">
        <v>13395939</v>
      </c>
      <c r="C201" s="7">
        <v>60000000</v>
      </c>
      <c r="D201" s="7">
        <f t="shared" si="4"/>
        <v>-46604061</v>
      </c>
    </row>
    <row r="202" spans="1:4" ht="18" customHeight="1" x14ac:dyDescent="0.25">
      <c r="A202" s="2" t="s">
        <v>6222</v>
      </c>
      <c r="B202" s="7">
        <v>206400</v>
      </c>
      <c r="C202" s="7">
        <v>50000000</v>
      </c>
      <c r="D202" s="7">
        <f t="shared" si="4"/>
        <v>-49793600</v>
      </c>
    </row>
    <row r="203" spans="1:4" ht="18" customHeight="1" x14ac:dyDescent="0.25">
      <c r="A203" s="2" t="s">
        <v>965</v>
      </c>
      <c r="B203" s="7">
        <v>55473600</v>
      </c>
      <c r="C203" s="7">
        <v>50000000</v>
      </c>
      <c r="D203" s="7">
        <f t="shared" si="4"/>
        <v>5473600</v>
      </c>
    </row>
    <row r="204" spans="1:4" ht="18" customHeight="1" x14ac:dyDescent="0.25">
      <c r="A204" s="2" t="s">
        <v>2223</v>
      </c>
      <c r="B204" s="7">
        <v>48334413</v>
      </c>
      <c r="C204" s="7">
        <v>2500000</v>
      </c>
      <c r="D204" s="7">
        <f t="shared" si="4"/>
        <v>45834413</v>
      </c>
    </row>
    <row r="205" spans="1:4" ht="18" customHeight="1" x14ac:dyDescent="0.25">
      <c r="A205" s="2" t="s">
        <v>2580</v>
      </c>
      <c r="B205" s="7">
        <v>48334413</v>
      </c>
      <c r="C205" s="7">
        <v>350000</v>
      </c>
      <c r="D205" s="7">
        <f t="shared" si="4"/>
        <v>47984413</v>
      </c>
    </row>
    <row r="206" spans="1:4" ht="18" customHeight="1" x14ac:dyDescent="0.25">
      <c r="A206" s="2" t="s">
        <v>2768</v>
      </c>
      <c r="B206" s="7">
        <v>47748610</v>
      </c>
      <c r="C206" s="7">
        <v>75000000</v>
      </c>
      <c r="D206" s="7">
        <f t="shared" si="4"/>
        <v>-27251390</v>
      </c>
    </row>
    <row r="207" spans="1:4" ht="18" customHeight="1" x14ac:dyDescent="0.25">
      <c r="A207" s="2" t="s">
        <v>457</v>
      </c>
      <c r="B207" s="7">
        <v>78900000</v>
      </c>
      <c r="C207" s="7">
        <v>11000000</v>
      </c>
      <c r="D207" s="7">
        <f t="shared" si="4"/>
        <v>67900000</v>
      </c>
    </row>
    <row r="208" spans="1:4" ht="18" customHeight="1" x14ac:dyDescent="0.25">
      <c r="A208" s="2" t="s">
        <v>3743</v>
      </c>
      <c r="B208" s="7">
        <v>25200412</v>
      </c>
      <c r="C208" s="7">
        <v>45000000</v>
      </c>
      <c r="D208" s="7">
        <f t="shared" si="4"/>
        <v>-19799588</v>
      </c>
    </row>
    <row r="209" spans="1:4" ht="18" customHeight="1" x14ac:dyDescent="0.25">
      <c r="A209" s="2" t="s">
        <v>2961</v>
      </c>
      <c r="B209" s="7">
        <v>41797066</v>
      </c>
      <c r="C209" s="7">
        <v>40000000</v>
      </c>
      <c r="D209" s="7">
        <f t="shared" si="4"/>
        <v>1797066</v>
      </c>
    </row>
    <row r="210" spans="1:4" ht="18" customHeight="1" x14ac:dyDescent="0.25">
      <c r="A210" s="2" t="s">
        <v>333</v>
      </c>
      <c r="B210" s="7">
        <v>85200000</v>
      </c>
      <c r="C210" s="7">
        <v>18500000</v>
      </c>
      <c r="D210" s="7">
        <f t="shared" si="4"/>
        <v>66700000</v>
      </c>
    </row>
    <row r="211" spans="1:4" ht="18" customHeight="1" x14ac:dyDescent="0.25">
      <c r="A211" s="2" t="s">
        <v>3174</v>
      </c>
      <c r="B211" s="7">
        <v>36733909</v>
      </c>
      <c r="C211" s="7">
        <v>32000000</v>
      </c>
      <c r="D211" s="7">
        <f t="shared" si="4"/>
        <v>4733909</v>
      </c>
    </row>
    <row r="212" spans="1:4" ht="18" customHeight="1" x14ac:dyDescent="0.25">
      <c r="A212" s="2" t="s">
        <v>3300</v>
      </c>
      <c r="B212" s="7">
        <v>33860010</v>
      </c>
      <c r="C212" s="7">
        <v>15000000</v>
      </c>
      <c r="D212" s="7">
        <f t="shared" si="4"/>
        <v>18860010</v>
      </c>
    </row>
    <row r="213" spans="1:4" ht="18" customHeight="1" x14ac:dyDescent="0.25">
      <c r="A213" s="2" t="s">
        <v>3722</v>
      </c>
      <c r="B213" s="7">
        <v>25482931</v>
      </c>
      <c r="C213" s="7">
        <v>14000000</v>
      </c>
      <c r="D213" s="7">
        <f t="shared" si="4"/>
        <v>11482931</v>
      </c>
    </row>
    <row r="214" spans="1:4" ht="18" customHeight="1" x14ac:dyDescent="0.25">
      <c r="A214" s="2" t="s">
        <v>5962</v>
      </c>
      <c r="B214" s="7">
        <v>578382</v>
      </c>
      <c r="C214" s="7">
        <v>39751583.5</v>
      </c>
      <c r="D214" s="7">
        <f t="shared" si="4"/>
        <v>-39173201.5</v>
      </c>
    </row>
    <row r="215" spans="1:4" ht="18" customHeight="1" x14ac:dyDescent="0.25">
      <c r="A215" s="2" t="s">
        <v>2024</v>
      </c>
      <c r="B215" s="7">
        <v>48334413</v>
      </c>
      <c r="C215" s="7">
        <v>5000000</v>
      </c>
      <c r="D215" s="7">
        <f t="shared" si="4"/>
        <v>43334413</v>
      </c>
    </row>
    <row r="216" spans="1:4" ht="18" customHeight="1" x14ac:dyDescent="0.25">
      <c r="A216" s="2" t="s">
        <v>6705</v>
      </c>
      <c r="B216" s="7">
        <v>4556</v>
      </c>
      <c r="C216" s="7">
        <v>39751583.5</v>
      </c>
      <c r="D216" s="7">
        <f t="shared" si="4"/>
        <v>-39747027.5</v>
      </c>
    </row>
    <row r="217" spans="1:4" ht="18" customHeight="1" x14ac:dyDescent="0.25">
      <c r="A217" s="2" t="s">
        <v>5045</v>
      </c>
      <c r="B217" s="7">
        <v>6262942</v>
      </c>
      <c r="C217" s="7">
        <v>9000000</v>
      </c>
      <c r="D217" s="7">
        <f t="shared" si="4"/>
        <v>-2737058</v>
      </c>
    </row>
    <row r="218" spans="1:4" ht="18" customHeight="1" x14ac:dyDescent="0.25">
      <c r="A218" s="2" t="s">
        <v>6351</v>
      </c>
      <c r="B218" s="7">
        <v>112935</v>
      </c>
      <c r="C218" s="7">
        <v>9000000</v>
      </c>
      <c r="D218" s="7">
        <f t="shared" si="4"/>
        <v>-8887065</v>
      </c>
    </row>
    <row r="219" spans="1:4" ht="18" customHeight="1" x14ac:dyDescent="0.25">
      <c r="A219" s="2" t="s">
        <v>2729</v>
      </c>
      <c r="B219" s="7">
        <v>48334413</v>
      </c>
      <c r="C219" s="7">
        <v>20000</v>
      </c>
      <c r="D219" s="7">
        <f t="shared" si="4"/>
        <v>48314413</v>
      </c>
    </row>
    <row r="220" spans="1:4" ht="18" customHeight="1" x14ac:dyDescent="0.25">
      <c r="A220" s="2" t="s">
        <v>1238</v>
      </c>
      <c r="B220" s="7">
        <v>48334413</v>
      </c>
      <c r="C220" s="7">
        <v>39751583.5</v>
      </c>
      <c r="D220" s="7">
        <f t="shared" si="4"/>
        <v>8582829.5</v>
      </c>
    </row>
    <row r="221" spans="1:4" ht="18" customHeight="1" x14ac:dyDescent="0.25">
      <c r="A221" s="2" t="s">
        <v>2503</v>
      </c>
      <c r="B221" s="7">
        <v>48334413</v>
      </c>
      <c r="C221" s="7">
        <v>750000</v>
      </c>
      <c r="D221" s="7">
        <f t="shared" si="4"/>
        <v>47584413</v>
      </c>
    </row>
    <row r="222" spans="1:4" ht="18" customHeight="1" x14ac:dyDescent="0.25">
      <c r="A222" s="2" t="s">
        <v>4941</v>
      </c>
      <c r="B222" s="7">
        <v>7221458</v>
      </c>
      <c r="C222" s="7">
        <v>55000000</v>
      </c>
      <c r="D222" s="7">
        <f t="shared" si="4"/>
        <v>-47778542</v>
      </c>
    </row>
    <row r="223" spans="1:4" ht="18" customHeight="1" x14ac:dyDescent="0.25">
      <c r="A223" s="2" t="s">
        <v>4304</v>
      </c>
      <c r="B223" s="7">
        <v>15527125</v>
      </c>
      <c r="C223" s="7">
        <v>57000000</v>
      </c>
      <c r="D223" s="7">
        <f t="shared" si="4"/>
        <v>-41472875</v>
      </c>
    </row>
    <row r="224" spans="1:4" ht="18" customHeight="1" x14ac:dyDescent="0.25">
      <c r="A224" s="2" t="s">
        <v>6579</v>
      </c>
      <c r="B224" s="7">
        <v>22723</v>
      </c>
      <c r="C224" s="7">
        <v>25000000</v>
      </c>
      <c r="D224" s="7">
        <f t="shared" si="4"/>
        <v>-24977277</v>
      </c>
    </row>
    <row r="225" spans="1:4" ht="18" customHeight="1" x14ac:dyDescent="0.25">
      <c r="A225" s="2" t="s">
        <v>5976</v>
      </c>
      <c r="B225" s="7">
        <v>548712</v>
      </c>
      <c r="C225" s="7">
        <v>2500000</v>
      </c>
      <c r="D225" s="7">
        <f t="shared" si="4"/>
        <v>-1951288</v>
      </c>
    </row>
    <row r="226" spans="1:4" ht="18" customHeight="1" x14ac:dyDescent="0.25">
      <c r="A226" s="2" t="s">
        <v>2550</v>
      </c>
      <c r="B226" s="7">
        <v>48334413</v>
      </c>
      <c r="C226" s="7">
        <v>500000</v>
      </c>
      <c r="D226" s="7">
        <f t="shared" si="4"/>
        <v>47834413</v>
      </c>
    </row>
    <row r="227" spans="1:4" ht="18" customHeight="1" x14ac:dyDescent="0.25">
      <c r="A227" s="2" t="s">
        <v>3368</v>
      </c>
      <c r="B227" s="7">
        <v>32522352</v>
      </c>
      <c r="C227" s="7">
        <v>60000000</v>
      </c>
      <c r="D227" s="7">
        <f t="shared" si="4"/>
        <v>-27477648</v>
      </c>
    </row>
    <row r="228" spans="1:4" ht="18" customHeight="1" x14ac:dyDescent="0.25">
      <c r="A228" s="2" t="s">
        <v>6488</v>
      </c>
      <c r="B228" s="7">
        <v>52961</v>
      </c>
      <c r="C228" s="7">
        <v>8000000</v>
      </c>
      <c r="D228" s="7">
        <f t="shared" si="4"/>
        <v>-7947039</v>
      </c>
    </row>
    <row r="229" spans="1:4" ht="18" customHeight="1" x14ac:dyDescent="0.25">
      <c r="A229" s="2" t="s">
        <v>3954</v>
      </c>
      <c r="B229" s="7">
        <v>41982994</v>
      </c>
      <c r="C229" s="7">
        <v>74000000</v>
      </c>
      <c r="D229" s="7">
        <f t="shared" si="4"/>
        <v>-32017006</v>
      </c>
    </row>
    <row r="230" spans="1:4" ht="18" customHeight="1" x14ac:dyDescent="0.25">
      <c r="A230" s="2" t="s">
        <v>5166</v>
      </c>
      <c r="B230" s="7">
        <v>5132655</v>
      </c>
      <c r="C230" s="7">
        <v>20000000</v>
      </c>
      <c r="D230" s="7">
        <f t="shared" si="4"/>
        <v>-14867345</v>
      </c>
    </row>
    <row r="231" spans="1:4" ht="18" customHeight="1" x14ac:dyDescent="0.25">
      <c r="A231" s="2" t="s">
        <v>6665</v>
      </c>
      <c r="B231" s="7">
        <v>10018</v>
      </c>
      <c r="C231" s="7">
        <v>1000000</v>
      </c>
      <c r="D231" s="7">
        <f t="shared" si="4"/>
        <v>-989982</v>
      </c>
    </row>
    <row r="232" spans="1:4" ht="18" customHeight="1" x14ac:dyDescent="0.25">
      <c r="A232" s="2" t="s">
        <v>548</v>
      </c>
      <c r="B232" s="7">
        <v>74058698</v>
      </c>
      <c r="C232" s="7">
        <v>60000000</v>
      </c>
      <c r="D232" s="7">
        <f t="shared" si="4"/>
        <v>14058698</v>
      </c>
    </row>
    <row r="233" spans="1:4" ht="18" customHeight="1" x14ac:dyDescent="0.25">
      <c r="A233" s="2" t="s">
        <v>306</v>
      </c>
      <c r="B233" s="7">
        <v>87856565</v>
      </c>
      <c r="C233" s="7">
        <v>42000000</v>
      </c>
      <c r="D233" s="7">
        <f t="shared" si="4"/>
        <v>45856565</v>
      </c>
    </row>
    <row r="234" spans="1:4" ht="18" customHeight="1" x14ac:dyDescent="0.25">
      <c r="A234" s="2" t="s">
        <v>2619</v>
      </c>
      <c r="B234" s="7">
        <v>48334413</v>
      </c>
      <c r="C234" s="7">
        <v>250000</v>
      </c>
      <c r="D234" s="7">
        <f t="shared" si="4"/>
        <v>48084413</v>
      </c>
    </row>
    <row r="235" spans="1:4" ht="18" customHeight="1" x14ac:dyDescent="0.25">
      <c r="A235" s="2" t="s">
        <v>1951</v>
      </c>
      <c r="B235" s="7">
        <v>48334413</v>
      </c>
      <c r="C235" s="7">
        <v>7000000</v>
      </c>
      <c r="D235" s="7">
        <f t="shared" si="4"/>
        <v>41334413</v>
      </c>
    </row>
    <row r="236" spans="1:4" ht="18" customHeight="1" x14ac:dyDescent="0.25">
      <c r="A236" s="2" t="s">
        <v>3755</v>
      </c>
      <c r="B236" s="7">
        <v>25077977</v>
      </c>
      <c r="C236" s="7">
        <v>20000000</v>
      </c>
      <c r="D236" s="7">
        <f t="shared" si="4"/>
        <v>5077977</v>
      </c>
    </row>
    <row r="237" spans="1:4" ht="18" customHeight="1" x14ac:dyDescent="0.25">
      <c r="A237" s="2" t="s">
        <v>324</v>
      </c>
      <c r="B237" s="7">
        <v>85884815</v>
      </c>
      <c r="C237" s="7">
        <v>90000000</v>
      </c>
      <c r="D237" s="7">
        <f t="shared" si="4"/>
        <v>-4115185</v>
      </c>
    </row>
    <row r="238" spans="1:4" ht="18" customHeight="1" x14ac:dyDescent="0.25">
      <c r="A238" s="2" t="s">
        <v>2230</v>
      </c>
      <c r="B238" s="7">
        <v>48334413</v>
      </c>
      <c r="C238" s="7">
        <v>2400000</v>
      </c>
      <c r="D238" s="7">
        <f t="shared" si="4"/>
        <v>45934413</v>
      </c>
    </row>
    <row r="239" spans="1:4" ht="18" customHeight="1" x14ac:dyDescent="0.25">
      <c r="A239" s="2" t="s">
        <v>3338</v>
      </c>
      <c r="B239" s="7">
        <v>33201661</v>
      </c>
      <c r="C239" s="7">
        <v>77000000</v>
      </c>
      <c r="D239" s="7">
        <f t="shared" si="4"/>
        <v>-43798339</v>
      </c>
    </row>
    <row r="240" spans="1:4" ht="18" customHeight="1" x14ac:dyDescent="0.25">
      <c r="A240" s="2" t="s">
        <v>1087</v>
      </c>
      <c r="B240" s="7">
        <v>51600000</v>
      </c>
      <c r="C240" s="7">
        <v>18000000</v>
      </c>
      <c r="D240" s="7">
        <f t="shared" si="4"/>
        <v>33600000</v>
      </c>
    </row>
    <row r="241" spans="1:4" ht="18" customHeight="1" x14ac:dyDescent="0.25">
      <c r="A241" s="2" t="s">
        <v>1521</v>
      </c>
      <c r="B241" s="7">
        <v>48334413</v>
      </c>
      <c r="C241" s="7">
        <v>39751583.5</v>
      </c>
      <c r="D241" s="7">
        <f t="shared" si="4"/>
        <v>8582829.5</v>
      </c>
    </row>
    <row r="242" spans="1:4" ht="18" customHeight="1" x14ac:dyDescent="0.25">
      <c r="A242" s="2" t="s">
        <v>5843</v>
      </c>
      <c r="B242" s="7">
        <v>902835</v>
      </c>
      <c r="C242" s="7">
        <v>250000</v>
      </c>
      <c r="D242" s="7">
        <f t="shared" si="4"/>
        <v>652835</v>
      </c>
    </row>
    <row r="243" spans="1:4" ht="18" customHeight="1" x14ac:dyDescent="0.25">
      <c r="A243" s="2" t="s">
        <v>4947</v>
      </c>
      <c r="B243" s="7">
        <v>7156725</v>
      </c>
      <c r="C243" s="7">
        <v>19000000</v>
      </c>
      <c r="D243" s="7">
        <f t="shared" si="4"/>
        <v>-11843275</v>
      </c>
    </row>
    <row r="244" spans="1:4" ht="18" customHeight="1" x14ac:dyDescent="0.25">
      <c r="A244" s="2" t="s">
        <v>1853</v>
      </c>
      <c r="B244" s="7">
        <v>48334413</v>
      </c>
      <c r="C244" s="7">
        <v>10000000</v>
      </c>
      <c r="D244" s="7">
        <f t="shared" si="4"/>
        <v>38334413</v>
      </c>
    </row>
    <row r="245" spans="1:4" ht="18" customHeight="1" x14ac:dyDescent="0.25">
      <c r="A245" s="2" t="s">
        <v>2475</v>
      </c>
      <c r="B245" s="7">
        <v>48334413</v>
      </c>
      <c r="C245" s="7">
        <v>990000</v>
      </c>
      <c r="D245" s="7">
        <f t="shared" si="4"/>
        <v>47344413</v>
      </c>
    </row>
    <row r="246" spans="1:4" ht="18" customHeight="1" x14ac:dyDescent="0.25">
      <c r="A246" s="2" t="s">
        <v>4998</v>
      </c>
      <c r="B246" s="7">
        <v>6712241</v>
      </c>
      <c r="C246" s="7">
        <v>7500000</v>
      </c>
      <c r="D246" s="7">
        <f t="shared" si="4"/>
        <v>-787759</v>
      </c>
    </row>
    <row r="247" spans="1:4" ht="18" customHeight="1" x14ac:dyDescent="0.25">
      <c r="A247" s="2" t="s">
        <v>5326</v>
      </c>
      <c r="B247" s="7">
        <v>4000000</v>
      </c>
      <c r="C247" s="7">
        <v>350000</v>
      </c>
      <c r="D247" s="7">
        <f t="shared" si="4"/>
        <v>3650000</v>
      </c>
    </row>
    <row r="248" spans="1:4" ht="18" customHeight="1" x14ac:dyDescent="0.25">
      <c r="A248" s="2" t="s">
        <v>4494</v>
      </c>
      <c r="B248" s="7">
        <v>13264986</v>
      </c>
      <c r="C248" s="7">
        <v>35000000</v>
      </c>
      <c r="D248" s="7">
        <f t="shared" si="4"/>
        <v>-21735014</v>
      </c>
    </row>
    <row r="249" spans="1:4" ht="18" customHeight="1" x14ac:dyDescent="0.25">
      <c r="A249" s="2" t="s">
        <v>142</v>
      </c>
      <c r="B249" s="7">
        <v>101736215</v>
      </c>
      <c r="C249" s="7">
        <v>11000000</v>
      </c>
      <c r="D249" s="7">
        <f t="shared" si="4"/>
        <v>90736215</v>
      </c>
    </row>
    <row r="250" spans="1:4" ht="18" customHeight="1" x14ac:dyDescent="0.25">
      <c r="A250" s="2" t="s">
        <v>4348</v>
      </c>
      <c r="B250" s="7">
        <v>15047419</v>
      </c>
      <c r="C250" s="7">
        <v>7000000</v>
      </c>
      <c r="D250" s="7">
        <f t="shared" si="4"/>
        <v>8047419</v>
      </c>
    </row>
    <row r="251" spans="1:4" ht="18" customHeight="1" x14ac:dyDescent="0.25">
      <c r="A251" s="2" t="s">
        <v>914</v>
      </c>
      <c r="B251" s="7">
        <v>56724080</v>
      </c>
      <c r="C251" s="7">
        <v>50000000</v>
      </c>
      <c r="D251" s="7">
        <f t="shared" si="4"/>
        <v>6724080</v>
      </c>
    </row>
    <row r="252" spans="1:4" ht="18" customHeight="1" x14ac:dyDescent="0.25">
      <c r="A252" s="2" t="s">
        <v>5077</v>
      </c>
      <c r="B252" s="7">
        <v>6003587</v>
      </c>
      <c r="C252" s="7">
        <v>39751583.5</v>
      </c>
      <c r="D252" s="7">
        <f t="shared" si="4"/>
        <v>-33747996.5</v>
      </c>
    </row>
    <row r="253" spans="1:4" ht="18" customHeight="1" x14ac:dyDescent="0.25">
      <c r="A253" s="2" t="s">
        <v>108</v>
      </c>
      <c r="B253" s="7">
        <v>104354205</v>
      </c>
      <c r="C253" s="7">
        <v>55000000</v>
      </c>
      <c r="D253" s="7">
        <f t="shared" si="4"/>
        <v>49354205</v>
      </c>
    </row>
    <row r="254" spans="1:4" ht="18" customHeight="1" x14ac:dyDescent="0.25">
      <c r="A254" s="2" t="s">
        <v>228</v>
      </c>
      <c r="B254" s="7">
        <v>93607673</v>
      </c>
      <c r="C254" s="7">
        <v>48000000</v>
      </c>
      <c r="D254" s="7">
        <f t="shared" si="4"/>
        <v>45607673</v>
      </c>
    </row>
    <row r="255" spans="1:4" ht="18" customHeight="1" x14ac:dyDescent="0.25">
      <c r="A255" s="2" t="s">
        <v>2600</v>
      </c>
      <c r="B255" s="7">
        <v>48334413</v>
      </c>
      <c r="C255" s="7">
        <v>300000</v>
      </c>
      <c r="D255" s="7">
        <f t="shared" si="4"/>
        <v>48034413</v>
      </c>
    </row>
    <row r="256" spans="1:4" ht="18" customHeight="1" x14ac:dyDescent="0.25">
      <c r="A256" s="2" t="s">
        <v>6245</v>
      </c>
      <c r="B256" s="7">
        <v>183490</v>
      </c>
      <c r="C256" s="7">
        <v>1700000</v>
      </c>
      <c r="D256" s="7">
        <f t="shared" si="4"/>
        <v>-1516510</v>
      </c>
    </row>
    <row r="257" spans="1:4" ht="18" customHeight="1" x14ac:dyDescent="0.25">
      <c r="A257" s="2" t="s">
        <v>2873</v>
      </c>
      <c r="B257" s="7">
        <v>44175394</v>
      </c>
      <c r="C257" s="7">
        <v>36000000</v>
      </c>
      <c r="D257" s="7">
        <f t="shared" si="4"/>
        <v>8175394</v>
      </c>
    </row>
    <row r="258" spans="1:4" ht="18" customHeight="1" x14ac:dyDescent="0.25">
      <c r="A258" s="2" t="s">
        <v>2184</v>
      </c>
      <c r="B258" s="7">
        <v>48334413</v>
      </c>
      <c r="C258" s="7">
        <v>3000000</v>
      </c>
      <c r="D258" s="7">
        <f t="shared" si="4"/>
        <v>45334413</v>
      </c>
    </row>
    <row r="259" spans="1:4" ht="18" customHeight="1" x14ac:dyDescent="0.25">
      <c r="A259" s="2" t="s">
        <v>6461</v>
      </c>
      <c r="B259" s="7">
        <v>64359</v>
      </c>
      <c r="C259" s="7">
        <v>2500000</v>
      </c>
      <c r="D259" s="7">
        <f t="shared" si="4"/>
        <v>-2435641</v>
      </c>
    </row>
    <row r="260" spans="1:4" ht="18" customHeight="1" x14ac:dyDescent="0.25">
      <c r="A260" s="2" t="s">
        <v>5145</v>
      </c>
      <c r="B260" s="7">
        <v>5383834</v>
      </c>
      <c r="C260" s="7">
        <v>2000000</v>
      </c>
      <c r="D260" s="7">
        <f t="shared" si="4"/>
        <v>3383834</v>
      </c>
    </row>
    <row r="261" spans="1:4" ht="18" customHeight="1" x14ac:dyDescent="0.25">
      <c r="A261" s="2" t="s">
        <v>6204</v>
      </c>
      <c r="B261" s="7">
        <v>225377</v>
      </c>
      <c r="C261" s="7">
        <v>8900000</v>
      </c>
      <c r="D261" s="7">
        <f t="shared" ref="D261:D324" si="5">B261-C261</f>
        <v>-8674623</v>
      </c>
    </row>
    <row r="262" spans="1:4" ht="18" customHeight="1" x14ac:dyDescent="0.25">
      <c r="A262" s="2" t="s">
        <v>6625</v>
      </c>
      <c r="B262" s="7">
        <v>15447</v>
      </c>
      <c r="C262" s="7">
        <v>10000000</v>
      </c>
      <c r="D262" s="7">
        <f t="shared" si="5"/>
        <v>-9984553</v>
      </c>
    </row>
    <row r="263" spans="1:4" ht="18" customHeight="1" x14ac:dyDescent="0.25">
      <c r="A263" s="2" t="s">
        <v>4964</v>
      </c>
      <c r="B263" s="7">
        <v>7001720</v>
      </c>
      <c r="C263" s="7">
        <v>12000000</v>
      </c>
      <c r="D263" s="7">
        <f t="shared" si="5"/>
        <v>-4998280</v>
      </c>
    </row>
    <row r="264" spans="1:4" ht="18" customHeight="1" x14ac:dyDescent="0.25">
      <c r="A264" s="2" t="s">
        <v>2634</v>
      </c>
      <c r="B264" s="7">
        <v>48334413</v>
      </c>
      <c r="C264" s="7">
        <v>200000</v>
      </c>
      <c r="D264" s="7">
        <f t="shared" si="5"/>
        <v>48134413</v>
      </c>
    </row>
    <row r="265" spans="1:4" ht="18" customHeight="1" x14ac:dyDescent="0.25">
      <c r="A265" s="2" t="s">
        <v>4241</v>
      </c>
      <c r="B265" s="7">
        <v>16298046</v>
      </c>
      <c r="C265" s="7">
        <v>14000000</v>
      </c>
      <c r="D265" s="7">
        <f t="shared" si="5"/>
        <v>2298046</v>
      </c>
    </row>
    <row r="266" spans="1:4" ht="18" customHeight="1" x14ac:dyDescent="0.25">
      <c r="A266" s="2" t="s">
        <v>2657</v>
      </c>
      <c r="B266" s="7">
        <v>48334413</v>
      </c>
      <c r="C266" s="7">
        <v>125000</v>
      </c>
      <c r="D266" s="7">
        <f t="shared" si="5"/>
        <v>48209413</v>
      </c>
    </row>
    <row r="267" spans="1:4" ht="18" customHeight="1" x14ac:dyDescent="0.25">
      <c r="A267" s="2" t="s">
        <v>4553</v>
      </c>
      <c r="B267" s="7">
        <v>12574715</v>
      </c>
      <c r="C267" s="7">
        <v>4500000</v>
      </c>
      <c r="D267" s="7">
        <f t="shared" si="5"/>
        <v>8074715</v>
      </c>
    </row>
    <row r="268" spans="1:4" ht="18" customHeight="1" x14ac:dyDescent="0.25">
      <c r="A268" s="2" t="s">
        <v>6438</v>
      </c>
      <c r="B268" s="7">
        <v>75078</v>
      </c>
      <c r="C268" s="7">
        <v>14000000</v>
      </c>
      <c r="D268" s="7">
        <f t="shared" si="5"/>
        <v>-13924922</v>
      </c>
    </row>
    <row r="269" spans="1:4" ht="18" customHeight="1" x14ac:dyDescent="0.25">
      <c r="A269" s="2" t="s">
        <v>4097</v>
      </c>
      <c r="B269" s="7">
        <v>18535191</v>
      </c>
      <c r="C269" s="7">
        <v>14000000</v>
      </c>
      <c r="D269" s="7">
        <f t="shared" si="5"/>
        <v>4535191</v>
      </c>
    </row>
    <row r="270" spans="1:4" ht="18" customHeight="1" x14ac:dyDescent="0.25">
      <c r="A270" s="2" t="s">
        <v>3812</v>
      </c>
      <c r="B270" s="7">
        <v>23808111</v>
      </c>
      <c r="C270" s="7">
        <v>39751583.5</v>
      </c>
      <c r="D270" s="7">
        <f t="shared" si="5"/>
        <v>-15943472.5</v>
      </c>
    </row>
    <row r="271" spans="1:4" ht="18" customHeight="1" x14ac:dyDescent="0.25">
      <c r="A271" s="2" t="s">
        <v>4827</v>
      </c>
      <c r="B271" s="7">
        <v>8535575</v>
      </c>
      <c r="C271" s="7">
        <v>30000000</v>
      </c>
      <c r="D271" s="7">
        <f t="shared" si="5"/>
        <v>-21464425</v>
      </c>
    </row>
    <row r="272" spans="1:4" ht="18" customHeight="1" x14ac:dyDescent="0.25">
      <c r="A272" s="2" t="s">
        <v>716</v>
      </c>
      <c r="B272" s="7">
        <v>65557989</v>
      </c>
      <c r="C272" s="7">
        <v>45000000</v>
      </c>
      <c r="D272" s="7">
        <f t="shared" si="5"/>
        <v>20557989</v>
      </c>
    </row>
    <row r="273" spans="1:4" ht="18" customHeight="1" x14ac:dyDescent="0.25">
      <c r="A273" s="2" t="s">
        <v>3433</v>
      </c>
      <c r="B273" s="7">
        <v>31526393</v>
      </c>
      <c r="C273" s="7">
        <v>25000000</v>
      </c>
      <c r="D273" s="7">
        <f t="shared" si="5"/>
        <v>6526393</v>
      </c>
    </row>
    <row r="274" spans="1:4" ht="18" customHeight="1" x14ac:dyDescent="0.25">
      <c r="A274" s="2" t="s">
        <v>3389</v>
      </c>
      <c r="B274" s="7">
        <v>32122249</v>
      </c>
      <c r="C274" s="7">
        <v>60000000</v>
      </c>
      <c r="D274" s="7">
        <f t="shared" si="5"/>
        <v>-27877751</v>
      </c>
    </row>
    <row r="275" spans="1:4" ht="18" customHeight="1" x14ac:dyDescent="0.25">
      <c r="A275" s="2" t="s">
        <v>85</v>
      </c>
      <c r="B275" s="7">
        <v>106694016</v>
      </c>
      <c r="C275" s="7">
        <v>30000000</v>
      </c>
      <c r="D275" s="7">
        <f t="shared" si="5"/>
        <v>76694016</v>
      </c>
    </row>
    <row r="276" spans="1:4" ht="18" customHeight="1" x14ac:dyDescent="0.25">
      <c r="A276" s="2" t="s">
        <v>876</v>
      </c>
      <c r="B276" s="7">
        <v>58297830</v>
      </c>
      <c r="C276" s="7">
        <v>50000000</v>
      </c>
      <c r="D276" s="7">
        <f t="shared" si="5"/>
        <v>8297830</v>
      </c>
    </row>
    <row r="277" spans="1:4" ht="18" customHeight="1" x14ac:dyDescent="0.25">
      <c r="A277" s="2" t="s">
        <v>6690</v>
      </c>
      <c r="B277" s="7">
        <v>5725</v>
      </c>
      <c r="C277" s="7">
        <v>8400000</v>
      </c>
      <c r="D277" s="7">
        <f t="shared" si="5"/>
        <v>-8394275</v>
      </c>
    </row>
    <row r="278" spans="1:4" ht="18" customHeight="1" x14ac:dyDescent="0.25">
      <c r="A278" s="2" t="s">
        <v>5593</v>
      </c>
      <c r="B278" s="7">
        <v>2175312</v>
      </c>
      <c r="C278" s="7">
        <v>50000000</v>
      </c>
      <c r="D278" s="7">
        <f t="shared" si="5"/>
        <v>-47824688</v>
      </c>
    </row>
    <row r="279" spans="1:4" ht="18" customHeight="1" x14ac:dyDescent="0.25">
      <c r="A279" s="2" t="s">
        <v>347</v>
      </c>
      <c r="B279" s="7">
        <v>84136909</v>
      </c>
      <c r="C279" s="7">
        <v>26000000</v>
      </c>
      <c r="D279" s="7">
        <f t="shared" si="5"/>
        <v>58136909</v>
      </c>
    </row>
    <row r="280" spans="1:4" ht="18" customHeight="1" x14ac:dyDescent="0.25">
      <c r="A280" s="2" t="s">
        <v>4330</v>
      </c>
      <c r="B280" s="7">
        <v>15155772</v>
      </c>
      <c r="C280" s="7">
        <v>18000000</v>
      </c>
      <c r="D280" s="7">
        <f t="shared" si="5"/>
        <v>-2844228</v>
      </c>
    </row>
    <row r="281" spans="1:4" ht="18" customHeight="1" x14ac:dyDescent="0.25">
      <c r="A281" s="2" t="s">
        <v>2477</v>
      </c>
      <c r="B281" s="7">
        <v>48334413</v>
      </c>
      <c r="C281" s="7">
        <v>989000</v>
      </c>
      <c r="D281" s="7">
        <f t="shared" si="5"/>
        <v>47345413</v>
      </c>
    </row>
    <row r="282" spans="1:4" ht="18" customHeight="1" x14ac:dyDescent="0.25">
      <c r="A282" s="2" t="s">
        <v>2596</v>
      </c>
      <c r="B282" s="7">
        <v>48334413</v>
      </c>
      <c r="C282" s="7">
        <v>300000</v>
      </c>
      <c r="D282" s="7">
        <f t="shared" si="5"/>
        <v>48034413</v>
      </c>
    </row>
    <row r="283" spans="1:4" ht="18" customHeight="1" x14ac:dyDescent="0.25">
      <c r="A283" s="2" t="s">
        <v>3803</v>
      </c>
      <c r="B283" s="7">
        <v>24044532</v>
      </c>
      <c r="C283" s="7">
        <v>38000000</v>
      </c>
      <c r="D283" s="7">
        <f t="shared" si="5"/>
        <v>-13955468</v>
      </c>
    </row>
    <row r="284" spans="1:4" ht="18" customHeight="1" x14ac:dyDescent="0.25">
      <c r="A284" s="2" t="s">
        <v>4510</v>
      </c>
      <c r="B284" s="7">
        <v>13038660</v>
      </c>
      <c r="C284" s="7">
        <v>25000000</v>
      </c>
      <c r="D284" s="7">
        <f t="shared" si="5"/>
        <v>-11961340</v>
      </c>
    </row>
    <row r="285" spans="1:4" ht="18" customHeight="1" x14ac:dyDescent="0.25">
      <c r="A285" s="2" t="s">
        <v>1251</v>
      </c>
      <c r="B285" s="7">
        <v>48334413</v>
      </c>
      <c r="C285" s="7">
        <v>39751583.5</v>
      </c>
      <c r="D285" s="7">
        <f t="shared" si="5"/>
        <v>8582829.5</v>
      </c>
    </row>
    <row r="286" spans="1:4" ht="18" customHeight="1" x14ac:dyDescent="0.25">
      <c r="A286" s="2" t="s">
        <v>1260</v>
      </c>
      <c r="B286" s="7">
        <v>48334413</v>
      </c>
      <c r="C286" s="7">
        <v>39751583.5</v>
      </c>
      <c r="D286" s="7">
        <f t="shared" si="5"/>
        <v>8582829.5</v>
      </c>
    </row>
    <row r="287" spans="1:4" ht="18" customHeight="1" x14ac:dyDescent="0.25">
      <c r="A287" s="2" t="s">
        <v>1411</v>
      </c>
      <c r="B287" s="7">
        <v>48334413</v>
      </c>
      <c r="C287" s="7">
        <v>39751583.5</v>
      </c>
      <c r="D287" s="7">
        <f t="shared" si="5"/>
        <v>8582829.5</v>
      </c>
    </row>
    <row r="288" spans="1:4" ht="18" customHeight="1" x14ac:dyDescent="0.25">
      <c r="A288" s="2" t="s">
        <v>1276</v>
      </c>
      <c r="B288" s="7">
        <v>48334413</v>
      </c>
      <c r="C288" s="7">
        <v>39751583.5</v>
      </c>
      <c r="D288" s="7">
        <f t="shared" si="5"/>
        <v>8582829.5</v>
      </c>
    </row>
    <row r="289" spans="1:4" ht="18" customHeight="1" x14ac:dyDescent="0.25">
      <c r="A289" s="2" t="s">
        <v>1388</v>
      </c>
      <c r="B289" s="7">
        <v>48334413</v>
      </c>
      <c r="C289" s="7">
        <v>39751583.5</v>
      </c>
      <c r="D289" s="7">
        <f t="shared" si="5"/>
        <v>8582829.5</v>
      </c>
    </row>
    <row r="290" spans="1:4" ht="18" customHeight="1" x14ac:dyDescent="0.25">
      <c r="A290" s="2" t="s">
        <v>3054</v>
      </c>
      <c r="B290" s="7">
        <v>39251128</v>
      </c>
      <c r="C290" s="7">
        <v>75000000</v>
      </c>
      <c r="D290" s="7">
        <f t="shared" si="5"/>
        <v>-35748872</v>
      </c>
    </row>
    <row r="291" spans="1:4" ht="18" customHeight="1" x14ac:dyDescent="0.25">
      <c r="A291" s="2" t="s">
        <v>4531</v>
      </c>
      <c r="B291" s="7">
        <v>12802907</v>
      </c>
      <c r="C291" s="7">
        <v>39751583.5</v>
      </c>
      <c r="D291" s="7">
        <f t="shared" si="5"/>
        <v>-26948676.5</v>
      </c>
    </row>
    <row r="292" spans="1:4" ht="18" customHeight="1" x14ac:dyDescent="0.25">
      <c r="A292" s="2" t="s">
        <v>343</v>
      </c>
      <c r="B292" s="7">
        <v>84263837</v>
      </c>
      <c r="C292" s="7">
        <v>6500000</v>
      </c>
      <c r="D292" s="7">
        <f t="shared" si="5"/>
        <v>77763837</v>
      </c>
    </row>
    <row r="293" spans="1:4" ht="18" customHeight="1" x14ac:dyDescent="0.25">
      <c r="A293" s="2" t="s">
        <v>1410</v>
      </c>
      <c r="B293" s="7">
        <v>48334413</v>
      </c>
      <c r="C293" s="7">
        <v>39751583.5</v>
      </c>
      <c r="D293" s="7">
        <f t="shared" si="5"/>
        <v>8582829.5</v>
      </c>
    </row>
    <row r="294" spans="1:4" ht="18" customHeight="1" x14ac:dyDescent="0.25">
      <c r="A294" s="2" t="s">
        <v>4874</v>
      </c>
      <c r="B294" s="7">
        <v>8000000</v>
      </c>
      <c r="C294" s="7">
        <v>3768785</v>
      </c>
      <c r="D294" s="7">
        <f t="shared" si="5"/>
        <v>4231215</v>
      </c>
    </row>
    <row r="295" spans="1:4" ht="18" customHeight="1" x14ac:dyDescent="0.25">
      <c r="A295" s="2" t="s">
        <v>3056</v>
      </c>
      <c r="B295" s="7">
        <v>39200000</v>
      </c>
      <c r="C295" s="7">
        <v>4000000</v>
      </c>
      <c r="D295" s="7">
        <f t="shared" si="5"/>
        <v>35200000</v>
      </c>
    </row>
    <row r="296" spans="1:4" ht="18" customHeight="1" x14ac:dyDescent="0.25">
      <c r="A296" s="2" t="s">
        <v>322</v>
      </c>
      <c r="B296" s="7">
        <v>85911262</v>
      </c>
      <c r="C296" s="7">
        <v>65000000</v>
      </c>
      <c r="D296" s="7">
        <f t="shared" si="5"/>
        <v>20911262</v>
      </c>
    </row>
    <row r="297" spans="1:4" ht="18" customHeight="1" x14ac:dyDescent="0.25">
      <c r="A297" s="2" t="s">
        <v>5384</v>
      </c>
      <c r="B297" s="7">
        <v>3442820</v>
      </c>
      <c r="C297" s="7">
        <v>8000000</v>
      </c>
      <c r="D297" s="7">
        <f t="shared" si="5"/>
        <v>-4557180</v>
      </c>
    </row>
    <row r="298" spans="1:4" ht="18" customHeight="1" x14ac:dyDescent="0.25">
      <c r="A298" s="2" t="s">
        <v>5245</v>
      </c>
      <c r="B298" s="7">
        <v>4463292</v>
      </c>
      <c r="C298" s="7">
        <v>30000000</v>
      </c>
      <c r="D298" s="7">
        <f t="shared" si="5"/>
        <v>-25536708</v>
      </c>
    </row>
    <row r="299" spans="1:4" ht="18" customHeight="1" x14ac:dyDescent="0.25">
      <c r="A299" s="2" t="s">
        <v>5721</v>
      </c>
      <c r="B299" s="7">
        <v>1316074</v>
      </c>
      <c r="C299" s="7">
        <v>100000</v>
      </c>
      <c r="D299" s="7">
        <f t="shared" si="5"/>
        <v>1216074</v>
      </c>
    </row>
    <row r="300" spans="1:4" ht="18" customHeight="1" x14ac:dyDescent="0.25">
      <c r="A300" s="2" t="s">
        <v>2072</v>
      </c>
      <c r="B300" s="7">
        <v>48334413</v>
      </c>
      <c r="C300" s="7">
        <v>4000000</v>
      </c>
      <c r="D300" s="7">
        <f t="shared" si="5"/>
        <v>44334413</v>
      </c>
    </row>
    <row r="301" spans="1:4" ht="18" customHeight="1" x14ac:dyDescent="0.25">
      <c r="A301" s="2" t="s">
        <v>5416</v>
      </c>
      <c r="B301" s="7">
        <v>3205244</v>
      </c>
      <c r="C301" s="7">
        <v>10000000</v>
      </c>
      <c r="D301" s="7">
        <f t="shared" si="5"/>
        <v>-6794756</v>
      </c>
    </row>
    <row r="302" spans="1:4" ht="18" customHeight="1" x14ac:dyDescent="0.25">
      <c r="A302" s="2" t="s">
        <v>6700</v>
      </c>
      <c r="B302" s="7">
        <v>4914</v>
      </c>
      <c r="C302" s="7">
        <v>150000</v>
      </c>
      <c r="D302" s="7">
        <f t="shared" si="5"/>
        <v>-145086</v>
      </c>
    </row>
    <row r="303" spans="1:4" ht="18" customHeight="1" x14ac:dyDescent="0.25">
      <c r="A303" s="2" t="s">
        <v>6145</v>
      </c>
      <c r="B303" s="7">
        <v>287761</v>
      </c>
      <c r="C303" s="7">
        <v>1000000</v>
      </c>
      <c r="D303" s="7">
        <f t="shared" si="5"/>
        <v>-712239</v>
      </c>
    </row>
    <row r="304" spans="1:4" ht="18" customHeight="1" x14ac:dyDescent="0.25">
      <c r="A304" s="2" t="s">
        <v>2116</v>
      </c>
      <c r="B304" s="7">
        <v>48334413</v>
      </c>
      <c r="C304" s="7">
        <v>3500000</v>
      </c>
      <c r="D304" s="7">
        <f t="shared" si="5"/>
        <v>44834413</v>
      </c>
    </row>
    <row r="305" spans="1:4" ht="18" customHeight="1" x14ac:dyDescent="0.25">
      <c r="A305" s="2" t="s">
        <v>4657</v>
      </c>
      <c r="B305" s="7">
        <v>10965209</v>
      </c>
      <c r="C305" s="7">
        <v>30000000</v>
      </c>
      <c r="D305" s="7">
        <f t="shared" si="5"/>
        <v>-19034791</v>
      </c>
    </row>
    <row r="306" spans="1:4" ht="18" customHeight="1" x14ac:dyDescent="0.25">
      <c r="A306" s="2" t="s">
        <v>2131</v>
      </c>
      <c r="B306" s="7">
        <v>48334413</v>
      </c>
      <c r="C306" s="7">
        <v>3200000</v>
      </c>
      <c r="D306" s="7">
        <f t="shared" si="5"/>
        <v>45134413</v>
      </c>
    </row>
    <row r="307" spans="1:4" ht="18" customHeight="1" x14ac:dyDescent="0.25">
      <c r="A307" s="2" t="s">
        <v>3947</v>
      </c>
      <c r="B307" s="7">
        <v>21078145</v>
      </c>
      <c r="C307" s="7">
        <v>12500000</v>
      </c>
      <c r="D307" s="7">
        <f t="shared" si="5"/>
        <v>8578145</v>
      </c>
    </row>
    <row r="308" spans="1:4" ht="18" customHeight="1" x14ac:dyDescent="0.25">
      <c r="A308" s="2" t="s">
        <v>520</v>
      </c>
      <c r="B308" s="7">
        <v>75530832</v>
      </c>
      <c r="C308" s="7">
        <v>55000000</v>
      </c>
      <c r="D308" s="7">
        <f t="shared" si="5"/>
        <v>20530832</v>
      </c>
    </row>
    <row r="309" spans="1:4" ht="18" customHeight="1" x14ac:dyDescent="0.25">
      <c r="A309" s="2" t="s">
        <v>5417</v>
      </c>
      <c r="B309" s="7">
        <v>3203044</v>
      </c>
      <c r="C309" s="7">
        <v>18000000</v>
      </c>
      <c r="D309" s="7">
        <f t="shared" si="5"/>
        <v>-14796956</v>
      </c>
    </row>
    <row r="310" spans="1:4" ht="18" customHeight="1" x14ac:dyDescent="0.25">
      <c r="A310" s="2" t="s">
        <v>4086</v>
      </c>
      <c r="B310" s="7">
        <v>18653615</v>
      </c>
      <c r="C310" s="7">
        <v>23000000</v>
      </c>
      <c r="D310" s="7">
        <f t="shared" si="5"/>
        <v>-4346385</v>
      </c>
    </row>
    <row r="311" spans="1:4" ht="18" customHeight="1" x14ac:dyDescent="0.25">
      <c r="A311" s="2" t="s">
        <v>460</v>
      </c>
      <c r="B311" s="7">
        <v>78800000</v>
      </c>
      <c r="C311" s="7">
        <v>31500000</v>
      </c>
      <c r="D311" s="7">
        <f t="shared" si="5"/>
        <v>47300000</v>
      </c>
    </row>
    <row r="312" spans="1:4" ht="18" customHeight="1" x14ac:dyDescent="0.25">
      <c r="A312" s="2" t="s">
        <v>1119</v>
      </c>
      <c r="B312" s="7">
        <v>50859889</v>
      </c>
      <c r="C312" s="7">
        <v>40000000</v>
      </c>
      <c r="D312" s="7">
        <f t="shared" si="5"/>
        <v>10859889</v>
      </c>
    </row>
    <row r="313" spans="1:4" ht="18" customHeight="1" x14ac:dyDescent="0.25">
      <c r="A313" s="2" t="s">
        <v>4146</v>
      </c>
      <c r="B313" s="7">
        <v>17683670</v>
      </c>
      <c r="C313" s="7">
        <v>5000000</v>
      </c>
      <c r="D313" s="7">
        <f t="shared" si="5"/>
        <v>12683670</v>
      </c>
    </row>
    <row r="314" spans="1:4" ht="18" customHeight="1" x14ac:dyDescent="0.25">
      <c r="A314" s="2" t="s">
        <v>4008</v>
      </c>
      <c r="B314" s="7">
        <v>20207003</v>
      </c>
      <c r="C314" s="7">
        <v>39751583.5</v>
      </c>
      <c r="D314" s="7">
        <f t="shared" si="5"/>
        <v>-19544580.5</v>
      </c>
    </row>
    <row r="315" spans="1:4" ht="18" customHeight="1" x14ac:dyDescent="0.25">
      <c r="A315" s="2" t="s">
        <v>4524</v>
      </c>
      <c r="B315" s="7">
        <v>12947763</v>
      </c>
      <c r="C315" s="7">
        <v>5000000</v>
      </c>
      <c r="D315" s="7">
        <f t="shared" si="5"/>
        <v>7947763</v>
      </c>
    </row>
    <row r="316" spans="1:4" ht="18" customHeight="1" x14ac:dyDescent="0.25">
      <c r="A316" s="2" t="s">
        <v>5132</v>
      </c>
      <c r="B316" s="7">
        <v>5518918</v>
      </c>
      <c r="C316" s="7">
        <v>750000</v>
      </c>
      <c r="D316" s="7">
        <f t="shared" si="5"/>
        <v>4768918</v>
      </c>
    </row>
    <row r="317" spans="1:4" ht="18" customHeight="1" x14ac:dyDescent="0.25">
      <c r="A317" s="2" t="s">
        <v>4094</v>
      </c>
      <c r="B317" s="7">
        <v>18595716</v>
      </c>
      <c r="C317" s="7">
        <v>12000000</v>
      </c>
      <c r="D317" s="7">
        <f t="shared" si="5"/>
        <v>6595716</v>
      </c>
    </row>
    <row r="318" spans="1:4" ht="18" customHeight="1" x14ac:dyDescent="0.25">
      <c r="A318" s="2" t="s">
        <v>1036</v>
      </c>
      <c r="B318" s="7">
        <v>53133888</v>
      </c>
      <c r="C318" s="7">
        <v>31000000</v>
      </c>
      <c r="D318" s="7">
        <f t="shared" si="5"/>
        <v>22133888</v>
      </c>
    </row>
    <row r="319" spans="1:4" ht="18" customHeight="1" x14ac:dyDescent="0.25">
      <c r="A319" s="2" t="s">
        <v>5686</v>
      </c>
      <c r="B319" s="7">
        <v>1554566</v>
      </c>
      <c r="C319" s="7">
        <v>39751583.5</v>
      </c>
      <c r="D319" s="7">
        <f t="shared" si="5"/>
        <v>-38197017.5</v>
      </c>
    </row>
    <row r="320" spans="1:4" ht="18" customHeight="1" x14ac:dyDescent="0.25">
      <c r="A320" s="2" t="s">
        <v>4880</v>
      </c>
      <c r="B320" s="7">
        <v>7918283</v>
      </c>
      <c r="C320" s="7">
        <v>12000000</v>
      </c>
      <c r="D320" s="7">
        <f t="shared" si="5"/>
        <v>-4081717</v>
      </c>
    </row>
    <row r="321" spans="1:4" ht="18" customHeight="1" x14ac:dyDescent="0.25">
      <c r="A321" s="2" t="s">
        <v>2638</v>
      </c>
      <c r="B321" s="7">
        <v>48334413</v>
      </c>
      <c r="C321" s="7">
        <v>200000</v>
      </c>
      <c r="D321" s="7">
        <f t="shared" si="5"/>
        <v>48134413</v>
      </c>
    </row>
    <row r="322" spans="1:4" ht="18" customHeight="1" x14ac:dyDescent="0.25">
      <c r="A322" s="2" t="s">
        <v>387</v>
      </c>
      <c r="B322" s="7">
        <v>82301521</v>
      </c>
      <c r="C322" s="7">
        <v>32000000</v>
      </c>
      <c r="D322" s="7">
        <f t="shared" si="5"/>
        <v>50301521</v>
      </c>
    </row>
    <row r="323" spans="1:4" ht="18" customHeight="1" x14ac:dyDescent="0.25">
      <c r="A323" s="2" t="s">
        <v>2004</v>
      </c>
      <c r="B323" s="7">
        <v>48334413</v>
      </c>
      <c r="C323" s="7">
        <v>5000000</v>
      </c>
      <c r="D323" s="7">
        <f t="shared" si="5"/>
        <v>43334413</v>
      </c>
    </row>
    <row r="324" spans="1:4" ht="18" customHeight="1" x14ac:dyDescent="0.25">
      <c r="A324" s="2" t="s">
        <v>3789</v>
      </c>
      <c r="B324" s="7">
        <v>24362501</v>
      </c>
      <c r="C324" s="7">
        <v>21500000</v>
      </c>
      <c r="D324" s="7">
        <f t="shared" si="5"/>
        <v>2862501</v>
      </c>
    </row>
    <row r="325" spans="1:4" ht="18" customHeight="1" x14ac:dyDescent="0.25">
      <c r="A325" s="2" t="s">
        <v>4276</v>
      </c>
      <c r="B325" s="7">
        <v>15988876</v>
      </c>
      <c r="C325" s="7">
        <v>27000000</v>
      </c>
      <c r="D325" s="7">
        <f t="shared" ref="D325:D388" si="6">B325-C325</f>
        <v>-11011124</v>
      </c>
    </row>
    <row r="326" spans="1:4" ht="18" customHeight="1" x14ac:dyDescent="0.25">
      <c r="A326" s="2" t="s">
        <v>4631</v>
      </c>
      <c r="B326" s="7">
        <v>11501093</v>
      </c>
      <c r="C326" s="7">
        <v>13000000</v>
      </c>
      <c r="D326" s="7">
        <f t="shared" si="6"/>
        <v>-1498907</v>
      </c>
    </row>
    <row r="327" spans="1:4" ht="18" customHeight="1" x14ac:dyDescent="0.25">
      <c r="A327" s="2" t="s">
        <v>1654</v>
      </c>
      <c r="B327" s="7">
        <v>48334413</v>
      </c>
      <c r="C327" s="7">
        <v>25000000</v>
      </c>
      <c r="D327" s="7">
        <f t="shared" si="6"/>
        <v>23334413</v>
      </c>
    </row>
    <row r="328" spans="1:4" ht="18" customHeight="1" x14ac:dyDescent="0.25">
      <c r="A328" s="2" t="s">
        <v>6571</v>
      </c>
      <c r="B328" s="7">
        <v>23616</v>
      </c>
      <c r="C328" s="7">
        <v>600000</v>
      </c>
      <c r="D328" s="7">
        <f t="shared" si="6"/>
        <v>-576384</v>
      </c>
    </row>
    <row r="329" spans="1:4" ht="18" customHeight="1" x14ac:dyDescent="0.25">
      <c r="A329" s="2" t="s">
        <v>2655</v>
      </c>
      <c r="B329" s="7">
        <v>48334413</v>
      </c>
      <c r="C329" s="7">
        <v>150000</v>
      </c>
      <c r="D329" s="7">
        <f t="shared" si="6"/>
        <v>48184413</v>
      </c>
    </row>
    <row r="330" spans="1:4" ht="18" customHeight="1" x14ac:dyDescent="0.25">
      <c r="A330" s="2" t="s">
        <v>4333</v>
      </c>
      <c r="B330" s="7">
        <v>15131330</v>
      </c>
      <c r="C330" s="7">
        <v>86000000</v>
      </c>
      <c r="D330" s="7">
        <f t="shared" si="6"/>
        <v>-70868670</v>
      </c>
    </row>
    <row r="331" spans="1:4" ht="18" customHeight="1" x14ac:dyDescent="0.25">
      <c r="A331" s="2" t="s">
        <v>1261</v>
      </c>
      <c r="B331" s="7">
        <v>48334413</v>
      </c>
      <c r="C331" s="7">
        <v>39751583.5</v>
      </c>
      <c r="D331" s="7">
        <f t="shared" si="6"/>
        <v>8582829.5</v>
      </c>
    </row>
    <row r="332" spans="1:4" ht="18" customHeight="1" x14ac:dyDescent="0.25">
      <c r="A332" s="2" t="s">
        <v>3939</v>
      </c>
      <c r="B332" s="7">
        <v>21197315</v>
      </c>
      <c r="C332" s="7">
        <v>5000000</v>
      </c>
      <c r="D332" s="7">
        <f t="shared" si="6"/>
        <v>16197315</v>
      </c>
    </row>
    <row r="333" spans="1:4" ht="18" customHeight="1" x14ac:dyDescent="0.25">
      <c r="A333" s="2" t="s">
        <v>6669</v>
      </c>
      <c r="B333" s="7">
        <v>9910</v>
      </c>
      <c r="C333" s="7">
        <v>25000000</v>
      </c>
      <c r="D333" s="7">
        <f t="shared" si="6"/>
        <v>-24990090</v>
      </c>
    </row>
    <row r="334" spans="1:4" ht="18" customHeight="1" x14ac:dyDescent="0.25">
      <c r="A334" s="2" t="s">
        <v>2482</v>
      </c>
      <c r="B334" s="7">
        <v>48334413</v>
      </c>
      <c r="C334" s="7">
        <v>950000</v>
      </c>
      <c r="D334" s="7">
        <f t="shared" si="6"/>
        <v>47384413</v>
      </c>
    </row>
    <row r="335" spans="1:4" ht="18" customHeight="1" x14ac:dyDescent="0.25">
      <c r="A335" s="2" t="s">
        <v>3485</v>
      </c>
      <c r="B335" s="7">
        <v>30306268</v>
      </c>
      <c r="C335" s="7">
        <v>50000000</v>
      </c>
      <c r="D335" s="7">
        <f t="shared" si="6"/>
        <v>-19693732</v>
      </c>
    </row>
    <row r="336" spans="1:4" ht="18" customHeight="1" x14ac:dyDescent="0.25">
      <c r="A336" s="2" t="s">
        <v>4017</v>
      </c>
      <c r="B336" s="7">
        <v>19976073</v>
      </c>
      <c r="C336" s="7">
        <v>20000000</v>
      </c>
      <c r="D336" s="7">
        <f t="shared" si="6"/>
        <v>-23927</v>
      </c>
    </row>
    <row r="337" spans="1:4" ht="18" customHeight="1" x14ac:dyDescent="0.25">
      <c r="A337" s="2" t="s">
        <v>1203</v>
      </c>
      <c r="B337" s="7">
        <v>48334413</v>
      </c>
      <c r="C337" s="7">
        <v>78000000</v>
      </c>
      <c r="D337" s="7">
        <f t="shared" si="6"/>
        <v>-29665587</v>
      </c>
    </row>
    <row r="338" spans="1:4" ht="18" customHeight="1" x14ac:dyDescent="0.25">
      <c r="A338" s="2" t="s">
        <v>4031</v>
      </c>
      <c r="B338" s="7">
        <v>19548064</v>
      </c>
      <c r="C338" s="7">
        <v>65000000</v>
      </c>
      <c r="D338" s="7">
        <f t="shared" si="6"/>
        <v>-45451936</v>
      </c>
    </row>
    <row r="339" spans="1:4" ht="18" customHeight="1" x14ac:dyDescent="0.25">
      <c r="A339" s="2" t="s">
        <v>3881</v>
      </c>
      <c r="B339" s="7">
        <v>22326247</v>
      </c>
      <c r="C339" s="7">
        <v>60000000</v>
      </c>
      <c r="D339" s="7">
        <f t="shared" si="6"/>
        <v>-37673753</v>
      </c>
    </row>
    <row r="340" spans="1:4" ht="18" customHeight="1" x14ac:dyDescent="0.25">
      <c r="A340" s="2" t="s">
        <v>3942</v>
      </c>
      <c r="B340" s="7">
        <v>21160089</v>
      </c>
      <c r="C340" s="7">
        <v>39751583.5</v>
      </c>
      <c r="D340" s="7">
        <f t="shared" si="6"/>
        <v>-18591494.5</v>
      </c>
    </row>
    <row r="341" spans="1:4" ht="18" customHeight="1" x14ac:dyDescent="0.25">
      <c r="A341" s="2" t="s">
        <v>5396</v>
      </c>
      <c r="B341" s="7">
        <v>3333823</v>
      </c>
      <c r="C341" s="7">
        <v>10000000</v>
      </c>
      <c r="D341" s="7">
        <f t="shared" si="6"/>
        <v>-6666177</v>
      </c>
    </row>
    <row r="342" spans="1:4" ht="18" customHeight="1" x14ac:dyDescent="0.25">
      <c r="A342" s="2" t="s">
        <v>5869</v>
      </c>
      <c r="B342" s="7">
        <v>830210</v>
      </c>
      <c r="C342" s="7">
        <v>5000000</v>
      </c>
      <c r="D342" s="7">
        <f t="shared" si="6"/>
        <v>-4169790</v>
      </c>
    </row>
    <row r="343" spans="1:4" ht="18" customHeight="1" x14ac:dyDescent="0.25">
      <c r="A343" s="2" t="s">
        <v>1118</v>
      </c>
      <c r="B343" s="7">
        <v>50921738</v>
      </c>
      <c r="C343" s="7">
        <v>30000000</v>
      </c>
      <c r="D343" s="7">
        <f t="shared" si="6"/>
        <v>20921738</v>
      </c>
    </row>
    <row r="344" spans="1:4" ht="18" customHeight="1" x14ac:dyDescent="0.25">
      <c r="A344" s="2" t="s">
        <v>5817</v>
      </c>
      <c r="B344" s="7">
        <v>1024175</v>
      </c>
      <c r="C344" s="7">
        <v>13000000</v>
      </c>
      <c r="D344" s="7">
        <f t="shared" si="6"/>
        <v>-11975825</v>
      </c>
    </row>
    <row r="345" spans="1:4" ht="18" customHeight="1" x14ac:dyDescent="0.25">
      <c r="A345" s="2" t="s">
        <v>3417</v>
      </c>
      <c r="B345" s="7">
        <v>31655091</v>
      </c>
      <c r="C345" s="7">
        <v>30000000</v>
      </c>
      <c r="D345" s="7">
        <f t="shared" si="6"/>
        <v>1655091</v>
      </c>
    </row>
    <row r="346" spans="1:4" ht="18" customHeight="1" x14ac:dyDescent="0.25">
      <c r="A346" s="2" t="s">
        <v>3123</v>
      </c>
      <c r="B346" s="7">
        <v>37738400</v>
      </c>
      <c r="C346" s="7">
        <v>25000000</v>
      </c>
      <c r="D346" s="7">
        <f t="shared" si="6"/>
        <v>12738400</v>
      </c>
    </row>
    <row r="347" spans="1:4" ht="18" customHeight="1" x14ac:dyDescent="0.25">
      <c r="A347" s="2" t="s">
        <v>1427</v>
      </c>
      <c r="B347" s="7">
        <v>48334413</v>
      </c>
      <c r="C347" s="7">
        <v>39751583.5</v>
      </c>
      <c r="D347" s="7">
        <f t="shared" si="6"/>
        <v>8582829.5</v>
      </c>
    </row>
    <row r="348" spans="1:4" ht="18" customHeight="1" x14ac:dyDescent="0.25">
      <c r="A348" s="2" t="s">
        <v>1017</v>
      </c>
      <c r="B348" s="7">
        <v>53868030</v>
      </c>
      <c r="C348" s="7">
        <v>17000000</v>
      </c>
      <c r="D348" s="7">
        <f t="shared" si="6"/>
        <v>36868030</v>
      </c>
    </row>
    <row r="349" spans="1:4" ht="18" customHeight="1" x14ac:dyDescent="0.25">
      <c r="A349" s="2" t="s">
        <v>5607</v>
      </c>
      <c r="B349" s="7">
        <v>2062066</v>
      </c>
      <c r="C349" s="7">
        <v>7000000</v>
      </c>
      <c r="D349" s="7">
        <f t="shared" si="6"/>
        <v>-4937934</v>
      </c>
    </row>
    <row r="350" spans="1:4" ht="18" customHeight="1" x14ac:dyDescent="0.25">
      <c r="A350" s="2" t="s">
        <v>1937</v>
      </c>
      <c r="B350" s="7">
        <v>48334413</v>
      </c>
      <c r="C350" s="7">
        <v>7000000</v>
      </c>
      <c r="D350" s="7">
        <f t="shared" si="6"/>
        <v>41334413</v>
      </c>
    </row>
    <row r="351" spans="1:4" ht="18" customHeight="1" x14ac:dyDescent="0.25">
      <c r="A351" s="2" t="s">
        <v>3121</v>
      </c>
      <c r="B351" s="7">
        <v>37752931</v>
      </c>
      <c r="C351" s="7">
        <v>40000000</v>
      </c>
      <c r="D351" s="7">
        <f t="shared" si="6"/>
        <v>-2247069</v>
      </c>
    </row>
    <row r="352" spans="1:4" ht="18" customHeight="1" x14ac:dyDescent="0.25">
      <c r="A352" s="2" t="s">
        <v>418</v>
      </c>
      <c r="B352" s="7">
        <v>80281096</v>
      </c>
      <c r="C352" s="7">
        <v>60000000</v>
      </c>
      <c r="D352" s="7">
        <f t="shared" si="6"/>
        <v>20281096</v>
      </c>
    </row>
    <row r="353" spans="1:4" ht="18" customHeight="1" x14ac:dyDescent="0.25">
      <c r="A353" s="2" t="s">
        <v>4391</v>
      </c>
      <c r="B353" s="7">
        <v>14373825</v>
      </c>
      <c r="C353" s="7">
        <v>8600000</v>
      </c>
      <c r="D353" s="7">
        <f t="shared" si="6"/>
        <v>5773825</v>
      </c>
    </row>
    <row r="354" spans="1:4" ht="18" customHeight="1" x14ac:dyDescent="0.25">
      <c r="A354" s="2" t="s">
        <v>4776</v>
      </c>
      <c r="B354" s="7">
        <v>9430988</v>
      </c>
      <c r="C354" s="7">
        <v>17000000</v>
      </c>
      <c r="D354" s="7">
        <f t="shared" si="6"/>
        <v>-7569012</v>
      </c>
    </row>
    <row r="355" spans="1:4" ht="18" customHeight="1" x14ac:dyDescent="0.25">
      <c r="A355" s="2" t="s">
        <v>2176</v>
      </c>
      <c r="B355" s="7">
        <v>48334413</v>
      </c>
      <c r="C355" s="7">
        <v>3000000</v>
      </c>
      <c r="D355" s="7">
        <f t="shared" si="6"/>
        <v>45334413</v>
      </c>
    </row>
    <row r="356" spans="1:4" ht="18" customHeight="1" x14ac:dyDescent="0.25">
      <c r="A356" s="2" t="s">
        <v>6617</v>
      </c>
      <c r="B356" s="7">
        <v>16892</v>
      </c>
      <c r="C356" s="7">
        <v>300000</v>
      </c>
      <c r="D356" s="7">
        <f t="shared" si="6"/>
        <v>-283108</v>
      </c>
    </row>
    <row r="357" spans="1:4" ht="18" customHeight="1" x14ac:dyDescent="0.25">
      <c r="A357" s="2" t="s">
        <v>5023</v>
      </c>
      <c r="B357" s="7">
        <v>6498000</v>
      </c>
      <c r="C357" s="7">
        <v>18026148</v>
      </c>
      <c r="D357" s="7">
        <f t="shared" si="6"/>
        <v>-11528148</v>
      </c>
    </row>
    <row r="358" spans="1:4" ht="18" customHeight="1" x14ac:dyDescent="0.25">
      <c r="A358" s="2" t="s">
        <v>4110</v>
      </c>
      <c r="B358" s="7">
        <v>18318000</v>
      </c>
      <c r="C358" s="7">
        <v>80000000</v>
      </c>
      <c r="D358" s="7">
        <f t="shared" si="6"/>
        <v>-61682000</v>
      </c>
    </row>
    <row r="359" spans="1:4" ht="18" customHeight="1" x14ac:dyDescent="0.25">
      <c r="A359" s="2" t="s">
        <v>691</v>
      </c>
      <c r="B359" s="7">
        <v>66600000</v>
      </c>
      <c r="C359" s="7">
        <v>30000000</v>
      </c>
      <c r="D359" s="7">
        <f t="shared" si="6"/>
        <v>36600000</v>
      </c>
    </row>
    <row r="360" spans="1:4" ht="18" customHeight="1" x14ac:dyDescent="0.25">
      <c r="A360" s="2" t="s">
        <v>3283</v>
      </c>
      <c r="B360" s="7">
        <v>34300771</v>
      </c>
      <c r="C360" s="7">
        <v>25000000</v>
      </c>
      <c r="D360" s="7">
        <f t="shared" si="6"/>
        <v>9300771</v>
      </c>
    </row>
    <row r="361" spans="1:4" ht="18" customHeight="1" x14ac:dyDescent="0.25">
      <c r="A361" s="2" t="s">
        <v>3554</v>
      </c>
      <c r="B361" s="7">
        <v>28734552</v>
      </c>
      <c r="C361" s="7">
        <v>16000000</v>
      </c>
      <c r="D361" s="7">
        <f t="shared" si="6"/>
        <v>12734552</v>
      </c>
    </row>
    <row r="362" spans="1:4" ht="18" customHeight="1" x14ac:dyDescent="0.25">
      <c r="A362" s="2" t="s">
        <v>3623</v>
      </c>
      <c r="B362" s="7">
        <v>27141959</v>
      </c>
      <c r="C362" s="7">
        <v>18000000</v>
      </c>
      <c r="D362" s="7">
        <f t="shared" si="6"/>
        <v>9141959</v>
      </c>
    </row>
    <row r="363" spans="1:4" ht="18" customHeight="1" x14ac:dyDescent="0.25">
      <c r="A363" s="2" t="s">
        <v>821</v>
      </c>
      <c r="B363" s="7">
        <v>60269340</v>
      </c>
      <c r="C363" s="7">
        <v>30000000</v>
      </c>
      <c r="D363" s="7">
        <f t="shared" si="6"/>
        <v>30269340</v>
      </c>
    </row>
    <row r="364" spans="1:4" ht="18" customHeight="1" x14ac:dyDescent="0.25">
      <c r="A364" s="2" t="s">
        <v>3864</v>
      </c>
      <c r="B364" s="7">
        <v>22531698</v>
      </c>
      <c r="C364" s="7">
        <v>70000000</v>
      </c>
      <c r="D364" s="7">
        <f t="shared" si="6"/>
        <v>-47468302</v>
      </c>
    </row>
    <row r="365" spans="1:4" ht="18" customHeight="1" x14ac:dyDescent="0.25">
      <c r="A365" s="2" t="s">
        <v>4224</v>
      </c>
      <c r="B365" s="7">
        <v>16671505</v>
      </c>
      <c r="C365" s="7">
        <v>50000000</v>
      </c>
      <c r="D365" s="7">
        <f t="shared" si="6"/>
        <v>-33328495</v>
      </c>
    </row>
    <row r="366" spans="1:4" ht="18" customHeight="1" x14ac:dyDescent="0.25">
      <c r="A366" s="2" t="s">
        <v>6051</v>
      </c>
      <c r="B366" s="7">
        <v>418268</v>
      </c>
      <c r="C366" s="7">
        <v>3000000</v>
      </c>
      <c r="D366" s="7">
        <f t="shared" si="6"/>
        <v>-2581732</v>
      </c>
    </row>
    <row r="367" spans="1:4" ht="18" customHeight="1" x14ac:dyDescent="0.25">
      <c r="A367" s="2" t="s">
        <v>309</v>
      </c>
      <c r="B367" s="7">
        <v>87666629</v>
      </c>
      <c r="C367" s="7">
        <v>40000000</v>
      </c>
      <c r="D367" s="7">
        <f t="shared" si="6"/>
        <v>47666629</v>
      </c>
    </row>
    <row r="368" spans="1:4" ht="18" customHeight="1" x14ac:dyDescent="0.25">
      <c r="A368" s="2" t="s">
        <v>712</v>
      </c>
      <c r="B368" s="7">
        <v>65807024</v>
      </c>
      <c r="C368" s="7">
        <v>19000000</v>
      </c>
      <c r="D368" s="7">
        <f t="shared" si="6"/>
        <v>46807024</v>
      </c>
    </row>
    <row r="369" spans="1:4" ht="18" customHeight="1" x14ac:dyDescent="0.25">
      <c r="A369" s="2" t="s">
        <v>3493</v>
      </c>
      <c r="B369" s="7">
        <v>30157016</v>
      </c>
      <c r="C369" s="7">
        <v>70000000</v>
      </c>
      <c r="D369" s="7">
        <f t="shared" si="6"/>
        <v>-39842984</v>
      </c>
    </row>
    <row r="370" spans="1:4" ht="18" customHeight="1" x14ac:dyDescent="0.25">
      <c r="A370" s="2" t="s">
        <v>140</v>
      </c>
      <c r="B370" s="7">
        <v>101978840</v>
      </c>
      <c r="C370" s="7">
        <v>15000000</v>
      </c>
      <c r="D370" s="7">
        <f t="shared" si="6"/>
        <v>86978840</v>
      </c>
    </row>
    <row r="371" spans="1:4" ht="18" customHeight="1" x14ac:dyDescent="0.25">
      <c r="A371" s="2" t="s">
        <v>5667</v>
      </c>
      <c r="B371" s="7">
        <v>1697956</v>
      </c>
      <c r="C371" s="7">
        <v>20000000</v>
      </c>
      <c r="D371" s="7">
        <f t="shared" si="6"/>
        <v>-18302044</v>
      </c>
    </row>
    <row r="372" spans="1:4" ht="18" customHeight="1" x14ac:dyDescent="0.25">
      <c r="A372" s="2" t="s">
        <v>967</v>
      </c>
      <c r="B372" s="7">
        <v>55461307</v>
      </c>
      <c r="C372" s="7">
        <v>20000000</v>
      </c>
      <c r="D372" s="7">
        <f t="shared" si="6"/>
        <v>35461307</v>
      </c>
    </row>
    <row r="373" spans="1:4" ht="18" customHeight="1" x14ac:dyDescent="0.25">
      <c r="A373" s="2" t="s">
        <v>827</v>
      </c>
      <c r="B373" s="7">
        <v>60057639</v>
      </c>
      <c r="C373" s="7">
        <v>18000000</v>
      </c>
      <c r="D373" s="7">
        <f t="shared" si="6"/>
        <v>42057639</v>
      </c>
    </row>
    <row r="374" spans="1:4" ht="18" customHeight="1" x14ac:dyDescent="0.25">
      <c r="A374" s="2" t="s">
        <v>176</v>
      </c>
      <c r="B374" s="7">
        <v>100292856</v>
      </c>
      <c r="C374" s="7">
        <v>20000000</v>
      </c>
      <c r="D374" s="7">
        <f t="shared" si="6"/>
        <v>80292856</v>
      </c>
    </row>
    <row r="375" spans="1:4" ht="18" customHeight="1" x14ac:dyDescent="0.25">
      <c r="A375" s="2" t="s">
        <v>4895</v>
      </c>
      <c r="B375" s="7">
        <v>7764027</v>
      </c>
      <c r="C375" s="7">
        <v>10000000</v>
      </c>
      <c r="D375" s="7">
        <f t="shared" si="6"/>
        <v>-2235973</v>
      </c>
    </row>
    <row r="376" spans="1:4" ht="18" customHeight="1" x14ac:dyDescent="0.25">
      <c r="A376" s="2" t="s">
        <v>3911</v>
      </c>
      <c r="B376" s="7">
        <v>21564616</v>
      </c>
      <c r="C376" s="7">
        <v>8500000</v>
      </c>
      <c r="D376" s="7">
        <f t="shared" si="6"/>
        <v>13064616</v>
      </c>
    </row>
    <row r="377" spans="1:4" ht="18" customHeight="1" x14ac:dyDescent="0.25">
      <c r="A377" s="2" t="s">
        <v>6300</v>
      </c>
      <c r="B377" s="7">
        <v>140016</v>
      </c>
      <c r="C377" s="7">
        <v>39751583.5</v>
      </c>
      <c r="D377" s="7">
        <f t="shared" si="6"/>
        <v>-39611567.5</v>
      </c>
    </row>
    <row r="378" spans="1:4" ht="18" customHeight="1" x14ac:dyDescent="0.25">
      <c r="A378" s="2" t="s">
        <v>1600</v>
      </c>
      <c r="B378" s="7">
        <v>48334413</v>
      </c>
      <c r="C378" s="7">
        <v>30000000</v>
      </c>
      <c r="D378" s="7">
        <f t="shared" si="6"/>
        <v>18334413</v>
      </c>
    </row>
    <row r="379" spans="1:4" ht="18" customHeight="1" x14ac:dyDescent="0.25">
      <c r="A379" s="2" t="s">
        <v>4402</v>
      </c>
      <c r="B379" s="7">
        <v>14294842</v>
      </c>
      <c r="C379" s="7">
        <v>70000000</v>
      </c>
      <c r="D379" s="7">
        <f t="shared" si="6"/>
        <v>-55705158</v>
      </c>
    </row>
    <row r="380" spans="1:4" ht="18" customHeight="1" x14ac:dyDescent="0.25">
      <c r="A380" s="2" t="s">
        <v>128</v>
      </c>
      <c r="B380" s="7">
        <v>102797150</v>
      </c>
      <c r="C380" s="7">
        <v>39751583.5</v>
      </c>
      <c r="D380" s="7">
        <f t="shared" si="6"/>
        <v>63045566.5</v>
      </c>
    </row>
    <row r="381" spans="1:4" ht="18" customHeight="1" x14ac:dyDescent="0.25">
      <c r="A381" s="2" t="s">
        <v>5590</v>
      </c>
      <c r="B381" s="7">
        <v>2185266</v>
      </c>
      <c r="C381" s="7">
        <v>10000000</v>
      </c>
      <c r="D381" s="7">
        <f t="shared" si="6"/>
        <v>-7814734</v>
      </c>
    </row>
    <row r="382" spans="1:4" ht="18" customHeight="1" x14ac:dyDescent="0.25">
      <c r="A382" s="2" t="s">
        <v>2271</v>
      </c>
      <c r="B382" s="7">
        <v>48334413</v>
      </c>
      <c r="C382" s="7">
        <v>2000000</v>
      </c>
      <c r="D382" s="7">
        <f t="shared" si="6"/>
        <v>46334413</v>
      </c>
    </row>
    <row r="383" spans="1:4" ht="18" customHeight="1" x14ac:dyDescent="0.25">
      <c r="A383" s="2" t="s">
        <v>1596</v>
      </c>
      <c r="B383" s="7">
        <v>48334413</v>
      </c>
      <c r="C383" s="7">
        <v>32000000</v>
      </c>
      <c r="D383" s="7">
        <f t="shared" si="6"/>
        <v>16334413</v>
      </c>
    </row>
    <row r="384" spans="1:4" ht="18" customHeight="1" x14ac:dyDescent="0.25">
      <c r="A384" s="2" t="s">
        <v>2970</v>
      </c>
      <c r="B384" s="7">
        <v>41523271</v>
      </c>
      <c r="C384" s="7">
        <v>80000000</v>
      </c>
      <c r="D384" s="7">
        <f t="shared" si="6"/>
        <v>-38476729</v>
      </c>
    </row>
    <row r="385" spans="1:4" ht="18" customHeight="1" x14ac:dyDescent="0.25">
      <c r="A385" s="2" t="s">
        <v>5164</v>
      </c>
      <c r="B385" s="7">
        <v>5205343</v>
      </c>
      <c r="C385" s="7">
        <v>20000000</v>
      </c>
      <c r="D385" s="7">
        <f t="shared" si="6"/>
        <v>-14794657</v>
      </c>
    </row>
    <row r="386" spans="1:4" ht="18" customHeight="1" x14ac:dyDescent="0.25">
      <c r="A386" s="2" t="s">
        <v>2463</v>
      </c>
      <c r="B386" s="7">
        <v>48334413</v>
      </c>
      <c r="C386" s="7">
        <v>1000000</v>
      </c>
      <c r="D386" s="7">
        <f t="shared" si="6"/>
        <v>47334413</v>
      </c>
    </row>
    <row r="387" spans="1:4" ht="18" customHeight="1" x14ac:dyDescent="0.25">
      <c r="A387" s="2" t="s">
        <v>1582</v>
      </c>
      <c r="B387" s="7">
        <v>48334413</v>
      </c>
      <c r="C387" s="7">
        <v>39751583.5</v>
      </c>
      <c r="D387" s="7">
        <f t="shared" si="6"/>
        <v>8582829.5</v>
      </c>
    </row>
    <row r="388" spans="1:4" ht="18" customHeight="1" x14ac:dyDescent="0.25">
      <c r="A388" s="2" t="s">
        <v>4324</v>
      </c>
      <c r="B388" s="7">
        <v>15279680</v>
      </c>
      <c r="C388" s="7">
        <v>40000000</v>
      </c>
      <c r="D388" s="7">
        <f t="shared" si="6"/>
        <v>-24720320</v>
      </c>
    </row>
    <row r="389" spans="1:4" ht="18" customHeight="1" x14ac:dyDescent="0.25">
      <c r="A389" s="2" t="s">
        <v>2480</v>
      </c>
      <c r="B389" s="7">
        <v>48334413</v>
      </c>
      <c r="C389" s="7">
        <v>950000</v>
      </c>
      <c r="D389" s="7">
        <f t="shared" ref="D389:D452" si="7">B389-C389</f>
        <v>47384413</v>
      </c>
    </row>
    <row r="390" spans="1:4" ht="18" customHeight="1" x14ac:dyDescent="0.25">
      <c r="A390" s="2" t="s">
        <v>1880</v>
      </c>
      <c r="B390" s="7">
        <v>48334413</v>
      </c>
      <c r="C390" s="7">
        <v>9000000</v>
      </c>
      <c r="D390" s="7">
        <f t="shared" si="7"/>
        <v>39334413</v>
      </c>
    </row>
    <row r="391" spans="1:4" ht="18" customHeight="1" x14ac:dyDescent="0.25">
      <c r="A391" s="2" t="s">
        <v>1354</v>
      </c>
      <c r="B391" s="7">
        <v>48334413</v>
      </c>
      <c r="C391" s="7">
        <v>39751583.5</v>
      </c>
      <c r="D391" s="7">
        <f t="shared" si="7"/>
        <v>8582829.5</v>
      </c>
    </row>
    <row r="392" spans="1:4" ht="18" customHeight="1" x14ac:dyDescent="0.25">
      <c r="A392" s="2" t="s">
        <v>728</v>
      </c>
      <c r="B392" s="7">
        <v>64955956</v>
      </c>
      <c r="C392" s="7">
        <v>18000000</v>
      </c>
      <c r="D392" s="7">
        <f t="shared" si="7"/>
        <v>46955956</v>
      </c>
    </row>
    <row r="393" spans="1:4" ht="18" customHeight="1" x14ac:dyDescent="0.25">
      <c r="A393" s="2" t="s">
        <v>531</v>
      </c>
      <c r="B393" s="7">
        <v>75074950</v>
      </c>
      <c r="C393" s="7">
        <v>12000000</v>
      </c>
      <c r="D393" s="7">
        <f t="shared" si="7"/>
        <v>63074950</v>
      </c>
    </row>
    <row r="394" spans="1:4" ht="18" customHeight="1" x14ac:dyDescent="0.25">
      <c r="A394" s="2" t="s">
        <v>1402</v>
      </c>
      <c r="B394" s="7">
        <v>48334413</v>
      </c>
      <c r="C394" s="7">
        <v>39751583.5</v>
      </c>
      <c r="D394" s="7">
        <f t="shared" si="7"/>
        <v>8582829.5</v>
      </c>
    </row>
    <row r="395" spans="1:4" ht="18" customHeight="1" x14ac:dyDescent="0.25">
      <c r="A395" s="2" t="s">
        <v>4648</v>
      </c>
      <c r="B395" s="7">
        <v>11144518</v>
      </c>
      <c r="C395" s="7">
        <v>15000000</v>
      </c>
      <c r="D395" s="7">
        <f t="shared" si="7"/>
        <v>-3855482</v>
      </c>
    </row>
    <row r="396" spans="1:4" ht="18" customHeight="1" x14ac:dyDescent="0.25">
      <c r="A396" s="2" t="s">
        <v>4919</v>
      </c>
      <c r="B396" s="7">
        <v>7501404</v>
      </c>
      <c r="C396" s="7">
        <v>39751583.5</v>
      </c>
      <c r="D396" s="7">
        <f t="shared" si="7"/>
        <v>-32250179.5</v>
      </c>
    </row>
    <row r="397" spans="1:4" ht="18" customHeight="1" x14ac:dyDescent="0.25">
      <c r="A397" s="2" t="s">
        <v>565</v>
      </c>
      <c r="B397" s="7">
        <v>72601713</v>
      </c>
      <c r="C397" s="7">
        <v>51000000</v>
      </c>
      <c r="D397" s="7">
        <f t="shared" si="7"/>
        <v>21601713</v>
      </c>
    </row>
    <row r="398" spans="1:4" ht="18" customHeight="1" x14ac:dyDescent="0.25">
      <c r="A398" s="2" t="s">
        <v>1806</v>
      </c>
      <c r="B398" s="7">
        <v>48334413</v>
      </c>
      <c r="C398" s="7">
        <v>11000000</v>
      </c>
      <c r="D398" s="7">
        <f t="shared" si="7"/>
        <v>37334413</v>
      </c>
    </row>
    <row r="399" spans="1:4" ht="18" customHeight="1" x14ac:dyDescent="0.25">
      <c r="A399" s="2" t="s">
        <v>1436</v>
      </c>
      <c r="B399" s="7">
        <v>48334413</v>
      </c>
      <c r="C399" s="7">
        <v>39751583.5</v>
      </c>
      <c r="D399" s="7">
        <f t="shared" si="7"/>
        <v>8582829.5</v>
      </c>
    </row>
    <row r="400" spans="1:4" ht="18" customHeight="1" x14ac:dyDescent="0.25">
      <c r="A400" s="2" t="s">
        <v>5102</v>
      </c>
      <c r="B400" s="7">
        <v>5851188</v>
      </c>
      <c r="C400" s="7">
        <v>70000000</v>
      </c>
      <c r="D400" s="7">
        <f t="shared" si="7"/>
        <v>-64148812</v>
      </c>
    </row>
    <row r="401" spans="1:4" ht="18" customHeight="1" x14ac:dyDescent="0.25">
      <c r="A401" s="2" t="s">
        <v>3656</v>
      </c>
      <c r="B401" s="7">
        <v>26536120</v>
      </c>
      <c r="C401" s="7">
        <v>50000000</v>
      </c>
      <c r="D401" s="7">
        <f t="shared" si="7"/>
        <v>-23463880</v>
      </c>
    </row>
    <row r="402" spans="1:4" ht="18" customHeight="1" x14ac:dyDescent="0.25">
      <c r="A402" s="2" t="s">
        <v>5470</v>
      </c>
      <c r="B402" s="7">
        <v>2961991</v>
      </c>
      <c r="C402" s="7">
        <v>3300000</v>
      </c>
      <c r="D402" s="7">
        <f t="shared" si="7"/>
        <v>-338009</v>
      </c>
    </row>
    <row r="403" spans="1:4" ht="18" customHeight="1" x14ac:dyDescent="0.25">
      <c r="A403" s="2" t="s">
        <v>2232</v>
      </c>
      <c r="B403" s="7">
        <v>48334413</v>
      </c>
      <c r="C403" s="7">
        <v>2361000</v>
      </c>
      <c r="D403" s="7">
        <f t="shared" si="7"/>
        <v>45973413</v>
      </c>
    </row>
    <row r="404" spans="1:4" ht="18" customHeight="1" x14ac:dyDescent="0.25">
      <c r="A404" s="2" t="s">
        <v>1321</v>
      </c>
      <c r="B404" s="7">
        <v>48334413</v>
      </c>
      <c r="C404" s="7">
        <v>39751583.5</v>
      </c>
      <c r="D404" s="7">
        <f t="shared" si="7"/>
        <v>8582829.5</v>
      </c>
    </row>
    <row r="405" spans="1:4" ht="18" customHeight="1" x14ac:dyDescent="0.25">
      <c r="A405" s="2" t="s">
        <v>2109</v>
      </c>
      <c r="B405" s="7">
        <v>48334413</v>
      </c>
      <c r="C405" s="7">
        <v>3500000</v>
      </c>
      <c r="D405" s="7">
        <f t="shared" si="7"/>
        <v>44834413</v>
      </c>
    </row>
    <row r="406" spans="1:4" ht="18" customHeight="1" x14ac:dyDescent="0.25">
      <c r="A406" s="2" t="s">
        <v>2371</v>
      </c>
      <c r="B406" s="7">
        <v>48334413</v>
      </c>
      <c r="C406" s="7">
        <v>1377800</v>
      </c>
      <c r="D406" s="7">
        <f t="shared" si="7"/>
        <v>46956613</v>
      </c>
    </row>
    <row r="407" spans="1:4" ht="18" customHeight="1" x14ac:dyDescent="0.25">
      <c r="A407" s="2" t="s">
        <v>4729</v>
      </c>
      <c r="B407" s="7">
        <v>10149779</v>
      </c>
      <c r="C407" s="7">
        <v>6500000</v>
      </c>
      <c r="D407" s="7">
        <f t="shared" si="7"/>
        <v>3649779</v>
      </c>
    </row>
    <row r="408" spans="1:4" ht="18" customHeight="1" x14ac:dyDescent="0.25">
      <c r="A408" s="2" t="s">
        <v>2303</v>
      </c>
      <c r="B408" s="7">
        <v>48334413</v>
      </c>
      <c r="C408" s="7">
        <v>1800000</v>
      </c>
      <c r="D408" s="7">
        <f t="shared" si="7"/>
        <v>46534413</v>
      </c>
    </row>
    <row r="409" spans="1:4" ht="18" customHeight="1" x14ac:dyDescent="0.25">
      <c r="A409" s="2" t="s">
        <v>358</v>
      </c>
      <c r="B409" s="7">
        <v>83552429</v>
      </c>
      <c r="C409" s="7">
        <v>70000000</v>
      </c>
      <c r="D409" s="7">
        <f t="shared" si="7"/>
        <v>13552429</v>
      </c>
    </row>
    <row r="410" spans="1:4" ht="18" customHeight="1" x14ac:dyDescent="0.25">
      <c r="A410" s="2" t="s">
        <v>4808</v>
      </c>
      <c r="B410" s="7">
        <v>8888355</v>
      </c>
      <c r="C410" s="7">
        <v>20000000</v>
      </c>
      <c r="D410" s="7">
        <f t="shared" si="7"/>
        <v>-11111645</v>
      </c>
    </row>
    <row r="411" spans="1:4" ht="18" customHeight="1" x14ac:dyDescent="0.25">
      <c r="A411" s="2" t="s">
        <v>3922</v>
      </c>
      <c r="B411" s="7">
        <v>21471685</v>
      </c>
      <c r="C411" s="7">
        <v>44000000</v>
      </c>
      <c r="D411" s="7">
        <f t="shared" si="7"/>
        <v>-22528315</v>
      </c>
    </row>
    <row r="412" spans="1:4" ht="18" customHeight="1" x14ac:dyDescent="0.25">
      <c r="A412" s="2" t="s">
        <v>953</v>
      </c>
      <c r="B412" s="7">
        <v>55808744</v>
      </c>
      <c r="C412" s="7">
        <v>53000000</v>
      </c>
      <c r="D412" s="7">
        <f t="shared" si="7"/>
        <v>2808744</v>
      </c>
    </row>
    <row r="413" spans="1:4" ht="18" customHeight="1" x14ac:dyDescent="0.25">
      <c r="A413" s="2" t="s">
        <v>4645</v>
      </c>
      <c r="B413" s="7">
        <v>11169531</v>
      </c>
      <c r="C413" s="7">
        <v>20000000</v>
      </c>
      <c r="D413" s="7">
        <f t="shared" si="7"/>
        <v>-8830469</v>
      </c>
    </row>
    <row r="414" spans="1:4" ht="18" customHeight="1" x14ac:dyDescent="0.25">
      <c r="A414" s="2" t="s">
        <v>3590</v>
      </c>
      <c r="B414" s="7">
        <v>27854896</v>
      </c>
      <c r="C414" s="7">
        <v>17000000</v>
      </c>
      <c r="D414" s="7">
        <f t="shared" si="7"/>
        <v>10854896</v>
      </c>
    </row>
    <row r="415" spans="1:4" ht="18" customHeight="1" x14ac:dyDescent="0.25">
      <c r="A415" s="2" t="s">
        <v>5858</v>
      </c>
      <c r="B415" s="7">
        <v>869325</v>
      </c>
      <c r="C415" s="7">
        <v>6000000</v>
      </c>
      <c r="D415" s="7">
        <f t="shared" si="7"/>
        <v>-5130675</v>
      </c>
    </row>
    <row r="416" spans="1:4" ht="18" customHeight="1" x14ac:dyDescent="0.25">
      <c r="A416" s="2" t="s">
        <v>4537</v>
      </c>
      <c r="B416" s="7">
        <v>12784397</v>
      </c>
      <c r="C416" s="7">
        <v>1800000</v>
      </c>
      <c r="D416" s="7">
        <f t="shared" si="7"/>
        <v>10984397</v>
      </c>
    </row>
    <row r="417" spans="1:4" ht="18" customHeight="1" x14ac:dyDescent="0.25">
      <c r="A417" s="2" t="s">
        <v>4037</v>
      </c>
      <c r="B417" s="7">
        <v>19445217</v>
      </c>
      <c r="C417" s="7">
        <v>60000000</v>
      </c>
      <c r="D417" s="7">
        <f t="shared" si="7"/>
        <v>-40554783</v>
      </c>
    </row>
    <row r="418" spans="1:4" ht="18" customHeight="1" x14ac:dyDescent="0.25">
      <c r="A418" s="2" t="s">
        <v>3187</v>
      </c>
      <c r="B418" s="7">
        <v>36310118</v>
      </c>
      <c r="C418" s="7">
        <v>39751583.5</v>
      </c>
      <c r="D418" s="7">
        <f t="shared" si="7"/>
        <v>-3441465.5</v>
      </c>
    </row>
    <row r="419" spans="1:4" ht="18" customHeight="1" x14ac:dyDescent="0.25">
      <c r="A419" s="2" t="s">
        <v>767</v>
      </c>
      <c r="B419" s="7">
        <v>63071133</v>
      </c>
      <c r="C419" s="7">
        <v>12000000</v>
      </c>
      <c r="D419" s="7">
        <f t="shared" si="7"/>
        <v>51071133</v>
      </c>
    </row>
    <row r="420" spans="1:4" ht="18" customHeight="1" x14ac:dyDescent="0.25">
      <c r="A420" s="2" t="s">
        <v>2926</v>
      </c>
      <c r="B420" s="7">
        <v>42640890</v>
      </c>
      <c r="C420" s="7">
        <v>39751583.5</v>
      </c>
      <c r="D420" s="7">
        <f t="shared" si="7"/>
        <v>2889306.5</v>
      </c>
    </row>
    <row r="421" spans="1:4" ht="18" customHeight="1" x14ac:dyDescent="0.25">
      <c r="A421" s="2" t="s">
        <v>3361</v>
      </c>
      <c r="B421" s="7">
        <v>32645546</v>
      </c>
      <c r="C421" s="7">
        <v>14000000</v>
      </c>
      <c r="D421" s="7">
        <f t="shared" si="7"/>
        <v>18645546</v>
      </c>
    </row>
    <row r="422" spans="1:4" ht="18" customHeight="1" x14ac:dyDescent="0.25">
      <c r="A422" s="2" t="s">
        <v>4082</v>
      </c>
      <c r="B422" s="7">
        <v>18663911</v>
      </c>
      <c r="C422" s="7">
        <v>16500000</v>
      </c>
      <c r="D422" s="7">
        <f t="shared" si="7"/>
        <v>2163911</v>
      </c>
    </row>
    <row r="423" spans="1:4" ht="18" customHeight="1" x14ac:dyDescent="0.25">
      <c r="A423" s="2" t="s">
        <v>3110</v>
      </c>
      <c r="B423" s="7">
        <v>37879996</v>
      </c>
      <c r="C423" s="7">
        <v>48000000</v>
      </c>
      <c r="D423" s="7">
        <f t="shared" si="7"/>
        <v>-10120004</v>
      </c>
    </row>
    <row r="424" spans="1:4" ht="18" customHeight="1" x14ac:dyDescent="0.25">
      <c r="A424" s="2" t="s">
        <v>33</v>
      </c>
      <c r="B424" s="7">
        <v>109993847</v>
      </c>
      <c r="C424" s="7">
        <v>80000000</v>
      </c>
      <c r="D424" s="7">
        <f t="shared" si="7"/>
        <v>29993847</v>
      </c>
    </row>
    <row r="425" spans="1:4" ht="18" customHeight="1" x14ac:dyDescent="0.25">
      <c r="A425" s="2" t="s">
        <v>6017</v>
      </c>
      <c r="B425" s="7">
        <v>475000</v>
      </c>
      <c r="C425" s="7">
        <v>2800000</v>
      </c>
      <c r="D425" s="7">
        <f t="shared" si="7"/>
        <v>-2325000</v>
      </c>
    </row>
    <row r="426" spans="1:4" ht="18" customHeight="1" x14ac:dyDescent="0.25">
      <c r="A426" s="2" t="s">
        <v>4053</v>
      </c>
      <c r="B426" s="7">
        <v>19179969</v>
      </c>
      <c r="C426" s="7">
        <v>17500000</v>
      </c>
      <c r="D426" s="7">
        <f t="shared" si="7"/>
        <v>1679969</v>
      </c>
    </row>
    <row r="427" spans="1:4" ht="18" customHeight="1" x14ac:dyDescent="0.25">
      <c r="A427" s="2" t="s">
        <v>555</v>
      </c>
      <c r="B427" s="7">
        <v>73326666</v>
      </c>
      <c r="C427" s="7">
        <v>15000000</v>
      </c>
      <c r="D427" s="7">
        <f t="shared" si="7"/>
        <v>58326666</v>
      </c>
    </row>
    <row r="428" spans="1:4" ht="18" customHeight="1" x14ac:dyDescent="0.25">
      <c r="A428" s="2" t="s">
        <v>5469</v>
      </c>
      <c r="B428" s="7">
        <v>2963012</v>
      </c>
      <c r="C428" s="7">
        <v>22000000</v>
      </c>
      <c r="D428" s="7">
        <f t="shared" si="7"/>
        <v>-19036988</v>
      </c>
    </row>
    <row r="429" spans="1:4" ht="18" customHeight="1" x14ac:dyDescent="0.25">
      <c r="A429" s="2" t="s">
        <v>4852</v>
      </c>
      <c r="B429" s="7">
        <v>8114507</v>
      </c>
      <c r="C429" s="7">
        <v>3000000</v>
      </c>
      <c r="D429" s="7">
        <f t="shared" si="7"/>
        <v>5114507</v>
      </c>
    </row>
    <row r="430" spans="1:4" ht="18" customHeight="1" x14ac:dyDescent="0.25">
      <c r="A430" s="2" t="s">
        <v>5144</v>
      </c>
      <c r="B430" s="7">
        <v>5400000</v>
      </c>
      <c r="C430" s="7">
        <v>2500000</v>
      </c>
      <c r="D430" s="7">
        <f t="shared" si="7"/>
        <v>2900000</v>
      </c>
    </row>
    <row r="431" spans="1:4" ht="18" customHeight="1" x14ac:dyDescent="0.25">
      <c r="A431" s="2" t="s">
        <v>5104</v>
      </c>
      <c r="B431" s="7">
        <v>5792822</v>
      </c>
      <c r="C431" s="7">
        <v>2700000</v>
      </c>
      <c r="D431" s="7">
        <f t="shared" si="7"/>
        <v>3092822</v>
      </c>
    </row>
    <row r="432" spans="1:4" ht="18" customHeight="1" x14ac:dyDescent="0.25">
      <c r="A432" s="2" t="s">
        <v>4256</v>
      </c>
      <c r="B432" s="7">
        <v>16168741</v>
      </c>
      <c r="C432" s="7">
        <v>8000000</v>
      </c>
      <c r="D432" s="7">
        <f t="shared" si="7"/>
        <v>8168741</v>
      </c>
    </row>
    <row r="433" spans="1:4" ht="18" customHeight="1" x14ac:dyDescent="0.25">
      <c r="A433" s="2" t="s">
        <v>5106</v>
      </c>
      <c r="B433" s="7">
        <v>5776314</v>
      </c>
      <c r="C433" s="7">
        <v>3200000</v>
      </c>
      <c r="D433" s="7">
        <f t="shared" si="7"/>
        <v>2576314</v>
      </c>
    </row>
    <row r="434" spans="1:4" ht="18" customHeight="1" x14ac:dyDescent="0.25">
      <c r="A434" s="2" t="s">
        <v>855</v>
      </c>
      <c r="B434" s="7">
        <v>59068786</v>
      </c>
      <c r="C434" s="7">
        <v>40000000</v>
      </c>
      <c r="D434" s="7">
        <f t="shared" si="7"/>
        <v>19068786</v>
      </c>
    </row>
    <row r="435" spans="1:4" ht="18" customHeight="1" x14ac:dyDescent="0.25">
      <c r="A435" s="2" t="s">
        <v>3853</v>
      </c>
      <c r="B435" s="7">
        <v>22858926</v>
      </c>
      <c r="C435" s="7">
        <v>13000000</v>
      </c>
      <c r="D435" s="7">
        <f t="shared" si="7"/>
        <v>9858926</v>
      </c>
    </row>
    <row r="436" spans="1:4" ht="18" customHeight="1" x14ac:dyDescent="0.25">
      <c r="A436" s="2" t="s">
        <v>4898</v>
      </c>
      <c r="B436" s="7">
        <v>7739049</v>
      </c>
      <c r="C436" s="7">
        <v>18000000</v>
      </c>
      <c r="D436" s="7">
        <f t="shared" si="7"/>
        <v>-10260951</v>
      </c>
    </row>
    <row r="437" spans="1:4" ht="18" customHeight="1" x14ac:dyDescent="0.25">
      <c r="A437" s="2" t="s">
        <v>4855</v>
      </c>
      <c r="B437" s="7">
        <v>8108247</v>
      </c>
      <c r="C437" s="7">
        <v>3300000</v>
      </c>
      <c r="D437" s="7">
        <f t="shared" si="7"/>
        <v>4808247</v>
      </c>
    </row>
    <row r="438" spans="1:4" ht="18" customHeight="1" x14ac:dyDescent="0.25">
      <c r="A438" s="2" t="s">
        <v>3854</v>
      </c>
      <c r="B438" s="7">
        <v>22843047</v>
      </c>
      <c r="C438" s="7">
        <v>55000000</v>
      </c>
      <c r="D438" s="7">
        <f t="shared" si="7"/>
        <v>-32156953</v>
      </c>
    </row>
    <row r="439" spans="1:4" ht="18" customHeight="1" x14ac:dyDescent="0.25">
      <c r="A439" s="2" t="s">
        <v>2394</v>
      </c>
      <c r="B439" s="7">
        <v>48334413</v>
      </c>
      <c r="C439" s="7">
        <v>1200000</v>
      </c>
      <c r="D439" s="7">
        <f t="shared" si="7"/>
        <v>47134413</v>
      </c>
    </row>
    <row r="440" spans="1:4" ht="18" customHeight="1" x14ac:dyDescent="0.25">
      <c r="A440" s="2" t="s">
        <v>3367</v>
      </c>
      <c r="B440" s="7">
        <v>32541719</v>
      </c>
      <c r="C440" s="7">
        <v>3500159</v>
      </c>
      <c r="D440" s="7">
        <f t="shared" si="7"/>
        <v>29041560</v>
      </c>
    </row>
    <row r="441" spans="1:4" ht="18" customHeight="1" x14ac:dyDescent="0.25">
      <c r="A441" s="2" t="s">
        <v>2707</v>
      </c>
      <c r="B441" s="7">
        <v>48334413</v>
      </c>
      <c r="C441" s="7">
        <v>50000</v>
      </c>
      <c r="D441" s="7">
        <f t="shared" si="7"/>
        <v>48284413</v>
      </c>
    </row>
    <row r="442" spans="1:4" ht="18" customHeight="1" x14ac:dyDescent="0.25">
      <c r="A442" s="2" t="s">
        <v>1878</v>
      </c>
      <c r="B442" s="7">
        <v>48334413</v>
      </c>
      <c r="C442" s="7">
        <v>9000000</v>
      </c>
      <c r="D442" s="7">
        <f t="shared" si="7"/>
        <v>39334413</v>
      </c>
    </row>
    <row r="443" spans="1:4" ht="18" customHeight="1" x14ac:dyDescent="0.25">
      <c r="A443" s="2" t="s">
        <v>2143</v>
      </c>
      <c r="B443" s="7">
        <v>48334413</v>
      </c>
      <c r="C443" s="7">
        <v>3000000</v>
      </c>
      <c r="D443" s="7">
        <f t="shared" si="7"/>
        <v>45334413</v>
      </c>
    </row>
    <row r="444" spans="1:4" ht="18" customHeight="1" x14ac:dyDescent="0.25">
      <c r="A444" s="2" t="s">
        <v>1235</v>
      </c>
      <c r="B444" s="7">
        <v>48334413</v>
      </c>
      <c r="C444" s="7">
        <v>39751583.5</v>
      </c>
      <c r="D444" s="7">
        <f t="shared" si="7"/>
        <v>8582829.5</v>
      </c>
    </row>
    <row r="445" spans="1:4" ht="18" customHeight="1" x14ac:dyDescent="0.25">
      <c r="A445" s="2" t="s">
        <v>3039</v>
      </c>
      <c r="B445" s="7">
        <v>39552600</v>
      </c>
      <c r="C445" s="7">
        <v>500000</v>
      </c>
      <c r="D445" s="7">
        <f t="shared" si="7"/>
        <v>39052600</v>
      </c>
    </row>
    <row r="446" spans="1:4" ht="18" customHeight="1" x14ac:dyDescent="0.25">
      <c r="A446" s="2" t="s">
        <v>4782</v>
      </c>
      <c r="B446" s="7">
        <v>9203192</v>
      </c>
      <c r="C446" s="7">
        <v>5000000</v>
      </c>
      <c r="D446" s="7">
        <f t="shared" si="7"/>
        <v>4203192</v>
      </c>
    </row>
    <row r="447" spans="1:4" ht="18" customHeight="1" x14ac:dyDescent="0.25">
      <c r="A447" s="2" t="s">
        <v>4091</v>
      </c>
      <c r="B447" s="7">
        <v>18621249</v>
      </c>
      <c r="C447" s="7">
        <v>6000000</v>
      </c>
      <c r="D447" s="7">
        <f t="shared" si="7"/>
        <v>12621249</v>
      </c>
    </row>
    <row r="448" spans="1:4" ht="18" customHeight="1" x14ac:dyDescent="0.25">
      <c r="A448" s="2" t="s">
        <v>5343</v>
      </c>
      <c r="B448" s="7">
        <v>3799339</v>
      </c>
      <c r="C448" s="7">
        <v>250000</v>
      </c>
      <c r="D448" s="7">
        <f t="shared" si="7"/>
        <v>3549339</v>
      </c>
    </row>
    <row r="449" spans="1:4" ht="18" customHeight="1" x14ac:dyDescent="0.25">
      <c r="A449" s="2" t="s">
        <v>217</v>
      </c>
      <c r="B449" s="7">
        <v>94497271</v>
      </c>
      <c r="C449" s="7">
        <v>20000000</v>
      </c>
      <c r="D449" s="7">
        <f t="shared" si="7"/>
        <v>74497271</v>
      </c>
    </row>
    <row r="450" spans="1:4" ht="18" customHeight="1" x14ac:dyDescent="0.25">
      <c r="A450" s="2" t="s">
        <v>2929</v>
      </c>
      <c r="B450" s="7">
        <v>42610000</v>
      </c>
      <c r="C450" s="7">
        <v>55000000</v>
      </c>
      <c r="D450" s="7">
        <f t="shared" si="7"/>
        <v>-12390000</v>
      </c>
    </row>
    <row r="451" spans="1:4" ht="18" customHeight="1" x14ac:dyDescent="0.25">
      <c r="A451" s="2" t="s">
        <v>1240</v>
      </c>
      <c r="B451" s="7">
        <v>48334413</v>
      </c>
      <c r="C451" s="7">
        <v>39751583.5</v>
      </c>
      <c r="D451" s="7">
        <f t="shared" si="7"/>
        <v>8582829.5</v>
      </c>
    </row>
    <row r="452" spans="1:4" ht="18" customHeight="1" x14ac:dyDescent="0.25">
      <c r="A452" s="2" t="s">
        <v>5251</v>
      </c>
      <c r="B452" s="7">
        <v>4426297</v>
      </c>
      <c r="C452" s="7">
        <v>35000000</v>
      </c>
      <c r="D452" s="7">
        <f t="shared" si="7"/>
        <v>-30573703</v>
      </c>
    </row>
    <row r="453" spans="1:4" ht="18" customHeight="1" x14ac:dyDescent="0.25">
      <c r="A453" s="2" t="s">
        <v>6479</v>
      </c>
      <c r="B453" s="7">
        <v>56129</v>
      </c>
      <c r="C453" s="7">
        <v>1100000</v>
      </c>
      <c r="D453" s="7">
        <f t="shared" ref="D453:D516" si="8">B453-C453</f>
        <v>-1043871</v>
      </c>
    </row>
    <row r="454" spans="1:4" ht="18" customHeight="1" x14ac:dyDescent="0.25">
      <c r="A454" s="2" t="s">
        <v>4373</v>
      </c>
      <c r="B454" s="7">
        <v>14612840</v>
      </c>
      <c r="C454" s="7">
        <v>7000000</v>
      </c>
      <c r="D454" s="7">
        <f t="shared" si="8"/>
        <v>7612840</v>
      </c>
    </row>
    <row r="455" spans="1:4" ht="18" customHeight="1" x14ac:dyDescent="0.25">
      <c r="A455" s="2" t="s">
        <v>5612</v>
      </c>
      <c r="B455" s="7">
        <v>2047570</v>
      </c>
      <c r="C455" s="7">
        <v>500000</v>
      </c>
      <c r="D455" s="7">
        <f t="shared" si="8"/>
        <v>1547570</v>
      </c>
    </row>
    <row r="456" spans="1:4" ht="18" customHeight="1" x14ac:dyDescent="0.25">
      <c r="A456" s="2" t="s">
        <v>5060</v>
      </c>
      <c r="B456" s="7">
        <v>6144806</v>
      </c>
      <c r="C456" s="7">
        <v>23000000</v>
      </c>
      <c r="D456" s="7">
        <f t="shared" si="8"/>
        <v>-16855194</v>
      </c>
    </row>
    <row r="457" spans="1:4" ht="18" customHeight="1" x14ac:dyDescent="0.25">
      <c r="A457" s="2" t="s">
        <v>4806</v>
      </c>
      <c r="B457" s="7">
        <v>9000000</v>
      </c>
      <c r="C457" s="7">
        <v>900000</v>
      </c>
      <c r="D457" s="7">
        <f t="shared" si="8"/>
        <v>8100000</v>
      </c>
    </row>
    <row r="458" spans="1:4" ht="18" customHeight="1" x14ac:dyDescent="0.25">
      <c r="A458" s="2" t="s">
        <v>1511</v>
      </c>
      <c r="B458" s="7">
        <v>48334413</v>
      </c>
      <c r="C458" s="7">
        <v>39751583.5</v>
      </c>
      <c r="D458" s="7">
        <f t="shared" si="8"/>
        <v>8582829.5</v>
      </c>
    </row>
    <row r="459" spans="1:4" ht="18" customHeight="1" x14ac:dyDescent="0.25">
      <c r="A459" s="2" t="s">
        <v>4382</v>
      </c>
      <c r="B459" s="7">
        <v>14479776</v>
      </c>
      <c r="C459" s="7">
        <v>10000000</v>
      </c>
      <c r="D459" s="7">
        <f t="shared" si="8"/>
        <v>4479776</v>
      </c>
    </row>
    <row r="460" spans="1:4" ht="18" customHeight="1" x14ac:dyDescent="0.25">
      <c r="A460" s="2" t="s">
        <v>2763</v>
      </c>
      <c r="B460" s="7">
        <v>47811275</v>
      </c>
      <c r="C460" s="7">
        <v>15000000</v>
      </c>
      <c r="D460" s="7">
        <f t="shared" si="8"/>
        <v>32811275</v>
      </c>
    </row>
    <row r="461" spans="1:4" ht="18" customHeight="1" x14ac:dyDescent="0.25">
      <c r="A461" s="2" t="s">
        <v>704</v>
      </c>
      <c r="B461" s="7">
        <v>66257002</v>
      </c>
      <c r="C461" s="7">
        <v>70000000</v>
      </c>
      <c r="D461" s="7">
        <f t="shared" si="8"/>
        <v>-3742998</v>
      </c>
    </row>
    <row r="462" spans="1:4" ht="18" customHeight="1" x14ac:dyDescent="0.25">
      <c r="A462" s="2" t="s">
        <v>4010</v>
      </c>
      <c r="B462" s="7">
        <v>20113965</v>
      </c>
      <c r="C462" s="7">
        <v>40000000</v>
      </c>
      <c r="D462" s="7">
        <f t="shared" si="8"/>
        <v>-19886035</v>
      </c>
    </row>
    <row r="463" spans="1:4" ht="18" customHeight="1" x14ac:dyDescent="0.25">
      <c r="A463" s="2" t="s">
        <v>624</v>
      </c>
      <c r="B463" s="7">
        <v>70163652</v>
      </c>
      <c r="C463" s="7">
        <v>40000000</v>
      </c>
      <c r="D463" s="7">
        <f t="shared" si="8"/>
        <v>30163652</v>
      </c>
    </row>
    <row r="464" spans="1:4" ht="18" customHeight="1" x14ac:dyDescent="0.25">
      <c r="A464" s="2" t="s">
        <v>3105</v>
      </c>
      <c r="B464" s="7">
        <v>37911876</v>
      </c>
      <c r="C464" s="7">
        <v>32000000</v>
      </c>
      <c r="D464" s="7">
        <f t="shared" si="8"/>
        <v>5911876</v>
      </c>
    </row>
    <row r="465" spans="1:4" ht="18" customHeight="1" x14ac:dyDescent="0.25">
      <c r="A465" s="2" t="s">
        <v>4649</v>
      </c>
      <c r="B465" s="7">
        <v>11100000</v>
      </c>
      <c r="C465" s="7">
        <v>25000000</v>
      </c>
      <c r="D465" s="7">
        <f t="shared" si="8"/>
        <v>-13900000</v>
      </c>
    </row>
    <row r="466" spans="1:4" ht="18" customHeight="1" x14ac:dyDescent="0.25">
      <c r="A466" s="2" t="s">
        <v>4940</v>
      </c>
      <c r="B466" s="7">
        <v>7262288</v>
      </c>
      <c r="C466" s="7">
        <v>40000000</v>
      </c>
      <c r="D466" s="7">
        <f t="shared" si="8"/>
        <v>-32737712</v>
      </c>
    </row>
    <row r="467" spans="1:4" ht="18" customHeight="1" x14ac:dyDescent="0.25">
      <c r="A467" s="2" t="s">
        <v>3103</v>
      </c>
      <c r="B467" s="7">
        <v>38037513</v>
      </c>
      <c r="C467" s="7">
        <v>20000000</v>
      </c>
      <c r="D467" s="7">
        <f t="shared" si="8"/>
        <v>18037513</v>
      </c>
    </row>
    <row r="468" spans="1:4" ht="18" customHeight="1" x14ac:dyDescent="0.25">
      <c r="A468" s="2" t="s">
        <v>2997</v>
      </c>
      <c r="B468" s="7">
        <v>40485039</v>
      </c>
      <c r="C468" s="7">
        <v>10000000</v>
      </c>
      <c r="D468" s="7">
        <f t="shared" si="8"/>
        <v>30485039</v>
      </c>
    </row>
    <row r="469" spans="1:4" ht="18" customHeight="1" x14ac:dyDescent="0.25">
      <c r="A469" s="2" t="s">
        <v>3899</v>
      </c>
      <c r="B469" s="7">
        <v>21994911</v>
      </c>
      <c r="C469" s="7">
        <v>5000000</v>
      </c>
      <c r="D469" s="7">
        <f t="shared" si="8"/>
        <v>16994911</v>
      </c>
    </row>
    <row r="470" spans="1:4" ht="18" customHeight="1" x14ac:dyDescent="0.25">
      <c r="A470" s="2" t="s">
        <v>2941</v>
      </c>
      <c r="B470" s="7">
        <v>42335698</v>
      </c>
      <c r="C470" s="7">
        <v>18000000</v>
      </c>
      <c r="D470" s="7">
        <f t="shared" si="8"/>
        <v>24335698</v>
      </c>
    </row>
    <row r="471" spans="1:4" ht="18" customHeight="1" x14ac:dyDescent="0.25">
      <c r="A471" s="2" t="s">
        <v>5179</v>
      </c>
      <c r="B471" s="7">
        <v>5005883</v>
      </c>
      <c r="C471" s="7">
        <v>20000000</v>
      </c>
      <c r="D471" s="7">
        <f t="shared" si="8"/>
        <v>-14994117</v>
      </c>
    </row>
    <row r="472" spans="1:4" ht="18" customHeight="1" x14ac:dyDescent="0.25">
      <c r="A472" s="2" t="s">
        <v>5196</v>
      </c>
      <c r="B472" s="7">
        <v>4919896</v>
      </c>
      <c r="C472" s="7">
        <v>13000000</v>
      </c>
      <c r="D472" s="7">
        <f t="shared" si="8"/>
        <v>-8080104</v>
      </c>
    </row>
    <row r="473" spans="1:4" ht="18" customHeight="1" x14ac:dyDescent="0.25">
      <c r="A473" s="2" t="s">
        <v>5171</v>
      </c>
      <c r="B473" s="7">
        <v>5100937</v>
      </c>
      <c r="C473" s="7">
        <v>39751583.5</v>
      </c>
      <c r="D473" s="7">
        <f t="shared" si="8"/>
        <v>-34650646.5</v>
      </c>
    </row>
    <row r="474" spans="1:4" ht="18" customHeight="1" x14ac:dyDescent="0.25">
      <c r="A474" s="2" t="s">
        <v>2562</v>
      </c>
      <c r="B474" s="7">
        <v>48334413</v>
      </c>
      <c r="C474" s="7">
        <v>500000</v>
      </c>
      <c r="D474" s="7">
        <f t="shared" si="8"/>
        <v>47834413</v>
      </c>
    </row>
    <row r="475" spans="1:4" ht="18" customHeight="1" x14ac:dyDescent="0.25">
      <c r="A475" s="2" t="s">
        <v>5255</v>
      </c>
      <c r="B475" s="7">
        <v>4398392</v>
      </c>
      <c r="C475" s="7">
        <v>21000000</v>
      </c>
      <c r="D475" s="7">
        <f t="shared" si="8"/>
        <v>-16601608</v>
      </c>
    </row>
    <row r="476" spans="1:4" ht="18" customHeight="1" x14ac:dyDescent="0.25">
      <c r="A476" s="2" t="s">
        <v>4253</v>
      </c>
      <c r="B476" s="7">
        <v>16235293</v>
      </c>
      <c r="C476" s="7">
        <v>9000000</v>
      </c>
      <c r="D476" s="7">
        <f t="shared" si="8"/>
        <v>7235293</v>
      </c>
    </row>
    <row r="477" spans="1:4" ht="18" customHeight="1" x14ac:dyDescent="0.25">
      <c r="A477" s="2" t="s">
        <v>3323</v>
      </c>
      <c r="B477" s="7">
        <v>33422806</v>
      </c>
      <c r="C477" s="7">
        <v>50000000</v>
      </c>
      <c r="D477" s="7">
        <f t="shared" si="8"/>
        <v>-16577194</v>
      </c>
    </row>
    <row r="478" spans="1:4" ht="18" customHeight="1" x14ac:dyDescent="0.25">
      <c r="A478" s="2" t="s">
        <v>777</v>
      </c>
      <c r="B478" s="7">
        <v>62563543</v>
      </c>
      <c r="C478" s="7">
        <v>53000000</v>
      </c>
      <c r="D478" s="7">
        <f t="shared" si="8"/>
        <v>9563543</v>
      </c>
    </row>
    <row r="479" spans="1:4" ht="18" customHeight="1" x14ac:dyDescent="0.25">
      <c r="A479" s="2" t="s">
        <v>4960</v>
      </c>
      <c r="B479" s="7">
        <v>7017178</v>
      </c>
      <c r="C479" s="7">
        <v>17500000</v>
      </c>
      <c r="D479" s="7">
        <f t="shared" si="8"/>
        <v>-10482822</v>
      </c>
    </row>
    <row r="480" spans="1:4" ht="18" customHeight="1" x14ac:dyDescent="0.25">
      <c r="A480" s="2" t="s">
        <v>1932</v>
      </c>
      <c r="B480" s="7">
        <v>48334413</v>
      </c>
      <c r="C480" s="7">
        <v>7500000</v>
      </c>
      <c r="D480" s="7">
        <f t="shared" si="8"/>
        <v>40834413</v>
      </c>
    </row>
    <row r="481" spans="1:4" ht="18" customHeight="1" x14ac:dyDescent="0.25">
      <c r="A481" s="2" t="s">
        <v>3909</v>
      </c>
      <c r="B481" s="7">
        <v>21569041</v>
      </c>
      <c r="C481" s="7">
        <v>9000000</v>
      </c>
      <c r="D481" s="7">
        <f t="shared" si="8"/>
        <v>12569041</v>
      </c>
    </row>
    <row r="482" spans="1:4" ht="18" customHeight="1" x14ac:dyDescent="0.25">
      <c r="A482" s="2" t="s">
        <v>2825</v>
      </c>
      <c r="B482" s="7">
        <v>45645204</v>
      </c>
      <c r="C482" s="7">
        <v>30000000</v>
      </c>
      <c r="D482" s="7">
        <f t="shared" si="8"/>
        <v>15645204</v>
      </c>
    </row>
    <row r="483" spans="1:4" ht="18" customHeight="1" x14ac:dyDescent="0.25">
      <c r="A483" s="2" t="s">
        <v>1500</v>
      </c>
      <c r="B483" s="7">
        <v>48334413</v>
      </c>
      <c r="C483" s="7">
        <v>39751583.5</v>
      </c>
      <c r="D483" s="7">
        <f t="shared" si="8"/>
        <v>8582829.5</v>
      </c>
    </row>
    <row r="484" spans="1:4" ht="18" customHeight="1" x14ac:dyDescent="0.25">
      <c r="A484" s="2" t="s">
        <v>4779</v>
      </c>
      <c r="B484" s="7">
        <v>9396487</v>
      </c>
      <c r="C484" s="7">
        <v>15000000</v>
      </c>
      <c r="D484" s="7">
        <f t="shared" si="8"/>
        <v>-5603513</v>
      </c>
    </row>
    <row r="485" spans="1:4" ht="18" customHeight="1" x14ac:dyDescent="0.25">
      <c r="A485" s="2" t="s">
        <v>77</v>
      </c>
      <c r="B485" s="7">
        <v>106952327</v>
      </c>
      <c r="C485" s="7">
        <v>13000000</v>
      </c>
      <c r="D485" s="7">
        <f t="shared" si="8"/>
        <v>93952327</v>
      </c>
    </row>
    <row r="486" spans="1:4" ht="18" customHeight="1" x14ac:dyDescent="0.25">
      <c r="A486" s="2" t="s">
        <v>1660</v>
      </c>
      <c r="B486" s="7">
        <v>48334413</v>
      </c>
      <c r="C486" s="7">
        <v>23000000</v>
      </c>
      <c r="D486" s="7">
        <f t="shared" si="8"/>
        <v>25334413</v>
      </c>
    </row>
    <row r="487" spans="1:4" ht="18" customHeight="1" x14ac:dyDescent="0.25">
      <c r="A487" s="2" t="s">
        <v>4953</v>
      </c>
      <c r="B487" s="7">
        <v>7097125</v>
      </c>
      <c r="C487" s="7">
        <v>70000000</v>
      </c>
      <c r="D487" s="7">
        <f t="shared" si="8"/>
        <v>-62902875</v>
      </c>
    </row>
    <row r="488" spans="1:4" ht="18" customHeight="1" x14ac:dyDescent="0.25">
      <c r="A488" s="2" t="s">
        <v>6228</v>
      </c>
      <c r="B488" s="7">
        <v>199652</v>
      </c>
      <c r="C488" s="7">
        <v>39751583.5</v>
      </c>
      <c r="D488" s="7">
        <f t="shared" si="8"/>
        <v>-39551931.5</v>
      </c>
    </row>
    <row r="489" spans="1:4" ht="18" customHeight="1" x14ac:dyDescent="0.25">
      <c r="A489" s="2" t="s">
        <v>397</v>
      </c>
      <c r="B489" s="7">
        <v>81645152</v>
      </c>
      <c r="C489" s="7">
        <v>54000000</v>
      </c>
      <c r="D489" s="7">
        <f t="shared" si="8"/>
        <v>27645152</v>
      </c>
    </row>
    <row r="490" spans="1:4" ht="18" customHeight="1" x14ac:dyDescent="0.25">
      <c r="A490" s="2" t="s">
        <v>3629</v>
      </c>
      <c r="B490" s="7">
        <v>27000000</v>
      </c>
      <c r="C490" s="7">
        <v>28000000</v>
      </c>
      <c r="D490" s="7">
        <f t="shared" si="8"/>
        <v>-1000000</v>
      </c>
    </row>
    <row r="491" spans="1:4" ht="18" customHeight="1" x14ac:dyDescent="0.25">
      <c r="A491" s="2" t="s">
        <v>1057</v>
      </c>
      <c r="B491" s="7">
        <v>52397389</v>
      </c>
      <c r="C491" s="7">
        <v>65000000</v>
      </c>
      <c r="D491" s="7">
        <f t="shared" si="8"/>
        <v>-12602611</v>
      </c>
    </row>
    <row r="492" spans="1:4" ht="18" customHeight="1" x14ac:dyDescent="0.25">
      <c r="A492" s="2" t="s">
        <v>633</v>
      </c>
      <c r="B492" s="7">
        <v>70001065</v>
      </c>
      <c r="C492" s="7">
        <v>45000000</v>
      </c>
      <c r="D492" s="7">
        <f t="shared" si="8"/>
        <v>25001065</v>
      </c>
    </row>
    <row r="493" spans="1:4" ht="18" customHeight="1" x14ac:dyDescent="0.25">
      <c r="A493" s="2" t="s">
        <v>3659</v>
      </c>
      <c r="B493" s="7">
        <v>26494611</v>
      </c>
      <c r="C493" s="7">
        <v>35000000</v>
      </c>
      <c r="D493" s="7">
        <f t="shared" si="8"/>
        <v>-8505389</v>
      </c>
    </row>
    <row r="494" spans="1:4" ht="18" customHeight="1" x14ac:dyDescent="0.25">
      <c r="A494" s="2" t="s">
        <v>2505</v>
      </c>
      <c r="B494" s="7">
        <v>48334413</v>
      </c>
      <c r="C494" s="7">
        <v>750000</v>
      </c>
      <c r="D494" s="7">
        <f t="shared" si="8"/>
        <v>47584413</v>
      </c>
    </row>
    <row r="495" spans="1:4" ht="18" customHeight="1" x14ac:dyDescent="0.25">
      <c r="A495" s="2" t="s">
        <v>2402</v>
      </c>
      <c r="B495" s="7">
        <v>48334413</v>
      </c>
      <c r="C495" s="7">
        <v>1200000</v>
      </c>
      <c r="D495" s="7">
        <f t="shared" si="8"/>
        <v>47134413</v>
      </c>
    </row>
    <row r="496" spans="1:4" ht="18" customHeight="1" x14ac:dyDescent="0.25">
      <c r="A496" s="2" t="s">
        <v>2812</v>
      </c>
      <c r="B496" s="7">
        <v>46280507</v>
      </c>
      <c r="C496" s="7">
        <v>40000000</v>
      </c>
      <c r="D496" s="7">
        <f t="shared" si="8"/>
        <v>6280507</v>
      </c>
    </row>
    <row r="497" spans="1:4" ht="18" customHeight="1" x14ac:dyDescent="0.25">
      <c r="A497" s="2" t="s">
        <v>3525</v>
      </c>
      <c r="B497" s="7">
        <v>29374178</v>
      </c>
      <c r="C497" s="7">
        <v>40000000</v>
      </c>
      <c r="D497" s="7">
        <f t="shared" si="8"/>
        <v>-10625822</v>
      </c>
    </row>
    <row r="498" spans="1:4" ht="18" customHeight="1" x14ac:dyDescent="0.25">
      <c r="A498" s="2" t="s">
        <v>5442</v>
      </c>
      <c r="B498" s="7">
        <v>3073392</v>
      </c>
      <c r="C498" s="7">
        <v>25000000</v>
      </c>
      <c r="D498" s="7">
        <f t="shared" si="8"/>
        <v>-21926608</v>
      </c>
    </row>
    <row r="499" spans="1:4" ht="18" customHeight="1" x14ac:dyDescent="0.25">
      <c r="A499" s="2" t="s">
        <v>6691</v>
      </c>
      <c r="B499" s="7">
        <v>5561</v>
      </c>
      <c r="C499" s="7">
        <v>10000000</v>
      </c>
      <c r="D499" s="7">
        <f t="shared" si="8"/>
        <v>-9994439</v>
      </c>
    </row>
    <row r="500" spans="1:4" ht="18" customHeight="1" x14ac:dyDescent="0.25">
      <c r="A500" s="2" t="s">
        <v>5374</v>
      </c>
      <c r="B500" s="7">
        <v>3525161</v>
      </c>
      <c r="C500" s="7">
        <v>39751583.5</v>
      </c>
      <c r="D500" s="7">
        <f t="shared" si="8"/>
        <v>-36226422.5</v>
      </c>
    </row>
    <row r="501" spans="1:4" ht="18" customHeight="1" x14ac:dyDescent="0.25">
      <c r="A501" s="2" t="s">
        <v>5792</v>
      </c>
      <c r="B501" s="7">
        <v>1075288</v>
      </c>
      <c r="C501" s="7">
        <v>22000000</v>
      </c>
      <c r="D501" s="7">
        <f t="shared" si="8"/>
        <v>-20924712</v>
      </c>
    </row>
    <row r="502" spans="1:4" ht="18" customHeight="1" x14ac:dyDescent="0.25">
      <c r="A502" s="2" t="s">
        <v>6425</v>
      </c>
      <c r="B502" s="7">
        <v>82739</v>
      </c>
      <c r="C502" s="7">
        <v>39751583.5</v>
      </c>
      <c r="D502" s="7">
        <f t="shared" si="8"/>
        <v>-39668844.5</v>
      </c>
    </row>
    <row r="503" spans="1:4" ht="18" customHeight="1" x14ac:dyDescent="0.25">
      <c r="A503" s="2" t="s">
        <v>5241</v>
      </c>
      <c r="B503" s="7">
        <v>4496583</v>
      </c>
      <c r="C503" s="7">
        <v>35000000</v>
      </c>
      <c r="D503" s="7">
        <f t="shared" si="8"/>
        <v>-30503417</v>
      </c>
    </row>
    <row r="504" spans="1:4" ht="18" customHeight="1" x14ac:dyDescent="0.25">
      <c r="A504" s="2" t="s">
        <v>6514</v>
      </c>
      <c r="B504" s="7">
        <v>41229</v>
      </c>
      <c r="C504" s="7">
        <v>25500000</v>
      </c>
      <c r="D504" s="7">
        <f t="shared" si="8"/>
        <v>-25458771</v>
      </c>
    </row>
    <row r="505" spans="1:4" ht="18" customHeight="1" x14ac:dyDescent="0.25">
      <c r="A505" s="2" t="s">
        <v>3672</v>
      </c>
      <c r="B505" s="7">
        <v>26199517</v>
      </c>
      <c r="C505" s="7">
        <v>50000000</v>
      </c>
      <c r="D505" s="7">
        <f t="shared" si="8"/>
        <v>-23800483</v>
      </c>
    </row>
    <row r="506" spans="1:4" ht="18" customHeight="1" x14ac:dyDescent="0.25">
      <c r="A506" s="2" t="s">
        <v>5687</v>
      </c>
      <c r="B506" s="7">
        <v>1550000</v>
      </c>
      <c r="C506" s="7">
        <v>25000000</v>
      </c>
      <c r="D506" s="7">
        <f t="shared" si="8"/>
        <v>-23450000</v>
      </c>
    </row>
    <row r="507" spans="1:4" ht="18" customHeight="1" x14ac:dyDescent="0.25">
      <c r="A507" s="2" t="s">
        <v>4597</v>
      </c>
      <c r="B507" s="7">
        <v>11806119</v>
      </c>
      <c r="C507" s="7">
        <v>1100000</v>
      </c>
      <c r="D507" s="7">
        <f t="shared" si="8"/>
        <v>10706119</v>
      </c>
    </row>
    <row r="508" spans="1:4" ht="18" customHeight="1" x14ac:dyDescent="0.25">
      <c r="A508" s="2" t="s">
        <v>5889</v>
      </c>
      <c r="B508" s="7">
        <v>768045</v>
      </c>
      <c r="C508" s="7">
        <v>2000000</v>
      </c>
      <c r="D508" s="7">
        <f t="shared" si="8"/>
        <v>-1231955</v>
      </c>
    </row>
    <row r="509" spans="1:4" ht="18" customHeight="1" x14ac:dyDescent="0.25">
      <c r="A509" s="2" t="s">
        <v>1701</v>
      </c>
      <c r="B509" s="7">
        <v>48334413</v>
      </c>
      <c r="C509" s="7">
        <v>18000000</v>
      </c>
      <c r="D509" s="7">
        <f t="shared" si="8"/>
        <v>30334413</v>
      </c>
    </row>
    <row r="510" spans="1:4" ht="18" customHeight="1" x14ac:dyDescent="0.25">
      <c r="A510" s="2" t="s">
        <v>1040</v>
      </c>
      <c r="B510" s="7">
        <v>52937130</v>
      </c>
      <c r="C510" s="7">
        <v>30000000</v>
      </c>
      <c r="D510" s="7">
        <f t="shared" si="8"/>
        <v>22937130</v>
      </c>
    </row>
    <row r="511" spans="1:4" ht="18" customHeight="1" x14ac:dyDescent="0.25">
      <c r="A511" s="2" t="s">
        <v>6025</v>
      </c>
      <c r="B511" s="7">
        <v>464126</v>
      </c>
      <c r="C511" s="7">
        <v>1000000</v>
      </c>
      <c r="D511" s="7">
        <f t="shared" si="8"/>
        <v>-535874</v>
      </c>
    </row>
    <row r="512" spans="1:4" ht="18" customHeight="1" x14ac:dyDescent="0.25">
      <c r="A512" s="2" t="s">
        <v>3015</v>
      </c>
      <c r="B512" s="7">
        <v>40118420</v>
      </c>
      <c r="C512" s="7">
        <v>30000000</v>
      </c>
      <c r="D512" s="7">
        <f t="shared" si="8"/>
        <v>10118420</v>
      </c>
    </row>
    <row r="513" spans="1:4" ht="18" customHeight="1" x14ac:dyDescent="0.25">
      <c r="A513" s="2" t="s">
        <v>3326</v>
      </c>
      <c r="B513" s="7">
        <v>33404871</v>
      </c>
      <c r="C513" s="7">
        <v>18000000</v>
      </c>
      <c r="D513" s="7">
        <f t="shared" si="8"/>
        <v>15404871</v>
      </c>
    </row>
    <row r="514" spans="1:4" ht="18" customHeight="1" x14ac:dyDescent="0.25">
      <c r="A514" s="2" t="s">
        <v>5955</v>
      </c>
      <c r="B514" s="7">
        <v>594904</v>
      </c>
      <c r="C514" s="7">
        <v>1200000</v>
      </c>
      <c r="D514" s="7">
        <f t="shared" si="8"/>
        <v>-605096</v>
      </c>
    </row>
    <row r="515" spans="1:4" ht="18" customHeight="1" x14ac:dyDescent="0.25">
      <c r="A515" s="2" t="s">
        <v>6163</v>
      </c>
      <c r="B515" s="7">
        <v>258113</v>
      </c>
      <c r="C515" s="7">
        <v>1066167</v>
      </c>
      <c r="D515" s="7">
        <f t="shared" si="8"/>
        <v>-808054</v>
      </c>
    </row>
    <row r="516" spans="1:4" ht="18" customHeight="1" x14ac:dyDescent="0.25">
      <c r="A516" s="2" t="s">
        <v>658</v>
      </c>
      <c r="B516" s="7">
        <v>68208190</v>
      </c>
      <c r="C516" s="7">
        <v>65000000</v>
      </c>
      <c r="D516" s="7">
        <f t="shared" si="8"/>
        <v>3208190</v>
      </c>
    </row>
    <row r="517" spans="1:4" ht="18" customHeight="1" x14ac:dyDescent="0.25">
      <c r="A517" s="2" t="s">
        <v>4757</v>
      </c>
      <c r="B517" s="7">
        <v>9701559</v>
      </c>
      <c r="C517" s="7">
        <v>3500000</v>
      </c>
      <c r="D517" s="7">
        <f t="shared" ref="D517:D580" si="9">B517-C517</f>
        <v>6201559</v>
      </c>
    </row>
    <row r="518" spans="1:4" ht="18" customHeight="1" x14ac:dyDescent="0.25">
      <c r="A518" s="2" t="s">
        <v>4825</v>
      </c>
      <c r="B518" s="7">
        <v>8586376</v>
      </c>
      <c r="C518" s="7">
        <v>20000000</v>
      </c>
      <c r="D518" s="7">
        <f t="shared" si="9"/>
        <v>-11413624</v>
      </c>
    </row>
    <row r="519" spans="1:4" ht="18" customHeight="1" x14ac:dyDescent="0.25">
      <c r="A519" s="2" t="s">
        <v>5515</v>
      </c>
      <c r="B519" s="7">
        <v>2694071</v>
      </c>
      <c r="C519" s="7">
        <v>39751583.5</v>
      </c>
      <c r="D519" s="7">
        <f t="shared" si="9"/>
        <v>-37057512.5</v>
      </c>
    </row>
    <row r="520" spans="1:4" ht="18" customHeight="1" x14ac:dyDescent="0.25">
      <c r="A520" s="2" t="s">
        <v>4644</v>
      </c>
      <c r="B520" s="7">
        <v>11204499</v>
      </c>
      <c r="C520" s="7">
        <v>14000000</v>
      </c>
      <c r="D520" s="7">
        <f t="shared" si="9"/>
        <v>-2795501</v>
      </c>
    </row>
    <row r="521" spans="1:4" ht="18" customHeight="1" x14ac:dyDescent="0.25">
      <c r="A521" s="2" t="s">
        <v>1825</v>
      </c>
      <c r="B521" s="7">
        <v>48334413</v>
      </c>
      <c r="C521" s="7">
        <v>10000000</v>
      </c>
      <c r="D521" s="7">
        <f t="shared" si="9"/>
        <v>38334413</v>
      </c>
    </row>
    <row r="522" spans="1:4" ht="18" customHeight="1" x14ac:dyDescent="0.25">
      <c r="A522" s="2" t="s">
        <v>3049</v>
      </c>
      <c r="B522" s="7">
        <v>39380442</v>
      </c>
      <c r="C522" s="7">
        <v>70000000</v>
      </c>
      <c r="D522" s="7">
        <f t="shared" si="9"/>
        <v>-30619558</v>
      </c>
    </row>
    <row r="523" spans="1:4" ht="18" customHeight="1" x14ac:dyDescent="0.25">
      <c r="A523" s="2" t="s">
        <v>1662</v>
      </c>
      <c r="B523" s="7">
        <v>48334413</v>
      </c>
      <c r="C523" s="7">
        <v>23000000</v>
      </c>
      <c r="D523" s="7">
        <f t="shared" si="9"/>
        <v>25334413</v>
      </c>
    </row>
    <row r="524" spans="1:4" ht="18" customHeight="1" x14ac:dyDescent="0.25">
      <c r="A524" s="2" t="s">
        <v>5259</v>
      </c>
      <c r="B524" s="7">
        <v>4357000</v>
      </c>
      <c r="C524" s="7">
        <v>30000000</v>
      </c>
      <c r="D524" s="7">
        <f t="shared" si="9"/>
        <v>-25643000</v>
      </c>
    </row>
    <row r="525" spans="1:4" ht="18" customHeight="1" x14ac:dyDescent="0.25">
      <c r="A525" s="2" t="s">
        <v>4208</v>
      </c>
      <c r="B525" s="7">
        <v>16938179</v>
      </c>
      <c r="C525" s="7">
        <v>8000000</v>
      </c>
      <c r="D525" s="7">
        <f t="shared" si="9"/>
        <v>8938179</v>
      </c>
    </row>
    <row r="526" spans="1:4" ht="18" customHeight="1" x14ac:dyDescent="0.25">
      <c r="A526" s="2" t="s">
        <v>1907</v>
      </c>
      <c r="B526" s="7">
        <v>48334413</v>
      </c>
      <c r="C526" s="7">
        <v>8000000</v>
      </c>
      <c r="D526" s="7">
        <f t="shared" si="9"/>
        <v>40334413</v>
      </c>
    </row>
    <row r="527" spans="1:4" ht="18" customHeight="1" x14ac:dyDescent="0.25">
      <c r="A527" s="2" t="s">
        <v>5550</v>
      </c>
      <c r="B527" s="7">
        <v>2353728</v>
      </c>
      <c r="C527" s="7">
        <v>20000000</v>
      </c>
      <c r="D527" s="7">
        <f t="shared" si="9"/>
        <v>-17646272</v>
      </c>
    </row>
    <row r="528" spans="1:4" ht="18" customHeight="1" x14ac:dyDescent="0.25">
      <c r="A528" s="2" t="s">
        <v>1344</v>
      </c>
      <c r="B528" s="7">
        <v>48334413</v>
      </c>
      <c r="C528" s="7">
        <v>39751583.5</v>
      </c>
      <c r="D528" s="7">
        <f t="shared" si="9"/>
        <v>8582829.5</v>
      </c>
    </row>
    <row r="529" spans="1:4" ht="18" customHeight="1" x14ac:dyDescent="0.25">
      <c r="A529" s="2" t="s">
        <v>2809</v>
      </c>
      <c r="B529" s="7">
        <v>46363118</v>
      </c>
      <c r="C529" s="7">
        <v>20000000</v>
      </c>
      <c r="D529" s="7">
        <f t="shared" si="9"/>
        <v>26363118</v>
      </c>
    </row>
    <row r="530" spans="1:4" ht="18" customHeight="1" x14ac:dyDescent="0.25">
      <c r="A530" s="2" t="s">
        <v>3667</v>
      </c>
      <c r="B530" s="7">
        <v>26384919</v>
      </c>
      <c r="C530" s="7">
        <v>15000000</v>
      </c>
      <c r="D530" s="7">
        <f t="shared" si="9"/>
        <v>11384919</v>
      </c>
    </row>
    <row r="531" spans="1:4" ht="18" customHeight="1" x14ac:dyDescent="0.25">
      <c r="A531" s="2" t="s">
        <v>3662</v>
      </c>
      <c r="B531" s="7">
        <v>26421314</v>
      </c>
      <c r="C531" s="7">
        <v>15000000</v>
      </c>
      <c r="D531" s="7">
        <f t="shared" si="9"/>
        <v>11421314</v>
      </c>
    </row>
    <row r="532" spans="1:4" ht="18" customHeight="1" x14ac:dyDescent="0.25">
      <c r="A532" s="2" t="s">
        <v>2324</v>
      </c>
      <c r="B532" s="7">
        <v>48334413</v>
      </c>
      <c r="C532" s="7">
        <v>1614000</v>
      </c>
      <c r="D532" s="7">
        <f t="shared" si="9"/>
        <v>46720413</v>
      </c>
    </row>
    <row r="533" spans="1:4" ht="18" customHeight="1" x14ac:dyDescent="0.25">
      <c r="A533" s="2" t="s">
        <v>627</v>
      </c>
      <c r="B533" s="7">
        <v>70100000</v>
      </c>
      <c r="C533" s="7">
        <v>40000000</v>
      </c>
      <c r="D533" s="7">
        <f t="shared" si="9"/>
        <v>30100000</v>
      </c>
    </row>
    <row r="534" spans="1:4" ht="18" customHeight="1" x14ac:dyDescent="0.25">
      <c r="A534" s="2" t="s">
        <v>2013</v>
      </c>
      <c r="B534" s="7">
        <v>48334413</v>
      </c>
      <c r="C534" s="7">
        <v>5000000</v>
      </c>
      <c r="D534" s="7">
        <f t="shared" si="9"/>
        <v>43334413</v>
      </c>
    </row>
    <row r="535" spans="1:4" ht="18" customHeight="1" x14ac:dyDescent="0.25">
      <c r="A535" s="2" t="s">
        <v>631</v>
      </c>
      <c r="B535" s="7">
        <v>70001698</v>
      </c>
      <c r="C535" s="7">
        <v>14000000</v>
      </c>
      <c r="D535" s="7">
        <f t="shared" si="9"/>
        <v>56001698</v>
      </c>
    </row>
    <row r="536" spans="1:4" ht="18" customHeight="1" x14ac:dyDescent="0.25">
      <c r="A536" s="2" t="s">
        <v>6587</v>
      </c>
      <c r="B536" s="7">
        <v>21199</v>
      </c>
      <c r="C536" s="7">
        <v>500000</v>
      </c>
      <c r="D536" s="7">
        <f t="shared" si="9"/>
        <v>-478801</v>
      </c>
    </row>
    <row r="537" spans="1:4" ht="18" customHeight="1" x14ac:dyDescent="0.25">
      <c r="A537" s="2" t="s">
        <v>5808</v>
      </c>
      <c r="B537" s="7">
        <v>1040879</v>
      </c>
      <c r="C537" s="7">
        <v>7000000</v>
      </c>
      <c r="D537" s="7">
        <f t="shared" si="9"/>
        <v>-5959121</v>
      </c>
    </row>
    <row r="538" spans="1:4" ht="18" customHeight="1" x14ac:dyDescent="0.25">
      <c r="A538" s="2" t="s">
        <v>5313</v>
      </c>
      <c r="B538" s="7">
        <v>4040588</v>
      </c>
      <c r="C538" s="7">
        <v>5000000</v>
      </c>
      <c r="D538" s="7">
        <f t="shared" si="9"/>
        <v>-959412</v>
      </c>
    </row>
    <row r="539" spans="1:4" ht="18" customHeight="1" x14ac:dyDescent="0.25">
      <c r="A539" s="2" t="s">
        <v>5345</v>
      </c>
      <c r="B539" s="7">
        <v>3798532</v>
      </c>
      <c r="C539" s="7">
        <v>4500000</v>
      </c>
      <c r="D539" s="7">
        <f t="shared" si="9"/>
        <v>-701468</v>
      </c>
    </row>
    <row r="540" spans="1:4" ht="18" customHeight="1" x14ac:dyDescent="0.25">
      <c r="A540" s="2" t="s">
        <v>701</v>
      </c>
      <c r="B540" s="7">
        <v>66365290</v>
      </c>
      <c r="C540" s="7">
        <v>55000000</v>
      </c>
      <c r="D540" s="7">
        <f t="shared" si="9"/>
        <v>11365290</v>
      </c>
    </row>
    <row r="541" spans="1:4" ht="18" customHeight="1" x14ac:dyDescent="0.25">
      <c r="A541" s="2" t="s">
        <v>3937</v>
      </c>
      <c r="B541" s="7">
        <v>21244913</v>
      </c>
      <c r="C541" s="7">
        <v>4000000</v>
      </c>
      <c r="D541" s="7">
        <f t="shared" si="9"/>
        <v>17244913</v>
      </c>
    </row>
    <row r="542" spans="1:4" ht="18" customHeight="1" x14ac:dyDescent="0.25">
      <c r="A542" s="2" t="s">
        <v>3732</v>
      </c>
      <c r="B542" s="7">
        <v>25359200</v>
      </c>
      <c r="C542" s="7">
        <v>4000000</v>
      </c>
      <c r="D542" s="7">
        <f t="shared" si="9"/>
        <v>21359200</v>
      </c>
    </row>
    <row r="543" spans="1:4" ht="18" customHeight="1" x14ac:dyDescent="0.25">
      <c r="A543" s="2" t="s">
        <v>5424</v>
      </c>
      <c r="B543" s="7">
        <v>3123749</v>
      </c>
      <c r="C543" s="7">
        <v>1500000</v>
      </c>
      <c r="D543" s="7">
        <f t="shared" si="9"/>
        <v>1623749</v>
      </c>
    </row>
    <row r="544" spans="1:4" ht="18" customHeight="1" x14ac:dyDescent="0.25">
      <c r="A544" s="2" t="s">
        <v>3975</v>
      </c>
      <c r="B544" s="7">
        <v>20627372</v>
      </c>
      <c r="C544" s="7">
        <v>16000000</v>
      </c>
      <c r="D544" s="7">
        <f t="shared" si="9"/>
        <v>4627372</v>
      </c>
    </row>
    <row r="545" spans="1:4" ht="18" customHeight="1" x14ac:dyDescent="0.25">
      <c r="A545" s="2" t="s">
        <v>4627</v>
      </c>
      <c r="B545" s="7">
        <v>11533945</v>
      </c>
      <c r="C545" s="7">
        <v>2000000</v>
      </c>
      <c r="D545" s="7">
        <f t="shared" si="9"/>
        <v>9533945</v>
      </c>
    </row>
    <row r="546" spans="1:4" ht="18" customHeight="1" x14ac:dyDescent="0.25">
      <c r="A546" s="2" t="s">
        <v>891</v>
      </c>
      <c r="B546" s="7">
        <v>57504069</v>
      </c>
      <c r="C546" s="7">
        <v>6000000</v>
      </c>
      <c r="D546" s="7">
        <f t="shared" si="9"/>
        <v>51504069</v>
      </c>
    </row>
    <row r="547" spans="1:4" ht="18" customHeight="1" x14ac:dyDescent="0.25">
      <c r="A547" s="2" t="s">
        <v>836</v>
      </c>
      <c r="B547" s="7">
        <v>59992760</v>
      </c>
      <c r="C547" s="7">
        <v>42000000</v>
      </c>
      <c r="D547" s="7">
        <f t="shared" si="9"/>
        <v>17992760</v>
      </c>
    </row>
    <row r="548" spans="1:4" ht="18" customHeight="1" x14ac:dyDescent="0.25">
      <c r="A548" s="2" t="s">
        <v>1430</v>
      </c>
      <c r="B548" s="7">
        <v>48334413</v>
      </c>
      <c r="C548" s="7">
        <v>39751583.5</v>
      </c>
      <c r="D548" s="7">
        <f t="shared" si="9"/>
        <v>8582829.5</v>
      </c>
    </row>
    <row r="549" spans="1:4" ht="18" customHeight="1" x14ac:dyDescent="0.25">
      <c r="A549" s="2" t="s">
        <v>381</v>
      </c>
      <c r="B549" s="7">
        <v>82522790</v>
      </c>
      <c r="C549" s="7">
        <v>40000000</v>
      </c>
      <c r="D549" s="7">
        <f t="shared" si="9"/>
        <v>42522790</v>
      </c>
    </row>
    <row r="550" spans="1:4" ht="18" customHeight="1" x14ac:dyDescent="0.25">
      <c r="A550" s="2" t="s">
        <v>6363</v>
      </c>
      <c r="B550" s="7">
        <v>110029</v>
      </c>
      <c r="C550" s="7">
        <v>6500000</v>
      </c>
      <c r="D550" s="7">
        <f t="shared" si="9"/>
        <v>-6389971</v>
      </c>
    </row>
    <row r="551" spans="1:4" ht="18" customHeight="1" x14ac:dyDescent="0.25">
      <c r="A551" s="2" t="s">
        <v>1432</v>
      </c>
      <c r="B551" s="7">
        <v>48334413</v>
      </c>
      <c r="C551" s="7">
        <v>39751583.5</v>
      </c>
      <c r="D551" s="7">
        <f t="shared" si="9"/>
        <v>8582829.5</v>
      </c>
    </row>
    <row r="552" spans="1:4" ht="18" customHeight="1" x14ac:dyDescent="0.25">
      <c r="A552" s="2" t="s">
        <v>513</v>
      </c>
      <c r="B552" s="7">
        <v>75600000</v>
      </c>
      <c r="C552" s="7">
        <v>72000000</v>
      </c>
      <c r="D552" s="7">
        <f t="shared" si="9"/>
        <v>3600000</v>
      </c>
    </row>
    <row r="553" spans="1:4" ht="18" customHeight="1" x14ac:dyDescent="0.25">
      <c r="A553" s="2" t="s">
        <v>4752</v>
      </c>
      <c r="B553" s="7">
        <v>9929000</v>
      </c>
      <c r="C553" s="7">
        <v>15000000</v>
      </c>
      <c r="D553" s="7">
        <f t="shared" si="9"/>
        <v>-5071000</v>
      </c>
    </row>
    <row r="554" spans="1:4" ht="18" customHeight="1" x14ac:dyDescent="0.25">
      <c r="A554" s="2" t="s">
        <v>1159</v>
      </c>
      <c r="B554" s="7">
        <v>50129186</v>
      </c>
      <c r="C554" s="7">
        <v>36000000</v>
      </c>
      <c r="D554" s="7">
        <f t="shared" si="9"/>
        <v>14129186</v>
      </c>
    </row>
    <row r="555" spans="1:4" ht="18" customHeight="1" x14ac:dyDescent="0.25">
      <c r="A555" s="2" t="s">
        <v>6256</v>
      </c>
      <c r="B555" s="7">
        <v>175370</v>
      </c>
      <c r="C555" s="7">
        <v>12000000</v>
      </c>
      <c r="D555" s="7">
        <f t="shared" si="9"/>
        <v>-11824630</v>
      </c>
    </row>
    <row r="556" spans="1:4" ht="18" customHeight="1" x14ac:dyDescent="0.25">
      <c r="A556" s="2" t="s">
        <v>4595</v>
      </c>
      <c r="B556" s="7">
        <v>11827301</v>
      </c>
      <c r="C556" s="7">
        <v>39751583.5</v>
      </c>
      <c r="D556" s="7">
        <f t="shared" si="9"/>
        <v>-27924282.5</v>
      </c>
    </row>
    <row r="557" spans="1:4" ht="18" customHeight="1" x14ac:dyDescent="0.25">
      <c r="A557" s="2" t="s">
        <v>6435</v>
      </c>
      <c r="B557" s="7">
        <v>76382</v>
      </c>
      <c r="C557" s="7">
        <v>15000</v>
      </c>
      <c r="D557" s="7">
        <f t="shared" si="9"/>
        <v>61382</v>
      </c>
    </row>
    <row r="558" spans="1:4" ht="18" customHeight="1" x14ac:dyDescent="0.25">
      <c r="A558" s="2" t="s">
        <v>5786</v>
      </c>
      <c r="B558" s="7">
        <v>1094998</v>
      </c>
      <c r="C558" s="7">
        <v>39751583.5</v>
      </c>
      <c r="D558" s="7">
        <f t="shared" si="9"/>
        <v>-38656585.5</v>
      </c>
    </row>
    <row r="559" spans="1:4" ht="18" customHeight="1" x14ac:dyDescent="0.25">
      <c r="A559" s="2" t="s">
        <v>3997</v>
      </c>
      <c r="B559" s="7">
        <v>20285518</v>
      </c>
      <c r="C559" s="7">
        <v>28000000</v>
      </c>
      <c r="D559" s="7">
        <f t="shared" si="9"/>
        <v>-7714482</v>
      </c>
    </row>
    <row r="560" spans="1:4" ht="18" customHeight="1" x14ac:dyDescent="0.25">
      <c r="A560" s="2" t="s">
        <v>5007</v>
      </c>
      <c r="B560" s="7">
        <v>6601079</v>
      </c>
      <c r="C560" s="7">
        <v>7000000</v>
      </c>
      <c r="D560" s="7">
        <f t="shared" si="9"/>
        <v>-398921</v>
      </c>
    </row>
    <row r="561" spans="1:4" ht="18" customHeight="1" x14ac:dyDescent="0.25">
      <c r="A561" s="2" t="s">
        <v>3376</v>
      </c>
      <c r="B561" s="7">
        <v>32368960</v>
      </c>
      <c r="C561" s="7">
        <v>25000000</v>
      </c>
      <c r="D561" s="7">
        <f t="shared" si="9"/>
        <v>7368960</v>
      </c>
    </row>
    <row r="562" spans="1:4" ht="18" customHeight="1" x14ac:dyDescent="0.25">
      <c r="A562" s="2" t="s">
        <v>864</v>
      </c>
      <c r="B562" s="7">
        <v>58715510</v>
      </c>
      <c r="C562" s="7">
        <v>30000000</v>
      </c>
      <c r="D562" s="7">
        <f t="shared" si="9"/>
        <v>28715510</v>
      </c>
    </row>
    <row r="563" spans="1:4" ht="18" customHeight="1" x14ac:dyDescent="0.25">
      <c r="A563" s="2" t="s">
        <v>569</v>
      </c>
      <c r="B563" s="7">
        <v>72306065</v>
      </c>
      <c r="C563" s="7">
        <v>40000000</v>
      </c>
      <c r="D563" s="7">
        <f t="shared" si="9"/>
        <v>32306065</v>
      </c>
    </row>
    <row r="564" spans="1:4" ht="18" customHeight="1" x14ac:dyDescent="0.25">
      <c r="A564" s="2" t="s">
        <v>391</v>
      </c>
      <c r="B564" s="7">
        <v>82234139</v>
      </c>
      <c r="C564" s="7">
        <v>17000000</v>
      </c>
      <c r="D564" s="7">
        <f t="shared" si="9"/>
        <v>65234139</v>
      </c>
    </row>
    <row r="565" spans="1:4" ht="18" customHeight="1" x14ac:dyDescent="0.25">
      <c r="A565" s="2" t="s">
        <v>3009</v>
      </c>
      <c r="B565" s="7">
        <v>40203020</v>
      </c>
      <c r="C565" s="7">
        <v>40000000</v>
      </c>
      <c r="D565" s="7">
        <f t="shared" si="9"/>
        <v>203020</v>
      </c>
    </row>
    <row r="566" spans="1:4" ht="18" customHeight="1" x14ac:dyDescent="0.25">
      <c r="A566" s="2" t="s">
        <v>592</v>
      </c>
      <c r="B566" s="7">
        <v>71500556</v>
      </c>
      <c r="C566" s="7">
        <v>26000000</v>
      </c>
      <c r="D566" s="7">
        <f t="shared" si="9"/>
        <v>45500556</v>
      </c>
    </row>
    <row r="567" spans="1:4" ht="18" customHeight="1" x14ac:dyDescent="0.25">
      <c r="A567" s="2" t="s">
        <v>5879</v>
      </c>
      <c r="B567" s="7">
        <v>798341</v>
      </c>
      <c r="C567" s="7">
        <v>1000000</v>
      </c>
      <c r="D567" s="7">
        <f t="shared" si="9"/>
        <v>-201659</v>
      </c>
    </row>
    <row r="568" spans="1:4" ht="18" customHeight="1" x14ac:dyDescent="0.25">
      <c r="A568" s="2" t="s">
        <v>4261</v>
      </c>
      <c r="B568" s="7">
        <v>16118077</v>
      </c>
      <c r="C568" s="7">
        <v>25000000</v>
      </c>
      <c r="D568" s="7">
        <f t="shared" si="9"/>
        <v>-8881923</v>
      </c>
    </row>
    <row r="569" spans="1:4" ht="18" customHeight="1" x14ac:dyDescent="0.25">
      <c r="A569" s="2" t="s">
        <v>5248</v>
      </c>
      <c r="B569" s="7">
        <v>4440055</v>
      </c>
      <c r="C569" s="7">
        <v>8500000</v>
      </c>
      <c r="D569" s="7">
        <f t="shared" si="9"/>
        <v>-4059945</v>
      </c>
    </row>
    <row r="570" spans="1:4" ht="18" customHeight="1" x14ac:dyDescent="0.25">
      <c r="A570" s="2" t="s">
        <v>1794</v>
      </c>
      <c r="B570" s="7">
        <v>48334413</v>
      </c>
      <c r="C570" s="7">
        <v>12000000</v>
      </c>
      <c r="D570" s="7">
        <f t="shared" si="9"/>
        <v>36334413</v>
      </c>
    </row>
    <row r="571" spans="1:4" ht="18" customHeight="1" x14ac:dyDescent="0.25">
      <c r="A571" s="2" t="s">
        <v>656</v>
      </c>
      <c r="B571" s="7">
        <v>68353550</v>
      </c>
      <c r="C571" s="7">
        <v>10000000</v>
      </c>
      <c r="D571" s="7">
        <f t="shared" si="9"/>
        <v>58353550</v>
      </c>
    </row>
    <row r="572" spans="1:4" ht="18" customHeight="1" x14ac:dyDescent="0.25">
      <c r="A572" s="2" t="s">
        <v>4228</v>
      </c>
      <c r="B572" s="7">
        <v>16640210</v>
      </c>
      <c r="C572" s="7">
        <v>55000000</v>
      </c>
      <c r="D572" s="7">
        <f t="shared" si="9"/>
        <v>-38359790</v>
      </c>
    </row>
    <row r="573" spans="1:4" ht="18" customHeight="1" x14ac:dyDescent="0.25">
      <c r="A573" s="2" t="s">
        <v>370</v>
      </c>
      <c r="B573" s="7">
        <v>83025853</v>
      </c>
      <c r="C573" s="7">
        <v>14000000</v>
      </c>
      <c r="D573" s="7">
        <f t="shared" si="9"/>
        <v>69025853</v>
      </c>
    </row>
    <row r="574" spans="1:4" ht="18" customHeight="1" x14ac:dyDescent="0.25">
      <c r="A574" s="2" t="s">
        <v>4736</v>
      </c>
      <c r="B574" s="7">
        <v>10114315</v>
      </c>
      <c r="C574" s="7">
        <v>25000000</v>
      </c>
      <c r="D574" s="7">
        <f t="shared" si="9"/>
        <v>-14885685</v>
      </c>
    </row>
    <row r="575" spans="1:4" ht="18" customHeight="1" x14ac:dyDescent="0.25">
      <c r="A575" s="2" t="s">
        <v>614</v>
      </c>
      <c r="B575" s="7">
        <v>70450000</v>
      </c>
      <c r="C575" s="7">
        <v>50000000</v>
      </c>
      <c r="D575" s="7">
        <f t="shared" si="9"/>
        <v>20450000</v>
      </c>
    </row>
    <row r="576" spans="1:4" ht="18" customHeight="1" x14ac:dyDescent="0.25">
      <c r="A576" s="2" t="s">
        <v>4027</v>
      </c>
      <c r="B576" s="7">
        <v>19692608</v>
      </c>
      <c r="C576" s="7">
        <v>35000000</v>
      </c>
      <c r="D576" s="7">
        <f t="shared" si="9"/>
        <v>-15307392</v>
      </c>
    </row>
    <row r="577" spans="1:4" ht="18" customHeight="1" x14ac:dyDescent="0.25">
      <c r="A577" s="2" t="s">
        <v>1746</v>
      </c>
      <c r="B577" s="7">
        <v>48334413</v>
      </c>
      <c r="C577" s="7">
        <v>15000000</v>
      </c>
      <c r="D577" s="7">
        <f t="shared" si="9"/>
        <v>33334413</v>
      </c>
    </row>
    <row r="578" spans="1:4" ht="18" customHeight="1" x14ac:dyDescent="0.25">
      <c r="A578" s="2" t="s">
        <v>6635</v>
      </c>
      <c r="B578" s="7">
        <v>13493</v>
      </c>
      <c r="C578" s="7">
        <v>600000</v>
      </c>
      <c r="D578" s="7">
        <f t="shared" si="9"/>
        <v>-586507</v>
      </c>
    </row>
    <row r="579" spans="1:4" ht="18" customHeight="1" x14ac:dyDescent="0.25">
      <c r="A579" s="2" t="s">
        <v>6374</v>
      </c>
      <c r="B579" s="7">
        <v>104792</v>
      </c>
      <c r="C579" s="7">
        <v>39751583.5</v>
      </c>
      <c r="D579" s="7">
        <f t="shared" si="9"/>
        <v>-39646791.5</v>
      </c>
    </row>
    <row r="580" spans="1:4" ht="18" customHeight="1" x14ac:dyDescent="0.25">
      <c r="A580" s="2" t="s">
        <v>6065</v>
      </c>
      <c r="B580" s="7">
        <v>398420</v>
      </c>
      <c r="C580" s="7">
        <v>8000000</v>
      </c>
      <c r="D580" s="7">
        <f t="shared" si="9"/>
        <v>-7601580</v>
      </c>
    </row>
    <row r="581" spans="1:4" ht="18" customHeight="1" x14ac:dyDescent="0.25">
      <c r="A581" s="2" t="s">
        <v>3086</v>
      </c>
      <c r="B581" s="7">
        <v>38317535</v>
      </c>
      <c r="C581" s="7">
        <v>11000000</v>
      </c>
      <c r="D581" s="7">
        <f t="shared" ref="D581:D644" si="10">B581-C581</f>
        <v>27317535</v>
      </c>
    </row>
    <row r="582" spans="1:4" ht="18" customHeight="1" x14ac:dyDescent="0.25">
      <c r="A582" s="2" t="s">
        <v>3622</v>
      </c>
      <c r="B582" s="7">
        <v>27154426</v>
      </c>
      <c r="C582" s="7">
        <v>17000000</v>
      </c>
      <c r="D582" s="7">
        <f t="shared" si="10"/>
        <v>10154426</v>
      </c>
    </row>
    <row r="583" spans="1:4" ht="18" customHeight="1" x14ac:dyDescent="0.25">
      <c r="A583" s="2" t="s">
        <v>6032</v>
      </c>
      <c r="B583" s="7">
        <v>447750</v>
      </c>
      <c r="C583" s="7">
        <v>10000000</v>
      </c>
      <c r="D583" s="7">
        <f t="shared" si="10"/>
        <v>-9552250</v>
      </c>
    </row>
    <row r="584" spans="1:4" ht="18" customHeight="1" x14ac:dyDescent="0.25">
      <c r="A584" s="2" t="s">
        <v>6036</v>
      </c>
      <c r="B584" s="7">
        <v>444044</v>
      </c>
      <c r="C584" s="7">
        <v>1900000</v>
      </c>
      <c r="D584" s="7">
        <f t="shared" si="10"/>
        <v>-1455956</v>
      </c>
    </row>
    <row r="585" spans="1:4" ht="18" customHeight="1" x14ac:dyDescent="0.25">
      <c r="A585" s="2" t="s">
        <v>3563</v>
      </c>
      <c r="B585" s="7">
        <v>57003302</v>
      </c>
      <c r="C585" s="7">
        <v>52000000</v>
      </c>
      <c r="D585" s="7">
        <f t="shared" si="10"/>
        <v>5003302</v>
      </c>
    </row>
    <row r="586" spans="1:4" ht="18" customHeight="1" x14ac:dyDescent="0.25">
      <c r="A586" s="2" t="s">
        <v>3611</v>
      </c>
      <c r="B586" s="7">
        <v>27362712</v>
      </c>
      <c r="C586" s="7">
        <v>8000000</v>
      </c>
      <c r="D586" s="7">
        <f t="shared" si="10"/>
        <v>19362712</v>
      </c>
    </row>
    <row r="587" spans="1:4" ht="18" customHeight="1" x14ac:dyDescent="0.25">
      <c r="A587" s="2" t="s">
        <v>2426</v>
      </c>
      <c r="B587" s="7">
        <v>48334413</v>
      </c>
      <c r="C587" s="7">
        <v>1000000</v>
      </c>
      <c r="D587" s="7">
        <f t="shared" si="10"/>
        <v>47334413</v>
      </c>
    </row>
    <row r="588" spans="1:4" ht="18" customHeight="1" x14ac:dyDescent="0.25">
      <c r="A588" s="2" t="s">
        <v>5183</v>
      </c>
      <c r="B588" s="7">
        <v>5002310</v>
      </c>
      <c r="C588" s="7">
        <v>13000000</v>
      </c>
      <c r="D588" s="7">
        <f t="shared" si="10"/>
        <v>-7997690</v>
      </c>
    </row>
    <row r="589" spans="1:4" ht="18" customHeight="1" x14ac:dyDescent="0.25">
      <c r="A589" s="2" t="s">
        <v>5554</v>
      </c>
      <c r="B589" s="7">
        <v>2331318</v>
      </c>
      <c r="C589" s="7">
        <v>10000000</v>
      </c>
      <c r="D589" s="7">
        <f t="shared" si="10"/>
        <v>-7668682</v>
      </c>
    </row>
    <row r="590" spans="1:4" ht="18" customHeight="1" x14ac:dyDescent="0.25">
      <c r="A590" s="2" t="s">
        <v>6391</v>
      </c>
      <c r="B590" s="7">
        <v>100412</v>
      </c>
      <c r="C590" s="7">
        <v>4000000</v>
      </c>
      <c r="D590" s="7">
        <f t="shared" si="10"/>
        <v>-3899588</v>
      </c>
    </row>
    <row r="591" spans="1:4" ht="18" customHeight="1" x14ac:dyDescent="0.25">
      <c r="A591" s="2" t="s">
        <v>5547</v>
      </c>
      <c r="B591" s="7">
        <v>2365931</v>
      </c>
      <c r="C591" s="7">
        <v>1500000</v>
      </c>
      <c r="D591" s="7">
        <f t="shared" si="10"/>
        <v>865931</v>
      </c>
    </row>
    <row r="592" spans="1:4" ht="18" customHeight="1" x14ac:dyDescent="0.25">
      <c r="A592" s="2" t="s">
        <v>6094</v>
      </c>
      <c r="B592" s="7">
        <v>353743</v>
      </c>
      <c r="C592" s="7">
        <v>15000000</v>
      </c>
      <c r="D592" s="7">
        <f t="shared" si="10"/>
        <v>-14646257</v>
      </c>
    </row>
    <row r="593" spans="1:4" ht="18" customHeight="1" x14ac:dyDescent="0.25">
      <c r="A593" s="2" t="s">
        <v>2233</v>
      </c>
      <c r="B593" s="7">
        <v>48334413</v>
      </c>
      <c r="C593" s="7">
        <v>2300000</v>
      </c>
      <c r="D593" s="7">
        <f t="shared" si="10"/>
        <v>46034413</v>
      </c>
    </row>
    <row r="594" spans="1:4" ht="18" customHeight="1" x14ac:dyDescent="0.25">
      <c r="A594" s="2" t="s">
        <v>4771</v>
      </c>
      <c r="B594" s="7">
        <v>9483821</v>
      </c>
      <c r="C594" s="7">
        <v>55000000</v>
      </c>
      <c r="D594" s="7">
        <f t="shared" si="10"/>
        <v>-45516179</v>
      </c>
    </row>
    <row r="595" spans="1:4" ht="18" customHeight="1" x14ac:dyDescent="0.25">
      <c r="A595" s="2" t="s">
        <v>3844</v>
      </c>
      <c r="B595" s="7">
        <v>23020488</v>
      </c>
      <c r="C595" s="7">
        <v>52000000</v>
      </c>
      <c r="D595" s="7">
        <f t="shared" si="10"/>
        <v>-28979512</v>
      </c>
    </row>
    <row r="596" spans="1:4" ht="18" customHeight="1" x14ac:dyDescent="0.25">
      <c r="A596" s="2" t="s">
        <v>4481</v>
      </c>
      <c r="B596" s="7">
        <v>13383737</v>
      </c>
      <c r="C596" s="7">
        <v>20000000</v>
      </c>
      <c r="D596" s="7">
        <f t="shared" si="10"/>
        <v>-6616263</v>
      </c>
    </row>
    <row r="597" spans="1:4" ht="18" customHeight="1" x14ac:dyDescent="0.25">
      <c r="A597" s="2" t="s">
        <v>5999</v>
      </c>
      <c r="B597" s="7">
        <v>510092</v>
      </c>
      <c r="C597" s="7">
        <v>39751583.5</v>
      </c>
      <c r="D597" s="7">
        <f t="shared" si="10"/>
        <v>-39241491.5</v>
      </c>
    </row>
    <row r="598" spans="1:4" ht="18" customHeight="1" x14ac:dyDescent="0.25">
      <c r="A598" s="2" t="s">
        <v>3657</v>
      </c>
      <c r="B598" s="7">
        <v>26525834</v>
      </c>
      <c r="C598" s="7">
        <v>30000000</v>
      </c>
      <c r="D598" s="7">
        <f t="shared" si="10"/>
        <v>-3474166</v>
      </c>
    </row>
    <row r="599" spans="1:4" ht="18" customHeight="1" x14ac:dyDescent="0.25">
      <c r="A599" s="2" t="s">
        <v>5811</v>
      </c>
      <c r="B599" s="7">
        <v>1028658</v>
      </c>
      <c r="C599" s="7">
        <v>3000000</v>
      </c>
      <c r="D599" s="7">
        <f t="shared" si="10"/>
        <v>-1971342</v>
      </c>
    </row>
    <row r="600" spans="1:4" ht="18" customHeight="1" x14ac:dyDescent="0.25">
      <c r="A600" s="2" t="s">
        <v>3046</v>
      </c>
      <c r="B600" s="7">
        <v>39440655</v>
      </c>
      <c r="C600" s="7">
        <v>55000000</v>
      </c>
      <c r="D600" s="7">
        <f t="shared" si="10"/>
        <v>-15559345</v>
      </c>
    </row>
    <row r="601" spans="1:4" ht="18" customHeight="1" x14ac:dyDescent="0.25">
      <c r="A601" s="2" t="s">
        <v>818</v>
      </c>
      <c r="B601" s="7">
        <v>60338891</v>
      </c>
      <c r="C601" s="7">
        <v>37000000</v>
      </c>
      <c r="D601" s="7">
        <f t="shared" si="10"/>
        <v>23338891</v>
      </c>
    </row>
    <row r="602" spans="1:4" ht="18" customHeight="1" x14ac:dyDescent="0.25">
      <c r="A602" s="2" t="s">
        <v>6354</v>
      </c>
      <c r="B602" s="7">
        <v>111300</v>
      </c>
      <c r="C602" s="7">
        <v>225000</v>
      </c>
      <c r="D602" s="7">
        <f t="shared" si="10"/>
        <v>-113700</v>
      </c>
    </row>
    <row r="603" spans="1:4" ht="18" customHeight="1" x14ac:dyDescent="0.25">
      <c r="A603" s="2" t="s">
        <v>4460</v>
      </c>
      <c r="B603" s="7">
        <v>13650738</v>
      </c>
      <c r="C603" s="7">
        <v>20000000</v>
      </c>
      <c r="D603" s="7">
        <f t="shared" si="10"/>
        <v>-6349262</v>
      </c>
    </row>
    <row r="604" spans="1:4" ht="18" customHeight="1" x14ac:dyDescent="0.25">
      <c r="A604" s="2" t="s">
        <v>5587</v>
      </c>
      <c r="B604" s="7">
        <v>2199853</v>
      </c>
      <c r="C604" s="7">
        <v>1200000</v>
      </c>
      <c r="D604" s="7">
        <f t="shared" si="10"/>
        <v>999853</v>
      </c>
    </row>
    <row r="605" spans="1:4" ht="18" customHeight="1" x14ac:dyDescent="0.25">
      <c r="A605" s="2" t="s">
        <v>136</v>
      </c>
      <c r="B605" s="7">
        <v>102308900</v>
      </c>
      <c r="C605" s="7">
        <v>6000000</v>
      </c>
      <c r="D605" s="7">
        <f t="shared" si="10"/>
        <v>96308900</v>
      </c>
    </row>
    <row r="606" spans="1:4" ht="18" customHeight="1" x14ac:dyDescent="0.25">
      <c r="A606" s="2" t="s">
        <v>2644</v>
      </c>
      <c r="B606" s="7">
        <v>48334413</v>
      </c>
      <c r="C606" s="7">
        <v>180000</v>
      </c>
      <c r="D606" s="7">
        <f t="shared" si="10"/>
        <v>48154413</v>
      </c>
    </row>
    <row r="607" spans="1:4" ht="18" customHeight="1" x14ac:dyDescent="0.25">
      <c r="A607" s="2" t="s">
        <v>1547</v>
      </c>
      <c r="B607" s="7">
        <v>48334413</v>
      </c>
      <c r="C607" s="7">
        <v>39751583.5</v>
      </c>
      <c r="D607" s="7">
        <f t="shared" si="10"/>
        <v>8582829.5</v>
      </c>
    </row>
    <row r="608" spans="1:4" ht="18" customHeight="1" x14ac:dyDescent="0.25">
      <c r="A608" s="2" t="s">
        <v>5990</v>
      </c>
      <c r="B608" s="7">
        <v>531009</v>
      </c>
      <c r="C608" s="7">
        <v>10000000</v>
      </c>
      <c r="D608" s="7">
        <f t="shared" si="10"/>
        <v>-9468991</v>
      </c>
    </row>
    <row r="609" spans="1:4" ht="18" customHeight="1" x14ac:dyDescent="0.25">
      <c r="A609" s="2" t="s">
        <v>2385</v>
      </c>
      <c r="B609" s="7">
        <v>48334413</v>
      </c>
      <c r="C609" s="7">
        <v>1250000</v>
      </c>
      <c r="D609" s="7">
        <f t="shared" si="10"/>
        <v>47084413</v>
      </c>
    </row>
    <row r="610" spans="1:4" ht="18" customHeight="1" x14ac:dyDescent="0.25">
      <c r="A610" s="2" t="s">
        <v>6508</v>
      </c>
      <c r="B610" s="7">
        <v>46451</v>
      </c>
      <c r="C610" s="7">
        <v>7000000</v>
      </c>
      <c r="D610" s="7">
        <f t="shared" si="10"/>
        <v>-6953549</v>
      </c>
    </row>
    <row r="611" spans="1:4" ht="18" customHeight="1" x14ac:dyDescent="0.25">
      <c r="A611" s="2" t="s">
        <v>1480</v>
      </c>
      <c r="B611" s="7">
        <v>48334413</v>
      </c>
      <c r="C611" s="7">
        <v>39751583.5</v>
      </c>
      <c r="D611" s="7">
        <f t="shared" si="10"/>
        <v>8582829.5</v>
      </c>
    </row>
    <row r="612" spans="1:4" ht="18" customHeight="1" x14ac:dyDescent="0.25">
      <c r="A612" s="2" t="s">
        <v>3028</v>
      </c>
      <c r="B612" s="7">
        <v>39800000</v>
      </c>
      <c r="C612" s="7">
        <v>6000000</v>
      </c>
      <c r="D612" s="7">
        <f t="shared" si="10"/>
        <v>33800000</v>
      </c>
    </row>
    <row r="613" spans="1:4" ht="18" customHeight="1" x14ac:dyDescent="0.25">
      <c r="A613" s="2" t="s">
        <v>4849</v>
      </c>
      <c r="B613" s="7">
        <v>8134217</v>
      </c>
      <c r="C613" s="7">
        <v>12000000</v>
      </c>
      <c r="D613" s="7">
        <f t="shared" si="10"/>
        <v>-3865783</v>
      </c>
    </row>
    <row r="614" spans="1:4" ht="18" customHeight="1" x14ac:dyDescent="0.25">
      <c r="A614" s="2" t="s">
        <v>6214</v>
      </c>
      <c r="B614" s="7">
        <v>215185</v>
      </c>
      <c r="C614" s="7">
        <v>200000</v>
      </c>
      <c r="D614" s="7">
        <f t="shared" si="10"/>
        <v>15185</v>
      </c>
    </row>
    <row r="615" spans="1:4" ht="18" customHeight="1" x14ac:dyDescent="0.25">
      <c r="A615" s="2" t="s">
        <v>1400</v>
      </c>
      <c r="B615" s="7">
        <v>48334413</v>
      </c>
      <c r="C615" s="7">
        <v>39751583.5</v>
      </c>
      <c r="D615" s="7">
        <f t="shared" si="10"/>
        <v>8582829.5</v>
      </c>
    </row>
    <row r="616" spans="1:4" ht="18" customHeight="1" x14ac:dyDescent="0.25">
      <c r="A616" s="2" t="s">
        <v>3734</v>
      </c>
      <c r="B616" s="7">
        <v>25339117</v>
      </c>
      <c r="C616" s="7">
        <v>10000000</v>
      </c>
      <c r="D616" s="7">
        <f t="shared" si="10"/>
        <v>15339117</v>
      </c>
    </row>
    <row r="617" spans="1:4" ht="18" customHeight="1" x14ac:dyDescent="0.25">
      <c r="A617" s="2" t="s">
        <v>5620</v>
      </c>
      <c r="B617" s="7">
        <v>2000000</v>
      </c>
      <c r="C617" s="7">
        <v>20000000</v>
      </c>
      <c r="D617" s="7">
        <f t="shared" si="10"/>
        <v>-18000000</v>
      </c>
    </row>
    <row r="618" spans="1:4" ht="18" customHeight="1" x14ac:dyDescent="0.25">
      <c r="A618" s="2" t="s">
        <v>453</v>
      </c>
      <c r="B618" s="7">
        <v>79100000</v>
      </c>
      <c r="C618" s="7">
        <v>35000000</v>
      </c>
      <c r="D618" s="7">
        <f t="shared" si="10"/>
        <v>44100000</v>
      </c>
    </row>
    <row r="619" spans="1:4" ht="18" customHeight="1" x14ac:dyDescent="0.25">
      <c r="A619" s="2" t="s">
        <v>4392</v>
      </c>
      <c r="B619" s="7">
        <v>14359793</v>
      </c>
      <c r="C619" s="7">
        <v>39751583.5</v>
      </c>
      <c r="D619" s="7">
        <f t="shared" si="10"/>
        <v>-25391790.5</v>
      </c>
    </row>
    <row r="620" spans="1:4" ht="18" customHeight="1" x14ac:dyDescent="0.25">
      <c r="A620" s="2" t="s">
        <v>3553</v>
      </c>
      <c r="B620" s="7">
        <v>28747570</v>
      </c>
      <c r="C620" s="7">
        <v>7000000</v>
      </c>
      <c r="D620" s="7">
        <f t="shared" si="10"/>
        <v>21747570</v>
      </c>
    </row>
    <row r="621" spans="1:4" ht="18" customHeight="1" x14ac:dyDescent="0.25">
      <c r="A621" s="2" t="s">
        <v>2014</v>
      </c>
      <c r="B621" s="7">
        <v>48334413</v>
      </c>
      <c r="C621" s="7">
        <v>5000000</v>
      </c>
      <c r="D621" s="7">
        <f t="shared" si="10"/>
        <v>43334413</v>
      </c>
    </row>
    <row r="622" spans="1:4" ht="18" customHeight="1" x14ac:dyDescent="0.25">
      <c r="A622" s="2" t="s">
        <v>1658</v>
      </c>
      <c r="B622" s="7">
        <v>48334413</v>
      </c>
      <c r="C622" s="7">
        <v>24000000</v>
      </c>
      <c r="D622" s="7">
        <f t="shared" si="10"/>
        <v>24334413</v>
      </c>
    </row>
    <row r="623" spans="1:4" ht="18" customHeight="1" x14ac:dyDescent="0.25">
      <c r="A623" s="2" t="s">
        <v>3720</v>
      </c>
      <c r="B623" s="7">
        <v>25528495</v>
      </c>
      <c r="C623" s="7">
        <v>57000000</v>
      </c>
      <c r="D623" s="7">
        <f t="shared" si="10"/>
        <v>-31471505</v>
      </c>
    </row>
    <row r="624" spans="1:4" ht="18" customHeight="1" x14ac:dyDescent="0.25">
      <c r="A624" s="2" t="s">
        <v>74</v>
      </c>
      <c r="B624" s="7">
        <v>107100855</v>
      </c>
      <c r="C624" s="7">
        <v>55000000</v>
      </c>
      <c r="D624" s="7">
        <f t="shared" si="10"/>
        <v>52100855</v>
      </c>
    </row>
    <row r="625" spans="1:4" ht="18" customHeight="1" x14ac:dyDescent="0.25">
      <c r="A625" s="2" t="s">
        <v>5524</v>
      </c>
      <c r="B625" s="7">
        <v>2557668</v>
      </c>
      <c r="C625" s="7">
        <v>2000000</v>
      </c>
      <c r="D625" s="7">
        <f t="shared" si="10"/>
        <v>557668</v>
      </c>
    </row>
    <row r="626" spans="1:4" ht="18" customHeight="1" x14ac:dyDescent="0.25">
      <c r="A626" s="2" t="s">
        <v>5799</v>
      </c>
      <c r="B626" s="7">
        <v>1060591</v>
      </c>
      <c r="C626" s="7">
        <v>1300000</v>
      </c>
      <c r="D626" s="7">
        <f t="shared" si="10"/>
        <v>-239409</v>
      </c>
    </row>
    <row r="627" spans="1:4" ht="18" customHeight="1" x14ac:dyDescent="0.25">
      <c r="A627" s="2" t="s">
        <v>5823</v>
      </c>
      <c r="B627" s="7">
        <v>1000000</v>
      </c>
      <c r="C627" s="7">
        <v>14000000</v>
      </c>
      <c r="D627" s="7">
        <f t="shared" si="10"/>
        <v>-13000000</v>
      </c>
    </row>
    <row r="628" spans="1:4" ht="18" customHeight="1" x14ac:dyDescent="0.25">
      <c r="A628" s="2" t="s">
        <v>2043</v>
      </c>
      <c r="B628" s="7">
        <v>48334413</v>
      </c>
      <c r="C628" s="7">
        <v>4500000</v>
      </c>
      <c r="D628" s="7">
        <f t="shared" si="10"/>
        <v>43834413</v>
      </c>
    </row>
    <row r="629" spans="1:4" ht="18" customHeight="1" x14ac:dyDescent="0.25">
      <c r="A629" s="2" t="s">
        <v>6287</v>
      </c>
      <c r="B629" s="7">
        <v>145118</v>
      </c>
      <c r="C629" s="7">
        <v>39751583.5</v>
      </c>
      <c r="D629" s="7">
        <f t="shared" si="10"/>
        <v>-39606465.5</v>
      </c>
    </row>
    <row r="630" spans="1:4" ht="18" customHeight="1" x14ac:dyDescent="0.25">
      <c r="A630" s="2" t="s">
        <v>1640</v>
      </c>
      <c r="B630" s="7">
        <v>48334413</v>
      </c>
      <c r="C630" s="7">
        <v>25000000</v>
      </c>
      <c r="D630" s="7">
        <f t="shared" si="10"/>
        <v>23334413</v>
      </c>
    </row>
    <row r="631" spans="1:4" ht="18" customHeight="1" x14ac:dyDescent="0.25">
      <c r="A631" s="2" t="s">
        <v>3235</v>
      </c>
      <c r="B631" s="7">
        <v>70533238</v>
      </c>
      <c r="C631" s="7">
        <v>60000000</v>
      </c>
      <c r="D631" s="7">
        <f t="shared" si="10"/>
        <v>10533238</v>
      </c>
    </row>
    <row r="632" spans="1:4" ht="18" customHeight="1" x14ac:dyDescent="0.25">
      <c r="A632" s="2" t="s">
        <v>6418</v>
      </c>
      <c r="B632" s="7">
        <v>90820</v>
      </c>
      <c r="C632" s="7">
        <v>39751583.5</v>
      </c>
      <c r="D632" s="7">
        <f t="shared" si="10"/>
        <v>-39660763.5</v>
      </c>
    </row>
    <row r="633" spans="1:4" ht="18" customHeight="1" x14ac:dyDescent="0.25">
      <c r="A633" s="2" t="s">
        <v>5096</v>
      </c>
      <c r="B633" s="7">
        <v>5895238</v>
      </c>
      <c r="C633" s="7">
        <v>6000000</v>
      </c>
      <c r="D633" s="7">
        <f t="shared" si="10"/>
        <v>-104762</v>
      </c>
    </row>
    <row r="634" spans="1:4" ht="18" customHeight="1" x14ac:dyDescent="0.25">
      <c r="A634" s="2" t="s">
        <v>2478</v>
      </c>
      <c r="B634" s="7">
        <v>48334413</v>
      </c>
      <c r="C634" s="7">
        <v>950000</v>
      </c>
      <c r="D634" s="7">
        <f t="shared" si="10"/>
        <v>47384413</v>
      </c>
    </row>
    <row r="635" spans="1:4" ht="18" customHeight="1" x14ac:dyDescent="0.25">
      <c r="A635" s="2" t="s">
        <v>4496</v>
      </c>
      <c r="B635" s="7">
        <v>13248477</v>
      </c>
      <c r="C635" s="7">
        <v>27000000</v>
      </c>
      <c r="D635" s="7">
        <f t="shared" si="10"/>
        <v>-13751523</v>
      </c>
    </row>
    <row r="636" spans="1:4" ht="18" customHeight="1" x14ac:dyDescent="0.25">
      <c r="A636" s="2" t="s">
        <v>5809</v>
      </c>
      <c r="B636" s="7">
        <v>1039869</v>
      </c>
      <c r="C636" s="7">
        <v>15000000</v>
      </c>
      <c r="D636" s="7">
        <f t="shared" si="10"/>
        <v>-13960131</v>
      </c>
    </row>
    <row r="637" spans="1:4" ht="18" customHeight="1" x14ac:dyDescent="0.25">
      <c r="A637" s="2" t="s">
        <v>2935</v>
      </c>
      <c r="B637" s="7">
        <v>42438300</v>
      </c>
      <c r="C637" s="7">
        <v>52000000</v>
      </c>
      <c r="D637" s="7">
        <f t="shared" si="10"/>
        <v>-9561700</v>
      </c>
    </row>
    <row r="638" spans="1:4" ht="18" customHeight="1" x14ac:dyDescent="0.25">
      <c r="A638" s="2" t="s">
        <v>174</v>
      </c>
      <c r="B638" s="7">
        <v>100328194</v>
      </c>
      <c r="C638" s="7">
        <v>50000000</v>
      </c>
      <c r="D638" s="7">
        <f t="shared" si="10"/>
        <v>50328194</v>
      </c>
    </row>
    <row r="639" spans="1:4" ht="18" customHeight="1" x14ac:dyDescent="0.25">
      <c r="A639" s="2" t="s">
        <v>2141</v>
      </c>
      <c r="B639" s="7">
        <v>48334413</v>
      </c>
      <c r="C639" s="7">
        <v>3000000</v>
      </c>
      <c r="D639" s="7">
        <f t="shared" si="10"/>
        <v>45334413</v>
      </c>
    </row>
    <row r="640" spans="1:4" ht="18" customHeight="1" x14ac:dyDescent="0.25">
      <c r="A640" s="2" t="s">
        <v>1712</v>
      </c>
      <c r="B640" s="7">
        <v>48334413</v>
      </c>
      <c r="C640" s="7">
        <v>18000000</v>
      </c>
      <c r="D640" s="7">
        <f t="shared" si="10"/>
        <v>30334413</v>
      </c>
    </row>
    <row r="641" spans="1:4" ht="18" customHeight="1" x14ac:dyDescent="0.25">
      <c r="A641" s="2" t="s">
        <v>5272</v>
      </c>
      <c r="B641" s="7">
        <v>4291965</v>
      </c>
      <c r="C641" s="7">
        <v>14000000</v>
      </c>
      <c r="D641" s="7">
        <f t="shared" si="10"/>
        <v>-9708035</v>
      </c>
    </row>
    <row r="642" spans="1:4" ht="18" customHeight="1" x14ac:dyDescent="0.25">
      <c r="A642" s="2" t="s">
        <v>4219</v>
      </c>
      <c r="B642" s="7">
        <v>16702864</v>
      </c>
      <c r="C642" s="7">
        <v>18000000</v>
      </c>
      <c r="D642" s="7">
        <f t="shared" si="10"/>
        <v>-1297136</v>
      </c>
    </row>
    <row r="643" spans="1:4" ht="18" customHeight="1" x14ac:dyDescent="0.25">
      <c r="A643" s="2" t="s">
        <v>1700</v>
      </c>
      <c r="B643" s="7">
        <v>48334413</v>
      </c>
      <c r="C643" s="7">
        <v>18000000</v>
      </c>
      <c r="D643" s="7">
        <f t="shared" si="10"/>
        <v>30334413</v>
      </c>
    </row>
    <row r="644" spans="1:4" ht="18" customHeight="1" x14ac:dyDescent="0.25">
      <c r="A644" s="2" t="s">
        <v>2897</v>
      </c>
      <c r="B644" s="7">
        <v>43575716</v>
      </c>
      <c r="C644" s="7">
        <v>85000000</v>
      </c>
      <c r="D644" s="7">
        <f t="shared" si="10"/>
        <v>-41424284</v>
      </c>
    </row>
    <row r="645" spans="1:4" ht="18" customHeight="1" x14ac:dyDescent="0.25">
      <c r="A645" s="2" t="s">
        <v>234</v>
      </c>
      <c r="B645" s="7">
        <v>93375151</v>
      </c>
      <c r="C645" s="7">
        <v>60000000</v>
      </c>
      <c r="D645" s="7">
        <f t="shared" ref="D645:D708" si="11">B645-C645</f>
        <v>33375151</v>
      </c>
    </row>
    <row r="646" spans="1:4" ht="18" customHeight="1" x14ac:dyDescent="0.25">
      <c r="A646" s="2" t="s">
        <v>5370</v>
      </c>
      <c r="B646" s="7">
        <v>3562749</v>
      </c>
      <c r="C646" s="7">
        <v>32000000</v>
      </c>
      <c r="D646" s="7">
        <f t="shared" si="11"/>
        <v>-28437251</v>
      </c>
    </row>
    <row r="647" spans="1:4" ht="18" customHeight="1" x14ac:dyDescent="0.25">
      <c r="A647" s="2" t="s">
        <v>6452</v>
      </c>
      <c r="B647" s="7">
        <v>70071</v>
      </c>
      <c r="C647" s="7">
        <v>7000</v>
      </c>
      <c r="D647" s="7">
        <f t="shared" si="11"/>
        <v>63071</v>
      </c>
    </row>
    <row r="648" spans="1:4" ht="18" customHeight="1" x14ac:dyDescent="0.25">
      <c r="A648" s="2" t="s">
        <v>5734</v>
      </c>
      <c r="B648" s="7">
        <v>1276984</v>
      </c>
      <c r="C648" s="7">
        <v>10000000</v>
      </c>
      <c r="D648" s="7">
        <f t="shared" si="11"/>
        <v>-8723016</v>
      </c>
    </row>
    <row r="649" spans="1:4" ht="18" customHeight="1" x14ac:dyDescent="0.25">
      <c r="A649" s="2" t="s">
        <v>4975</v>
      </c>
      <c r="B649" s="7">
        <v>6857503</v>
      </c>
      <c r="C649" s="7">
        <v>39751583.5</v>
      </c>
      <c r="D649" s="7">
        <f t="shared" si="11"/>
        <v>-32894080.5</v>
      </c>
    </row>
    <row r="650" spans="1:4" ht="18" customHeight="1" x14ac:dyDescent="0.25">
      <c r="A650" s="2" t="s">
        <v>5173</v>
      </c>
      <c r="B650" s="7">
        <v>5032496</v>
      </c>
      <c r="C650" s="7">
        <v>12000000</v>
      </c>
      <c r="D650" s="7">
        <f t="shared" si="11"/>
        <v>-6967504</v>
      </c>
    </row>
    <row r="651" spans="1:4" ht="18" customHeight="1" x14ac:dyDescent="0.25">
      <c r="A651" s="2" t="s">
        <v>5435</v>
      </c>
      <c r="B651" s="7">
        <v>3094687</v>
      </c>
      <c r="C651" s="7">
        <v>39751583.5</v>
      </c>
      <c r="D651" s="7">
        <f t="shared" si="11"/>
        <v>-36656896.5</v>
      </c>
    </row>
    <row r="652" spans="1:4" ht="18" customHeight="1" x14ac:dyDescent="0.25">
      <c r="A652" s="2" t="s">
        <v>3397</v>
      </c>
      <c r="B652" s="7">
        <v>32003620</v>
      </c>
      <c r="C652" s="7">
        <v>25000000</v>
      </c>
      <c r="D652" s="7">
        <f t="shared" si="11"/>
        <v>7003620</v>
      </c>
    </row>
    <row r="653" spans="1:4" ht="18" customHeight="1" x14ac:dyDescent="0.25">
      <c r="A653" s="2" t="s">
        <v>6535</v>
      </c>
      <c r="B653" s="7">
        <v>34151</v>
      </c>
      <c r="C653" s="7">
        <v>450000</v>
      </c>
      <c r="D653" s="7">
        <f t="shared" si="11"/>
        <v>-415849</v>
      </c>
    </row>
    <row r="654" spans="1:4" ht="18" customHeight="1" x14ac:dyDescent="0.25">
      <c r="A654" s="2" t="s">
        <v>4187</v>
      </c>
      <c r="B654" s="7">
        <v>17174870</v>
      </c>
      <c r="C654" s="7">
        <v>18000000</v>
      </c>
      <c r="D654" s="7">
        <f t="shared" si="11"/>
        <v>-825130</v>
      </c>
    </row>
    <row r="655" spans="1:4" ht="18" customHeight="1" x14ac:dyDescent="0.25">
      <c r="A655" s="2" t="s">
        <v>5128</v>
      </c>
      <c r="B655" s="7">
        <v>5595428</v>
      </c>
      <c r="C655" s="7">
        <v>2900000</v>
      </c>
      <c r="D655" s="7">
        <f t="shared" si="11"/>
        <v>2695428</v>
      </c>
    </row>
    <row r="656" spans="1:4" ht="18" customHeight="1" x14ac:dyDescent="0.25">
      <c r="A656" s="2" t="s">
        <v>6334</v>
      </c>
      <c r="B656" s="7">
        <v>122288</v>
      </c>
      <c r="C656" s="7">
        <v>39751583.5</v>
      </c>
      <c r="D656" s="7">
        <f t="shared" si="11"/>
        <v>-39629295.5</v>
      </c>
    </row>
    <row r="657" spans="1:4" ht="18" customHeight="1" x14ac:dyDescent="0.25">
      <c r="A657" s="2" t="s">
        <v>6679</v>
      </c>
      <c r="B657" s="7">
        <v>7826</v>
      </c>
      <c r="C657" s="7">
        <v>1200000</v>
      </c>
      <c r="D657" s="7">
        <f t="shared" si="11"/>
        <v>-1192174</v>
      </c>
    </row>
    <row r="658" spans="1:4" ht="18" customHeight="1" x14ac:dyDescent="0.25">
      <c r="A658" s="2" t="s">
        <v>5511</v>
      </c>
      <c r="B658" s="7">
        <v>2708188</v>
      </c>
      <c r="C658" s="7">
        <v>23000000</v>
      </c>
      <c r="D658" s="7">
        <f t="shared" si="11"/>
        <v>-20291812</v>
      </c>
    </row>
    <row r="659" spans="1:4" ht="18" customHeight="1" x14ac:dyDescent="0.25">
      <c r="A659" s="2" t="s">
        <v>6296</v>
      </c>
      <c r="B659" s="7">
        <v>143000</v>
      </c>
      <c r="C659" s="7">
        <v>5000000</v>
      </c>
      <c r="D659" s="7">
        <f t="shared" si="11"/>
        <v>-4857000</v>
      </c>
    </row>
    <row r="660" spans="1:4" ht="18" customHeight="1" x14ac:dyDescent="0.25">
      <c r="A660" s="2" t="s">
        <v>2026</v>
      </c>
      <c r="B660" s="7">
        <v>48334413</v>
      </c>
      <c r="C660" s="7">
        <v>5000000</v>
      </c>
      <c r="D660" s="7">
        <f t="shared" si="11"/>
        <v>43334413</v>
      </c>
    </row>
    <row r="661" spans="1:4" ht="18" customHeight="1" x14ac:dyDescent="0.25">
      <c r="A661" s="2" t="s">
        <v>3978</v>
      </c>
      <c r="B661" s="7">
        <v>20550712</v>
      </c>
      <c r="C661" s="7">
        <v>50000000</v>
      </c>
      <c r="D661" s="7">
        <f t="shared" si="11"/>
        <v>-29449288</v>
      </c>
    </row>
    <row r="662" spans="1:4" ht="18" customHeight="1" x14ac:dyDescent="0.25">
      <c r="A662" s="2" t="s">
        <v>6128</v>
      </c>
      <c r="B662" s="7">
        <v>306715</v>
      </c>
      <c r="C662" s="7">
        <v>10000000</v>
      </c>
      <c r="D662" s="7">
        <f t="shared" si="11"/>
        <v>-9693285</v>
      </c>
    </row>
    <row r="663" spans="1:4" ht="18" customHeight="1" x14ac:dyDescent="0.25">
      <c r="A663" s="2" t="s">
        <v>3216</v>
      </c>
      <c r="B663" s="7">
        <v>35707327</v>
      </c>
      <c r="C663" s="7">
        <v>55000000</v>
      </c>
      <c r="D663" s="7">
        <f t="shared" si="11"/>
        <v>-19292673</v>
      </c>
    </row>
    <row r="664" spans="1:4" ht="18" customHeight="1" x14ac:dyDescent="0.25">
      <c r="A664" s="2" t="s">
        <v>684</v>
      </c>
      <c r="B664" s="7">
        <v>66790248</v>
      </c>
      <c r="C664" s="7">
        <v>45000000</v>
      </c>
      <c r="D664" s="7">
        <f t="shared" si="11"/>
        <v>21790248</v>
      </c>
    </row>
    <row r="665" spans="1:4" ht="18" customHeight="1" x14ac:dyDescent="0.25">
      <c r="A665" s="2" t="s">
        <v>3429</v>
      </c>
      <c r="B665" s="7">
        <v>31569268</v>
      </c>
      <c r="C665" s="7">
        <v>49000000</v>
      </c>
      <c r="D665" s="7">
        <f t="shared" si="11"/>
        <v>-17430732</v>
      </c>
    </row>
    <row r="666" spans="1:4" ht="18" customHeight="1" x14ac:dyDescent="0.25">
      <c r="A666" s="2" t="s">
        <v>5901</v>
      </c>
      <c r="B666" s="7">
        <v>713413</v>
      </c>
      <c r="C666" s="7">
        <v>4500000</v>
      </c>
      <c r="D666" s="7">
        <f t="shared" si="11"/>
        <v>-3786587</v>
      </c>
    </row>
    <row r="667" spans="1:4" ht="18" customHeight="1" x14ac:dyDescent="0.25">
      <c r="A667" s="2" t="s">
        <v>863</v>
      </c>
      <c r="B667" s="7">
        <v>58800000</v>
      </c>
      <c r="C667" s="7">
        <v>5500000</v>
      </c>
      <c r="D667" s="7">
        <f t="shared" si="11"/>
        <v>53300000</v>
      </c>
    </row>
    <row r="668" spans="1:4" ht="18" customHeight="1" x14ac:dyDescent="0.25">
      <c r="A668" s="2" t="s">
        <v>5329</v>
      </c>
      <c r="B668" s="7">
        <v>3950294</v>
      </c>
      <c r="C668" s="7">
        <v>12000000</v>
      </c>
      <c r="D668" s="7">
        <f t="shared" si="11"/>
        <v>-8049706</v>
      </c>
    </row>
    <row r="669" spans="1:4" ht="18" customHeight="1" x14ac:dyDescent="0.25">
      <c r="A669" s="2" t="s">
        <v>3451</v>
      </c>
      <c r="B669" s="7">
        <v>31136950</v>
      </c>
      <c r="C669" s="7">
        <v>44000000</v>
      </c>
      <c r="D669" s="7">
        <f t="shared" si="11"/>
        <v>-12863050</v>
      </c>
    </row>
    <row r="670" spans="1:4" ht="18" customHeight="1" x14ac:dyDescent="0.25">
      <c r="A670" s="2" t="s">
        <v>689</v>
      </c>
      <c r="B670" s="7">
        <v>66636385</v>
      </c>
      <c r="C670" s="7">
        <v>75000000</v>
      </c>
      <c r="D670" s="7">
        <f t="shared" si="11"/>
        <v>-8363615</v>
      </c>
    </row>
    <row r="671" spans="1:4" ht="18" customHeight="1" x14ac:dyDescent="0.25">
      <c r="A671" s="2" t="s">
        <v>383</v>
      </c>
      <c r="B671" s="7">
        <v>82506325</v>
      </c>
      <c r="C671" s="7">
        <v>39751583.5</v>
      </c>
      <c r="D671" s="7">
        <f t="shared" si="11"/>
        <v>42754741.5</v>
      </c>
    </row>
    <row r="672" spans="1:4" ht="18" customHeight="1" x14ac:dyDescent="0.25">
      <c r="A672" s="2" t="s">
        <v>1502</v>
      </c>
      <c r="B672" s="7">
        <v>48334413</v>
      </c>
      <c r="C672" s="7">
        <v>39751583.5</v>
      </c>
      <c r="D672" s="7">
        <f t="shared" si="11"/>
        <v>8582829.5</v>
      </c>
    </row>
    <row r="673" spans="1:4" ht="18" customHeight="1" x14ac:dyDescent="0.25">
      <c r="A673" s="2" t="s">
        <v>4587</v>
      </c>
      <c r="B673" s="7">
        <v>12006514</v>
      </c>
      <c r="C673" s="7">
        <v>250000</v>
      </c>
      <c r="D673" s="7">
        <f t="shared" si="11"/>
        <v>11756514</v>
      </c>
    </row>
    <row r="674" spans="1:4" ht="18" customHeight="1" x14ac:dyDescent="0.25">
      <c r="A674" s="2" t="s">
        <v>4576</v>
      </c>
      <c r="B674" s="7">
        <v>12189514</v>
      </c>
      <c r="C674" s="7">
        <v>23000000</v>
      </c>
      <c r="D674" s="7">
        <f t="shared" si="11"/>
        <v>-10810486</v>
      </c>
    </row>
    <row r="675" spans="1:4" ht="18" customHeight="1" x14ac:dyDescent="0.25">
      <c r="A675" s="2" t="s">
        <v>5078</v>
      </c>
      <c r="B675" s="7">
        <v>6002756</v>
      </c>
      <c r="C675" s="7">
        <v>20000000</v>
      </c>
      <c r="D675" s="7">
        <f t="shared" si="11"/>
        <v>-13997244</v>
      </c>
    </row>
    <row r="676" spans="1:4" ht="18" customHeight="1" x14ac:dyDescent="0.25">
      <c r="A676" s="2" t="s">
        <v>5062</v>
      </c>
      <c r="B676" s="7">
        <v>6126237</v>
      </c>
      <c r="C676" s="7">
        <v>39751583.5</v>
      </c>
      <c r="D676" s="7">
        <f t="shared" si="11"/>
        <v>-33625346.5</v>
      </c>
    </row>
    <row r="677" spans="1:4" ht="18" customHeight="1" x14ac:dyDescent="0.25">
      <c r="A677" s="2" t="s">
        <v>6471</v>
      </c>
      <c r="B677" s="7">
        <v>59379</v>
      </c>
      <c r="C677" s="7">
        <v>200000</v>
      </c>
      <c r="D677" s="7">
        <f t="shared" si="11"/>
        <v>-140621</v>
      </c>
    </row>
    <row r="678" spans="1:4" ht="18" customHeight="1" x14ac:dyDescent="0.25">
      <c r="A678" s="2" t="s">
        <v>377</v>
      </c>
      <c r="B678" s="7">
        <v>82569532</v>
      </c>
      <c r="C678" s="7">
        <v>60000000</v>
      </c>
      <c r="D678" s="7">
        <f t="shared" si="11"/>
        <v>22569532</v>
      </c>
    </row>
    <row r="679" spans="1:4" ht="18" customHeight="1" x14ac:dyDescent="0.25">
      <c r="A679" s="2" t="s">
        <v>2354</v>
      </c>
      <c r="B679" s="7">
        <v>48334413</v>
      </c>
      <c r="C679" s="7">
        <v>1500000</v>
      </c>
      <c r="D679" s="7">
        <f t="shared" si="11"/>
        <v>46834413</v>
      </c>
    </row>
    <row r="680" spans="1:4" ht="18" customHeight="1" x14ac:dyDescent="0.25">
      <c r="A680" s="2" t="s">
        <v>4122</v>
      </c>
      <c r="B680" s="7">
        <v>18112929</v>
      </c>
      <c r="C680" s="7">
        <v>1000000</v>
      </c>
      <c r="D680" s="7">
        <f t="shared" si="11"/>
        <v>17112929</v>
      </c>
    </row>
    <row r="681" spans="1:4" ht="18" customHeight="1" x14ac:dyDescent="0.25">
      <c r="A681" s="2" t="s">
        <v>1740</v>
      </c>
      <c r="B681" s="7">
        <v>48334413</v>
      </c>
      <c r="C681" s="7">
        <v>15000000</v>
      </c>
      <c r="D681" s="7">
        <f t="shared" si="11"/>
        <v>33334413</v>
      </c>
    </row>
    <row r="682" spans="1:4" ht="18" customHeight="1" x14ac:dyDescent="0.25">
      <c r="A682" s="2" t="s">
        <v>2180</v>
      </c>
      <c r="B682" s="7">
        <v>48334413</v>
      </c>
      <c r="C682" s="7">
        <v>3000000</v>
      </c>
      <c r="D682" s="7">
        <f t="shared" si="11"/>
        <v>45334413</v>
      </c>
    </row>
    <row r="683" spans="1:4" ht="18" customHeight="1" x14ac:dyDescent="0.25">
      <c r="A683" s="2" t="s">
        <v>81</v>
      </c>
      <c r="B683" s="7">
        <v>106793915</v>
      </c>
      <c r="C683" s="7">
        <v>45000000</v>
      </c>
      <c r="D683" s="7">
        <f t="shared" si="11"/>
        <v>61793915</v>
      </c>
    </row>
    <row r="684" spans="1:4" ht="18" customHeight="1" x14ac:dyDescent="0.25">
      <c r="A684" s="2" t="s">
        <v>2390</v>
      </c>
      <c r="B684" s="7">
        <v>48334413</v>
      </c>
      <c r="C684" s="7">
        <v>1200000</v>
      </c>
      <c r="D684" s="7">
        <f t="shared" si="11"/>
        <v>47134413</v>
      </c>
    </row>
    <row r="685" spans="1:4" ht="18" customHeight="1" x14ac:dyDescent="0.25">
      <c r="A685" s="2" t="s">
        <v>5750</v>
      </c>
      <c r="B685" s="7">
        <v>1206135</v>
      </c>
      <c r="C685" s="7">
        <v>50000000</v>
      </c>
      <c r="D685" s="7">
        <f t="shared" si="11"/>
        <v>-48793865</v>
      </c>
    </row>
    <row r="686" spans="1:4" ht="18" customHeight="1" x14ac:dyDescent="0.25">
      <c r="A686" s="2" t="s">
        <v>2450</v>
      </c>
      <c r="B686" s="7">
        <v>48334413</v>
      </c>
      <c r="C686" s="7">
        <v>1000000</v>
      </c>
      <c r="D686" s="7">
        <f t="shared" si="11"/>
        <v>47334413</v>
      </c>
    </row>
    <row r="687" spans="1:4" ht="18" customHeight="1" x14ac:dyDescent="0.25">
      <c r="A687" s="2" t="s">
        <v>5839</v>
      </c>
      <c r="B687" s="7">
        <v>925402</v>
      </c>
      <c r="C687" s="7">
        <v>180000</v>
      </c>
      <c r="D687" s="7">
        <f t="shared" si="11"/>
        <v>745402</v>
      </c>
    </row>
    <row r="688" spans="1:4" ht="18" customHeight="1" x14ac:dyDescent="0.25">
      <c r="A688" s="2" t="s">
        <v>3233</v>
      </c>
      <c r="B688" s="7">
        <v>35286428</v>
      </c>
      <c r="C688" s="7">
        <v>76000000</v>
      </c>
      <c r="D688" s="7">
        <f t="shared" si="11"/>
        <v>-40713572</v>
      </c>
    </row>
    <row r="689" spans="1:4" ht="18" customHeight="1" x14ac:dyDescent="0.25">
      <c r="A689" s="2" t="s">
        <v>3565</v>
      </c>
      <c r="B689" s="7">
        <v>28501605</v>
      </c>
      <c r="C689" s="7">
        <v>13000000</v>
      </c>
      <c r="D689" s="7">
        <f t="shared" si="11"/>
        <v>15501605</v>
      </c>
    </row>
    <row r="690" spans="1:4" ht="18" customHeight="1" x14ac:dyDescent="0.25">
      <c r="A690" s="2" t="s">
        <v>3337</v>
      </c>
      <c r="B690" s="7">
        <v>33244684</v>
      </c>
      <c r="C690" s="7">
        <v>9000000</v>
      </c>
      <c r="D690" s="7">
        <f t="shared" si="11"/>
        <v>24244684</v>
      </c>
    </row>
    <row r="691" spans="1:4" ht="18" customHeight="1" x14ac:dyDescent="0.25">
      <c r="A691" s="2" t="s">
        <v>4642</v>
      </c>
      <c r="B691" s="7">
        <v>11227940</v>
      </c>
      <c r="C691" s="7">
        <v>34000000</v>
      </c>
      <c r="D691" s="7">
        <f t="shared" si="11"/>
        <v>-22772060</v>
      </c>
    </row>
    <row r="692" spans="1:4" ht="18" customHeight="1" x14ac:dyDescent="0.25">
      <c r="A692" s="2" t="s">
        <v>5441</v>
      </c>
      <c r="B692" s="7">
        <v>3074838</v>
      </c>
      <c r="C692" s="7">
        <v>11000000</v>
      </c>
      <c r="D692" s="7">
        <f t="shared" si="11"/>
        <v>-7925162</v>
      </c>
    </row>
    <row r="693" spans="1:4" ht="18" customHeight="1" x14ac:dyDescent="0.25">
      <c r="A693" s="2" t="s">
        <v>597</v>
      </c>
      <c r="B693" s="7">
        <v>71309760</v>
      </c>
      <c r="C693" s="7">
        <v>25000000</v>
      </c>
      <c r="D693" s="7">
        <f t="shared" si="11"/>
        <v>46309760</v>
      </c>
    </row>
    <row r="694" spans="1:4" ht="18" customHeight="1" x14ac:dyDescent="0.25">
      <c r="A694" s="2" t="s">
        <v>6499</v>
      </c>
      <c r="B694" s="7">
        <v>49000</v>
      </c>
      <c r="C694" s="7">
        <v>1500000</v>
      </c>
      <c r="D694" s="7">
        <f t="shared" si="11"/>
        <v>-1451000</v>
      </c>
    </row>
    <row r="695" spans="1:4" ht="18" customHeight="1" x14ac:dyDescent="0.25">
      <c r="A695" s="2" t="s">
        <v>5479</v>
      </c>
      <c r="B695" s="7">
        <v>2926565</v>
      </c>
      <c r="C695" s="7">
        <v>3000000</v>
      </c>
      <c r="D695" s="7">
        <f t="shared" si="11"/>
        <v>-73435</v>
      </c>
    </row>
    <row r="696" spans="1:4" ht="18" customHeight="1" x14ac:dyDescent="0.25">
      <c r="A696" s="2" t="s">
        <v>1396</v>
      </c>
      <c r="B696" s="7">
        <v>48334413</v>
      </c>
      <c r="C696" s="7">
        <v>39751583.5</v>
      </c>
      <c r="D696" s="7">
        <f t="shared" si="11"/>
        <v>8582829.5</v>
      </c>
    </row>
    <row r="697" spans="1:4" ht="18" customHeight="1" x14ac:dyDescent="0.25">
      <c r="A697" s="2" t="s">
        <v>2217</v>
      </c>
      <c r="B697" s="7">
        <v>48334413</v>
      </c>
      <c r="C697" s="7">
        <v>2500000</v>
      </c>
      <c r="D697" s="7">
        <f t="shared" si="11"/>
        <v>45834413</v>
      </c>
    </row>
    <row r="698" spans="1:4" ht="18" customHeight="1" x14ac:dyDescent="0.25">
      <c r="A698" s="2" t="s">
        <v>549</v>
      </c>
      <c r="B698" s="7">
        <v>73701902</v>
      </c>
      <c r="C698" s="7">
        <v>60000000</v>
      </c>
      <c r="D698" s="7">
        <f t="shared" si="11"/>
        <v>13701902</v>
      </c>
    </row>
    <row r="699" spans="1:4" ht="18" customHeight="1" x14ac:dyDescent="0.25">
      <c r="A699" s="2" t="s">
        <v>734</v>
      </c>
      <c r="B699" s="7">
        <v>64572496</v>
      </c>
      <c r="C699" s="7">
        <v>12000000</v>
      </c>
      <c r="D699" s="7">
        <f t="shared" si="11"/>
        <v>52572496</v>
      </c>
    </row>
    <row r="700" spans="1:4" ht="18" customHeight="1" x14ac:dyDescent="0.25">
      <c r="A700" s="2" t="s">
        <v>5802</v>
      </c>
      <c r="B700" s="7">
        <v>1050600</v>
      </c>
      <c r="C700" s="7">
        <v>250000</v>
      </c>
      <c r="D700" s="7">
        <f t="shared" si="11"/>
        <v>800600</v>
      </c>
    </row>
    <row r="701" spans="1:4" ht="18" customHeight="1" x14ac:dyDescent="0.25">
      <c r="A701" s="2" t="s">
        <v>6269</v>
      </c>
      <c r="B701" s="7">
        <v>169379</v>
      </c>
      <c r="C701" s="7">
        <v>10000000</v>
      </c>
      <c r="D701" s="7">
        <f t="shared" si="11"/>
        <v>-9830621</v>
      </c>
    </row>
    <row r="702" spans="1:4" ht="18" customHeight="1" x14ac:dyDescent="0.25">
      <c r="A702" s="2" t="s">
        <v>792</v>
      </c>
      <c r="B702" s="7">
        <v>61644321</v>
      </c>
      <c r="C702" s="7">
        <v>88000000</v>
      </c>
      <c r="D702" s="7">
        <f t="shared" si="11"/>
        <v>-26355679</v>
      </c>
    </row>
    <row r="703" spans="1:4" ht="18" customHeight="1" x14ac:dyDescent="0.25">
      <c r="A703" s="2" t="s">
        <v>1460</v>
      </c>
      <c r="B703" s="7">
        <v>48334413</v>
      </c>
      <c r="C703" s="7">
        <v>39751583.5</v>
      </c>
      <c r="D703" s="7">
        <f t="shared" si="11"/>
        <v>8582829.5</v>
      </c>
    </row>
    <row r="704" spans="1:4" ht="18" customHeight="1" x14ac:dyDescent="0.25">
      <c r="A704" s="2" t="s">
        <v>6039</v>
      </c>
      <c r="B704" s="7">
        <v>439958</v>
      </c>
      <c r="C704" s="7">
        <v>39751583.5</v>
      </c>
      <c r="D704" s="7">
        <f t="shared" si="11"/>
        <v>-39311625.5</v>
      </c>
    </row>
    <row r="705" spans="1:4" ht="18" customHeight="1" x14ac:dyDescent="0.25">
      <c r="A705" s="2" t="s">
        <v>4442</v>
      </c>
      <c r="B705" s="7">
        <v>13838130</v>
      </c>
      <c r="C705" s="7">
        <v>40000000</v>
      </c>
      <c r="D705" s="7">
        <f t="shared" si="11"/>
        <v>-26161870</v>
      </c>
    </row>
    <row r="706" spans="1:4" ht="18" customHeight="1" x14ac:dyDescent="0.25">
      <c r="A706" s="2" t="s">
        <v>4563</v>
      </c>
      <c r="B706" s="7">
        <v>12495865</v>
      </c>
      <c r="C706" s="7">
        <v>39751583.5</v>
      </c>
      <c r="D706" s="7">
        <f t="shared" si="11"/>
        <v>-27255718.5</v>
      </c>
    </row>
    <row r="707" spans="1:4" ht="18" customHeight="1" x14ac:dyDescent="0.25">
      <c r="A707" s="2" t="s">
        <v>3876</v>
      </c>
      <c r="B707" s="7">
        <v>22433915</v>
      </c>
      <c r="C707" s="7">
        <v>60000000</v>
      </c>
      <c r="D707" s="7">
        <f t="shared" si="11"/>
        <v>-37566085</v>
      </c>
    </row>
    <row r="708" spans="1:4" ht="18" customHeight="1" x14ac:dyDescent="0.25">
      <c r="A708" s="2" t="s">
        <v>3995</v>
      </c>
      <c r="B708" s="7">
        <v>20300000</v>
      </c>
      <c r="C708" s="7">
        <v>40000000</v>
      </c>
      <c r="D708" s="7">
        <f t="shared" si="11"/>
        <v>-19700000</v>
      </c>
    </row>
    <row r="709" spans="1:4" ht="18" customHeight="1" x14ac:dyDescent="0.25">
      <c r="A709" s="2" t="s">
        <v>5001</v>
      </c>
      <c r="B709" s="7">
        <v>6670712</v>
      </c>
      <c r="C709" s="7">
        <v>6000000</v>
      </c>
      <c r="D709" s="7">
        <f t="shared" ref="D709:D772" si="12">B709-C709</f>
        <v>670712</v>
      </c>
    </row>
    <row r="710" spans="1:4" ht="18" customHeight="1" x14ac:dyDescent="0.25">
      <c r="A710" s="2" t="s">
        <v>462</v>
      </c>
      <c r="B710" s="7">
        <v>78745923</v>
      </c>
      <c r="C710" s="7">
        <v>55000000</v>
      </c>
      <c r="D710" s="7">
        <f t="shared" si="12"/>
        <v>23745923</v>
      </c>
    </row>
    <row r="711" spans="1:4" ht="18" customHeight="1" x14ac:dyDescent="0.25">
      <c r="A711" s="2" t="s">
        <v>4886</v>
      </c>
      <c r="B711" s="7">
        <v>7871693</v>
      </c>
      <c r="C711" s="7">
        <v>55000000</v>
      </c>
      <c r="D711" s="7">
        <f t="shared" si="12"/>
        <v>-47128307</v>
      </c>
    </row>
    <row r="712" spans="1:4" ht="18" customHeight="1" x14ac:dyDescent="0.25">
      <c r="A712" s="2" t="s">
        <v>6116</v>
      </c>
      <c r="B712" s="7">
        <v>325491</v>
      </c>
      <c r="C712" s="7">
        <v>17500000</v>
      </c>
      <c r="D712" s="7">
        <f t="shared" si="12"/>
        <v>-17174509</v>
      </c>
    </row>
    <row r="713" spans="1:4" ht="18" customHeight="1" x14ac:dyDescent="0.25">
      <c r="A713" s="2" t="s">
        <v>4912</v>
      </c>
      <c r="B713" s="7">
        <v>7563397</v>
      </c>
      <c r="C713" s="7">
        <v>3300000</v>
      </c>
      <c r="D713" s="7">
        <f t="shared" si="12"/>
        <v>4263397</v>
      </c>
    </row>
    <row r="714" spans="1:4" ht="18" customHeight="1" x14ac:dyDescent="0.25">
      <c r="A714" s="2" t="s">
        <v>6339</v>
      </c>
      <c r="B714" s="7">
        <v>119922</v>
      </c>
      <c r="C714" s="7">
        <v>12000000</v>
      </c>
      <c r="D714" s="7">
        <f t="shared" si="12"/>
        <v>-11880078</v>
      </c>
    </row>
    <row r="715" spans="1:4" ht="18" customHeight="1" x14ac:dyDescent="0.25">
      <c r="A715" s="2" t="s">
        <v>6177</v>
      </c>
      <c r="B715" s="7">
        <v>243347</v>
      </c>
      <c r="C715" s="7">
        <v>500000</v>
      </c>
      <c r="D715" s="7">
        <f t="shared" si="12"/>
        <v>-256653</v>
      </c>
    </row>
    <row r="716" spans="1:4" ht="18" customHeight="1" x14ac:dyDescent="0.25">
      <c r="A716" s="2" t="s">
        <v>6220</v>
      </c>
      <c r="B716" s="7">
        <v>206678</v>
      </c>
      <c r="C716" s="7">
        <v>39751583.5</v>
      </c>
      <c r="D716" s="7">
        <f t="shared" si="12"/>
        <v>-39544905.5</v>
      </c>
    </row>
    <row r="717" spans="1:4" ht="18" customHeight="1" x14ac:dyDescent="0.25">
      <c r="A717" s="2" t="s">
        <v>2054</v>
      </c>
      <c r="B717" s="7">
        <v>48334413</v>
      </c>
      <c r="C717" s="7">
        <v>4300000</v>
      </c>
      <c r="D717" s="7">
        <f t="shared" si="12"/>
        <v>44034413</v>
      </c>
    </row>
    <row r="718" spans="1:4" ht="18" customHeight="1" x14ac:dyDescent="0.25">
      <c r="A718" s="2" t="s">
        <v>5652</v>
      </c>
      <c r="B718" s="7">
        <v>1789892</v>
      </c>
      <c r="C718" s="7">
        <v>8000000</v>
      </c>
      <c r="D718" s="7">
        <f t="shared" si="12"/>
        <v>-6210108</v>
      </c>
    </row>
    <row r="719" spans="1:4" ht="18" customHeight="1" x14ac:dyDescent="0.25">
      <c r="A719" s="2" t="s">
        <v>6303</v>
      </c>
      <c r="B719" s="7">
        <v>136007</v>
      </c>
      <c r="C719" s="7">
        <v>4500</v>
      </c>
      <c r="D719" s="7">
        <f t="shared" si="12"/>
        <v>131507</v>
      </c>
    </row>
    <row r="720" spans="1:4" ht="18" customHeight="1" x14ac:dyDescent="0.25">
      <c r="A720" s="2" t="s">
        <v>887</v>
      </c>
      <c r="B720" s="7">
        <v>57750000</v>
      </c>
      <c r="C720" s="7">
        <v>31115000</v>
      </c>
      <c r="D720" s="7">
        <f t="shared" si="12"/>
        <v>26635000</v>
      </c>
    </row>
    <row r="721" spans="1:4" ht="18" customHeight="1" x14ac:dyDescent="0.25">
      <c r="A721" s="2" t="s">
        <v>3796</v>
      </c>
      <c r="B721" s="7">
        <v>24138847</v>
      </c>
      <c r="C721" s="7">
        <v>5000000</v>
      </c>
      <c r="D721" s="7">
        <f t="shared" si="12"/>
        <v>19138847</v>
      </c>
    </row>
    <row r="722" spans="1:4" ht="18" customHeight="1" x14ac:dyDescent="0.25">
      <c r="A722" s="2" t="s">
        <v>5420</v>
      </c>
      <c r="B722" s="7">
        <v>3151130</v>
      </c>
      <c r="C722" s="7">
        <v>230000</v>
      </c>
      <c r="D722" s="7">
        <f t="shared" si="12"/>
        <v>2921130</v>
      </c>
    </row>
    <row r="723" spans="1:4" ht="18" customHeight="1" x14ac:dyDescent="0.25">
      <c r="A723" s="2" t="s">
        <v>349</v>
      </c>
      <c r="B723" s="7">
        <v>84049211</v>
      </c>
      <c r="C723" s="7">
        <v>70000000</v>
      </c>
      <c r="D723" s="7">
        <f t="shared" si="12"/>
        <v>14049211</v>
      </c>
    </row>
    <row r="724" spans="1:4" ht="18" customHeight="1" x14ac:dyDescent="0.25">
      <c r="A724" s="2" t="s">
        <v>3164</v>
      </c>
      <c r="B724" s="7">
        <v>36985501</v>
      </c>
      <c r="C724" s="7">
        <v>26000000</v>
      </c>
      <c r="D724" s="7">
        <f t="shared" si="12"/>
        <v>10985501</v>
      </c>
    </row>
    <row r="725" spans="1:4" ht="18" customHeight="1" x14ac:dyDescent="0.25">
      <c r="A725" s="2" t="s">
        <v>6034</v>
      </c>
      <c r="B725" s="7">
        <v>444354</v>
      </c>
      <c r="C725" s="7">
        <v>39751583.5</v>
      </c>
      <c r="D725" s="7">
        <f t="shared" si="12"/>
        <v>-39307229.5</v>
      </c>
    </row>
    <row r="726" spans="1:4" ht="18" customHeight="1" x14ac:dyDescent="0.25">
      <c r="A726" s="2" t="s">
        <v>2182</v>
      </c>
      <c r="B726" s="7">
        <v>48334413</v>
      </c>
      <c r="C726" s="7">
        <v>3000000</v>
      </c>
      <c r="D726" s="7">
        <f t="shared" si="12"/>
        <v>45334413</v>
      </c>
    </row>
    <row r="727" spans="1:4" ht="18" customHeight="1" x14ac:dyDescent="0.25">
      <c r="A727" s="2" t="s">
        <v>2028</v>
      </c>
      <c r="B727" s="7">
        <v>48334413</v>
      </c>
      <c r="C727" s="7">
        <v>5000000</v>
      </c>
      <c r="D727" s="7">
        <f t="shared" si="12"/>
        <v>43334413</v>
      </c>
    </row>
    <row r="728" spans="1:4" ht="18" customHeight="1" x14ac:dyDescent="0.25">
      <c r="A728" s="2" t="s">
        <v>3295</v>
      </c>
      <c r="B728" s="7">
        <v>33987757</v>
      </c>
      <c r="C728" s="7">
        <v>27000000</v>
      </c>
      <c r="D728" s="7">
        <f t="shared" si="12"/>
        <v>6987757</v>
      </c>
    </row>
    <row r="729" spans="1:4" ht="18" customHeight="1" x14ac:dyDescent="0.25">
      <c r="A729" s="2" t="s">
        <v>2314</v>
      </c>
      <c r="B729" s="7">
        <v>48334413</v>
      </c>
      <c r="C729" s="7">
        <v>1800000</v>
      </c>
      <c r="D729" s="7">
        <f t="shared" si="12"/>
        <v>46534413</v>
      </c>
    </row>
    <row r="730" spans="1:4" ht="18" customHeight="1" x14ac:dyDescent="0.25">
      <c r="A730" s="2" t="s">
        <v>430</v>
      </c>
      <c r="B730" s="7">
        <v>80034302</v>
      </c>
      <c r="C730" s="7">
        <v>25000000</v>
      </c>
      <c r="D730" s="7">
        <f t="shared" si="12"/>
        <v>55034302</v>
      </c>
    </row>
    <row r="731" spans="1:4" ht="18" customHeight="1" x14ac:dyDescent="0.25">
      <c r="A731" s="2" t="s">
        <v>5187</v>
      </c>
      <c r="B731" s="7">
        <v>4992159</v>
      </c>
      <c r="C731" s="7">
        <v>8550000</v>
      </c>
      <c r="D731" s="7">
        <f t="shared" si="12"/>
        <v>-3557841</v>
      </c>
    </row>
    <row r="732" spans="1:4" ht="18" customHeight="1" x14ac:dyDescent="0.25">
      <c r="A732" s="2" t="s">
        <v>924</v>
      </c>
      <c r="B732" s="7">
        <v>56631572</v>
      </c>
      <c r="C732" s="7">
        <v>12000000</v>
      </c>
      <c r="D732" s="7">
        <f t="shared" si="12"/>
        <v>44631572</v>
      </c>
    </row>
    <row r="733" spans="1:4" ht="18" customHeight="1" x14ac:dyDescent="0.25">
      <c r="A733" s="2" t="s">
        <v>672</v>
      </c>
      <c r="B733" s="7">
        <v>67253092</v>
      </c>
      <c r="C733" s="7">
        <v>30000000</v>
      </c>
      <c r="D733" s="7">
        <f t="shared" si="12"/>
        <v>37253092</v>
      </c>
    </row>
    <row r="734" spans="1:4" ht="18" customHeight="1" x14ac:dyDescent="0.25">
      <c r="A734" s="2" t="s">
        <v>442</v>
      </c>
      <c r="B734" s="7">
        <v>79900000</v>
      </c>
      <c r="C734" s="7">
        <v>39751583.5</v>
      </c>
      <c r="D734" s="7">
        <f t="shared" si="12"/>
        <v>40148416.5</v>
      </c>
    </row>
    <row r="735" spans="1:4" ht="18" customHeight="1" x14ac:dyDescent="0.25">
      <c r="A735" s="2" t="s">
        <v>5065</v>
      </c>
      <c r="B735" s="7">
        <v>6109075</v>
      </c>
      <c r="C735" s="7">
        <v>19430000</v>
      </c>
      <c r="D735" s="7">
        <f t="shared" si="12"/>
        <v>-13320925</v>
      </c>
    </row>
    <row r="736" spans="1:4" ht="18" customHeight="1" x14ac:dyDescent="0.25">
      <c r="A736" s="2" t="s">
        <v>6231</v>
      </c>
      <c r="B736" s="7">
        <v>197148</v>
      </c>
      <c r="C736" s="7">
        <v>7500000</v>
      </c>
      <c r="D736" s="7">
        <f t="shared" si="12"/>
        <v>-7302852</v>
      </c>
    </row>
    <row r="737" spans="1:4" ht="18" customHeight="1" x14ac:dyDescent="0.25">
      <c r="A737" s="2" t="s">
        <v>4856</v>
      </c>
      <c r="B737" s="7">
        <v>8104069</v>
      </c>
      <c r="C737" s="7">
        <v>20000000</v>
      </c>
      <c r="D737" s="7">
        <f t="shared" si="12"/>
        <v>-11895931</v>
      </c>
    </row>
    <row r="738" spans="1:4" ht="18" customHeight="1" x14ac:dyDescent="0.25">
      <c r="A738" s="2" t="s">
        <v>1917</v>
      </c>
      <c r="B738" s="7">
        <v>48334413</v>
      </c>
      <c r="C738" s="7">
        <v>8000000</v>
      </c>
      <c r="D738" s="7">
        <f t="shared" si="12"/>
        <v>40334413</v>
      </c>
    </row>
    <row r="739" spans="1:4" ht="18" customHeight="1" x14ac:dyDescent="0.25">
      <c r="A739" s="2" t="s">
        <v>2279</v>
      </c>
      <c r="B739" s="7">
        <v>48334413</v>
      </c>
      <c r="C739" s="7">
        <v>2000000</v>
      </c>
      <c r="D739" s="7">
        <f t="shared" si="12"/>
        <v>46334413</v>
      </c>
    </row>
    <row r="740" spans="1:4" ht="18" customHeight="1" x14ac:dyDescent="0.25">
      <c r="A740" s="2" t="s">
        <v>203</v>
      </c>
      <c r="B740" s="7">
        <v>95632614</v>
      </c>
      <c r="C740" s="7">
        <v>79000000</v>
      </c>
      <c r="D740" s="7">
        <f t="shared" si="12"/>
        <v>16632614</v>
      </c>
    </row>
    <row r="741" spans="1:4" ht="18" customHeight="1" x14ac:dyDescent="0.25">
      <c r="A741" s="2" t="s">
        <v>3019</v>
      </c>
      <c r="B741" s="7">
        <v>40048332</v>
      </c>
      <c r="C741" s="7">
        <v>85000000</v>
      </c>
      <c r="D741" s="7">
        <f t="shared" si="12"/>
        <v>-44951668</v>
      </c>
    </row>
    <row r="742" spans="1:4" ht="18" customHeight="1" x14ac:dyDescent="0.25">
      <c r="A742" s="2" t="s">
        <v>185</v>
      </c>
      <c r="B742" s="7">
        <v>100003492</v>
      </c>
      <c r="C742" s="7">
        <v>65000000</v>
      </c>
      <c r="D742" s="7">
        <f t="shared" si="12"/>
        <v>35003492</v>
      </c>
    </row>
    <row r="743" spans="1:4" ht="18" customHeight="1" x14ac:dyDescent="0.25">
      <c r="A743" s="2" t="s">
        <v>5222</v>
      </c>
      <c r="B743" s="7">
        <v>4693919</v>
      </c>
      <c r="C743" s="7">
        <v>6500000</v>
      </c>
      <c r="D743" s="7">
        <f t="shared" si="12"/>
        <v>-1806081</v>
      </c>
    </row>
    <row r="744" spans="1:4" ht="18" customHeight="1" x14ac:dyDescent="0.25">
      <c r="A744" s="2" t="s">
        <v>3177</v>
      </c>
      <c r="B744" s="7">
        <v>36665854</v>
      </c>
      <c r="C744" s="7">
        <v>40000000</v>
      </c>
      <c r="D744" s="7">
        <f t="shared" si="12"/>
        <v>-3334146</v>
      </c>
    </row>
    <row r="745" spans="1:4" ht="18" customHeight="1" x14ac:dyDescent="0.25">
      <c r="A745" s="2" t="s">
        <v>6345</v>
      </c>
      <c r="B745" s="7">
        <v>117560</v>
      </c>
      <c r="C745" s="7">
        <v>6000000</v>
      </c>
      <c r="D745" s="7">
        <f t="shared" si="12"/>
        <v>-5882440</v>
      </c>
    </row>
    <row r="746" spans="1:4" ht="18" customHeight="1" x14ac:dyDescent="0.25">
      <c r="A746" s="2" t="s">
        <v>6081</v>
      </c>
      <c r="B746" s="7">
        <v>377420</v>
      </c>
      <c r="C746" s="7">
        <v>39751583.5</v>
      </c>
      <c r="D746" s="7">
        <f t="shared" si="12"/>
        <v>-39374163.5</v>
      </c>
    </row>
    <row r="747" spans="1:4" ht="18" customHeight="1" x14ac:dyDescent="0.25">
      <c r="A747" s="2" t="s">
        <v>1818</v>
      </c>
      <c r="B747" s="7">
        <v>48334413</v>
      </c>
      <c r="C747" s="7">
        <v>10000000</v>
      </c>
      <c r="D747" s="7">
        <f t="shared" si="12"/>
        <v>38334413</v>
      </c>
    </row>
    <row r="748" spans="1:4" ht="18" customHeight="1" x14ac:dyDescent="0.25">
      <c r="A748" s="2" t="s">
        <v>5431</v>
      </c>
      <c r="B748" s="7">
        <v>3105269</v>
      </c>
      <c r="C748" s="7">
        <v>3000000</v>
      </c>
      <c r="D748" s="7">
        <f t="shared" si="12"/>
        <v>105269</v>
      </c>
    </row>
    <row r="749" spans="1:4" ht="18" customHeight="1" x14ac:dyDescent="0.25">
      <c r="A749" s="2" t="s">
        <v>6120</v>
      </c>
      <c r="B749" s="7">
        <v>318622</v>
      </c>
      <c r="C749" s="7">
        <v>270000</v>
      </c>
      <c r="D749" s="7">
        <f t="shared" si="12"/>
        <v>48622</v>
      </c>
    </row>
    <row r="750" spans="1:4" ht="18" customHeight="1" x14ac:dyDescent="0.25">
      <c r="A750" s="2" t="s">
        <v>159</v>
      </c>
      <c r="B750" s="7">
        <v>101087161</v>
      </c>
      <c r="C750" s="7">
        <v>75000000</v>
      </c>
      <c r="D750" s="7">
        <f t="shared" si="12"/>
        <v>26087161</v>
      </c>
    </row>
    <row r="751" spans="1:4" ht="18" customHeight="1" x14ac:dyDescent="0.25">
      <c r="A751" s="2" t="s">
        <v>3132</v>
      </c>
      <c r="B751" s="7">
        <v>75134880</v>
      </c>
      <c r="C751" s="7">
        <v>40000000</v>
      </c>
      <c r="D751" s="7">
        <f t="shared" si="12"/>
        <v>35134880</v>
      </c>
    </row>
    <row r="752" spans="1:4" ht="18" customHeight="1" x14ac:dyDescent="0.25">
      <c r="A752" s="2" t="s">
        <v>3665</v>
      </c>
      <c r="B752" s="7">
        <v>26400000</v>
      </c>
      <c r="C752" s="7">
        <v>18000000</v>
      </c>
      <c r="D752" s="7">
        <f t="shared" si="12"/>
        <v>8400000</v>
      </c>
    </row>
    <row r="753" spans="1:4" ht="18" customHeight="1" x14ac:dyDescent="0.25">
      <c r="A753" s="2" t="s">
        <v>3274</v>
      </c>
      <c r="B753" s="7">
        <v>34531832</v>
      </c>
      <c r="C753" s="7">
        <v>35000000</v>
      </c>
      <c r="D753" s="7">
        <f t="shared" si="12"/>
        <v>-468168</v>
      </c>
    </row>
    <row r="754" spans="1:4" ht="18" customHeight="1" x14ac:dyDescent="0.25">
      <c r="A754" s="2" t="s">
        <v>1617</v>
      </c>
      <c r="B754" s="7">
        <v>48334413</v>
      </c>
      <c r="C754" s="7">
        <v>29000000</v>
      </c>
      <c r="D754" s="7">
        <f t="shared" si="12"/>
        <v>19334413</v>
      </c>
    </row>
    <row r="755" spans="1:4" ht="18" customHeight="1" x14ac:dyDescent="0.25">
      <c r="A755" s="2" t="s">
        <v>3527</v>
      </c>
      <c r="B755" s="7">
        <v>29302097</v>
      </c>
      <c r="C755" s="7">
        <v>15000000</v>
      </c>
      <c r="D755" s="7">
        <f t="shared" si="12"/>
        <v>14302097</v>
      </c>
    </row>
    <row r="756" spans="1:4" ht="18" customHeight="1" x14ac:dyDescent="0.25">
      <c r="A756" s="2" t="s">
        <v>4572</v>
      </c>
      <c r="B756" s="7">
        <v>12212417</v>
      </c>
      <c r="C756" s="7">
        <v>15000000</v>
      </c>
      <c r="D756" s="7">
        <f t="shared" si="12"/>
        <v>-2787583</v>
      </c>
    </row>
    <row r="757" spans="1:4" ht="18" customHeight="1" x14ac:dyDescent="0.25">
      <c r="A757" s="2" t="s">
        <v>410</v>
      </c>
      <c r="B757" s="7">
        <v>81022333</v>
      </c>
      <c r="C757" s="7">
        <v>50000000</v>
      </c>
      <c r="D757" s="7">
        <f t="shared" si="12"/>
        <v>31022333</v>
      </c>
    </row>
    <row r="758" spans="1:4" ht="18" customHeight="1" x14ac:dyDescent="0.25">
      <c r="A758" s="2" t="s">
        <v>4862</v>
      </c>
      <c r="B758" s="7">
        <v>8054280</v>
      </c>
      <c r="C758" s="7">
        <v>20000000</v>
      </c>
      <c r="D758" s="7">
        <f t="shared" si="12"/>
        <v>-11945720</v>
      </c>
    </row>
    <row r="759" spans="1:4" ht="18" customHeight="1" x14ac:dyDescent="0.25">
      <c r="A759" s="2" t="s">
        <v>2319</v>
      </c>
      <c r="B759" s="7">
        <v>48334413</v>
      </c>
      <c r="C759" s="7">
        <v>1700000</v>
      </c>
      <c r="D759" s="7">
        <f t="shared" si="12"/>
        <v>46634413</v>
      </c>
    </row>
    <row r="760" spans="1:4" ht="18" customHeight="1" x14ac:dyDescent="0.25">
      <c r="A760" s="2" t="s">
        <v>496</v>
      </c>
      <c r="B760" s="7">
        <v>76081498</v>
      </c>
      <c r="C760" s="7">
        <v>75000000</v>
      </c>
      <c r="D760" s="7">
        <f t="shared" si="12"/>
        <v>1081498</v>
      </c>
    </row>
    <row r="761" spans="1:4" ht="18" customHeight="1" x14ac:dyDescent="0.25">
      <c r="A761" s="2" t="s">
        <v>1243</v>
      </c>
      <c r="B761" s="7">
        <v>48334413</v>
      </c>
      <c r="C761" s="7">
        <v>39751583.5</v>
      </c>
      <c r="D761" s="7">
        <f t="shared" si="12"/>
        <v>8582829.5</v>
      </c>
    </row>
    <row r="762" spans="1:4" ht="18" customHeight="1" x14ac:dyDescent="0.25">
      <c r="A762" s="2" t="s">
        <v>161</v>
      </c>
      <c r="B762" s="7">
        <v>100853835</v>
      </c>
      <c r="C762" s="7">
        <v>90000000</v>
      </c>
      <c r="D762" s="7">
        <f t="shared" si="12"/>
        <v>10853835</v>
      </c>
    </row>
    <row r="763" spans="1:4" ht="18" customHeight="1" x14ac:dyDescent="0.25">
      <c r="A763" s="2" t="s">
        <v>506</v>
      </c>
      <c r="B763" s="7">
        <v>75638743</v>
      </c>
      <c r="C763" s="7">
        <v>60000000</v>
      </c>
      <c r="D763" s="7">
        <f t="shared" si="12"/>
        <v>15638743</v>
      </c>
    </row>
    <row r="764" spans="1:4" ht="18" customHeight="1" x14ac:dyDescent="0.25">
      <c r="A764" s="2" t="s">
        <v>1448</v>
      </c>
      <c r="B764" s="7">
        <v>48334413</v>
      </c>
      <c r="C764" s="7">
        <v>39751583.5</v>
      </c>
      <c r="D764" s="7">
        <f t="shared" si="12"/>
        <v>8582829.5</v>
      </c>
    </row>
    <row r="765" spans="1:4" ht="18" customHeight="1" x14ac:dyDescent="0.25">
      <c r="A765" s="2" t="s">
        <v>694</v>
      </c>
      <c r="B765" s="7">
        <v>66489425</v>
      </c>
      <c r="C765" s="7">
        <v>25000000</v>
      </c>
      <c r="D765" s="7">
        <f t="shared" si="12"/>
        <v>41489425</v>
      </c>
    </row>
    <row r="766" spans="1:4" ht="18" customHeight="1" x14ac:dyDescent="0.25">
      <c r="A766" s="2" t="s">
        <v>5855</v>
      </c>
      <c r="B766" s="7">
        <v>871577</v>
      </c>
      <c r="C766" s="7">
        <v>4500000</v>
      </c>
      <c r="D766" s="7">
        <f t="shared" si="12"/>
        <v>-3628423</v>
      </c>
    </row>
    <row r="767" spans="1:4" ht="18" customHeight="1" x14ac:dyDescent="0.25">
      <c r="A767" s="2" t="s">
        <v>6080</v>
      </c>
      <c r="B767" s="7">
        <v>379122</v>
      </c>
      <c r="C767" s="7">
        <v>450000</v>
      </c>
      <c r="D767" s="7">
        <f t="shared" si="12"/>
        <v>-70878</v>
      </c>
    </row>
    <row r="768" spans="1:4" ht="18" customHeight="1" x14ac:dyDescent="0.25">
      <c r="A768" s="2" t="s">
        <v>650</v>
      </c>
      <c r="B768" s="7">
        <v>68856263</v>
      </c>
      <c r="C768" s="7">
        <v>15000000</v>
      </c>
      <c r="D768" s="7">
        <f t="shared" si="12"/>
        <v>53856263</v>
      </c>
    </row>
    <row r="769" spans="1:4" ht="18" customHeight="1" x14ac:dyDescent="0.25">
      <c r="A769" s="2" t="s">
        <v>2847</v>
      </c>
      <c r="B769" s="7">
        <v>44886089</v>
      </c>
      <c r="C769" s="7">
        <v>10000000</v>
      </c>
      <c r="D769" s="7">
        <f t="shared" si="12"/>
        <v>34886089</v>
      </c>
    </row>
    <row r="770" spans="1:4" ht="18" customHeight="1" x14ac:dyDescent="0.25">
      <c r="A770" s="2" t="s">
        <v>2848</v>
      </c>
      <c r="B770" s="7">
        <v>44867349</v>
      </c>
      <c r="C770" s="7">
        <v>37000000</v>
      </c>
      <c r="D770" s="7">
        <f t="shared" si="12"/>
        <v>7867349</v>
      </c>
    </row>
    <row r="771" spans="1:4" ht="18" customHeight="1" x14ac:dyDescent="0.25">
      <c r="A771" s="2" t="s">
        <v>3394</v>
      </c>
      <c r="B771" s="7">
        <v>32051917</v>
      </c>
      <c r="C771" s="7">
        <v>20000000</v>
      </c>
      <c r="D771" s="7">
        <f t="shared" si="12"/>
        <v>12051917</v>
      </c>
    </row>
    <row r="772" spans="1:4" ht="18" customHeight="1" x14ac:dyDescent="0.25">
      <c r="A772" s="2" t="s">
        <v>6096</v>
      </c>
      <c r="B772" s="7">
        <v>352786</v>
      </c>
      <c r="C772" s="7">
        <v>11000000</v>
      </c>
      <c r="D772" s="7">
        <f t="shared" si="12"/>
        <v>-10647214</v>
      </c>
    </row>
    <row r="773" spans="1:4" ht="18" customHeight="1" x14ac:dyDescent="0.25">
      <c r="A773" s="2" t="s">
        <v>528</v>
      </c>
      <c r="B773" s="7">
        <v>75280058</v>
      </c>
      <c r="C773" s="7">
        <v>60000000</v>
      </c>
      <c r="D773" s="7">
        <f t="shared" ref="D773:D836" si="13">B773-C773</f>
        <v>15280058</v>
      </c>
    </row>
    <row r="774" spans="1:4" ht="18" customHeight="1" x14ac:dyDescent="0.25">
      <c r="A774" s="2" t="s">
        <v>5893</v>
      </c>
      <c r="B774" s="7">
        <v>756452</v>
      </c>
      <c r="C774" s="7">
        <v>39751583.5</v>
      </c>
      <c r="D774" s="7">
        <f t="shared" si="13"/>
        <v>-38995131.5</v>
      </c>
    </row>
    <row r="775" spans="1:4" ht="18" customHeight="1" x14ac:dyDescent="0.25">
      <c r="A775" s="2" t="s">
        <v>3810</v>
      </c>
      <c r="B775" s="7">
        <v>23978402</v>
      </c>
      <c r="C775" s="7">
        <v>11000000</v>
      </c>
      <c r="D775" s="7">
        <f t="shared" si="13"/>
        <v>12978402</v>
      </c>
    </row>
    <row r="776" spans="1:4" ht="18" customHeight="1" x14ac:dyDescent="0.25">
      <c r="A776" s="2" t="s">
        <v>1028</v>
      </c>
      <c r="B776" s="7">
        <v>53337608</v>
      </c>
      <c r="C776" s="7">
        <v>40000000</v>
      </c>
      <c r="D776" s="7">
        <f t="shared" si="13"/>
        <v>13337608</v>
      </c>
    </row>
    <row r="777" spans="1:4" ht="18" customHeight="1" x14ac:dyDescent="0.25">
      <c r="A777" s="2" t="s">
        <v>2398</v>
      </c>
      <c r="B777" s="7">
        <v>48334413</v>
      </c>
      <c r="C777" s="7">
        <v>1200000</v>
      </c>
      <c r="D777" s="7">
        <f t="shared" si="13"/>
        <v>47134413</v>
      </c>
    </row>
    <row r="778" spans="1:4" ht="18" customHeight="1" x14ac:dyDescent="0.25">
      <c r="A778" s="2" t="s">
        <v>2703</v>
      </c>
      <c r="B778" s="7">
        <v>48334413</v>
      </c>
      <c r="C778" s="7">
        <v>50000</v>
      </c>
      <c r="D778" s="7">
        <f t="shared" si="13"/>
        <v>48284413</v>
      </c>
    </row>
    <row r="779" spans="1:4" ht="18" customHeight="1" x14ac:dyDescent="0.25">
      <c r="A779" s="2" t="s">
        <v>4005</v>
      </c>
      <c r="B779" s="7">
        <v>20218921</v>
      </c>
      <c r="C779" s="7">
        <v>15000000</v>
      </c>
      <c r="D779" s="7">
        <f t="shared" si="13"/>
        <v>5218921</v>
      </c>
    </row>
    <row r="780" spans="1:4" ht="18" customHeight="1" x14ac:dyDescent="0.25">
      <c r="A780" s="2" t="s">
        <v>49</v>
      </c>
      <c r="B780" s="7">
        <v>109176215</v>
      </c>
      <c r="C780" s="7">
        <v>60000000</v>
      </c>
      <c r="D780" s="7">
        <f t="shared" si="13"/>
        <v>49176215</v>
      </c>
    </row>
    <row r="781" spans="1:4" ht="18" customHeight="1" x14ac:dyDescent="0.25">
      <c r="A781" s="2" t="s">
        <v>857</v>
      </c>
      <c r="B781" s="7">
        <v>58918501</v>
      </c>
      <c r="C781" s="7">
        <v>46000000</v>
      </c>
      <c r="D781" s="7">
        <f t="shared" si="13"/>
        <v>12918501</v>
      </c>
    </row>
    <row r="782" spans="1:4" ht="18" customHeight="1" x14ac:dyDescent="0.25">
      <c r="A782" s="2" t="s">
        <v>5574</v>
      </c>
      <c r="B782" s="7">
        <v>2246000</v>
      </c>
      <c r="C782" s="7">
        <v>20000000</v>
      </c>
      <c r="D782" s="7">
        <f t="shared" si="13"/>
        <v>-17754000</v>
      </c>
    </row>
    <row r="783" spans="1:4" ht="18" customHeight="1" x14ac:dyDescent="0.25">
      <c r="A783" s="2" t="s">
        <v>3275</v>
      </c>
      <c r="B783" s="7">
        <v>34522221</v>
      </c>
      <c r="C783" s="7">
        <v>2000000</v>
      </c>
      <c r="D783" s="7">
        <f t="shared" si="13"/>
        <v>32522221</v>
      </c>
    </row>
    <row r="784" spans="1:4" ht="18" customHeight="1" x14ac:dyDescent="0.25">
      <c r="A784" s="2" t="s">
        <v>807</v>
      </c>
      <c r="B784" s="7">
        <v>60786269</v>
      </c>
      <c r="C784" s="7">
        <v>45000000</v>
      </c>
      <c r="D784" s="7">
        <f t="shared" si="13"/>
        <v>15786269</v>
      </c>
    </row>
    <row r="785" spans="1:4" ht="18" customHeight="1" x14ac:dyDescent="0.25">
      <c r="A785" s="2" t="s">
        <v>3269</v>
      </c>
      <c r="B785" s="7">
        <v>34604054</v>
      </c>
      <c r="C785" s="7">
        <v>30000000</v>
      </c>
      <c r="D785" s="7">
        <f t="shared" si="13"/>
        <v>4604054</v>
      </c>
    </row>
    <row r="786" spans="1:4" ht="18" customHeight="1" x14ac:dyDescent="0.25">
      <c r="A786" s="2" t="s">
        <v>5482</v>
      </c>
      <c r="B786" s="7">
        <v>2899970</v>
      </c>
      <c r="C786" s="7">
        <v>32000000</v>
      </c>
      <c r="D786" s="7">
        <f t="shared" si="13"/>
        <v>-29100030</v>
      </c>
    </row>
    <row r="787" spans="1:4" ht="18" customHeight="1" x14ac:dyDescent="0.25">
      <c r="A787" s="2" t="s">
        <v>4462</v>
      </c>
      <c r="B787" s="7">
        <v>13630226</v>
      </c>
      <c r="C787" s="7">
        <v>20000000</v>
      </c>
      <c r="D787" s="7">
        <f t="shared" si="13"/>
        <v>-6369774</v>
      </c>
    </row>
    <row r="788" spans="1:4" ht="18" customHeight="1" x14ac:dyDescent="0.25">
      <c r="A788" s="2" t="s">
        <v>3591</v>
      </c>
      <c r="B788" s="7">
        <v>27829874</v>
      </c>
      <c r="C788" s="7">
        <v>12000000</v>
      </c>
      <c r="D788" s="7">
        <f t="shared" si="13"/>
        <v>15829874</v>
      </c>
    </row>
    <row r="789" spans="1:4" ht="18" customHeight="1" x14ac:dyDescent="0.25">
      <c r="A789" s="2" t="s">
        <v>989</v>
      </c>
      <c r="B789" s="7">
        <v>54557348</v>
      </c>
      <c r="C789" s="7">
        <v>6500000</v>
      </c>
      <c r="D789" s="7">
        <f t="shared" si="13"/>
        <v>48057348</v>
      </c>
    </row>
    <row r="790" spans="1:4" ht="18" customHeight="1" x14ac:dyDescent="0.25">
      <c r="A790" s="2" t="s">
        <v>3043</v>
      </c>
      <c r="B790" s="7">
        <v>39462438</v>
      </c>
      <c r="C790" s="7">
        <v>7000000</v>
      </c>
      <c r="D790" s="7">
        <f t="shared" si="13"/>
        <v>32462438</v>
      </c>
    </row>
    <row r="791" spans="1:4" ht="18" customHeight="1" x14ac:dyDescent="0.25">
      <c r="A791" s="2" t="s">
        <v>5632</v>
      </c>
      <c r="B791" s="7">
        <v>1954202</v>
      </c>
      <c r="C791" s="7">
        <v>15000000</v>
      </c>
      <c r="D791" s="7">
        <f t="shared" si="13"/>
        <v>-13045798</v>
      </c>
    </row>
    <row r="792" spans="1:4" ht="18" customHeight="1" x14ac:dyDescent="0.25">
      <c r="A792" s="2" t="s">
        <v>2192</v>
      </c>
      <c r="B792" s="7">
        <v>48334413</v>
      </c>
      <c r="C792" s="7">
        <v>3000000</v>
      </c>
      <c r="D792" s="7">
        <f t="shared" si="13"/>
        <v>45334413</v>
      </c>
    </row>
    <row r="793" spans="1:4" ht="18" customHeight="1" x14ac:dyDescent="0.25">
      <c r="A793" s="2" t="s">
        <v>345</v>
      </c>
      <c r="B793" s="7">
        <v>84244877</v>
      </c>
      <c r="C793" s="7">
        <v>50000000</v>
      </c>
      <c r="D793" s="7">
        <f t="shared" si="13"/>
        <v>34244877</v>
      </c>
    </row>
    <row r="794" spans="1:4" ht="18" customHeight="1" x14ac:dyDescent="0.25">
      <c r="A794" s="2" t="s">
        <v>4211</v>
      </c>
      <c r="B794" s="7">
        <v>16929123</v>
      </c>
      <c r="C794" s="7">
        <v>14000000</v>
      </c>
      <c r="D794" s="7">
        <f t="shared" si="13"/>
        <v>2929123</v>
      </c>
    </row>
    <row r="795" spans="1:4" ht="18" customHeight="1" x14ac:dyDescent="0.25">
      <c r="A795" s="2" t="s">
        <v>6468</v>
      </c>
      <c r="B795" s="7">
        <v>62480</v>
      </c>
      <c r="C795" s="7">
        <v>1000000</v>
      </c>
      <c r="D795" s="7">
        <f t="shared" si="13"/>
        <v>-937520</v>
      </c>
    </row>
    <row r="796" spans="1:4" ht="18" customHeight="1" x14ac:dyDescent="0.25">
      <c r="A796" s="2" t="s">
        <v>1429</v>
      </c>
      <c r="B796" s="7">
        <v>48334413</v>
      </c>
      <c r="C796" s="7">
        <v>39751583.5</v>
      </c>
      <c r="D796" s="7">
        <f t="shared" si="13"/>
        <v>8582829.5</v>
      </c>
    </row>
    <row r="797" spans="1:4" ht="18" customHeight="1" x14ac:dyDescent="0.25">
      <c r="A797" s="2" t="s">
        <v>40</v>
      </c>
      <c r="B797" s="7">
        <v>109712885</v>
      </c>
      <c r="C797" s="7">
        <v>35000000</v>
      </c>
      <c r="D797" s="7">
        <f t="shared" si="13"/>
        <v>74712885</v>
      </c>
    </row>
    <row r="798" spans="1:4" ht="18" customHeight="1" x14ac:dyDescent="0.25">
      <c r="A798" s="2" t="s">
        <v>4426</v>
      </c>
      <c r="B798" s="7">
        <v>14000000</v>
      </c>
      <c r="C798" s="7">
        <v>3500000</v>
      </c>
      <c r="D798" s="7">
        <f t="shared" si="13"/>
        <v>10500000</v>
      </c>
    </row>
    <row r="799" spans="1:4" ht="18" customHeight="1" x14ac:dyDescent="0.25">
      <c r="A799" s="2" t="s">
        <v>1898</v>
      </c>
      <c r="B799" s="7">
        <v>96668826</v>
      </c>
      <c r="C799" s="7">
        <v>16000000</v>
      </c>
      <c r="D799" s="7">
        <f t="shared" si="13"/>
        <v>80668826</v>
      </c>
    </row>
    <row r="800" spans="1:4" ht="18" customHeight="1" x14ac:dyDescent="0.25">
      <c r="A800" s="2" t="s">
        <v>2574</v>
      </c>
      <c r="B800" s="7">
        <v>48334413</v>
      </c>
      <c r="C800" s="7">
        <v>400000</v>
      </c>
      <c r="D800" s="7">
        <f t="shared" si="13"/>
        <v>47934413</v>
      </c>
    </row>
    <row r="801" spans="1:4" ht="18" customHeight="1" x14ac:dyDescent="0.25">
      <c r="A801" s="2" t="s">
        <v>1954</v>
      </c>
      <c r="B801" s="7">
        <v>48334413</v>
      </c>
      <c r="C801" s="7">
        <v>7000000</v>
      </c>
      <c r="D801" s="7">
        <f t="shared" si="13"/>
        <v>41334413</v>
      </c>
    </row>
    <row r="802" spans="1:4" ht="18" customHeight="1" x14ac:dyDescent="0.25">
      <c r="A802" s="2" t="s">
        <v>4406</v>
      </c>
      <c r="B802" s="7">
        <v>14268533</v>
      </c>
      <c r="C802" s="7">
        <v>31500000</v>
      </c>
      <c r="D802" s="7">
        <f t="shared" si="13"/>
        <v>-17231467</v>
      </c>
    </row>
    <row r="803" spans="1:4" ht="18" customHeight="1" x14ac:dyDescent="0.25">
      <c r="A803" s="2" t="s">
        <v>257</v>
      </c>
      <c r="B803" s="7">
        <v>91400000</v>
      </c>
      <c r="C803" s="7">
        <v>53000000</v>
      </c>
      <c r="D803" s="7">
        <f t="shared" si="13"/>
        <v>38400000</v>
      </c>
    </row>
    <row r="804" spans="1:4" ht="18" customHeight="1" x14ac:dyDescent="0.25">
      <c r="A804" s="2" t="s">
        <v>6297</v>
      </c>
      <c r="B804" s="7">
        <v>141853</v>
      </c>
      <c r="C804" s="7">
        <v>12000000</v>
      </c>
      <c r="D804" s="7">
        <f t="shared" si="13"/>
        <v>-11858147</v>
      </c>
    </row>
    <row r="805" spans="1:4" ht="18" customHeight="1" x14ac:dyDescent="0.25">
      <c r="A805" s="2" t="s">
        <v>44</v>
      </c>
      <c r="B805" s="7">
        <v>109306210</v>
      </c>
      <c r="C805" s="7">
        <v>15800000</v>
      </c>
      <c r="D805" s="7">
        <f t="shared" si="13"/>
        <v>93506210</v>
      </c>
    </row>
    <row r="806" spans="1:4" ht="18" customHeight="1" x14ac:dyDescent="0.25">
      <c r="A806" s="2" t="s">
        <v>3712</v>
      </c>
      <c r="B806" s="7">
        <v>25590119</v>
      </c>
      <c r="C806" s="7">
        <v>21150000</v>
      </c>
      <c r="D806" s="7">
        <f t="shared" si="13"/>
        <v>4440119</v>
      </c>
    </row>
    <row r="807" spans="1:4" ht="18" customHeight="1" x14ac:dyDescent="0.25">
      <c r="A807" s="2" t="s">
        <v>4461</v>
      </c>
      <c r="B807" s="7">
        <v>13640000</v>
      </c>
      <c r="C807" s="7">
        <v>14000000</v>
      </c>
      <c r="D807" s="7">
        <f t="shared" si="13"/>
        <v>-360000</v>
      </c>
    </row>
    <row r="808" spans="1:4" ht="18" customHeight="1" x14ac:dyDescent="0.25">
      <c r="A808" s="2" t="s">
        <v>2510</v>
      </c>
      <c r="B808" s="7">
        <v>48334413</v>
      </c>
      <c r="C808" s="7">
        <v>750000</v>
      </c>
      <c r="D808" s="7">
        <f t="shared" si="13"/>
        <v>47584413</v>
      </c>
    </row>
    <row r="809" spans="1:4" ht="18" customHeight="1" x14ac:dyDescent="0.25">
      <c r="A809" s="2" t="s">
        <v>4961</v>
      </c>
      <c r="B809" s="7">
        <v>7009668</v>
      </c>
      <c r="C809" s="7">
        <v>5600000</v>
      </c>
      <c r="D809" s="7">
        <f t="shared" si="13"/>
        <v>1409668</v>
      </c>
    </row>
    <row r="810" spans="1:4" ht="18" customHeight="1" x14ac:dyDescent="0.25">
      <c r="A810" s="2" t="s">
        <v>3155</v>
      </c>
      <c r="B810" s="7">
        <v>37188667</v>
      </c>
      <c r="C810" s="7">
        <v>12000000</v>
      </c>
      <c r="D810" s="7">
        <f t="shared" si="13"/>
        <v>25188667</v>
      </c>
    </row>
    <row r="811" spans="1:4" ht="18" customHeight="1" x14ac:dyDescent="0.25">
      <c r="A811" s="2" t="s">
        <v>2396</v>
      </c>
      <c r="B811" s="7">
        <v>48334413</v>
      </c>
      <c r="C811" s="7">
        <v>1200000</v>
      </c>
      <c r="D811" s="7">
        <f t="shared" si="13"/>
        <v>47134413</v>
      </c>
    </row>
    <row r="812" spans="1:4" ht="18" customHeight="1" x14ac:dyDescent="0.25">
      <c r="A812" s="2" t="s">
        <v>3090</v>
      </c>
      <c r="B812" s="7">
        <v>38201895</v>
      </c>
      <c r="C812" s="7">
        <v>10500000</v>
      </c>
      <c r="D812" s="7">
        <f t="shared" si="13"/>
        <v>27701895</v>
      </c>
    </row>
    <row r="813" spans="1:4" ht="18" customHeight="1" x14ac:dyDescent="0.25">
      <c r="A813" s="2" t="s">
        <v>5094</v>
      </c>
      <c r="B813" s="7">
        <v>5899797</v>
      </c>
      <c r="C813" s="7">
        <v>29000000</v>
      </c>
      <c r="D813" s="7">
        <f t="shared" si="13"/>
        <v>-23100203</v>
      </c>
    </row>
    <row r="814" spans="1:4" ht="18" customHeight="1" x14ac:dyDescent="0.25">
      <c r="A814" s="2" t="s">
        <v>4747</v>
      </c>
      <c r="B814" s="7">
        <v>10042266</v>
      </c>
      <c r="C814" s="7">
        <v>1000000</v>
      </c>
      <c r="D814" s="7">
        <f t="shared" si="13"/>
        <v>9042266</v>
      </c>
    </row>
    <row r="815" spans="1:4" ht="18" customHeight="1" x14ac:dyDescent="0.25">
      <c r="A815" s="2" t="s">
        <v>1505</v>
      </c>
      <c r="B815" s="7">
        <v>48334413</v>
      </c>
      <c r="C815" s="7">
        <v>39751583.5</v>
      </c>
      <c r="D815" s="7">
        <f t="shared" si="13"/>
        <v>8582829.5</v>
      </c>
    </row>
    <row r="816" spans="1:4" ht="18" customHeight="1" x14ac:dyDescent="0.25">
      <c r="A816" s="2" t="s">
        <v>6009</v>
      </c>
      <c r="B816" s="7">
        <v>489220</v>
      </c>
      <c r="C816" s="7">
        <v>365000</v>
      </c>
      <c r="D816" s="7">
        <f t="shared" si="13"/>
        <v>124220</v>
      </c>
    </row>
    <row r="817" spans="1:4" ht="18" customHeight="1" x14ac:dyDescent="0.25">
      <c r="A817" s="2" t="s">
        <v>872</v>
      </c>
      <c r="B817" s="7">
        <v>58336565</v>
      </c>
      <c r="C817" s="7">
        <v>50000000</v>
      </c>
      <c r="D817" s="7">
        <f t="shared" si="13"/>
        <v>8336565</v>
      </c>
    </row>
    <row r="818" spans="1:4" ht="18" customHeight="1" x14ac:dyDescent="0.25">
      <c r="A818" s="2" t="s">
        <v>5012</v>
      </c>
      <c r="B818" s="7">
        <v>6565495</v>
      </c>
      <c r="C818" s="7">
        <v>45000000</v>
      </c>
      <c r="D818" s="7">
        <f t="shared" si="13"/>
        <v>-38434505</v>
      </c>
    </row>
    <row r="819" spans="1:4" ht="18" customHeight="1" x14ac:dyDescent="0.25">
      <c r="A819" s="2" t="s">
        <v>4047</v>
      </c>
      <c r="B819" s="7">
        <v>19294901</v>
      </c>
      <c r="C819" s="7">
        <v>35000000</v>
      </c>
      <c r="D819" s="7">
        <f t="shared" si="13"/>
        <v>-15705099</v>
      </c>
    </row>
    <row r="820" spans="1:4" ht="18" customHeight="1" x14ac:dyDescent="0.25">
      <c r="A820" s="2" t="s">
        <v>1928</v>
      </c>
      <c r="B820" s="7">
        <v>48334413</v>
      </c>
      <c r="C820" s="7">
        <v>7500000</v>
      </c>
      <c r="D820" s="7">
        <f t="shared" si="13"/>
        <v>40834413</v>
      </c>
    </row>
    <row r="821" spans="1:4" ht="18" customHeight="1" x14ac:dyDescent="0.25">
      <c r="A821" s="2" t="s">
        <v>4925</v>
      </c>
      <c r="B821" s="7">
        <v>7455447</v>
      </c>
      <c r="C821" s="7">
        <v>7000000</v>
      </c>
      <c r="D821" s="7">
        <f t="shared" si="13"/>
        <v>455447</v>
      </c>
    </row>
    <row r="822" spans="1:4" ht="18" customHeight="1" x14ac:dyDescent="0.25">
      <c r="A822" s="2" t="s">
        <v>6402</v>
      </c>
      <c r="B822" s="7">
        <v>96793</v>
      </c>
      <c r="C822" s="7">
        <v>3500000</v>
      </c>
      <c r="D822" s="7">
        <f t="shared" si="13"/>
        <v>-3403207</v>
      </c>
    </row>
    <row r="823" spans="1:4" ht="18" customHeight="1" x14ac:dyDescent="0.25">
      <c r="A823" s="2" t="s">
        <v>2361</v>
      </c>
      <c r="B823" s="7">
        <v>48334413</v>
      </c>
      <c r="C823" s="7">
        <v>1420000</v>
      </c>
      <c r="D823" s="7">
        <f t="shared" si="13"/>
        <v>46914413</v>
      </c>
    </row>
    <row r="824" spans="1:4" ht="18" customHeight="1" x14ac:dyDescent="0.25">
      <c r="A824" s="2" t="s">
        <v>5871</v>
      </c>
      <c r="B824" s="7">
        <v>821997</v>
      </c>
      <c r="C824" s="7">
        <v>39751583.5</v>
      </c>
      <c r="D824" s="7">
        <f t="shared" si="13"/>
        <v>-38929586.5</v>
      </c>
    </row>
    <row r="825" spans="1:4" ht="18" customHeight="1" x14ac:dyDescent="0.25">
      <c r="A825" s="2" t="s">
        <v>4498</v>
      </c>
      <c r="B825" s="7">
        <v>13235267</v>
      </c>
      <c r="C825" s="7">
        <v>6000000</v>
      </c>
      <c r="D825" s="7">
        <f t="shared" si="13"/>
        <v>7235267</v>
      </c>
    </row>
    <row r="826" spans="1:4" ht="18" customHeight="1" x14ac:dyDescent="0.25">
      <c r="A826" s="2" t="s">
        <v>110</v>
      </c>
      <c r="B826" s="7">
        <v>104148781</v>
      </c>
      <c r="C826" s="7">
        <v>60000000</v>
      </c>
      <c r="D826" s="7">
        <f t="shared" si="13"/>
        <v>44148781</v>
      </c>
    </row>
    <row r="827" spans="1:4" ht="18" customHeight="1" x14ac:dyDescent="0.25">
      <c r="A827" s="2" t="s">
        <v>3615</v>
      </c>
      <c r="B827" s="7">
        <v>27296514</v>
      </c>
      <c r="C827" s="7">
        <v>5000000</v>
      </c>
      <c r="D827" s="7">
        <f t="shared" si="13"/>
        <v>22296514</v>
      </c>
    </row>
    <row r="828" spans="1:4" ht="18" customHeight="1" x14ac:dyDescent="0.25">
      <c r="A828" s="2" t="s">
        <v>1719</v>
      </c>
      <c r="B828" s="7">
        <v>48334413</v>
      </c>
      <c r="C828" s="7">
        <v>17000000</v>
      </c>
      <c r="D828" s="7">
        <f t="shared" si="13"/>
        <v>31334413</v>
      </c>
    </row>
    <row r="829" spans="1:4" ht="18" customHeight="1" x14ac:dyDescent="0.25">
      <c r="A829" s="2" t="s">
        <v>5820</v>
      </c>
      <c r="B829" s="7">
        <v>1007535</v>
      </c>
      <c r="C829" s="7">
        <v>39751583.5</v>
      </c>
      <c r="D829" s="7">
        <f t="shared" si="13"/>
        <v>-38744048.5</v>
      </c>
    </row>
    <row r="830" spans="1:4" ht="18" customHeight="1" x14ac:dyDescent="0.25">
      <c r="A830" s="2" t="s">
        <v>3708</v>
      </c>
      <c r="B830" s="7">
        <v>25615792</v>
      </c>
      <c r="C830" s="7">
        <v>25000000</v>
      </c>
      <c r="D830" s="7">
        <f t="shared" si="13"/>
        <v>615792</v>
      </c>
    </row>
    <row r="831" spans="1:4" ht="18" customHeight="1" x14ac:dyDescent="0.25">
      <c r="A831" s="2" t="s">
        <v>5292</v>
      </c>
      <c r="B831" s="7">
        <v>4157491</v>
      </c>
      <c r="C831" s="7">
        <v>12800000</v>
      </c>
      <c r="D831" s="7">
        <f t="shared" si="13"/>
        <v>-8642509</v>
      </c>
    </row>
    <row r="832" spans="1:4" ht="18" customHeight="1" x14ac:dyDescent="0.25">
      <c r="A832" s="2" t="s">
        <v>5965</v>
      </c>
      <c r="B832" s="7">
        <v>565592</v>
      </c>
      <c r="C832" s="7">
        <v>39751583.5</v>
      </c>
      <c r="D832" s="7">
        <f t="shared" si="13"/>
        <v>-39185991.5</v>
      </c>
    </row>
    <row r="833" spans="1:4" ht="18" customHeight="1" x14ac:dyDescent="0.25">
      <c r="A833" s="2" t="s">
        <v>1788</v>
      </c>
      <c r="B833" s="7">
        <v>48334413</v>
      </c>
      <c r="C833" s="7">
        <v>12000000</v>
      </c>
      <c r="D833" s="7">
        <f t="shared" si="13"/>
        <v>36334413</v>
      </c>
    </row>
    <row r="834" spans="1:4" ht="18" customHeight="1" x14ac:dyDescent="0.25">
      <c r="A834" s="2" t="s">
        <v>3265</v>
      </c>
      <c r="B834" s="7">
        <v>34700000</v>
      </c>
      <c r="C834" s="7">
        <v>14000000</v>
      </c>
      <c r="D834" s="7">
        <f t="shared" si="13"/>
        <v>20700000</v>
      </c>
    </row>
    <row r="835" spans="1:4" ht="18" customHeight="1" x14ac:dyDescent="0.25">
      <c r="A835" s="2" t="s">
        <v>5152</v>
      </c>
      <c r="B835" s="7">
        <v>5348317</v>
      </c>
      <c r="C835" s="7">
        <v>10000000</v>
      </c>
      <c r="D835" s="7">
        <f t="shared" si="13"/>
        <v>-4651683</v>
      </c>
    </row>
    <row r="836" spans="1:4" ht="18" customHeight="1" x14ac:dyDescent="0.25">
      <c r="A836" s="2" t="s">
        <v>1239</v>
      </c>
      <c r="B836" s="7">
        <v>48334413</v>
      </c>
      <c r="C836" s="7">
        <v>39751583.5</v>
      </c>
      <c r="D836" s="7">
        <f t="shared" si="13"/>
        <v>8582829.5</v>
      </c>
    </row>
    <row r="837" spans="1:4" ht="18" customHeight="1" x14ac:dyDescent="0.25">
      <c r="A837" s="2" t="s">
        <v>1371</v>
      </c>
      <c r="B837" s="7">
        <v>48334413</v>
      </c>
      <c r="C837" s="7">
        <v>39751583.5</v>
      </c>
      <c r="D837" s="7">
        <f t="shared" ref="D837:D900" si="14">B837-C837</f>
        <v>8582829.5</v>
      </c>
    </row>
    <row r="838" spans="1:4" ht="18" customHeight="1" x14ac:dyDescent="0.25">
      <c r="A838" s="2" t="s">
        <v>4796</v>
      </c>
      <c r="B838" s="7">
        <v>9059588</v>
      </c>
      <c r="C838" s="7">
        <v>15000000</v>
      </c>
      <c r="D838" s="7">
        <f t="shared" si="14"/>
        <v>-5940412</v>
      </c>
    </row>
    <row r="839" spans="1:4" ht="18" customHeight="1" x14ac:dyDescent="0.25">
      <c r="A839" s="2" t="s">
        <v>4398</v>
      </c>
      <c r="B839" s="7">
        <v>14337579</v>
      </c>
      <c r="C839" s="7">
        <v>27000000</v>
      </c>
      <c r="D839" s="7">
        <f t="shared" si="14"/>
        <v>-12662421</v>
      </c>
    </row>
    <row r="840" spans="1:4" ht="18" customHeight="1" x14ac:dyDescent="0.25">
      <c r="A840" s="2" t="s">
        <v>3724</v>
      </c>
      <c r="B840" s="7">
        <v>25472967</v>
      </c>
      <c r="C840" s="7">
        <v>30000000</v>
      </c>
      <c r="D840" s="7">
        <f t="shared" si="14"/>
        <v>-4527033</v>
      </c>
    </row>
    <row r="841" spans="1:4" ht="18" customHeight="1" x14ac:dyDescent="0.25">
      <c r="A841" s="2" t="s">
        <v>3388</v>
      </c>
      <c r="B841" s="7">
        <v>32131483</v>
      </c>
      <c r="C841" s="7">
        <v>11000000</v>
      </c>
      <c r="D841" s="7">
        <f t="shared" si="14"/>
        <v>21131483</v>
      </c>
    </row>
    <row r="842" spans="1:4" ht="18" customHeight="1" x14ac:dyDescent="0.25">
      <c r="A842" s="2" t="s">
        <v>3896</v>
      </c>
      <c r="B842" s="7">
        <v>22160085</v>
      </c>
      <c r="C842" s="7">
        <v>10600000</v>
      </c>
      <c r="D842" s="7">
        <f t="shared" si="14"/>
        <v>11560085</v>
      </c>
    </row>
    <row r="843" spans="1:4" ht="18" customHeight="1" x14ac:dyDescent="0.25">
      <c r="A843" s="2" t="s">
        <v>5882</v>
      </c>
      <c r="B843" s="7">
        <v>793352</v>
      </c>
      <c r="C843" s="7">
        <v>39751583.5</v>
      </c>
      <c r="D843" s="7">
        <f t="shared" si="14"/>
        <v>-38958231.5</v>
      </c>
    </row>
    <row r="844" spans="1:4" ht="18" customHeight="1" x14ac:dyDescent="0.25">
      <c r="A844" s="2" t="s">
        <v>5184</v>
      </c>
      <c r="B844" s="7">
        <v>5000000</v>
      </c>
      <c r="C844" s="7">
        <v>25000000</v>
      </c>
      <c r="D844" s="7">
        <f t="shared" si="14"/>
        <v>-20000000</v>
      </c>
    </row>
    <row r="845" spans="1:4" ht="18" customHeight="1" x14ac:dyDescent="0.25">
      <c r="A845" s="2" t="s">
        <v>4636</v>
      </c>
      <c r="B845" s="7">
        <v>11433134</v>
      </c>
      <c r="C845" s="7">
        <v>14000000</v>
      </c>
      <c r="D845" s="7">
        <f t="shared" si="14"/>
        <v>-2566866</v>
      </c>
    </row>
    <row r="846" spans="1:4" ht="18" customHeight="1" x14ac:dyDescent="0.25">
      <c r="A846" s="2" t="s">
        <v>1196</v>
      </c>
      <c r="B846" s="7">
        <v>48546578</v>
      </c>
      <c r="C846" s="7">
        <v>20000000</v>
      </c>
      <c r="D846" s="7">
        <f t="shared" si="14"/>
        <v>28546578</v>
      </c>
    </row>
    <row r="847" spans="1:4" ht="18" customHeight="1" x14ac:dyDescent="0.25">
      <c r="A847" s="2" t="s">
        <v>188</v>
      </c>
      <c r="B847" s="7">
        <v>98711404</v>
      </c>
      <c r="C847" s="7">
        <v>55000000</v>
      </c>
      <c r="D847" s="7">
        <f t="shared" si="14"/>
        <v>43711404</v>
      </c>
    </row>
    <row r="848" spans="1:4" ht="18" customHeight="1" x14ac:dyDescent="0.25">
      <c r="A848" s="2" t="s">
        <v>4607</v>
      </c>
      <c r="B848" s="7">
        <v>11694528</v>
      </c>
      <c r="C848" s="7">
        <v>3000000</v>
      </c>
      <c r="D848" s="7">
        <f t="shared" si="14"/>
        <v>8694528</v>
      </c>
    </row>
    <row r="849" spans="1:4" ht="18" customHeight="1" x14ac:dyDescent="0.25">
      <c r="A849" s="2" t="s">
        <v>2691</v>
      </c>
      <c r="B849" s="7">
        <v>48334413</v>
      </c>
      <c r="C849" s="7">
        <v>75000</v>
      </c>
      <c r="D849" s="7">
        <f t="shared" si="14"/>
        <v>48259413</v>
      </c>
    </row>
    <row r="850" spans="1:4" ht="18" customHeight="1" x14ac:dyDescent="0.25">
      <c r="A850" s="2" t="s">
        <v>859</v>
      </c>
      <c r="B850" s="7">
        <v>117771270</v>
      </c>
      <c r="C850" s="7">
        <v>52000000</v>
      </c>
      <c r="D850" s="7">
        <f t="shared" si="14"/>
        <v>65771270</v>
      </c>
    </row>
    <row r="851" spans="1:4" ht="18" customHeight="1" x14ac:dyDescent="0.25">
      <c r="A851" s="2" t="s">
        <v>2114</v>
      </c>
      <c r="B851" s="7">
        <v>48334413</v>
      </c>
      <c r="C851" s="7">
        <v>3500000</v>
      </c>
      <c r="D851" s="7">
        <f t="shared" si="14"/>
        <v>44834413</v>
      </c>
    </row>
    <row r="852" spans="1:4" ht="18" customHeight="1" x14ac:dyDescent="0.25">
      <c r="A852" s="2" t="s">
        <v>2098</v>
      </c>
      <c r="B852" s="7">
        <v>96668826</v>
      </c>
      <c r="C852" s="7">
        <v>7000000</v>
      </c>
      <c r="D852" s="7">
        <f t="shared" si="14"/>
        <v>89668826</v>
      </c>
    </row>
    <row r="853" spans="1:4" ht="18" customHeight="1" x14ac:dyDescent="0.25">
      <c r="A853" s="2" t="s">
        <v>2121</v>
      </c>
      <c r="B853" s="7">
        <v>48334413</v>
      </c>
      <c r="C853" s="7">
        <v>3400000</v>
      </c>
      <c r="D853" s="7">
        <f t="shared" si="14"/>
        <v>44934413</v>
      </c>
    </row>
    <row r="854" spans="1:4" ht="18" customHeight="1" x14ac:dyDescent="0.25">
      <c r="A854" s="2" t="s">
        <v>3513</v>
      </c>
      <c r="B854" s="7">
        <v>29975979</v>
      </c>
      <c r="C854" s="7">
        <v>20000000</v>
      </c>
      <c r="D854" s="7">
        <f t="shared" si="14"/>
        <v>9975979</v>
      </c>
    </row>
    <row r="855" spans="1:4" ht="18" customHeight="1" x14ac:dyDescent="0.25">
      <c r="A855" s="2" t="s">
        <v>3348</v>
      </c>
      <c r="B855" s="7">
        <v>32885565</v>
      </c>
      <c r="C855" s="7">
        <v>80000000</v>
      </c>
      <c r="D855" s="7">
        <f t="shared" si="14"/>
        <v>-47114435</v>
      </c>
    </row>
    <row r="856" spans="1:4" ht="18" customHeight="1" x14ac:dyDescent="0.25">
      <c r="A856" s="2" t="s">
        <v>2155</v>
      </c>
      <c r="B856" s="7">
        <v>48334413</v>
      </c>
      <c r="C856" s="7">
        <v>3000000</v>
      </c>
      <c r="D856" s="7">
        <f t="shared" si="14"/>
        <v>45334413</v>
      </c>
    </row>
    <row r="857" spans="1:4" ht="18" customHeight="1" x14ac:dyDescent="0.25">
      <c r="A857" s="2" t="s">
        <v>374</v>
      </c>
      <c r="B857" s="7">
        <v>82670733</v>
      </c>
      <c r="C857" s="7">
        <v>60000000</v>
      </c>
      <c r="D857" s="7">
        <f t="shared" si="14"/>
        <v>22670733</v>
      </c>
    </row>
    <row r="858" spans="1:4" ht="18" customHeight="1" x14ac:dyDescent="0.25">
      <c r="A858" s="2" t="s">
        <v>4876</v>
      </c>
      <c r="B858" s="7">
        <v>7993039</v>
      </c>
      <c r="C858" s="7">
        <v>6900000</v>
      </c>
      <c r="D858" s="7">
        <f t="shared" si="14"/>
        <v>1093039</v>
      </c>
    </row>
    <row r="859" spans="1:4" ht="18" customHeight="1" x14ac:dyDescent="0.25">
      <c r="A859" s="2" t="s">
        <v>2007</v>
      </c>
      <c r="B859" s="7">
        <v>48334413</v>
      </c>
      <c r="C859" s="7">
        <v>5000000</v>
      </c>
      <c r="D859" s="7">
        <f t="shared" si="14"/>
        <v>43334413</v>
      </c>
    </row>
    <row r="860" spans="1:4" ht="18" customHeight="1" x14ac:dyDescent="0.25">
      <c r="A860" s="2" t="s">
        <v>4665</v>
      </c>
      <c r="B860" s="7">
        <v>10880926</v>
      </c>
      <c r="C860" s="7">
        <v>30000000</v>
      </c>
      <c r="D860" s="7">
        <f t="shared" si="14"/>
        <v>-19119074</v>
      </c>
    </row>
    <row r="861" spans="1:4" ht="18" customHeight="1" x14ac:dyDescent="0.25">
      <c r="A861" s="2" t="s">
        <v>4346</v>
      </c>
      <c r="B861" s="7">
        <v>15062898</v>
      </c>
      <c r="C861" s="7">
        <v>14000000</v>
      </c>
      <c r="D861" s="7">
        <f t="shared" si="14"/>
        <v>1062898</v>
      </c>
    </row>
    <row r="862" spans="1:4" ht="18" customHeight="1" x14ac:dyDescent="0.25">
      <c r="A862" s="2" t="s">
        <v>3065</v>
      </c>
      <c r="B862" s="7">
        <v>39025000</v>
      </c>
      <c r="C862" s="7">
        <v>11000000</v>
      </c>
      <c r="D862" s="7">
        <f t="shared" si="14"/>
        <v>28025000</v>
      </c>
    </row>
    <row r="863" spans="1:4" ht="18" customHeight="1" x14ac:dyDescent="0.25">
      <c r="A863" s="2" t="s">
        <v>6686</v>
      </c>
      <c r="B863" s="7">
        <v>6013</v>
      </c>
      <c r="C863" s="7">
        <v>695393</v>
      </c>
      <c r="D863" s="7">
        <f t="shared" si="14"/>
        <v>-689380</v>
      </c>
    </row>
    <row r="864" spans="1:4" ht="18" customHeight="1" x14ac:dyDescent="0.25">
      <c r="A864" s="2" t="s">
        <v>199</v>
      </c>
      <c r="B864" s="7">
        <v>95860116</v>
      </c>
      <c r="C864" s="7">
        <v>16400000</v>
      </c>
      <c r="D864" s="7">
        <f t="shared" si="14"/>
        <v>79460116</v>
      </c>
    </row>
    <row r="865" spans="1:4" ht="18" customHeight="1" x14ac:dyDescent="0.25">
      <c r="A865" s="2" t="s">
        <v>6513</v>
      </c>
      <c r="B865" s="7">
        <v>41709</v>
      </c>
      <c r="C865" s="7">
        <v>800000</v>
      </c>
      <c r="D865" s="7">
        <f t="shared" si="14"/>
        <v>-758291</v>
      </c>
    </row>
    <row r="866" spans="1:4" ht="18" customHeight="1" x14ac:dyDescent="0.25">
      <c r="A866" s="2" t="s">
        <v>6459</v>
      </c>
      <c r="B866" s="7">
        <v>65804</v>
      </c>
      <c r="C866" s="7">
        <v>12000000</v>
      </c>
      <c r="D866" s="7">
        <f t="shared" si="14"/>
        <v>-11934196</v>
      </c>
    </row>
    <row r="867" spans="1:4" ht="18" customHeight="1" x14ac:dyDescent="0.25">
      <c r="A867" s="2" t="s">
        <v>1474</v>
      </c>
      <c r="B867" s="7">
        <v>48334413</v>
      </c>
      <c r="C867" s="7">
        <v>39751583.5</v>
      </c>
      <c r="D867" s="7">
        <f t="shared" si="14"/>
        <v>8582829.5</v>
      </c>
    </row>
    <row r="868" spans="1:4" ht="18" customHeight="1" x14ac:dyDescent="0.25">
      <c r="A868" s="2" t="s">
        <v>1747</v>
      </c>
      <c r="B868" s="7">
        <v>48334413</v>
      </c>
      <c r="C868" s="7">
        <v>15000000</v>
      </c>
      <c r="D868" s="7">
        <f t="shared" si="14"/>
        <v>33334413</v>
      </c>
    </row>
    <row r="869" spans="1:4" ht="18" customHeight="1" x14ac:dyDescent="0.25">
      <c r="A869" s="2" t="s">
        <v>5715</v>
      </c>
      <c r="B869" s="7">
        <v>1340891</v>
      </c>
      <c r="C869" s="7">
        <v>39751583.5</v>
      </c>
      <c r="D869" s="7">
        <f t="shared" si="14"/>
        <v>-38410692.5</v>
      </c>
    </row>
    <row r="870" spans="1:4" ht="18" customHeight="1" x14ac:dyDescent="0.25">
      <c r="A870" s="2" t="s">
        <v>436</v>
      </c>
      <c r="B870" s="7">
        <v>80014842</v>
      </c>
      <c r="C870" s="7">
        <v>25000000</v>
      </c>
      <c r="D870" s="7">
        <f t="shared" si="14"/>
        <v>55014842</v>
      </c>
    </row>
    <row r="871" spans="1:4" ht="18" customHeight="1" x14ac:dyDescent="0.25">
      <c r="A871" s="2" t="s">
        <v>6572</v>
      </c>
      <c r="B871" s="7">
        <v>23106</v>
      </c>
      <c r="C871" s="7">
        <v>50000000</v>
      </c>
      <c r="D871" s="7">
        <f t="shared" si="14"/>
        <v>-49976894</v>
      </c>
    </row>
    <row r="872" spans="1:4" ht="18" customHeight="1" x14ac:dyDescent="0.25">
      <c r="A872" s="2" t="s">
        <v>4826</v>
      </c>
      <c r="B872" s="7">
        <v>8579684</v>
      </c>
      <c r="C872" s="7">
        <v>9000000</v>
      </c>
      <c r="D872" s="7">
        <f t="shared" si="14"/>
        <v>-420316</v>
      </c>
    </row>
    <row r="873" spans="1:4" ht="18" customHeight="1" x14ac:dyDescent="0.25">
      <c r="A873" s="2" t="s">
        <v>869</v>
      </c>
      <c r="B873" s="7">
        <v>58422650</v>
      </c>
      <c r="C873" s="7">
        <v>55000000</v>
      </c>
      <c r="D873" s="7">
        <f t="shared" si="14"/>
        <v>3422650</v>
      </c>
    </row>
    <row r="874" spans="1:4" ht="18" customHeight="1" x14ac:dyDescent="0.25">
      <c r="A874" s="2" t="s">
        <v>2604</v>
      </c>
      <c r="B874" s="7">
        <v>48334413</v>
      </c>
      <c r="C874" s="7">
        <v>290000</v>
      </c>
      <c r="D874" s="7">
        <f t="shared" si="14"/>
        <v>48044413</v>
      </c>
    </row>
    <row r="875" spans="1:4" ht="18" customHeight="1" x14ac:dyDescent="0.25">
      <c r="A875" s="2" t="s">
        <v>2594</v>
      </c>
      <c r="B875" s="7">
        <v>48334413</v>
      </c>
      <c r="C875" s="7">
        <v>300000</v>
      </c>
      <c r="D875" s="7">
        <f t="shared" si="14"/>
        <v>48034413</v>
      </c>
    </row>
    <row r="876" spans="1:4" ht="18" customHeight="1" x14ac:dyDescent="0.25">
      <c r="A876" s="2" t="s">
        <v>3196</v>
      </c>
      <c r="B876" s="7">
        <v>36064910</v>
      </c>
      <c r="C876" s="7">
        <v>45000000</v>
      </c>
      <c r="D876" s="7">
        <f t="shared" si="14"/>
        <v>-8935090</v>
      </c>
    </row>
    <row r="877" spans="1:4" ht="18" customHeight="1" x14ac:dyDescent="0.25">
      <c r="A877" s="2" t="s">
        <v>4770</v>
      </c>
      <c r="B877" s="7">
        <v>9525276</v>
      </c>
      <c r="C877" s="7">
        <v>20000000</v>
      </c>
      <c r="D877" s="7">
        <f t="shared" si="14"/>
        <v>-10474724</v>
      </c>
    </row>
    <row r="878" spans="1:4" ht="18" customHeight="1" x14ac:dyDescent="0.25">
      <c r="A878" s="2" t="s">
        <v>4842</v>
      </c>
      <c r="B878" s="7">
        <v>8355815</v>
      </c>
      <c r="C878" s="7">
        <v>55000000</v>
      </c>
      <c r="D878" s="7">
        <f t="shared" si="14"/>
        <v>-46644185</v>
      </c>
    </row>
    <row r="879" spans="1:4" ht="18" customHeight="1" x14ac:dyDescent="0.25">
      <c r="A879" s="2" t="s">
        <v>6281</v>
      </c>
      <c r="B879" s="7">
        <v>151389</v>
      </c>
      <c r="C879" s="7">
        <v>500000</v>
      </c>
      <c r="D879" s="7">
        <f t="shared" si="14"/>
        <v>-348611</v>
      </c>
    </row>
    <row r="880" spans="1:4" ht="18" customHeight="1" x14ac:dyDescent="0.25">
      <c r="A880" s="2" t="s">
        <v>3243</v>
      </c>
      <c r="B880" s="7">
        <v>35092918</v>
      </c>
      <c r="C880" s="7">
        <v>39751583.5</v>
      </c>
      <c r="D880" s="7">
        <f t="shared" si="14"/>
        <v>-4658665.5</v>
      </c>
    </row>
    <row r="881" spans="1:4" ht="18" customHeight="1" x14ac:dyDescent="0.25">
      <c r="A881" s="2" t="s">
        <v>4681</v>
      </c>
      <c r="B881" s="7">
        <v>10569071</v>
      </c>
      <c r="C881" s="7">
        <v>20000000</v>
      </c>
      <c r="D881" s="7">
        <f t="shared" si="14"/>
        <v>-9430929</v>
      </c>
    </row>
    <row r="882" spans="1:4" ht="18" customHeight="1" x14ac:dyDescent="0.25">
      <c r="A882" s="2" t="s">
        <v>2003</v>
      </c>
      <c r="B882" s="7">
        <v>48334413</v>
      </c>
      <c r="C882" s="7">
        <v>5000000</v>
      </c>
      <c r="D882" s="7">
        <f t="shared" si="14"/>
        <v>43334413</v>
      </c>
    </row>
    <row r="883" spans="1:4" ht="18" customHeight="1" x14ac:dyDescent="0.25">
      <c r="A883" s="2" t="s">
        <v>552</v>
      </c>
      <c r="B883" s="7">
        <v>73648142</v>
      </c>
      <c r="C883" s="7">
        <v>60000000</v>
      </c>
      <c r="D883" s="7">
        <f t="shared" si="14"/>
        <v>13648142</v>
      </c>
    </row>
    <row r="884" spans="1:4" ht="18" customHeight="1" x14ac:dyDescent="0.25">
      <c r="A884" s="2" t="s">
        <v>4646</v>
      </c>
      <c r="B884" s="7">
        <v>11146409</v>
      </c>
      <c r="C884" s="7">
        <v>45000000</v>
      </c>
      <c r="D884" s="7">
        <f t="shared" si="14"/>
        <v>-33853591</v>
      </c>
    </row>
    <row r="885" spans="1:4" ht="18" customHeight="1" x14ac:dyDescent="0.25">
      <c r="A885" s="2" t="s">
        <v>2318</v>
      </c>
      <c r="B885" s="7">
        <v>48334413</v>
      </c>
      <c r="C885" s="7">
        <v>1750000</v>
      </c>
      <c r="D885" s="7">
        <f t="shared" si="14"/>
        <v>46584413</v>
      </c>
    </row>
    <row r="886" spans="1:4" ht="18" customHeight="1" x14ac:dyDescent="0.25">
      <c r="A886" s="2" t="s">
        <v>6525</v>
      </c>
      <c r="B886" s="7">
        <v>37606</v>
      </c>
      <c r="C886" s="7">
        <v>3500000</v>
      </c>
      <c r="D886" s="7">
        <f t="shared" si="14"/>
        <v>-3462394</v>
      </c>
    </row>
    <row r="887" spans="1:4" ht="18" customHeight="1" x14ac:dyDescent="0.25">
      <c r="A887" s="2" t="s">
        <v>1255</v>
      </c>
      <c r="B887" s="7">
        <v>48334413</v>
      </c>
      <c r="C887" s="7">
        <v>39751583.5</v>
      </c>
      <c r="D887" s="7">
        <f t="shared" si="14"/>
        <v>8582829.5</v>
      </c>
    </row>
    <row r="888" spans="1:4" ht="18" customHeight="1" x14ac:dyDescent="0.25">
      <c r="A888" s="2" t="s">
        <v>3403</v>
      </c>
      <c r="B888" s="7">
        <v>31973840</v>
      </c>
      <c r="C888" s="7">
        <v>39751583.5</v>
      </c>
      <c r="D888" s="7">
        <f t="shared" si="14"/>
        <v>-7777743.5</v>
      </c>
    </row>
    <row r="889" spans="1:4" ht="18" customHeight="1" x14ac:dyDescent="0.25">
      <c r="A889" s="2" t="s">
        <v>6033</v>
      </c>
      <c r="B889" s="7">
        <v>894186</v>
      </c>
      <c r="C889" s="7">
        <v>79503167</v>
      </c>
      <c r="D889" s="7">
        <f t="shared" si="14"/>
        <v>-78608981</v>
      </c>
    </row>
    <row r="890" spans="1:4" ht="18" customHeight="1" x14ac:dyDescent="0.25">
      <c r="A890" s="2" t="s">
        <v>1332</v>
      </c>
      <c r="B890" s="7">
        <v>48334413</v>
      </c>
      <c r="C890" s="7">
        <v>39751583.5</v>
      </c>
      <c r="D890" s="7">
        <f t="shared" si="14"/>
        <v>8582829.5</v>
      </c>
    </row>
    <row r="891" spans="1:4" ht="18" customHeight="1" x14ac:dyDescent="0.25">
      <c r="A891" s="2" t="s">
        <v>5998</v>
      </c>
      <c r="B891" s="7">
        <v>511920</v>
      </c>
      <c r="C891" s="7">
        <v>40000000</v>
      </c>
      <c r="D891" s="7">
        <f t="shared" si="14"/>
        <v>-39488080</v>
      </c>
    </row>
    <row r="892" spans="1:4" ht="18" customHeight="1" x14ac:dyDescent="0.25">
      <c r="A892" s="2" t="s">
        <v>3472</v>
      </c>
      <c r="B892" s="7">
        <v>30523568</v>
      </c>
      <c r="C892" s="7">
        <v>30000000</v>
      </c>
      <c r="D892" s="7">
        <f t="shared" si="14"/>
        <v>523568</v>
      </c>
    </row>
    <row r="893" spans="1:4" ht="18" customHeight="1" x14ac:dyDescent="0.25">
      <c r="A893" s="2" t="s">
        <v>3467</v>
      </c>
      <c r="B893" s="7">
        <v>30659817</v>
      </c>
      <c r="C893" s="7">
        <v>26000000</v>
      </c>
      <c r="D893" s="7">
        <f t="shared" si="14"/>
        <v>4659817</v>
      </c>
    </row>
    <row r="894" spans="1:4" ht="18" customHeight="1" x14ac:dyDescent="0.25">
      <c r="A894" s="2" t="s">
        <v>4488</v>
      </c>
      <c r="B894" s="7">
        <v>13337299</v>
      </c>
      <c r="C894" s="7">
        <v>20000000</v>
      </c>
      <c r="D894" s="7">
        <f t="shared" si="14"/>
        <v>-6662701</v>
      </c>
    </row>
    <row r="895" spans="1:4" ht="18" customHeight="1" x14ac:dyDescent="0.25">
      <c r="A895" s="2" t="s">
        <v>2159</v>
      </c>
      <c r="B895" s="7">
        <v>48334413</v>
      </c>
      <c r="C895" s="7">
        <v>3000000</v>
      </c>
      <c r="D895" s="7">
        <f t="shared" si="14"/>
        <v>45334413</v>
      </c>
    </row>
    <row r="896" spans="1:4" ht="18" customHeight="1" x14ac:dyDescent="0.25">
      <c r="A896" s="2" t="s">
        <v>2410</v>
      </c>
      <c r="B896" s="7">
        <v>48334413</v>
      </c>
      <c r="C896" s="7">
        <v>1100000</v>
      </c>
      <c r="D896" s="7">
        <f t="shared" si="14"/>
        <v>47234413</v>
      </c>
    </row>
    <row r="897" spans="1:4" ht="18" customHeight="1" x14ac:dyDescent="0.25">
      <c r="A897" s="2" t="s">
        <v>3200</v>
      </c>
      <c r="B897" s="7">
        <v>36020063</v>
      </c>
      <c r="C897" s="7">
        <v>22000000</v>
      </c>
      <c r="D897" s="7">
        <f t="shared" si="14"/>
        <v>14020063</v>
      </c>
    </row>
    <row r="898" spans="1:4" ht="18" customHeight="1" x14ac:dyDescent="0.25">
      <c r="A898" s="2" t="s">
        <v>6399</v>
      </c>
      <c r="B898" s="7">
        <v>99147</v>
      </c>
      <c r="C898" s="7">
        <v>2000000</v>
      </c>
      <c r="D898" s="7">
        <f t="shared" si="14"/>
        <v>-1900853</v>
      </c>
    </row>
    <row r="899" spans="1:4" ht="18" customHeight="1" x14ac:dyDescent="0.25">
      <c r="A899" s="2" t="s">
        <v>6294</v>
      </c>
      <c r="B899" s="7">
        <v>143653</v>
      </c>
      <c r="C899" s="7">
        <v>4000000</v>
      </c>
      <c r="D899" s="7">
        <f t="shared" si="14"/>
        <v>-3856347</v>
      </c>
    </row>
    <row r="900" spans="1:4" ht="18" customHeight="1" x14ac:dyDescent="0.25">
      <c r="A900" s="2" t="s">
        <v>3706</v>
      </c>
      <c r="B900" s="7">
        <v>25625110</v>
      </c>
      <c r="C900" s="7">
        <v>7000000</v>
      </c>
      <c r="D900" s="7">
        <f t="shared" si="14"/>
        <v>18625110</v>
      </c>
    </row>
    <row r="901" spans="1:4" ht="18" customHeight="1" x14ac:dyDescent="0.25">
      <c r="A901" s="2" t="s">
        <v>1509</v>
      </c>
      <c r="B901" s="7">
        <v>48334413</v>
      </c>
      <c r="C901" s="7">
        <v>39751583.5</v>
      </c>
      <c r="D901" s="7">
        <f t="shared" ref="D901:D964" si="15">B901-C901</f>
        <v>8582829.5</v>
      </c>
    </row>
    <row r="902" spans="1:4" ht="18" customHeight="1" x14ac:dyDescent="0.25">
      <c r="A902" s="2" t="s">
        <v>6735</v>
      </c>
      <c r="B902" s="7">
        <v>1332</v>
      </c>
      <c r="C902" s="7">
        <v>500000</v>
      </c>
      <c r="D902" s="7">
        <f t="shared" si="15"/>
        <v>-498668</v>
      </c>
    </row>
    <row r="903" spans="1:4" ht="18" customHeight="1" x14ac:dyDescent="0.25">
      <c r="A903" s="2" t="s">
        <v>1858</v>
      </c>
      <c r="B903" s="7">
        <v>48334413</v>
      </c>
      <c r="C903" s="7">
        <v>10000000</v>
      </c>
      <c r="D903" s="7">
        <f t="shared" si="15"/>
        <v>38334413</v>
      </c>
    </row>
    <row r="904" spans="1:4" ht="18" customHeight="1" x14ac:dyDescent="0.25">
      <c r="A904" s="2" t="s">
        <v>6290</v>
      </c>
      <c r="B904" s="7">
        <v>144583</v>
      </c>
      <c r="C904" s="7">
        <v>800000</v>
      </c>
      <c r="D904" s="7">
        <f t="shared" si="15"/>
        <v>-655417</v>
      </c>
    </row>
    <row r="905" spans="1:4" ht="18" customHeight="1" x14ac:dyDescent="0.25">
      <c r="A905" s="2" t="s">
        <v>5285</v>
      </c>
      <c r="B905" s="7">
        <v>4193025</v>
      </c>
      <c r="C905" s="7">
        <v>15000000</v>
      </c>
      <c r="D905" s="7">
        <f t="shared" si="15"/>
        <v>-10806975</v>
      </c>
    </row>
    <row r="906" spans="1:4" ht="18" customHeight="1" x14ac:dyDescent="0.25">
      <c r="A906" s="2" t="s">
        <v>3884</v>
      </c>
      <c r="B906" s="7">
        <v>22264487</v>
      </c>
      <c r="C906" s="7">
        <v>22000000</v>
      </c>
      <c r="D906" s="7">
        <f t="shared" si="15"/>
        <v>264487</v>
      </c>
    </row>
    <row r="907" spans="1:4" ht="18" customHeight="1" x14ac:dyDescent="0.25">
      <c r="A907" s="2" t="s">
        <v>718</v>
      </c>
      <c r="B907" s="7">
        <v>65535067</v>
      </c>
      <c r="C907" s="7">
        <v>17000000</v>
      </c>
      <c r="D907" s="7">
        <f t="shared" si="15"/>
        <v>48535067</v>
      </c>
    </row>
    <row r="908" spans="1:4" ht="18" customHeight="1" x14ac:dyDescent="0.25">
      <c r="A908" s="2" t="s">
        <v>5073</v>
      </c>
      <c r="B908" s="7">
        <v>6044618</v>
      </c>
      <c r="C908" s="7">
        <v>10000000</v>
      </c>
      <c r="D908" s="7">
        <f t="shared" si="15"/>
        <v>-3955382</v>
      </c>
    </row>
    <row r="909" spans="1:4" ht="18" customHeight="1" x14ac:dyDescent="0.25">
      <c r="A909" s="2" t="s">
        <v>3313</v>
      </c>
      <c r="B909" s="7">
        <v>33583175</v>
      </c>
      <c r="C909" s="7">
        <v>10000000</v>
      </c>
      <c r="D909" s="7">
        <f t="shared" si="15"/>
        <v>23583175</v>
      </c>
    </row>
    <row r="910" spans="1:4" ht="18" customHeight="1" x14ac:dyDescent="0.25">
      <c r="A910" s="2" t="s">
        <v>4285</v>
      </c>
      <c r="B910" s="7">
        <v>15818967</v>
      </c>
      <c r="C910" s="7">
        <v>7000000</v>
      </c>
      <c r="D910" s="7">
        <f t="shared" si="15"/>
        <v>8818967</v>
      </c>
    </row>
    <row r="911" spans="1:4" ht="18" customHeight="1" x14ac:dyDescent="0.25">
      <c r="A911" s="2" t="s">
        <v>2556</v>
      </c>
      <c r="B911" s="7">
        <v>48334413</v>
      </c>
      <c r="C911" s="7">
        <v>500000</v>
      </c>
      <c r="D911" s="7">
        <f t="shared" si="15"/>
        <v>47834413</v>
      </c>
    </row>
    <row r="912" spans="1:4" ht="18" customHeight="1" x14ac:dyDescent="0.25">
      <c r="A912" s="2" t="s">
        <v>2889</v>
      </c>
      <c r="B912" s="7">
        <v>43800000</v>
      </c>
      <c r="C912" s="7">
        <v>7200000</v>
      </c>
      <c r="D912" s="7">
        <f t="shared" si="15"/>
        <v>36600000</v>
      </c>
    </row>
    <row r="913" spans="1:4" ht="18" customHeight="1" x14ac:dyDescent="0.25">
      <c r="A913" s="2" t="s">
        <v>1149</v>
      </c>
      <c r="B913" s="7">
        <v>50382128</v>
      </c>
      <c r="C913" s="7">
        <v>5500000</v>
      </c>
      <c r="D913" s="7">
        <f t="shared" si="15"/>
        <v>44882128</v>
      </c>
    </row>
    <row r="914" spans="1:4" ht="18" customHeight="1" x14ac:dyDescent="0.25">
      <c r="A914" s="2" t="s">
        <v>1189</v>
      </c>
      <c r="B914" s="7">
        <v>49002815</v>
      </c>
      <c r="C914" s="7">
        <v>22000000</v>
      </c>
      <c r="D914" s="7">
        <f t="shared" si="15"/>
        <v>27002815</v>
      </c>
    </row>
    <row r="915" spans="1:4" ht="18" customHeight="1" x14ac:dyDescent="0.25">
      <c r="A915" s="2" t="s">
        <v>1049</v>
      </c>
      <c r="B915" s="7">
        <v>52691009</v>
      </c>
      <c r="C915" s="7">
        <v>21000000</v>
      </c>
      <c r="D915" s="7">
        <f t="shared" si="15"/>
        <v>31691009</v>
      </c>
    </row>
    <row r="916" spans="1:4" ht="18" customHeight="1" x14ac:dyDescent="0.25">
      <c r="A916" s="2" t="s">
        <v>748</v>
      </c>
      <c r="B916" s="7">
        <v>64001297</v>
      </c>
      <c r="C916" s="7">
        <v>15000000</v>
      </c>
      <c r="D916" s="7">
        <f t="shared" si="15"/>
        <v>49001297</v>
      </c>
    </row>
    <row r="917" spans="1:4" ht="18" customHeight="1" x14ac:dyDescent="0.25">
      <c r="A917" s="2" t="s">
        <v>5835</v>
      </c>
      <c r="B917" s="7">
        <v>952620</v>
      </c>
      <c r="C917" s="7">
        <v>2000000</v>
      </c>
      <c r="D917" s="7">
        <f t="shared" si="15"/>
        <v>-1047380</v>
      </c>
    </row>
    <row r="918" spans="1:4" ht="18" customHeight="1" x14ac:dyDescent="0.25">
      <c r="A918" s="2" t="s">
        <v>5046</v>
      </c>
      <c r="B918" s="7">
        <v>6241697</v>
      </c>
      <c r="C918" s="7">
        <v>13000000</v>
      </c>
      <c r="D918" s="7">
        <f t="shared" si="15"/>
        <v>-6758303</v>
      </c>
    </row>
    <row r="919" spans="1:4" ht="18" customHeight="1" x14ac:dyDescent="0.25">
      <c r="A919" s="2" t="s">
        <v>3861</v>
      </c>
      <c r="B919" s="7">
        <v>22734486</v>
      </c>
      <c r="C919" s="7">
        <v>17000000</v>
      </c>
      <c r="D919" s="7">
        <f t="shared" si="15"/>
        <v>5734486</v>
      </c>
    </row>
    <row r="920" spans="1:4" ht="18" customHeight="1" x14ac:dyDescent="0.25">
      <c r="A920" s="2" t="s">
        <v>3522</v>
      </c>
      <c r="B920" s="7">
        <v>29580087</v>
      </c>
      <c r="C920" s="7">
        <v>58000000</v>
      </c>
      <c r="D920" s="7">
        <f t="shared" si="15"/>
        <v>-28419913</v>
      </c>
    </row>
    <row r="921" spans="1:4" ht="18" customHeight="1" x14ac:dyDescent="0.25">
      <c r="A921" s="2" t="s">
        <v>183</v>
      </c>
      <c r="B921" s="7">
        <v>100012500</v>
      </c>
      <c r="C921" s="7">
        <v>90000000</v>
      </c>
      <c r="D921" s="7">
        <f t="shared" si="15"/>
        <v>10012500</v>
      </c>
    </row>
    <row r="922" spans="1:4" ht="18" customHeight="1" x14ac:dyDescent="0.25">
      <c r="A922" s="2" t="s">
        <v>401</v>
      </c>
      <c r="B922" s="7">
        <v>81350242</v>
      </c>
      <c r="C922" s="7">
        <v>28000000</v>
      </c>
      <c r="D922" s="7">
        <f t="shared" si="15"/>
        <v>53350242</v>
      </c>
    </row>
    <row r="923" spans="1:4" ht="18" customHeight="1" x14ac:dyDescent="0.25">
      <c r="A923" s="2" t="s">
        <v>4766</v>
      </c>
      <c r="B923" s="7">
        <v>9628751</v>
      </c>
      <c r="C923" s="7">
        <v>5000000</v>
      </c>
      <c r="D923" s="7">
        <f t="shared" si="15"/>
        <v>4628751</v>
      </c>
    </row>
    <row r="924" spans="1:4" ht="18" customHeight="1" x14ac:dyDescent="0.25">
      <c r="A924" s="2" t="s">
        <v>6311</v>
      </c>
      <c r="B924" s="7">
        <v>129319</v>
      </c>
      <c r="C924" s="7">
        <v>70000000</v>
      </c>
      <c r="D924" s="7">
        <f t="shared" si="15"/>
        <v>-69870681</v>
      </c>
    </row>
    <row r="925" spans="1:4" ht="18" customHeight="1" x14ac:dyDescent="0.25">
      <c r="A925" s="2" t="s">
        <v>4418</v>
      </c>
      <c r="B925" s="7">
        <v>14100000</v>
      </c>
      <c r="C925" s="7">
        <v>5000000</v>
      </c>
      <c r="D925" s="7">
        <f t="shared" si="15"/>
        <v>9100000</v>
      </c>
    </row>
    <row r="926" spans="1:4" ht="18" customHeight="1" x14ac:dyDescent="0.25">
      <c r="A926" s="2" t="s">
        <v>563</v>
      </c>
      <c r="B926" s="7">
        <v>72980108</v>
      </c>
      <c r="C926" s="7">
        <v>39751583.5</v>
      </c>
      <c r="D926" s="7">
        <f t="shared" si="15"/>
        <v>33228524.5</v>
      </c>
    </row>
    <row r="927" spans="1:4" ht="18" customHeight="1" x14ac:dyDescent="0.25">
      <c r="A927" s="2" t="s">
        <v>6365</v>
      </c>
      <c r="B927" s="7">
        <v>110000</v>
      </c>
      <c r="C927" s="7">
        <v>39751583.5</v>
      </c>
      <c r="D927" s="7">
        <f t="shared" si="15"/>
        <v>-39641583.5</v>
      </c>
    </row>
    <row r="928" spans="1:4" ht="18" customHeight="1" x14ac:dyDescent="0.25">
      <c r="A928" s="2" t="s">
        <v>3224</v>
      </c>
      <c r="B928" s="7">
        <v>35537564</v>
      </c>
      <c r="C928" s="7">
        <v>11500000</v>
      </c>
      <c r="D928" s="7">
        <f t="shared" si="15"/>
        <v>24037564</v>
      </c>
    </row>
    <row r="929" spans="1:4" ht="18" customHeight="1" x14ac:dyDescent="0.25">
      <c r="A929" s="2" t="s">
        <v>4853</v>
      </c>
      <c r="B929" s="7">
        <v>8111360</v>
      </c>
      <c r="C929" s="7">
        <v>10000000</v>
      </c>
      <c r="D929" s="7">
        <f t="shared" si="15"/>
        <v>-1888640</v>
      </c>
    </row>
    <row r="930" spans="1:4" ht="18" customHeight="1" x14ac:dyDescent="0.25">
      <c r="A930" s="2" t="s">
        <v>4751</v>
      </c>
      <c r="B930" s="7">
        <v>9975684</v>
      </c>
      <c r="C930" s="7">
        <v>13000000</v>
      </c>
      <c r="D930" s="7">
        <f t="shared" si="15"/>
        <v>-3024316</v>
      </c>
    </row>
    <row r="931" spans="1:4" ht="18" customHeight="1" x14ac:dyDescent="0.25">
      <c r="A931" s="2" t="s">
        <v>4412</v>
      </c>
      <c r="B931" s="7">
        <v>14174654</v>
      </c>
      <c r="C931" s="7">
        <v>25000000</v>
      </c>
      <c r="D931" s="7">
        <f t="shared" si="15"/>
        <v>-10825346</v>
      </c>
    </row>
    <row r="932" spans="1:4" ht="18" customHeight="1" x14ac:dyDescent="0.25">
      <c r="A932" s="2" t="s">
        <v>372</v>
      </c>
      <c r="B932" s="7">
        <v>83000000</v>
      </c>
      <c r="C932" s="7">
        <v>55000000</v>
      </c>
      <c r="D932" s="7">
        <f t="shared" si="15"/>
        <v>28000000</v>
      </c>
    </row>
    <row r="933" spans="1:4" ht="18" customHeight="1" x14ac:dyDescent="0.25">
      <c r="A933" s="2" t="s">
        <v>5753</v>
      </c>
      <c r="B933" s="7">
        <v>1197786</v>
      </c>
      <c r="C933" s="7">
        <v>12000000</v>
      </c>
      <c r="D933" s="7">
        <f t="shared" si="15"/>
        <v>-10802214</v>
      </c>
    </row>
    <row r="934" spans="1:4" ht="18" customHeight="1" x14ac:dyDescent="0.25">
      <c r="A934" s="2" t="s">
        <v>428</v>
      </c>
      <c r="B934" s="7">
        <v>160100342</v>
      </c>
      <c r="C934" s="7">
        <v>40000000</v>
      </c>
      <c r="D934" s="7">
        <f t="shared" si="15"/>
        <v>120100342</v>
      </c>
    </row>
    <row r="935" spans="1:4" ht="18" customHeight="1" x14ac:dyDescent="0.25">
      <c r="A935" s="2" t="s">
        <v>4170</v>
      </c>
      <c r="B935" s="7">
        <v>17411331</v>
      </c>
      <c r="C935" s="7">
        <v>15000000</v>
      </c>
      <c r="D935" s="7">
        <f t="shared" si="15"/>
        <v>2411331</v>
      </c>
    </row>
    <row r="936" spans="1:4" ht="18" customHeight="1" x14ac:dyDescent="0.25">
      <c r="A936" s="2" t="s">
        <v>645</v>
      </c>
      <c r="B936" s="7">
        <v>69586544</v>
      </c>
      <c r="C936" s="7">
        <v>27000000</v>
      </c>
      <c r="D936" s="7">
        <f t="shared" si="15"/>
        <v>42586544</v>
      </c>
    </row>
    <row r="937" spans="1:4" ht="18" customHeight="1" x14ac:dyDescent="0.25">
      <c r="A937" s="2" t="s">
        <v>3604</v>
      </c>
      <c r="B937" s="7">
        <v>27545445</v>
      </c>
      <c r="C937" s="7">
        <v>6500000</v>
      </c>
      <c r="D937" s="7">
        <f t="shared" si="15"/>
        <v>21045445</v>
      </c>
    </row>
    <row r="938" spans="1:4" ht="18" customHeight="1" x14ac:dyDescent="0.25">
      <c r="A938" s="2" t="s">
        <v>4522</v>
      </c>
      <c r="B938" s="7">
        <v>12985267</v>
      </c>
      <c r="C938" s="7">
        <v>2300000</v>
      </c>
      <c r="D938" s="7">
        <f t="shared" si="15"/>
        <v>10685267</v>
      </c>
    </row>
    <row r="939" spans="1:4" ht="18" customHeight="1" x14ac:dyDescent="0.25">
      <c r="A939" s="2" t="s">
        <v>6014</v>
      </c>
      <c r="B939" s="7">
        <v>480314</v>
      </c>
      <c r="C939" s="7">
        <v>21000000</v>
      </c>
      <c r="D939" s="7">
        <f t="shared" si="15"/>
        <v>-20519686</v>
      </c>
    </row>
    <row r="940" spans="1:4" ht="18" customHeight="1" x14ac:dyDescent="0.25">
      <c r="A940" s="2" t="s">
        <v>2457</v>
      </c>
      <c r="B940" s="7">
        <v>48334413</v>
      </c>
      <c r="C940" s="7">
        <v>1000000</v>
      </c>
      <c r="D940" s="7">
        <f t="shared" si="15"/>
        <v>47334413</v>
      </c>
    </row>
    <row r="941" spans="1:4" ht="18" customHeight="1" x14ac:dyDescent="0.25">
      <c r="A941" s="2" t="s">
        <v>3468</v>
      </c>
      <c r="B941" s="7">
        <v>30651422</v>
      </c>
      <c r="C941" s="7">
        <v>10000000</v>
      </c>
      <c r="D941" s="7">
        <f t="shared" si="15"/>
        <v>20651422</v>
      </c>
    </row>
    <row r="942" spans="1:4" ht="18" customHeight="1" x14ac:dyDescent="0.25">
      <c r="A942" s="2" t="s">
        <v>6360</v>
      </c>
      <c r="B942" s="7">
        <v>110197</v>
      </c>
      <c r="C942" s="7">
        <v>39751583.5</v>
      </c>
      <c r="D942" s="7">
        <f t="shared" si="15"/>
        <v>-39641386.5</v>
      </c>
    </row>
    <row r="943" spans="1:4" ht="18" customHeight="1" x14ac:dyDescent="0.25">
      <c r="A943" s="2" t="s">
        <v>5727</v>
      </c>
      <c r="B943" s="7">
        <v>1293295</v>
      </c>
      <c r="C943" s="7">
        <v>39751583.5</v>
      </c>
      <c r="D943" s="7">
        <f t="shared" si="15"/>
        <v>-38458288.5</v>
      </c>
    </row>
    <row r="944" spans="1:4" ht="18" customHeight="1" x14ac:dyDescent="0.25">
      <c r="A944" s="2" t="s">
        <v>2952</v>
      </c>
      <c r="B944" s="7">
        <v>42019483</v>
      </c>
      <c r="C944" s="7">
        <v>36000000</v>
      </c>
      <c r="D944" s="7">
        <f t="shared" si="15"/>
        <v>6019483</v>
      </c>
    </row>
    <row r="945" spans="1:4" ht="18" customHeight="1" x14ac:dyDescent="0.25">
      <c r="A945" s="2" t="s">
        <v>571</v>
      </c>
      <c r="B945" s="7">
        <v>72279690</v>
      </c>
      <c r="C945" s="7">
        <v>37000000</v>
      </c>
      <c r="D945" s="7">
        <f t="shared" si="15"/>
        <v>35279690</v>
      </c>
    </row>
    <row r="946" spans="1:4" ht="18" customHeight="1" x14ac:dyDescent="0.25">
      <c r="A946" s="2" t="s">
        <v>4917</v>
      </c>
      <c r="B946" s="7">
        <v>7518876</v>
      </c>
      <c r="C946" s="7">
        <v>6000000</v>
      </c>
      <c r="D946" s="7">
        <f t="shared" si="15"/>
        <v>1518876</v>
      </c>
    </row>
    <row r="947" spans="1:4" ht="18" customHeight="1" x14ac:dyDescent="0.25">
      <c r="A947" s="2" t="s">
        <v>5993</v>
      </c>
      <c r="B947" s="7">
        <v>518134</v>
      </c>
      <c r="C947" s="7">
        <v>39751583.5</v>
      </c>
      <c r="D947" s="7">
        <f t="shared" si="15"/>
        <v>-39233449.5</v>
      </c>
    </row>
    <row r="948" spans="1:4" ht="18" customHeight="1" x14ac:dyDescent="0.25">
      <c r="A948" s="2" t="s">
        <v>2837</v>
      </c>
      <c r="B948" s="7">
        <v>45207112</v>
      </c>
      <c r="C948" s="7">
        <v>53000000</v>
      </c>
      <c r="D948" s="7">
        <f t="shared" si="15"/>
        <v>-7792888</v>
      </c>
    </row>
    <row r="949" spans="1:4" ht="18" customHeight="1" x14ac:dyDescent="0.25">
      <c r="A949" s="2" t="s">
        <v>4732</v>
      </c>
      <c r="B949" s="7">
        <v>10137232</v>
      </c>
      <c r="C949" s="7">
        <v>50000000</v>
      </c>
      <c r="D949" s="7">
        <f t="shared" si="15"/>
        <v>-39862768</v>
      </c>
    </row>
    <row r="950" spans="1:4" ht="18" customHeight="1" x14ac:dyDescent="0.25">
      <c r="A950" s="2" t="s">
        <v>3782</v>
      </c>
      <c r="B950" s="7">
        <v>24475193</v>
      </c>
      <c r="C950" s="7">
        <v>3000000</v>
      </c>
      <c r="D950" s="7">
        <f t="shared" si="15"/>
        <v>21475193</v>
      </c>
    </row>
    <row r="951" spans="1:4" ht="18" customHeight="1" x14ac:dyDescent="0.25">
      <c r="A951" s="2" t="s">
        <v>3892</v>
      </c>
      <c r="B951" s="7">
        <v>22200000</v>
      </c>
      <c r="C951" s="7">
        <v>25000000</v>
      </c>
      <c r="D951" s="7">
        <f t="shared" si="15"/>
        <v>-2800000</v>
      </c>
    </row>
    <row r="952" spans="1:4" ht="18" customHeight="1" x14ac:dyDescent="0.25">
      <c r="A952" s="2" t="s">
        <v>1382</v>
      </c>
      <c r="B952" s="7">
        <v>48334413</v>
      </c>
      <c r="C952" s="7">
        <v>39751583.5</v>
      </c>
      <c r="D952" s="7">
        <f t="shared" si="15"/>
        <v>8582829.5</v>
      </c>
    </row>
    <row r="953" spans="1:4" ht="18" customHeight="1" x14ac:dyDescent="0.25">
      <c r="A953" s="2" t="s">
        <v>6609</v>
      </c>
      <c r="B953" s="7">
        <v>18378</v>
      </c>
      <c r="C953" s="7">
        <v>900000</v>
      </c>
      <c r="D953" s="7">
        <f t="shared" si="15"/>
        <v>-881622</v>
      </c>
    </row>
    <row r="954" spans="1:4" ht="18" customHeight="1" x14ac:dyDescent="0.25">
      <c r="A954" s="2" t="s">
        <v>2955</v>
      </c>
      <c r="B954" s="7">
        <v>41954997</v>
      </c>
      <c r="C954" s="7">
        <v>35000000</v>
      </c>
      <c r="D954" s="7">
        <f t="shared" si="15"/>
        <v>6954997</v>
      </c>
    </row>
    <row r="955" spans="1:4" ht="18" customHeight="1" x14ac:dyDescent="0.25">
      <c r="A955" s="2" t="s">
        <v>5898</v>
      </c>
      <c r="B955" s="7">
        <v>727883</v>
      </c>
      <c r="C955" s="7">
        <v>4500000</v>
      </c>
      <c r="D955" s="7">
        <f t="shared" si="15"/>
        <v>-3772117</v>
      </c>
    </row>
    <row r="956" spans="1:4" ht="18" customHeight="1" x14ac:dyDescent="0.25">
      <c r="A956" s="2" t="s">
        <v>2197</v>
      </c>
      <c r="B956" s="7">
        <v>48334413</v>
      </c>
      <c r="C956" s="7">
        <v>2686585</v>
      </c>
      <c r="D956" s="7">
        <f t="shared" si="15"/>
        <v>45647828</v>
      </c>
    </row>
    <row r="957" spans="1:4" ht="18" customHeight="1" x14ac:dyDescent="0.25">
      <c r="A957" s="2" t="s">
        <v>3805</v>
      </c>
      <c r="B957" s="7">
        <v>24042490</v>
      </c>
      <c r="C957" s="7">
        <v>25000000</v>
      </c>
      <c r="D957" s="7">
        <f t="shared" si="15"/>
        <v>-957510</v>
      </c>
    </row>
    <row r="958" spans="1:4" ht="18" customHeight="1" x14ac:dyDescent="0.25">
      <c r="A958" s="2" t="s">
        <v>976</v>
      </c>
      <c r="B958" s="7">
        <v>54997476</v>
      </c>
      <c r="C958" s="7">
        <v>50000000</v>
      </c>
      <c r="D958" s="7">
        <f t="shared" si="15"/>
        <v>4997476</v>
      </c>
    </row>
    <row r="959" spans="1:4" ht="18" customHeight="1" x14ac:dyDescent="0.25">
      <c r="A959" s="2" t="s">
        <v>4931</v>
      </c>
      <c r="B959" s="7">
        <v>7382993</v>
      </c>
      <c r="C959" s="7">
        <v>20000000</v>
      </c>
      <c r="D959" s="7">
        <f t="shared" si="15"/>
        <v>-12617007</v>
      </c>
    </row>
    <row r="960" spans="1:4" ht="18" customHeight="1" x14ac:dyDescent="0.25">
      <c r="A960" s="2" t="s">
        <v>3580</v>
      </c>
      <c r="B960" s="7">
        <v>28031250</v>
      </c>
      <c r="C960" s="7">
        <v>60000000</v>
      </c>
      <c r="D960" s="7">
        <f t="shared" si="15"/>
        <v>-31968750</v>
      </c>
    </row>
    <row r="961" spans="1:4" ht="18" customHeight="1" x14ac:dyDescent="0.25">
      <c r="A961" s="2" t="s">
        <v>4660</v>
      </c>
      <c r="B961" s="7">
        <v>10955425</v>
      </c>
      <c r="C961" s="7">
        <v>30000000</v>
      </c>
      <c r="D961" s="7">
        <f t="shared" si="15"/>
        <v>-19044575</v>
      </c>
    </row>
    <row r="962" spans="1:4" ht="18" customHeight="1" x14ac:dyDescent="0.25">
      <c r="A962" s="2" t="s">
        <v>4163</v>
      </c>
      <c r="B962" s="7">
        <v>17474107</v>
      </c>
      <c r="C962" s="7">
        <v>7000000</v>
      </c>
      <c r="D962" s="7">
        <f t="shared" si="15"/>
        <v>10474107</v>
      </c>
    </row>
    <row r="963" spans="1:4" ht="18" customHeight="1" x14ac:dyDescent="0.25">
      <c r="A963" s="2" t="s">
        <v>3498</v>
      </c>
      <c r="B963" s="7">
        <v>30102717</v>
      </c>
      <c r="C963" s="7">
        <v>15000000</v>
      </c>
      <c r="D963" s="7">
        <f t="shared" si="15"/>
        <v>15102717</v>
      </c>
    </row>
    <row r="964" spans="1:4" ht="18" customHeight="1" x14ac:dyDescent="0.25">
      <c r="A964" s="2" t="s">
        <v>6592</v>
      </c>
      <c r="B964" s="7">
        <v>20218</v>
      </c>
      <c r="C964" s="7">
        <v>24000000</v>
      </c>
      <c r="D964" s="7">
        <f t="shared" si="15"/>
        <v>-23979782</v>
      </c>
    </row>
    <row r="965" spans="1:4" ht="18" customHeight="1" x14ac:dyDescent="0.25">
      <c r="A965" s="2" t="s">
        <v>3325</v>
      </c>
      <c r="B965" s="7">
        <v>33422556</v>
      </c>
      <c r="C965" s="7">
        <v>20000000</v>
      </c>
      <c r="D965" s="7">
        <f t="shared" ref="D965:D1028" si="16">B965-C965</f>
        <v>13422556</v>
      </c>
    </row>
    <row r="966" spans="1:4" ht="18" customHeight="1" x14ac:dyDescent="0.25">
      <c r="A966" s="2" t="s">
        <v>4039</v>
      </c>
      <c r="B966" s="7">
        <v>19421271</v>
      </c>
      <c r="C966" s="7">
        <v>5000000</v>
      </c>
      <c r="D966" s="7">
        <f t="shared" si="16"/>
        <v>14421271</v>
      </c>
    </row>
    <row r="967" spans="1:4" ht="18" customHeight="1" x14ac:dyDescent="0.25">
      <c r="A967" s="2" t="s">
        <v>6473</v>
      </c>
      <c r="B967" s="7">
        <v>58936</v>
      </c>
      <c r="C967" s="7">
        <v>1200000</v>
      </c>
      <c r="D967" s="7">
        <f t="shared" si="16"/>
        <v>-1141064</v>
      </c>
    </row>
    <row r="968" spans="1:4" ht="18" customHeight="1" x14ac:dyDescent="0.25">
      <c r="A968" s="2" t="s">
        <v>1420</v>
      </c>
      <c r="B968" s="7">
        <v>48334413</v>
      </c>
      <c r="C968" s="7">
        <v>39751583.5</v>
      </c>
      <c r="D968" s="7">
        <f t="shared" si="16"/>
        <v>8582829.5</v>
      </c>
    </row>
    <row r="969" spans="1:4" ht="18" customHeight="1" x14ac:dyDescent="0.25">
      <c r="A969" s="2" t="s">
        <v>5964</v>
      </c>
      <c r="B969" s="7">
        <v>568695</v>
      </c>
      <c r="C969" s="7">
        <v>8000000</v>
      </c>
      <c r="D969" s="7">
        <f t="shared" si="16"/>
        <v>-7431305</v>
      </c>
    </row>
    <row r="970" spans="1:4" ht="18" customHeight="1" x14ac:dyDescent="0.25">
      <c r="A970" s="2" t="s">
        <v>6670</v>
      </c>
      <c r="B970" s="7">
        <v>9609</v>
      </c>
      <c r="C970" s="7">
        <v>39751583.5</v>
      </c>
      <c r="D970" s="7">
        <f t="shared" si="16"/>
        <v>-39741974.5</v>
      </c>
    </row>
    <row r="971" spans="1:4" ht="18" customHeight="1" x14ac:dyDescent="0.25">
      <c r="A971" s="2" t="s">
        <v>745</v>
      </c>
      <c r="B971" s="7">
        <v>64172251</v>
      </c>
      <c r="C971" s="7">
        <v>30000000</v>
      </c>
      <c r="D971" s="7">
        <f t="shared" si="16"/>
        <v>34172251</v>
      </c>
    </row>
    <row r="972" spans="1:4" ht="18" customHeight="1" x14ac:dyDescent="0.25">
      <c r="A972" s="2" t="s">
        <v>4015</v>
      </c>
      <c r="B972" s="7">
        <v>20035310</v>
      </c>
      <c r="C972" s="7">
        <v>9000000</v>
      </c>
      <c r="D972" s="7">
        <f t="shared" si="16"/>
        <v>11035310</v>
      </c>
    </row>
    <row r="973" spans="1:4" ht="18" customHeight="1" x14ac:dyDescent="0.25">
      <c r="A973" s="2" t="s">
        <v>5135</v>
      </c>
      <c r="B973" s="7">
        <v>5501940</v>
      </c>
      <c r="C973" s="7">
        <v>13500000</v>
      </c>
      <c r="D973" s="7">
        <f t="shared" si="16"/>
        <v>-7998060</v>
      </c>
    </row>
    <row r="974" spans="1:4" ht="18" customHeight="1" x14ac:dyDescent="0.25">
      <c r="A974" s="2" t="s">
        <v>4269</v>
      </c>
      <c r="B974" s="7">
        <v>16067035</v>
      </c>
      <c r="C974" s="7">
        <v>1100000</v>
      </c>
      <c r="D974" s="7">
        <f t="shared" si="16"/>
        <v>14967035</v>
      </c>
    </row>
    <row r="975" spans="1:4" ht="18" customHeight="1" x14ac:dyDescent="0.25">
      <c r="A975" s="2" t="s">
        <v>2301</v>
      </c>
      <c r="B975" s="7">
        <v>48334413</v>
      </c>
      <c r="C975" s="7">
        <v>1800000</v>
      </c>
      <c r="D975" s="7">
        <f t="shared" si="16"/>
        <v>46534413</v>
      </c>
    </row>
    <row r="976" spans="1:4" ht="18" customHeight="1" x14ac:dyDescent="0.25">
      <c r="A976" s="2" t="s">
        <v>3344</v>
      </c>
      <c r="B976" s="7">
        <v>33000377</v>
      </c>
      <c r="C976" s="7">
        <v>28000000</v>
      </c>
      <c r="D976" s="7">
        <f t="shared" si="16"/>
        <v>5000377</v>
      </c>
    </row>
    <row r="977" spans="1:4" ht="18" customHeight="1" x14ac:dyDescent="0.25">
      <c r="A977" s="2" t="s">
        <v>949</v>
      </c>
      <c r="B977" s="7">
        <v>55942830</v>
      </c>
      <c r="C977" s="7">
        <v>70000000</v>
      </c>
      <c r="D977" s="7">
        <f t="shared" si="16"/>
        <v>-14057170</v>
      </c>
    </row>
    <row r="978" spans="1:4" ht="18" customHeight="1" x14ac:dyDescent="0.25">
      <c r="A978" s="2" t="s">
        <v>6521</v>
      </c>
      <c r="B978" s="7">
        <v>39659</v>
      </c>
      <c r="C978" s="7">
        <v>1600000</v>
      </c>
      <c r="D978" s="7">
        <f t="shared" si="16"/>
        <v>-1560341</v>
      </c>
    </row>
    <row r="979" spans="1:4" ht="18" customHeight="1" x14ac:dyDescent="0.25">
      <c r="A979" s="2" t="s">
        <v>3550</v>
      </c>
      <c r="B979" s="7">
        <v>28831145</v>
      </c>
      <c r="C979" s="7">
        <v>25000000</v>
      </c>
      <c r="D979" s="7">
        <f t="shared" si="16"/>
        <v>3831145</v>
      </c>
    </row>
    <row r="980" spans="1:4" ht="18" customHeight="1" x14ac:dyDescent="0.25">
      <c r="A980" s="2" t="s">
        <v>2947</v>
      </c>
      <c r="B980" s="7">
        <v>42057340</v>
      </c>
      <c r="C980" s="7">
        <v>30000000</v>
      </c>
      <c r="D980" s="7">
        <f t="shared" si="16"/>
        <v>12057340</v>
      </c>
    </row>
    <row r="981" spans="1:4" ht="18" customHeight="1" x14ac:dyDescent="0.25">
      <c r="A981" s="2" t="s">
        <v>6444</v>
      </c>
      <c r="B981" s="7">
        <v>72413</v>
      </c>
      <c r="C981" s="7">
        <v>65000000</v>
      </c>
      <c r="D981" s="7">
        <f t="shared" si="16"/>
        <v>-64927587</v>
      </c>
    </row>
    <row r="982" spans="1:4" ht="18" customHeight="1" x14ac:dyDescent="0.25">
      <c r="A982" s="2" t="s">
        <v>1801</v>
      </c>
      <c r="B982" s="7">
        <v>48334413</v>
      </c>
      <c r="C982" s="7">
        <v>11000000</v>
      </c>
      <c r="D982" s="7">
        <f t="shared" si="16"/>
        <v>37334413</v>
      </c>
    </row>
    <row r="983" spans="1:4" ht="18" customHeight="1" x14ac:dyDescent="0.25">
      <c r="A983" s="2" t="s">
        <v>1218</v>
      </c>
      <c r="B983" s="7">
        <v>48334413</v>
      </c>
      <c r="C983" s="7">
        <v>40000000</v>
      </c>
      <c r="D983" s="7">
        <f t="shared" si="16"/>
        <v>8334413</v>
      </c>
    </row>
    <row r="984" spans="1:4" ht="18" customHeight="1" x14ac:dyDescent="0.25">
      <c r="A984" s="2" t="s">
        <v>4659</v>
      </c>
      <c r="B984" s="7">
        <v>10956379</v>
      </c>
      <c r="C984" s="7">
        <v>35000000</v>
      </c>
      <c r="D984" s="7">
        <f t="shared" si="16"/>
        <v>-24043621</v>
      </c>
    </row>
    <row r="985" spans="1:4" ht="18" customHeight="1" x14ac:dyDescent="0.25">
      <c r="A985" s="2" t="s">
        <v>4780</v>
      </c>
      <c r="B985" s="7">
        <v>9353573</v>
      </c>
      <c r="C985" s="7">
        <v>45000000</v>
      </c>
      <c r="D985" s="7">
        <f t="shared" si="16"/>
        <v>-35646427</v>
      </c>
    </row>
    <row r="986" spans="1:4" ht="18" customHeight="1" x14ac:dyDescent="0.25">
      <c r="A986" s="2" t="s">
        <v>3501</v>
      </c>
      <c r="B986" s="7">
        <v>30063805</v>
      </c>
      <c r="C986" s="7">
        <v>60000000</v>
      </c>
      <c r="D986" s="7">
        <f t="shared" si="16"/>
        <v>-29936195</v>
      </c>
    </row>
    <row r="987" spans="1:4" ht="18" customHeight="1" x14ac:dyDescent="0.25">
      <c r="A987" s="2" t="s">
        <v>1101</v>
      </c>
      <c r="B987" s="7">
        <v>51317350</v>
      </c>
      <c r="C987" s="7">
        <v>57000000</v>
      </c>
      <c r="D987" s="7">
        <f t="shared" si="16"/>
        <v>-5682650</v>
      </c>
    </row>
    <row r="988" spans="1:4" ht="18" customHeight="1" x14ac:dyDescent="0.25">
      <c r="A988" s="2" t="s">
        <v>5080</v>
      </c>
      <c r="B988" s="7">
        <v>6000000</v>
      </c>
      <c r="C988" s="7">
        <v>18000000</v>
      </c>
      <c r="D988" s="7">
        <f t="shared" si="16"/>
        <v>-12000000</v>
      </c>
    </row>
    <row r="989" spans="1:4" ht="18" customHeight="1" x14ac:dyDescent="0.25">
      <c r="A989" s="2" t="s">
        <v>3936</v>
      </c>
      <c r="B989" s="7">
        <v>21283440</v>
      </c>
      <c r="C989" s="7">
        <v>55000000</v>
      </c>
      <c r="D989" s="7">
        <f t="shared" si="16"/>
        <v>-33716560</v>
      </c>
    </row>
    <row r="990" spans="1:4" ht="18" customHeight="1" x14ac:dyDescent="0.25">
      <c r="A990" s="2" t="s">
        <v>6023</v>
      </c>
      <c r="B990" s="7">
        <v>464655</v>
      </c>
      <c r="C990" s="7">
        <v>1000000</v>
      </c>
      <c r="D990" s="7">
        <f t="shared" si="16"/>
        <v>-535345</v>
      </c>
    </row>
    <row r="991" spans="1:4" ht="18" customHeight="1" x14ac:dyDescent="0.25">
      <c r="A991" s="2" t="s">
        <v>3306</v>
      </c>
      <c r="B991" s="7">
        <v>33685268</v>
      </c>
      <c r="C991" s="7">
        <v>68000000</v>
      </c>
      <c r="D991" s="7">
        <f t="shared" si="16"/>
        <v>-34314732</v>
      </c>
    </row>
    <row r="992" spans="1:4" ht="18" customHeight="1" x14ac:dyDescent="0.25">
      <c r="A992" s="2" t="s">
        <v>3357</v>
      </c>
      <c r="B992" s="7">
        <v>32701088</v>
      </c>
      <c r="C992" s="7">
        <v>32000000</v>
      </c>
      <c r="D992" s="7">
        <f t="shared" si="16"/>
        <v>701088</v>
      </c>
    </row>
    <row r="993" spans="1:4" ht="18" customHeight="1" x14ac:dyDescent="0.25">
      <c r="A993" s="2" t="s">
        <v>118</v>
      </c>
      <c r="B993" s="7">
        <v>103338338</v>
      </c>
      <c r="C993" s="7">
        <v>70000000</v>
      </c>
      <c r="D993" s="7">
        <f t="shared" si="16"/>
        <v>33338338</v>
      </c>
    </row>
    <row r="994" spans="1:4" ht="18" customHeight="1" x14ac:dyDescent="0.25">
      <c r="A994" s="2" t="s">
        <v>6681</v>
      </c>
      <c r="B994" s="7">
        <v>7680</v>
      </c>
      <c r="C994" s="7">
        <v>2000000</v>
      </c>
      <c r="D994" s="7">
        <f t="shared" si="16"/>
        <v>-1992320</v>
      </c>
    </row>
    <row r="995" spans="1:4" ht="18" customHeight="1" x14ac:dyDescent="0.25">
      <c r="A995" s="2" t="s">
        <v>4476</v>
      </c>
      <c r="B995" s="7">
        <v>26803366</v>
      </c>
      <c r="C995" s="7">
        <v>70000000</v>
      </c>
      <c r="D995" s="7">
        <f t="shared" si="16"/>
        <v>-43196634</v>
      </c>
    </row>
    <row r="996" spans="1:4" ht="18" customHeight="1" x14ac:dyDescent="0.25">
      <c r="A996" s="2" t="s">
        <v>3406</v>
      </c>
      <c r="B996" s="7">
        <v>31899000</v>
      </c>
      <c r="C996" s="7">
        <v>6500000</v>
      </c>
      <c r="D996" s="7">
        <f t="shared" si="16"/>
        <v>25399000</v>
      </c>
    </row>
    <row r="997" spans="1:4" ht="18" customHeight="1" x14ac:dyDescent="0.25">
      <c r="A997" s="2" t="s">
        <v>3349</v>
      </c>
      <c r="B997" s="7">
        <v>32853640</v>
      </c>
      <c r="C997" s="7">
        <v>40000000</v>
      </c>
      <c r="D997" s="7">
        <f t="shared" si="16"/>
        <v>-7146360</v>
      </c>
    </row>
    <row r="998" spans="1:4" ht="18" customHeight="1" x14ac:dyDescent="0.25">
      <c r="A998" s="2" t="s">
        <v>6104</v>
      </c>
      <c r="B998" s="7">
        <v>342936</v>
      </c>
      <c r="C998" s="7">
        <v>39751583.5</v>
      </c>
      <c r="D998" s="7">
        <f t="shared" si="16"/>
        <v>-39408647.5</v>
      </c>
    </row>
    <row r="999" spans="1:4" ht="18" customHeight="1" x14ac:dyDescent="0.25">
      <c r="A999" s="2" t="s">
        <v>4672</v>
      </c>
      <c r="B999" s="7">
        <v>10706786</v>
      </c>
      <c r="C999" s="7">
        <v>50000000</v>
      </c>
      <c r="D999" s="7">
        <f t="shared" si="16"/>
        <v>-39293214</v>
      </c>
    </row>
    <row r="1000" spans="1:4" ht="18" customHeight="1" x14ac:dyDescent="0.25">
      <c r="A1000" s="2" t="s">
        <v>1792</v>
      </c>
      <c r="B1000" s="7">
        <v>48334413</v>
      </c>
      <c r="C1000" s="7">
        <v>12000000</v>
      </c>
      <c r="D1000" s="7">
        <f t="shared" si="16"/>
        <v>36334413</v>
      </c>
    </row>
    <row r="1001" spans="1:4" ht="18" customHeight="1" x14ac:dyDescent="0.25">
      <c r="A1001" s="2" t="s">
        <v>4131</v>
      </c>
      <c r="B1001" s="7">
        <v>17843379</v>
      </c>
      <c r="C1001" s="7">
        <v>8000000</v>
      </c>
      <c r="D1001" s="7">
        <f t="shared" si="16"/>
        <v>9843379</v>
      </c>
    </row>
    <row r="1002" spans="1:4" ht="18" customHeight="1" x14ac:dyDescent="0.25">
      <c r="A1002" s="2" t="s">
        <v>3248</v>
      </c>
      <c r="B1002" s="7">
        <v>35054909</v>
      </c>
      <c r="C1002" s="7">
        <v>15000000</v>
      </c>
      <c r="D1002" s="7">
        <f t="shared" si="16"/>
        <v>20054909</v>
      </c>
    </row>
    <row r="1003" spans="1:4" ht="18" customHeight="1" x14ac:dyDescent="0.25">
      <c r="A1003" s="2" t="s">
        <v>3362</v>
      </c>
      <c r="B1003" s="7">
        <v>32616869</v>
      </c>
      <c r="C1003" s="7">
        <v>72000000</v>
      </c>
      <c r="D1003" s="7">
        <f t="shared" si="16"/>
        <v>-39383131</v>
      </c>
    </row>
    <row r="1004" spans="1:4" ht="18" customHeight="1" x14ac:dyDescent="0.25">
      <c r="A1004" s="2" t="s">
        <v>6182</v>
      </c>
      <c r="B1004" s="7">
        <v>238774</v>
      </c>
      <c r="C1004" s="7">
        <v>39751583.5</v>
      </c>
      <c r="D1004" s="7">
        <f t="shared" si="16"/>
        <v>-39512809.5</v>
      </c>
    </row>
    <row r="1005" spans="1:4" ht="18" customHeight="1" x14ac:dyDescent="0.25">
      <c r="A1005" s="2" t="s">
        <v>91</v>
      </c>
      <c r="B1005" s="7">
        <v>106593296</v>
      </c>
      <c r="C1005" s="7">
        <v>7500000</v>
      </c>
      <c r="D1005" s="7">
        <f t="shared" si="16"/>
        <v>99093296</v>
      </c>
    </row>
    <row r="1006" spans="1:4" ht="18" customHeight="1" x14ac:dyDescent="0.25">
      <c r="A1006" s="2" t="s">
        <v>4684</v>
      </c>
      <c r="B1006" s="7">
        <v>10561238</v>
      </c>
      <c r="C1006" s="7">
        <v>10000000</v>
      </c>
      <c r="D1006" s="7">
        <f t="shared" si="16"/>
        <v>561238</v>
      </c>
    </row>
    <row r="1007" spans="1:4" ht="18" customHeight="1" x14ac:dyDescent="0.25">
      <c r="A1007" s="2" t="s">
        <v>4313</v>
      </c>
      <c r="B1007" s="7">
        <v>15427192</v>
      </c>
      <c r="C1007" s="7">
        <v>16000000</v>
      </c>
      <c r="D1007" s="7">
        <f t="shared" si="16"/>
        <v>-572808</v>
      </c>
    </row>
    <row r="1008" spans="1:4" ht="18" customHeight="1" x14ac:dyDescent="0.25">
      <c r="A1008" s="2" t="s">
        <v>935</v>
      </c>
      <c r="B1008" s="7">
        <v>56398162</v>
      </c>
      <c r="C1008" s="7">
        <v>20000000</v>
      </c>
      <c r="D1008" s="7">
        <f t="shared" si="16"/>
        <v>36398162</v>
      </c>
    </row>
    <row r="1009" spans="1:4" ht="18" customHeight="1" x14ac:dyDescent="0.25">
      <c r="A1009" s="2" t="s">
        <v>2722</v>
      </c>
      <c r="B1009" s="7">
        <v>48334413</v>
      </c>
      <c r="C1009" s="7">
        <v>22000</v>
      </c>
      <c r="D1009" s="7">
        <f t="shared" si="16"/>
        <v>48312413</v>
      </c>
    </row>
    <row r="1010" spans="1:4" ht="18" customHeight="1" x14ac:dyDescent="0.25">
      <c r="A1010" s="2" t="s">
        <v>2801</v>
      </c>
      <c r="B1010" s="7">
        <v>46729374</v>
      </c>
      <c r="C1010" s="7">
        <v>13000000</v>
      </c>
      <c r="D1010" s="7">
        <f t="shared" si="16"/>
        <v>33729374</v>
      </c>
    </row>
    <row r="1011" spans="1:4" ht="18" customHeight="1" x14ac:dyDescent="0.25">
      <c r="A1011" s="2" t="s">
        <v>2725</v>
      </c>
      <c r="B1011" s="7">
        <v>48334413</v>
      </c>
      <c r="C1011" s="7">
        <v>20000</v>
      </c>
      <c r="D1011" s="7">
        <f t="shared" si="16"/>
        <v>48314413</v>
      </c>
    </row>
    <row r="1012" spans="1:4" ht="18" customHeight="1" x14ac:dyDescent="0.25">
      <c r="A1012" s="2" t="s">
        <v>4758</v>
      </c>
      <c r="B1012" s="7">
        <v>9694105</v>
      </c>
      <c r="C1012" s="7">
        <v>22000000</v>
      </c>
      <c r="D1012" s="7">
        <f t="shared" si="16"/>
        <v>-12305895</v>
      </c>
    </row>
    <row r="1013" spans="1:4" ht="18" customHeight="1" x14ac:dyDescent="0.25">
      <c r="A1013" s="2" t="s">
        <v>171</v>
      </c>
      <c r="B1013" s="7">
        <v>100448498</v>
      </c>
      <c r="C1013" s="7">
        <v>65000000</v>
      </c>
      <c r="D1013" s="7">
        <f t="shared" si="16"/>
        <v>35448498</v>
      </c>
    </row>
    <row r="1014" spans="1:4" ht="18" customHeight="1" x14ac:dyDescent="0.25">
      <c r="A1014" s="2" t="s">
        <v>3985</v>
      </c>
      <c r="B1014" s="7">
        <v>20400000</v>
      </c>
      <c r="C1014" s="7">
        <v>8000000</v>
      </c>
      <c r="D1014" s="7">
        <f t="shared" si="16"/>
        <v>12400000</v>
      </c>
    </row>
    <row r="1015" spans="1:4" ht="18" customHeight="1" x14ac:dyDescent="0.25">
      <c r="A1015" s="2" t="s">
        <v>5216</v>
      </c>
      <c r="B1015" s="7">
        <v>4734235</v>
      </c>
      <c r="C1015" s="7">
        <v>15000000</v>
      </c>
      <c r="D1015" s="7">
        <f t="shared" si="16"/>
        <v>-10265765</v>
      </c>
    </row>
    <row r="1016" spans="1:4" ht="18" customHeight="1" x14ac:dyDescent="0.25">
      <c r="A1016" s="2" t="s">
        <v>5967</v>
      </c>
      <c r="B1016" s="7">
        <v>563699</v>
      </c>
      <c r="C1016" s="7">
        <v>39751583.5</v>
      </c>
      <c r="D1016" s="7">
        <f t="shared" si="16"/>
        <v>-39187884.5</v>
      </c>
    </row>
    <row r="1017" spans="1:4" ht="18" customHeight="1" x14ac:dyDescent="0.25">
      <c r="A1017" s="2" t="s">
        <v>5862</v>
      </c>
      <c r="B1017" s="7">
        <v>860002</v>
      </c>
      <c r="C1017" s="7">
        <v>12000000</v>
      </c>
      <c r="D1017" s="7">
        <f t="shared" si="16"/>
        <v>-11139998</v>
      </c>
    </row>
    <row r="1018" spans="1:4" ht="18" customHeight="1" x14ac:dyDescent="0.25">
      <c r="A1018" s="2" t="s">
        <v>319</v>
      </c>
      <c r="B1018" s="7">
        <v>86208010</v>
      </c>
      <c r="C1018" s="7">
        <v>35000000</v>
      </c>
      <c r="D1018" s="7">
        <f t="shared" si="16"/>
        <v>51208010</v>
      </c>
    </row>
    <row r="1019" spans="1:4" ht="18" customHeight="1" x14ac:dyDescent="0.25">
      <c r="A1019" s="2" t="s">
        <v>3677</v>
      </c>
      <c r="B1019" s="7">
        <v>26096584</v>
      </c>
      <c r="C1019" s="7">
        <v>19000000</v>
      </c>
      <c r="D1019" s="7">
        <f t="shared" si="16"/>
        <v>7096584</v>
      </c>
    </row>
    <row r="1020" spans="1:4" ht="18" customHeight="1" x14ac:dyDescent="0.25">
      <c r="A1020" s="2" t="s">
        <v>3609</v>
      </c>
      <c r="B1020" s="7">
        <v>27400000</v>
      </c>
      <c r="C1020" s="7">
        <v>40000000</v>
      </c>
      <c r="D1020" s="7">
        <f t="shared" si="16"/>
        <v>-12600000</v>
      </c>
    </row>
    <row r="1021" spans="1:4" ht="18" customHeight="1" x14ac:dyDescent="0.25">
      <c r="A1021" s="2" t="s">
        <v>1738</v>
      </c>
      <c r="B1021" s="7">
        <v>48334413</v>
      </c>
      <c r="C1021" s="7">
        <v>15000000</v>
      </c>
      <c r="D1021" s="7">
        <f t="shared" si="16"/>
        <v>33334413</v>
      </c>
    </row>
    <row r="1022" spans="1:4" ht="18" customHeight="1" x14ac:dyDescent="0.25">
      <c r="A1022" s="2" t="s">
        <v>4762</v>
      </c>
      <c r="B1022" s="7">
        <v>9652000</v>
      </c>
      <c r="C1022" s="7">
        <v>40000000</v>
      </c>
      <c r="D1022" s="7">
        <f t="shared" si="16"/>
        <v>-30348000</v>
      </c>
    </row>
    <row r="1023" spans="1:4" ht="18" customHeight="1" x14ac:dyDescent="0.25">
      <c r="A1023" s="2" t="s">
        <v>2996</v>
      </c>
      <c r="B1023" s="7">
        <v>40559930</v>
      </c>
      <c r="C1023" s="7">
        <v>60000000</v>
      </c>
      <c r="D1023" s="7">
        <f t="shared" si="16"/>
        <v>-19440070</v>
      </c>
    </row>
    <row r="1024" spans="1:4" ht="18" customHeight="1" x14ac:dyDescent="0.25">
      <c r="A1024" s="2" t="s">
        <v>2719</v>
      </c>
      <c r="B1024" s="7">
        <v>48334413</v>
      </c>
      <c r="C1024" s="7">
        <v>25000</v>
      </c>
      <c r="D1024" s="7">
        <f t="shared" si="16"/>
        <v>48309413</v>
      </c>
    </row>
    <row r="1025" spans="1:4" ht="18" customHeight="1" x14ac:dyDescent="0.25">
      <c r="A1025" s="2" t="s">
        <v>1684</v>
      </c>
      <c r="B1025" s="7">
        <v>48334413</v>
      </c>
      <c r="C1025" s="7">
        <v>20000000</v>
      </c>
      <c r="D1025" s="7">
        <f t="shared" si="16"/>
        <v>28334413</v>
      </c>
    </row>
    <row r="1026" spans="1:4" ht="18" customHeight="1" x14ac:dyDescent="0.25">
      <c r="A1026" s="2" t="s">
        <v>2010</v>
      </c>
      <c r="B1026" s="7">
        <v>48334413</v>
      </c>
      <c r="C1026" s="7">
        <v>5000000</v>
      </c>
      <c r="D1026" s="7">
        <f t="shared" si="16"/>
        <v>43334413</v>
      </c>
    </row>
    <row r="1027" spans="1:4" ht="18" customHeight="1" x14ac:dyDescent="0.25">
      <c r="A1027" s="2" t="s">
        <v>5762</v>
      </c>
      <c r="B1027" s="7">
        <v>1183354</v>
      </c>
      <c r="C1027" s="7">
        <v>20000000</v>
      </c>
      <c r="D1027" s="7">
        <f t="shared" si="16"/>
        <v>-18816646</v>
      </c>
    </row>
    <row r="1028" spans="1:4" ht="18" customHeight="1" x14ac:dyDescent="0.25">
      <c r="A1028" s="2" t="s">
        <v>2312</v>
      </c>
      <c r="B1028" s="7">
        <v>48334413</v>
      </c>
      <c r="C1028" s="7">
        <v>1800000</v>
      </c>
      <c r="D1028" s="7">
        <f t="shared" si="16"/>
        <v>46534413</v>
      </c>
    </row>
    <row r="1029" spans="1:4" ht="18" customHeight="1" x14ac:dyDescent="0.25">
      <c r="A1029" s="2" t="s">
        <v>5576</v>
      </c>
      <c r="B1029" s="7">
        <v>2223990</v>
      </c>
      <c r="C1029" s="7">
        <v>3000000</v>
      </c>
      <c r="D1029" s="7">
        <f t="shared" ref="D1029:D1092" si="17">B1029-C1029</f>
        <v>-776010</v>
      </c>
    </row>
    <row r="1030" spans="1:4" ht="18" customHeight="1" x14ac:dyDescent="0.25">
      <c r="A1030" s="2" t="s">
        <v>157</v>
      </c>
      <c r="B1030" s="7">
        <v>101111837</v>
      </c>
      <c r="C1030" s="7">
        <v>80000000</v>
      </c>
      <c r="D1030" s="7">
        <f t="shared" si="17"/>
        <v>21111837</v>
      </c>
    </row>
    <row r="1031" spans="1:4" ht="18" customHeight="1" x14ac:dyDescent="0.25">
      <c r="A1031" s="2" t="s">
        <v>3069</v>
      </c>
      <c r="B1031" s="7">
        <v>38916903</v>
      </c>
      <c r="C1031" s="7">
        <v>13000000</v>
      </c>
      <c r="D1031" s="7">
        <f t="shared" si="17"/>
        <v>25916903</v>
      </c>
    </row>
    <row r="1032" spans="1:4" ht="18" customHeight="1" x14ac:dyDescent="0.25">
      <c r="A1032" s="2" t="s">
        <v>5992</v>
      </c>
      <c r="B1032" s="7">
        <v>528972</v>
      </c>
      <c r="C1032" s="7">
        <v>39751583.5</v>
      </c>
      <c r="D1032" s="7">
        <f t="shared" si="17"/>
        <v>-39222611.5</v>
      </c>
    </row>
    <row r="1033" spans="1:4" ht="18" customHeight="1" x14ac:dyDescent="0.25">
      <c r="A1033" s="2" t="s">
        <v>5290</v>
      </c>
      <c r="B1033" s="7">
        <v>4170647</v>
      </c>
      <c r="C1033" s="7">
        <v>1900000</v>
      </c>
      <c r="D1033" s="7">
        <f t="shared" si="17"/>
        <v>2270647</v>
      </c>
    </row>
    <row r="1034" spans="1:4" ht="18" customHeight="1" x14ac:dyDescent="0.25">
      <c r="A1034" s="2" t="s">
        <v>4189</v>
      </c>
      <c r="B1034" s="7">
        <v>17114882</v>
      </c>
      <c r="C1034" s="7">
        <v>25000000</v>
      </c>
      <c r="D1034" s="7">
        <f t="shared" si="17"/>
        <v>-7885118</v>
      </c>
    </row>
    <row r="1035" spans="1:4" ht="18" customHeight="1" x14ac:dyDescent="0.25">
      <c r="A1035" s="2" t="s">
        <v>870</v>
      </c>
      <c r="B1035" s="7">
        <v>58401464</v>
      </c>
      <c r="C1035" s="7">
        <v>8000000</v>
      </c>
      <c r="D1035" s="7">
        <f t="shared" si="17"/>
        <v>50401464</v>
      </c>
    </row>
    <row r="1036" spans="1:4" ht="18" customHeight="1" x14ac:dyDescent="0.25">
      <c r="A1036" s="2" t="s">
        <v>6240</v>
      </c>
      <c r="B1036" s="7">
        <v>188870</v>
      </c>
      <c r="C1036" s="7">
        <v>39751583.5</v>
      </c>
      <c r="D1036" s="7">
        <f t="shared" si="17"/>
        <v>-39562713.5</v>
      </c>
    </row>
    <row r="1037" spans="1:4" ht="18" customHeight="1" x14ac:dyDescent="0.25">
      <c r="A1037" s="2" t="s">
        <v>5516</v>
      </c>
      <c r="B1037" s="7">
        <v>2656324</v>
      </c>
      <c r="C1037" s="7">
        <v>39751583.5</v>
      </c>
      <c r="D1037" s="7">
        <f t="shared" si="17"/>
        <v>-37095259.5</v>
      </c>
    </row>
    <row r="1038" spans="1:4" ht="18" customHeight="1" x14ac:dyDescent="0.25">
      <c r="A1038" s="2" t="s">
        <v>414</v>
      </c>
      <c r="B1038" s="7">
        <v>80574010</v>
      </c>
      <c r="C1038" s="7">
        <v>60000000</v>
      </c>
      <c r="D1038" s="7">
        <f t="shared" si="17"/>
        <v>20574010</v>
      </c>
    </row>
    <row r="1039" spans="1:4" ht="18" customHeight="1" x14ac:dyDescent="0.25">
      <c r="A1039" s="2" t="s">
        <v>2683</v>
      </c>
      <c r="B1039" s="7">
        <v>48334413</v>
      </c>
      <c r="C1039" s="7">
        <v>100000</v>
      </c>
      <c r="D1039" s="7">
        <f t="shared" si="17"/>
        <v>48234413</v>
      </c>
    </row>
    <row r="1040" spans="1:4" ht="18" customHeight="1" x14ac:dyDescent="0.25">
      <c r="A1040" s="2" t="s">
        <v>2305</v>
      </c>
      <c r="B1040" s="7">
        <v>48334413</v>
      </c>
      <c r="C1040" s="7">
        <v>1800000</v>
      </c>
      <c r="D1040" s="7">
        <f t="shared" si="17"/>
        <v>46534413</v>
      </c>
    </row>
    <row r="1041" spans="1:4" ht="18" customHeight="1" x14ac:dyDescent="0.25">
      <c r="A1041" s="2" t="s">
        <v>5097</v>
      </c>
      <c r="B1041" s="7">
        <v>5887457</v>
      </c>
      <c r="C1041" s="7">
        <v>18000000</v>
      </c>
      <c r="D1041" s="7">
        <f t="shared" si="17"/>
        <v>-12112543</v>
      </c>
    </row>
    <row r="1042" spans="1:4" ht="18" customHeight="1" x14ac:dyDescent="0.25">
      <c r="A1042" s="2" t="s">
        <v>4289</v>
      </c>
      <c r="B1042" s="7">
        <v>31571264</v>
      </c>
      <c r="C1042" s="7">
        <v>46000000</v>
      </c>
      <c r="D1042" s="7">
        <f t="shared" si="17"/>
        <v>-14428736</v>
      </c>
    </row>
    <row r="1043" spans="1:4" ht="18" customHeight="1" x14ac:dyDescent="0.25">
      <c r="A1043" s="2" t="s">
        <v>6733</v>
      </c>
      <c r="B1043" s="7">
        <v>1521</v>
      </c>
      <c r="C1043" s="7">
        <v>1500000</v>
      </c>
      <c r="D1043" s="7">
        <f t="shared" si="17"/>
        <v>-1498479</v>
      </c>
    </row>
    <row r="1044" spans="1:4" ht="18" customHeight="1" x14ac:dyDescent="0.25">
      <c r="A1044" s="2" t="s">
        <v>6689</v>
      </c>
      <c r="B1044" s="7">
        <v>5824</v>
      </c>
      <c r="C1044" s="7">
        <v>39751583.5</v>
      </c>
      <c r="D1044" s="7">
        <f t="shared" si="17"/>
        <v>-39745759.5</v>
      </c>
    </row>
    <row r="1045" spans="1:4" ht="18" customHeight="1" x14ac:dyDescent="0.25">
      <c r="A1045" s="2" t="s">
        <v>1446</v>
      </c>
      <c r="B1045" s="7">
        <v>48334413</v>
      </c>
      <c r="C1045" s="7">
        <v>39751583.5</v>
      </c>
      <c r="D1045" s="7">
        <f t="shared" si="17"/>
        <v>8582829.5</v>
      </c>
    </row>
    <row r="1046" spans="1:4" ht="18" customHeight="1" x14ac:dyDescent="0.25">
      <c r="A1046" s="2" t="s">
        <v>2904</v>
      </c>
      <c r="B1046" s="7">
        <v>43290977</v>
      </c>
      <c r="C1046" s="7">
        <v>80000000</v>
      </c>
      <c r="D1046" s="7">
        <f t="shared" si="17"/>
        <v>-36709023</v>
      </c>
    </row>
    <row r="1047" spans="1:4" ht="18" customHeight="1" x14ac:dyDescent="0.25">
      <c r="A1047" s="2" t="s">
        <v>6307</v>
      </c>
      <c r="B1047" s="7">
        <v>131617</v>
      </c>
      <c r="C1047" s="7">
        <v>10000000</v>
      </c>
      <c r="D1047" s="7">
        <f t="shared" si="17"/>
        <v>-9868383</v>
      </c>
    </row>
    <row r="1048" spans="1:4" ht="18" customHeight="1" x14ac:dyDescent="0.25">
      <c r="A1048" s="2" t="s">
        <v>3877</v>
      </c>
      <c r="B1048" s="7">
        <v>22362500</v>
      </c>
      <c r="C1048" s="7">
        <v>55000000</v>
      </c>
      <c r="D1048" s="7">
        <f t="shared" si="17"/>
        <v>-32637500</v>
      </c>
    </row>
    <row r="1049" spans="1:4" ht="18" customHeight="1" x14ac:dyDescent="0.25">
      <c r="A1049" s="2" t="s">
        <v>936</v>
      </c>
      <c r="B1049" s="7">
        <v>56362352</v>
      </c>
      <c r="C1049" s="7">
        <v>20000000</v>
      </c>
      <c r="D1049" s="7">
        <f t="shared" si="17"/>
        <v>36362352</v>
      </c>
    </row>
    <row r="1050" spans="1:4" ht="18" customHeight="1" x14ac:dyDescent="0.25">
      <c r="A1050" s="2" t="s">
        <v>399</v>
      </c>
      <c r="B1050" s="7">
        <v>81593527</v>
      </c>
      <c r="C1050" s="7">
        <v>40000000</v>
      </c>
      <c r="D1050" s="7">
        <f t="shared" si="17"/>
        <v>41593527</v>
      </c>
    </row>
    <row r="1051" spans="1:4" ht="18" customHeight="1" x14ac:dyDescent="0.25">
      <c r="A1051" s="2" t="s">
        <v>4183</v>
      </c>
      <c r="B1051" s="7">
        <v>17266505</v>
      </c>
      <c r="C1051" s="7">
        <v>30000000</v>
      </c>
      <c r="D1051" s="7">
        <f t="shared" si="17"/>
        <v>-12733495</v>
      </c>
    </row>
    <row r="1052" spans="1:4" ht="18" customHeight="1" x14ac:dyDescent="0.25">
      <c r="A1052" s="2" t="s">
        <v>5113</v>
      </c>
      <c r="B1052" s="7">
        <v>5709616</v>
      </c>
      <c r="C1052" s="7">
        <v>1800000</v>
      </c>
      <c r="D1052" s="7">
        <f t="shared" si="17"/>
        <v>3909616</v>
      </c>
    </row>
    <row r="1053" spans="1:4" ht="18" customHeight="1" x14ac:dyDescent="0.25">
      <c r="A1053" s="2" t="s">
        <v>5613</v>
      </c>
      <c r="B1053" s="7">
        <v>2040920</v>
      </c>
      <c r="C1053" s="7">
        <v>7000</v>
      </c>
      <c r="D1053" s="7">
        <f t="shared" si="17"/>
        <v>2033920</v>
      </c>
    </row>
    <row r="1054" spans="1:4" ht="18" customHeight="1" x14ac:dyDescent="0.25">
      <c r="A1054" s="2" t="s">
        <v>4363</v>
      </c>
      <c r="B1054" s="7">
        <v>14879556</v>
      </c>
      <c r="C1054" s="7">
        <v>8000000</v>
      </c>
      <c r="D1054" s="7">
        <f t="shared" si="17"/>
        <v>6879556</v>
      </c>
    </row>
    <row r="1055" spans="1:4" ht="18" customHeight="1" x14ac:dyDescent="0.25">
      <c r="A1055" s="2" t="s">
        <v>3784</v>
      </c>
      <c r="B1055" s="7">
        <v>24407944</v>
      </c>
      <c r="C1055" s="7">
        <v>43000000</v>
      </c>
      <c r="D1055" s="7">
        <f t="shared" si="17"/>
        <v>-18592056</v>
      </c>
    </row>
    <row r="1056" spans="1:4" ht="18" customHeight="1" x14ac:dyDescent="0.25">
      <c r="A1056" s="2" t="s">
        <v>6675</v>
      </c>
      <c r="B1056" s="7">
        <v>8060</v>
      </c>
      <c r="C1056" s="7">
        <v>4000000</v>
      </c>
      <c r="D1056" s="7">
        <f t="shared" si="17"/>
        <v>-3991940</v>
      </c>
    </row>
    <row r="1057" spans="1:4" ht="18" customHeight="1" x14ac:dyDescent="0.25">
      <c r="A1057" s="2" t="s">
        <v>4247</v>
      </c>
      <c r="B1057" s="7">
        <v>16264475</v>
      </c>
      <c r="C1057" s="7">
        <v>55000000</v>
      </c>
      <c r="D1057" s="7">
        <f t="shared" si="17"/>
        <v>-38735525</v>
      </c>
    </row>
    <row r="1058" spans="1:4" ht="18" customHeight="1" x14ac:dyDescent="0.25">
      <c r="A1058" s="2" t="s">
        <v>3508</v>
      </c>
      <c r="B1058" s="7">
        <v>30012990</v>
      </c>
      <c r="C1058" s="7">
        <v>25000000</v>
      </c>
      <c r="D1058" s="7">
        <f t="shared" si="17"/>
        <v>5012990</v>
      </c>
    </row>
    <row r="1059" spans="1:4" ht="18" customHeight="1" x14ac:dyDescent="0.25">
      <c r="A1059" s="2" t="s">
        <v>3638</v>
      </c>
      <c r="B1059" s="7">
        <v>26838389</v>
      </c>
      <c r="C1059" s="7">
        <v>57000000</v>
      </c>
      <c r="D1059" s="7">
        <f t="shared" si="17"/>
        <v>-30161611</v>
      </c>
    </row>
    <row r="1060" spans="1:4" ht="18" customHeight="1" x14ac:dyDescent="0.25">
      <c r="A1060" s="2" t="s">
        <v>3849</v>
      </c>
      <c r="B1060" s="7">
        <v>22913677</v>
      </c>
      <c r="C1060" s="7">
        <v>35000000</v>
      </c>
      <c r="D1060" s="7">
        <f t="shared" si="17"/>
        <v>-12086323</v>
      </c>
    </row>
    <row r="1061" spans="1:4" ht="18" customHeight="1" x14ac:dyDescent="0.25">
      <c r="A1061" s="2" t="s">
        <v>6126</v>
      </c>
      <c r="B1061" s="7">
        <v>313436</v>
      </c>
      <c r="C1061" s="7">
        <v>15500000</v>
      </c>
      <c r="D1061" s="7">
        <f t="shared" si="17"/>
        <v>-15186564</v>
      </c>
    </row>
    <row r="1062" spans="1:4" ht="18" customHeight="1" x14ac:dyDescent="0.25">
      <c r="A1062" s="2" t="s">
        <v>2147</v>
      </c>
      <c r="B1062" s="7">
        <v>48334413</v>
      </c>
      <c r="C1062" s="7">
        <v>3000000</v>
      </c>
      <c r="D1062" s="7">
        <f t="shared" si="17"/>
        <v>45334413</v>
      </c>
    </row>
    <row r="1063" spans="1:4" ht="18" customHeight="1" x14ac:dyDescent="0.25">
      <c r="A1063" s="2" t="s">
        <v>1831</v>
      </c>
      <c r="B1063" s="7">
        <v>48334413</v>
      </c>
      <c r="C1063" s="7">
        <v>10000000</v>
      </c>
      <c r="D1063" s="7">
        <f t="shared" si="17"/>
        <v>38334413</v>
      </c>
    </row>
    <row r="1064" spans="1:4" ht="18" customHeight="1" x14ac:dyDescent="0.25">
      <c r="A1064" s="2" t="s">
        <v>2486</v>
      </c>
      <c r="B1064" s="7">
        <v>48334413</v>
      </c>
      <c r="C1064" s="7">
        <v>900000</v>
      </c>
      <c r="D1064" s="7">
        <f t="shared" si="17"/>
        <v>47434413</v>
      </c>
    </row>
    <row r="1065" spans="1:4" ht="18" customHeight="1" x14ac:dyDescent="0.25">
      <c r="A1065" s="2" t="s">
        <v>1383</v>
      </c>
      <c r="B1065" s="7">
        <v>48334413</v>
      </c>
      <c r="C1065" s="7">
        <v>39751583.5</v>
      </c>
      <c r="D1065" s="7">
        <f t="shared" si="17"/>
        <v>8582829.5</v>
      </c>
    </row>
    <row r="1066" spans="1:4" ht="18" customHeight="1" x14ac:dyDescent="0.25">
      <c r="A1066" s="2" t="s">
        <v>1422</v>
      </c>
      <c r="B1066" s="7">
        <v>48334413</v>
      </c>
      <c r="C1066" s="7">
        <v>39751583.5</v>
      </c>
      <c r="D1066" s="7">
        <f t="shared" si="17"/>
        <v>8582829.5</v>
      </c>
    </row>
    <row r="1067" spans="1:4" ht="18" customHeight="1" x14ac:dyDescent="0.25">
      <c r="A1067" s="2" t="s">
        <v>3567</v>
      </c>
      <c r="B1067" s="7">
        <v>28435406</v>
      </c>
      <c r="C1067" s="7">
        <v>12000000</v>
      </c>
      <c r="D1067" s="7">
        <f t="shared" si="17"/>
        <v>16435406</v>
      </c>
    </row>
    <row r="1068" spans="1:4" ht="18" customHeight="1" x14ac:dyDescent="0.25">
      <c r="A1068" s="2" t="s">
        <v>680</v>
      </c>
      <c r="B1068" s="7">
        <v>66862068</v>
      </c>
      <c r="C1068" s="7">
        <v>83000000</v>
      </c>
      <c r="D1068" s="7">
        <f t="shared" si="17"/>
        <v>-16137932</v>
      </c>
    </row>
    <row r="1069" spans="1:4" ht="18" customHeight="1" x14ac:dyDescent="0.25">
      <c r="A1069" s="2" t="s">
        <v>4604</v>
      </c>
      <c r="B1069" s="7">
        <v>11703287</v>
      </c>
      <c r="C1069" s="7">
        <v>10000000</v>
      </c>
      <c r="D1069" s="7">
        <f t="shared" si="17"/>
        <v>1703287</v>
      </c>
    </row>
    <row r="1070" spans="1:4" ht="18" customHeight="1" x14ac:dyDescent="0.25">
      <c r="A1070" s="2" t="s">
        <v>2988</v>
      </c>
      <c r="B1070" s="7">
        <v>40983001</v>
      </c>
      <c r="C1070" s="7">
        <v>7000000</v>
      </c>
      <c r="D1070" s="7">
        <f t="shared" si="17"/>
        <v>33983001</v>
      </c>
    </row>
    <row r="1071" spans="1:4" ht="18" customHeight="1" x14ac:dyDescent="0.25">
      <c r="A1071" s="2" t="s">
        <v>3820</v>
      </c>
      <c r="B1071" s="7">
        <v>23393765</v>
      </c>
      <c r="C1071" s="7">
        <v>20000000</v>
      </c>
      <c r="D1071" s="7">
        <f t="shared" si="17"/>
        <v>3393765</v>
      </c>
    </row>
    <row r="1072" spans="1:4" ht="18" customHeight="1" x14ac:dyDescent="0.25">
      <c r="A1072" s="2" t="s">
        <v>1099</v>
      </c>
      <c r="B1072" s="7">
        <v>51396781</v>
      </c>
      <c r="C1072" s="7">
        <v>68000000</v>
      </c>
      <c r="D1072" s="7">
        <f t="shared" si="17"/>
        <v>-16603219</v>
      </c>
    </row>
    <row r="1073" spans="1:4" ht="18" customHeight="1" x14ac:dyDescent="0.25">
      <c r="A1073" s="2" t="s">
        <v>4156</v>
      </c>
      <c r="B1073" s="7">
        <v>17536788</v>
      </c>
      <c r="C1073" s="7">
        <v>8000000</v>
      </c>
      <c r="D1073" s="7">
        <f t="shared" si="17"/>
        <v>9536788</v>
      </c>
    </row>
    <row r="1074" spans="1:4" ht="18" customHeight="1" x14ac:dyDescent="0.25">
      <c r="A1074" s="2" t="s">
        <v>3058</v>
      </c>
      <c r="B1074" s="7">
        <v>39177215</v>
      </c>
      <c r="C1074" s="7">
        <v>38000000</v>
      </c>
      <c r="D1074" s="7">
        <f t="shared" si="17"/>
        <v>1177215</v>
      </c>
    </row>
    <row r="1075" spans="1:4" ht="18" customHeight="1" x14ac:dyDescent="0.25">
      <c r="A1075" s="2" t="s">
        <v>2546</v>
      </c>
      <c r="B1075" s="7">
        <v>48334413</v>
      </c>
      <c r="C1075" s="7">
        <v>500000</v>
      </c>
      <c r="D1075" s="7">
        <f t="shared" si="17"/>
        <v>47834413</v>
      </c>
    </row>
    <row r="1076" spans="1:4" ht="18" customHeight="1" x14ac:dyDescent="0.25">
      <c r="A1076" s="2" t="s">
        <v>2494</v>
      </c>
      <c r="B1076" s="7">
        <v>48334413</v>
      </c>
      <c r="C1076" s="7">
        <v>800000</v>
      </c>
      <c r="D1076" s="7">
        <f t="shared" si="17"/>
        <v>47534413</v>
      </c>
    </row>
    <row r="1077" spans="1:4" ht="18" customHeight="1" x14ac:dyDescent="0.25">
      <c r="A1077" s="2" t="s">
        <v>6105</v>
      </c>
      <c r="B1077" s="7">
        <v>336467</v>
      </c>
      <c r="C1077" s="7">
        <v>13000000</v>
      </c>
      <c r="D1077" s="7">
        <f t="shared" si="17"/>
        <v>-12663533</v>
      </c>
    </row>
    <row r="1078" spans="1:4" ht="18" customHeight="1" x14ac:dyDescent="0.25">
      <c r="A1078" s="2" t="s">
        <v>1269</v>
      </c>
      <c r="B1078" s="7">
        <v>48334413</v>
      </c>
      <c r="C1078" s="7">
        <v>39751583.5</v>
      </c>
      <c r="D1078" s="7">
        <f t="shared" si="17"/>
        <v>8582829.5</v>
      </c>
    </row>
    <row r="1079" spans="1:4" ht="18" customHeight="1" x14ac:dyDescent="0.25">
      <c r="A1079" s="2" t="s">
        <v>308</v>
      </c>
      <c r="B1079" s="7">
        <v>87704396</v>
      </c>
      <c r="C1079" s="7">
        <v>66000000</v>
      </c>
      <c r="D1079" s="7">
        <f t="shared" si="17"/>
        <v>21704396</v>
      </c>
    </row>
    <row r="1080" spans="1:4" ht="18" customHeight="1" x14ac:dyDescent="0.25">
      <c r="A1080" s="2" t="s">
        <v>4579</v>
      </c>
      <c r="B1080" s="7">
        <v>12181484</v>
      </c>
      <c r="C1080" s="7">
        <v>40000000</v>
      </c>
      <c r="D1080" s="7">
        <f t="shared" si="17"/>
        <v>-27818516</v>
      </c>
    </row>
    <row r="1081" spans="1:4" ht="18" customHeight="1" x14ac:dyDescent="0.25">
      <c r="A1081" s="2" t="s">
        <v>3031</v>
      </c>
      <c r="B1081" s="7">
        <v>39737645</v>
      </c>
      <c r="C1081" s="7">
        <v>20000000</v>
      </c>
      <c r="D1081" s="7">
        <f t="shared" si="17"/>
        <v>19737645</v>
      </c>
    </row>
    <row r="1082" spans="1:4" ht="18" customHeight="1" x14ac:dyDescent="0.25">
      <c r="A1082" s="2" t="s">
        <v>5756</v>
      </c>
      <c r="B1082" s="7">
        <v>1190018</v>
      </c>
      <c r="C1082" s="7">
        <v>20000000</v>
      </c>
      <c r="D1082" s="7">
        <f t="shared" si="17"/>
        <v>-18809982</v>
      </c>
    </row>
    <row r="1083" spans="1:4" ht="18" customHeight="1" x14ac:dyDescent="0.25">
      <c r="A1083" s="2" t="s">
        <v>2723</v>
      </c>
      <c r="B1083" s="7">
        <v>48334413</v>
      </c>
      <c r="C1083" s="7">
        <v>20000</v>
      </c>
      <c r="D1083" s="7">
        <f t="shared" si="17"/>
        <v>48314413</v>
      </c>
    </row>
    <row r="1084" spans="1:4" ht="18" customHeight="1" x14ac:dyDescent="0.25">
      <c r="A1084" s="2" t="s">
        <v>6448</v>
      </c>
      <c r="B1084" s="7">
        <v>71442</v>
      </c>
      <c r="C1084" s="7">
        <v>9600000</v>
      </c>
      <c r="D1084" s="7">
        <f t="shared" si="17"/>
        <v>-9528558</v>
      </c>
    </row>
    <row r="1085" spans="1:4" ht="18" customHeight="1" x14ac:dyDescent="0.25">
      <c r="A1085" s="2" t="s">
        <v>3181</v>
      </c>
      <c r="B1085" s="7">
        <v>36500000</v>
      </c>
      <c r="C1085" s="7">
        <v>8000000</v>
      </c>
      <c r="D1085" s="7">
        <f t="shared" si="17"/>
        <v>28500000</v>
      </c>
    </row>
    <row r="1086" spans="1:4" ht="18" customHeight="1" x14ac:dyDescent="0.25">
      <c r="A1086" s="2" t="s">
        <v>3731</v>
      </c>
      <c r="B1086" s="7">
        <v>25407250</v>
      </c>
      <c r="C1086" s="7">
        <v>50000000</v>
      </c>
      <c r="D1086" s="7">
        <f t="shared" si="17"/>
        <v>-24592750</v>
      </c>
    </row>
    <row r="1087" spans="1:4" ht="18" customHeight="1" x14ac:dyDescent="0.25">
      <c r="A1087" s="2" t="s">
        <v>3740</v>
      </c>
      <c r="B1087" s="7">
        <v>25244700</v>
      </c>
      <c r="C1087" s="7">
        <v>6000000</v>
      </c>
      <c r="D1087" s="7">
        <f t="shared" si="17"/>
        <v>19244700</v>
      </c>
    </row>
    <row r="1088" spans="1:4" ht="18" customHeight="1" x14ac:dyDescent="0.25">
      <c r="A1088" s="2" t="s">
        <v>903</v>
      </c>
      <c r="B1088" s="7">
        <v>57011847</v>
      </c>
      <c r="C1088" s="7">
        <v>40000000</v>
      </c>
      <c r="D1088" s="7">
        <f t="shared" si="17"/>
        <v>17011847</v>
      </c>
    </row>
    <row r="1089" spans="1:4" ht="18" customHeight="1" x14ac:dyDescent="0.25">
      <c r="A1089" s="2" t="s">
        <v>2214</v>
      </c>
      <c r="B1089" s="7">
        <v>48334413</v>
      </c>
      <c r="C1089" s="7">
        <v>2500000</v>
      </c>
      <c r="D1089" s="7">
        <f t="shared" si="17"/>
        <v>45834413</v>
      </c>
    </row>
    <row r="1090" spans="1:4" ht="18" customHeight="1" x14ac:dyDescent="0.25">
      <c r="A1090" s="2" t="s">
        <v>6267</v>
      </c>
      <c r="B1090" s="7">
        <v>169719</v>
      </c>
      <c r="C1090" s="7">
        <v>39751583.5</v>
      </c>
      <c r="D1090" s="7">
        <f t="shared" si="17"/>
        <v>-39581864.5</v>
      </c>
    </row>
    <row r="1091" spans="1:4" ht="18" customHeight="1" x14ac:dyDescent="0.25">
      <c r="A1091" s="2" t="s">
        <v>3749</v>
      </c>
      <c r="B1091" s="7">
        <v>25121291</v>
      </c>
      <c r="C1091" s="7">
        <v>50000000</v>
      </c>
      <c r="D1091" s="7">
        <f t="shared" si="17"/>
        <v>-24878709</v>
      </c>
    </row>
    <row r="1092" spans="1:4" ht="18" customHeight="1" x14ac:dyDescent="0.25">
      <c r="A1092" s="2" t="s">
        <v>6371</v>
      </c>
      <c r="B1092" s="7">
        <v>106869</v>
      </c>
      <c r="C1092" s="7">
        <v>17000000</v>
      </c>
      <c r="D1092" s="7">
        <f t="shared" si="17"/>
        <v>-16893131</v>
      </c>
    </row>
    <row r="1093" spans="1:4" ht="18" customHeight="1" x14ac:dyDescent="0.25">
      <c r="A1093" s="2" t="s">
        <v>3288</v>
      </c>
      <c r="B1093" s="7">
        <v>34126138</v>
      </c>
      <c r="C1093" s="7">
        <v>20000000</v>
      </c>
      <c r="D1093" s="7">
        <f t="shared" ref="D1093:D1156" si="18">B1093-C1093</f>
        <v>14126138</v>
      </c>
    </row>
    <row r="1094" spans="1:4" ht="18" customHeight="1" x14ac:dyDescent="0.25">
      <c r="A1094" s="2" t="s">
        <v>6450</v>
      </c>
      <c r="B1094" s="7">
        <v>70527</v>
      </c>
      <c r="C1094" s="7">
        <v>6500000</v>
      </c>
      <c r="D1094" s="7">
        <f t="shared" si="18"/>
        <v>-6429473</v>
      </c>
    </row>
    <row r="1095" spans="1:4" ht="18" customHeight="1" x14ac:dyDescent="0.25">
      <c r="A1095" s="2" t="s">
        <v>1456</v>
      </c>
      <c r="B1095" s="7">
        <v>48334413</v>
      </c>
      <c r="C1095" s="7">
        <v>39751583.5</v>
      </c>
      <c r="D1095" s="7">
        <f t="shared" si="18"/>
        <v>8582829.5</v>
      </c>
    </row>
    <row r="1096" spans="1:4" ht="18" customHeight="1" x14ac:dyDescent="0.25">
      <c r="A1096" s="2" t="s">
        <v>4144</v>
      </c>
      <c r="B1096" s="7">
        <v>17718223</v>
      </c>
      <c r="C1096" s="7">
        <v>25000000</v>
      </c>
      <c r="D1096" s="7">
        <f t="shared" si="18"/>
        <v>-7281777</v>
      </c>
    </row>
    <row r="1097" spans="1:4" ht="18" customHeight="1" x14ac:dyDescent="0.25">
      <c r="A1097" s="2" t="s">
        <v>3649</v>
      </c>
      <c r="B1097" s="7">
        <v>26616590</v>
      </c>
      <c r="C1097" s="7">
        <v>60000000</v>
      </c>
      <c r="D1097" s="7">
        <f t="shared" si="18"/>
        <v>-33383410</v>
      </c>
    </row>
    <row r="1098" spans="1:4" ht="18" customHeight="1" x14ac:dyDescent="0.25">
      <c r="A1098" s="2" t="s">
        <v>713</v>
      </c>
      <c r="B1098" s="7">
        <v>65703412</v>
      </c>
      <c r="C1098" s="7">
        <v>26000000</v>
      </c>
      <c r="D1098" s="7">
        <f t="shared" si="18"/>
        <v>39703412</v>
      </c>
    </row>
    <row r="1099" spans="1:4" ht="18" customHeight="1" x14ac:dyDescent="0.25">
      <c r="A1099" s="2" t="s">
        <v>2905</v>
      </c>
      <c r="B1099" s="7">
        <v>43247140</v>
      </c>
      <c r="C1099" s="7">
        <v>55000000</v>
      </c>
      <c r="D1099" s="7">
        <f t="shared" si="18"/>
        <v>-11752860</v>
      </c>
    </row>
    <row r="1100" spans="1:4" ht="18" customHeight="1" x14ac:dyDescent="0.25">
      <c r="A1100" s="2" t="s">
        <v>4812</v>
      </c>
      <c r="B1100" s="7">
        <v>8855646</v>
      </c>
      <c r="C1100" s="7">
        <v>21000000</v>
      </c>
      <c r="D1100" s="7">
        <f t="shared" si="18"/>
        <v>-12144354</v>
      </c>
    </row>
    <row r="1101" spans="1:4" ht="18" customHeight="1" x14ac:dyDescent="0.25">
      <c r="A1101" s="2" t="s">
        <v>4756</v>
      </c>
      <c r="B1101" s="7">
        <v>9714482</v>
      </c>
      <c r="C1101" s="7">
        <v>20000000</v>
      </c>
      <c r="D1101" s="7">
        <f t="shared" si="18"/>
        <v>-10285518</v>
      </c>
    </row>
    <row r="1102" spans="1:4" ht="18" customHeight="1" x14ac:dyDescent="0.25">
      <c r="A1102" s="2" t="s">
        <v>5510</v>
      </c>
      <c r="B1102" s="7">
        <v>2711210</v>
      </c>
      <c r="C1102" s="7">
        <v>5000000</v>
      </c>
      <c r="D1102" s="7">
        <f t="shared" si="18"/>
        <v>-2288790</v>
      </c>
    </row>
    <row r="1103" spans="1:4" ht="18" customHeight="1" x14ac:dyDescent="0.25">
      <c r="A1103" s="2" t="s">
        <v>2675</v>
      </c>
      <c r="B1103" s="7">
        <v>48334413</v>
      </c>
      <c r="C1103" s="7">
        <v>100000</v>
      </c>
      <c r="D1103" s="7">
        <f t="shared" si="18"/>
        <v>48234413</v>
      </c>
    </row>
    <row r="1104" spans="1:4" ht="18" customHeight="1" x14ac:dyDescent="0.25">
      <c r="A1104" s="2" t="s">
        <v>2254</v>
      </c>
      <c r="B1104" s="7">
        <v>48334413</v>
      </c>
      <c r="C1104" s="7">
        <v>2000000</v>
      </c>
      <c r="D1104" s="7">
        <f t="shared" si="18"/>
        <v>46334413</v>
      </c>
    </row>
    <row r="1105" spans="1:4" ht="18" customHeight="1" x14ac:dyDescent="0.25">
      <c r="A1105" s="2" t="s">
        <v>4365</v>
      </c>
      <c r="B1105" s="7">
        <v>14821531</v>
      </c>
      <c r="C1105" s="7">
        <v>6000000</v>
      </c>
      <c r="D1105" s="7">
        <f t="shared" si="18"/>
        <v>8821531</v>
      </c>
    </row>
    <row r="1106" spans="1:4" ht="18" customHeight="1" x14ac:dyDescent="0.25">
      <c r="A1106" s="2" t="s">
        <v>5092</v>
      </c>
      <c r="B1106" s="7">
        <v>5923044</v>
      </c>
      <c r="C1106" s="7">
        <v>3600000</v>
      </c>
      <c r="D1106" s="7">
        <f t="shared" si="18"/>
        <v>2323044</v>
      </c>
    </row>
    <row r="1107" spans="1:4" ht="18" customHeight="1" x14ac:dyDescent="0.25">
      <c r="A1107" s="2" t="s">
        <v>997</v>
      </c>
      <c r="B1107" s="7">
        <v>54239856</v>
      </c>
      <c r="C1107" s="7">
        <v>17000000</v>
      </c>
      <c r="D1107" s="7">
        <f t="shared" si="18"/>
        <v>37239856</v>
      </c>
    </row>
    <row r="1108" spans="1:4" ht="18" customHeight="1" x14ac:dyDescent="0.25">
      <c r="A1108" s="2" t="s">
        <v>1170</v>
      </c>
      <c r="B1108" s="7">
        <v>49994804</v>
      </c>
      <c r="C1108" s="7">
        <v>55000000</v>
      </c>
      <c r="D1108" s="7">
        <f t="shared" si="18"/>
        <v>-5005196</v>
      </c>
    </row>
    <row r="1109" spans="1:4" ht="18" customHeight="1" x14ac:dyDescent="0.25">
      <c r="A1109" s="2" t="s">
        <v>1242</v>
      </c>
      <c r="B1109" s="7">
        <v>48334413</v>
      </c>
      <c r="C1109" s="7">
        <v>39751583.5</v>
      </c>
      <c r="D1109" s="7">
        <f t="shared" si="18"/>
        <v>8582829.5</v>
      </c>
    </row>
    <row r="1110" spans="1:4" ht="18" customHeight="1" x14ac:dyDescent="0.25">
      <c r="A1110" s="2" t="s">
        <v>3730</v>
      </c>
      <c r="B1110" s="7">
        <v>25440971</v>
      </c>
      <c r="C1110" s="7">
        <v>15000000</v>
      </c>
      <c r="D1110" s="7">
        <f t="shared" si="18"/>
        <v>10440971</v>
      </c>
    </row>
    <row r="1111" spans="1:4" ht="18" customHeight="1" x14ac:dyDescent="0.25">
      <c r="A1111" s="2" t="s">
        <v>1539</v>
      </c>
      <c r="B1111" s="7">
        <v>48334413</v>
      </c>
      <c r="C1111" s="7">
        <v>39751583.5</v>
      </c>
      <c r="D1111" s="7">
        <f t="shared" si="18"/>
        <v>8582829.5</v>
      </c>
    </row>
    <row r="1112" spans="1:4" ht="18" customHeight="1" x14ac:dyDescent="0.25">
      <c r="A1112" s="2" t="s">
        <v>5752</v>
      </c>
      <c r="B1112" s="7">
        <v>1200000</v>
      </c>
      <c r="C1112" s="7">
        <v>3000000</v>
      </c>
      <c r="D1112" s="7">
        <f t="shared" si="18"/>
        <v>-1800000</v>
      </c>
    </row>
    <row r="1113" spans="1:4" ht="18" customHeight="1" x14ac:dyDescent="0.25">
      <c r="A1113" s="2" t="s">
        <v>652</v>
      </c>
      <c r="B1113" s="7">
        <v>68750000</v>
      </c>
      <c r="C1113" s="7">
        <v>55000000</v>
      </c>
      <c r="D1113" s="7">
        <f t="shared" si="18"/>
        <v>13750000</v>
      </c>
    </row>
    <row r="1114" spans="1:4" ht="18" customHeight="1" x14ac:dyDescent="0.25">
      <c r="A1114" s="2" t="s">
        <v>1578</v>
      </c>
      <c r="B1114" s="7">
        <v>48334413</v>
      </c>
      <c r="C1114" s="7">
        <v>39751583.5</v>
      </c>
      <c r="D1114" s="7">
        <f t="shared" si="18"/>
        <v>8582829.5</v>
      </c>
    </row>
    <row r="1115" spans="1:4" ht="18" customHeight="1" x14ac:dyDescent="0.25">
      <c r="A1115" s="2" t="s">
        <v>6497</v>
      </c>
      <c r="B1115" s="7">
        <v>49413</v>
      </c>
      <c r="C1115" s="7">
        <v>35000000</v>
      </c>
      <c r="D1115" s="7">
        <f t="shared" si="18"/>
        <v>-34950587</v>
      </c>
    </row>
    <row r="1116" spans="1:4" ht="18" customHeight="1" x14ac:dyDescent="0.25">
      <c r="A1116" s="2" t="s">
        <v>5494</v>
      </c>
      <c r="B1116" s="7">
        <v>2840417</v>
      </c>
      <c r="C1116" s="7">
        <v>31000000</v>
      </c>
      <c r="D1116" s="7">
        <f t="shared" si="18"/>
        <v>-28159583</v>
      </c>
    </row>
    <row r="1117" spans="1:4" ht="18" customHeight="1" x14ac:dyDescent="0.25">
      <c r="A1117" s="2" t="s">
        <v>1082</v>
      </c>
      <c r="B1117" s="7">
        <v>51758599</v>
      </c>
      <c r="C1117" s="7">
        <v>33000000</v>
      </c>
      <c r="D1117" s="7">
        <f t="shared" si="18"/>
        <v>18758599</v>
      </c>
    </row>
    <row r="1118" spans="1:4" ht="18" customHeight="1" x14ac:dyDescent="0.25">
      <c r="A1118" s="2" t="s">
        <v>1759</v>
      </c>
      <c r="B1118" s="7">
        <v>48334413</v>
      </c>
      <c r="C1118" s="7">
        <v>14000000</v>
      </c>
      <c r="D1118" s="7">
        <f t="shared" si="18"/>
        <v>34334413</v>
      </c>
    </row>
    <row r="1119" spans="1:4" ht="18" customHeight="1" x14ac:dyDescent="0.25">
      <c r="A1119" s="2" t="s">
        <v>2959</v>
      </c>
      <c r="B1119" s="7">
        <v>41814863</v>
      </c>
      <c r="C1119" s="7">
        <v>50000000</v>
      </c>
      <c r="D1119" s="7">
        <f t="shared" si="18"/>
        <v>-8185137</v>
      </c>
    </row>
    <row r="1120" spans="1:4" ht="18" customHeight="1" x14ac:dyDescent="0.25">
      <c r="A1120" s="2" t="s">
        <v>5168</v>
      </c>
      <c r="B1120" s="7">
        <v>5132222</v>
      </c>
      <c r="C1120" s="7">
        <v>2000000</v>
      </c>
      <c r="D1120" s="7">
        <f t="shared" si="18"/>
        <v>3132222</v>
      </c>
    </row>
    <row r="1121" spans="1:4" ht="18" customHeight="1" x14ac:dyDescent="0.25">
      <c r="A1121" s="2" t="s">
        <v>4667</v>
      </c>
      <c r="B1121" s="7">
        <v>10814185</v>
      </c>
      <c r="C1121" s="7">
        <v>8000000</v>
      </c>
      <c r="D1121" s="7">
        <f t="shared" si="18"/>
        <v>2814185</v>
      </c>
    </row>
    <row r="1122" spans="1:4" ht="18" customHeight="1" x14ac:dyDescent="0.25">
      <c r="A1122" s="2" t="s">
        <v>4593</v>
      </c>
      <c r="B1122" s="7">
        <v>11854694</v>
      </c>
      <c r="C1122" s="7">
        <v>31000000</v>
      </c>
      <c r="D1122" s="7">
        <f t="shared" si="18"/>
        <v>-19145306</v>
      </c>
    </row>
    <row r="1123" spans="1:4" ht="18" customHeight="1" x14ac:dyDescent="0.25">
      <c r="A1123" s="2" t="s">
        <v>4177</v>
      </c>
      <c r="B1123" s="7">
        <v>17305211</v>
      </c>
      <c r="C1123" s="7">
        <v>38000000</v>
      </c>
      <c r="D1123" s="7">
        <f t="shared" si="18"/>
        <v>-20694789</v>
      </c>
    </row>
    <row r="1124" spans="1:4" ht="18" customHeight="1" x14ac:dyDescent="0.25">
      <c r="A1124" s="2" t="s">
        <v>1489</v>
      </c>
      <c r="B1124" s="7">
        <v>48334413</v>
      </c>
      <c r="C1124" s="7">
        <v>39751583.5</v>
      </c>
      <c r="D1124" s="7">
        <f t="shared" si="18"/>
        <v>8582829.5</v>
      </c>
    </row>
    <row r="1125" spans="1:4" ht="18" customHeight="1" x14ac:dyDescent="0.25">
      <c r="A1125" s="2" t="s">
        <v>5204</v>
      </c>
      <c r="B1125" s="7">
        <v>4835968</v>
      </c>
      <c r="C1125" s="7">
        <v>40000000</v>
      </c>
      <c r="D1125" s="7">
        <f t="shared" si="18"/>
        <v>-35164032</v>
      </c>
    </row>
    <row r="1126" spans="1:4" ht="18" customHeight="1" x14ac:dyDescent="0.25">
      <c r="A1126" s="2" t="s">
        <v>3410</v>
      </c>
      <c r="B1126" s="7">
        <v>31836745</v>
      </c>
      <c r="C1126" s="7">
        <v>40000000</v>
      </c>
      <c r="D1126" s="7">
        <f t="shared" si="18"/>
        <v>-8163255</v>
      </c>
    </row>
    <row r="1127" spans="1:4" ht="18" customHeight="1" x14ac:dyDescent="0.25">
      <c r="A1127" s="2" t="s">
        <v>1035</v>
      </c>
      <c r="B1127" s="7">
        <v>53146000</v>
      </c>
      <c r="C1127" s="7">
        <v>20000000</v>
      </c>
      <c r="D1127" s="7">
        <f t="shared" si="18"/>
        <v>33146000</v>
      </c>
    </row>
    <row r="1128" spans="1:4" ht="18" customHeight="1" x14ac:dyDescent="0.25">
      <c r="A1128" s="2" t="s">
        <v>4233</v>
      </c>
      <c r="B1128" s="7">
        <v>16459004</v>
      </c>
      <c r="C1128" s="7">
        <v>15000000</v>
      </c>
      <c r="D1128" s="7">
        <f t="shared" si="18"/>
        <v>1459004</v>
      </c>
    </row>
    <row r="1129" spans="1:4" ht="18" customHeight="1" x14ac:dyDescent="0.25">
      <c r="A1129" s="2" t="s">
        <v>6446</v>
      </c>
      <c r="B1129" s="7">
        <v>71904</v>
      </c>
      <c r="C1129" s="7">
        <v>2500000</v>
      </c>
      <c r="D1129" s="7">
        <f t="shared" si="18"/>
        <v>-2428096</v>
      </c>
    </row>
    <row r="1130" spans="1:4" ht="18" customHeight="1" x14ac:dyDescent="0.25">
      <c r="A1130" s="2" t="s">
        <v>1214</v>
      </c>
      <c r="B1130" s="7">
        <v>48334413</v>
      </c>
      <c r="C1130" s="7">
        <v>55000000</v>
      </c>
      <c r="D1130" s="7">
        <f t="shared" si="18"/>
        <v>-6665587</v>
      </c>
    </row>
    <row r="1131" spans="1:4" ht="18" customHeight="1" x14ac:dyDescent="0.25">
      <c r="A1131" s="2" t="s">
        <v>961</v>
      </c>
      <c r="B1131" s="7">
        <v>55637680</v>
      </c>
      <c r="C1131" s="7">
        <v>65000000</v>
      </c>
      <c r="D1131" s="7">
        <f t="shared" si="18"/>
        <v>-9362320</v>
      </c>
    </row>
    <row r="1132" spans="1:4" ht="18" customHeight="1" x14ac:dyDescent="0.25">
      <c r="A1132" s="2" t="s">
        <v>1805</v>
      </c>
      <c r="B1132" s="7">
        <v>48334413</v>
      </c>
      <c r="C1132" s="7">
        <v>11000000</v>
      </c>
      <c r="D1132" s="7">
        <f t="shared" si="18"/>
        <v>37334413</v>
      </c>
    </row>
    <row r="1133" spans="1:4" ht="18" customHeight="1" x14ac:dyDescent="0.25">
      <c r="A1133" s="2" t="s">
        <v>6561</v>
      </c>
      <c r="B1133" s="7">
        <v>25918</v>
      </c>
      <c r="C1133" s="7">
        <v>39751583.5</v>
      </c>
      <c r="D1133" s="7">
        <f t="shared" si="18"/>
        <v>-39725665.5</v>
      </c>
    </row>
    <row r="1134" spans="1:4" ht="18" customHeight="1" x14ac:dyDescent="0.25">
      <c r="A1134" s="2" t="s">
        <v>4724</v>
      </c>
      <c r="B1134" s="7">
        <v>10174663</v>
      </c>
      <c r="C1134" s="7">
        <v>100000</v>
      </c>
      <c r="D1134" s="7">
        <f t="shared" si="18"/>
        <v>10074663</v>
      </c>
    </row>
    <row r="1135" spans="1:4" ht="18" customHeight="1" x14ac:dyDescent="0.25">
      <c r="A1135" s="2" t="s">
        <v>5675</v>
      </c>
      <c r="B1135" s="7">
        <v>1654367</v>
      </c>
      <c r="C1135" s="7">
        <v>7000000</v>
      </c>
      <c r="D1135" s="7">
        <f t="shared" si="18"/>
        <v>-5345633</v>
      </c>
    </row>
    <row r="1136" spans="1:4" ht="18" customHeight="1" x14ac:dyDescent="0.25">
      <c r="A1136" s="2" t="s">
        <v>299</v>
      </c>
      <c r="B1136" s="7">
        <v>88658172</v>
      </c>
      <c r="C1136" s="7">
        <v>50000000</v>
      </c>
      <c r="D1136" s="7">
        <f t="shared" si="18"/>
        <v>38658172</v>
      </c>
    </row>
    <row r="1137" spans="1:4" ht="18" customHeight="1" x14ac:dyDescent="0.25">
      <c r="A1137" s="2" t="s">
        <v>4769</v>
      </c>
      <c r="B1137" s="7">
        <v>9528092</v>
      </c>
      <c r="C1137" s="7">
        <v>22000000</v>
      </c>
      <c r="D1137" s="7">
        <f t="shared" si="18"/>
        <v>-12471908</v>
      </c>
    </row>
    <row r="1138" spans="1:4" ht="18" customHeight="1" x14ac:dyDescent="0.25">
      <c r="A1138" s="2" t="s">
        <v>2528</v>
      </c>
      <c r="B1138" s="7">
        <v>48334413</v>
      </c>
      <c r="C1138" s="7">
        <v>550000</v>
      </c>
      <c r="D1138" s="7">
        <f t="shared" si="18"/>
        <v>47784413</v>
      </c>
    </row>
    <row r="1139" spans="1:4" ht="18" customHeight="1" x14ac:dyDescent="0.25">
      <c r="A1139" s="2" t="s">
        <v>1862</v>
      </c>
      <c r="B1139" s="7">
        <v>48334413</v>
      </c>
      <c r="C1139" s="7">
        <v>10000000</v>
      </c>
      <c r="D1139" s="7">
        <f t="shared" si="18"/>
        <v>38334413</v>
      </c>
    </row>
    <row r="1140" spans="1:4" ht="18" customHeight="1" x14ac:dyDescent="0.25">
      <c r="A1140" s="2" t="s">
        <v>5603</v>
      </c>
      <c r="B1140" s="7">
        <v>2104000</v>
      </c>
      <c r="C1140" s="7">
        <v>13000000</v>
      </c>
      <c r="D1140" s="7">
        <f t="shared" si="18"/>
        <v>-10896000</v>
      </c>
    </row>
    <row r="1141" spans="1:4" ht="18" customHeight="1" x14ac:dyDescent="0.25">
      <c r="A1141" s="2" t="s">
        <v>6671</v>
      </c>
      <c r="B1141" s="7">
        <v>8691</v>
      </c>
      <c r="C1141" s="7">
        <v>4500000</v>
      </c>
      <c r="D1141" s="7">
        <f t="shared" si="18"/>
        <v>-4491309</v>
      </c>
    </row>
    <row r="1142" spans="1:4" ht="18" customHeight="1" x14ac:dyDescent="0.25">
      <c r="A1142" s="2" t="s">
        <v>3874</v>
      </c>
      <c r="B1142" s="7">
        <v>22452209</v>
      </c>
      <c r="C1142" s="7">
        <v>18000000</v>
      </c>
      <c r="D1142" s="7">
        <f t="shared" si="18"/>
        <v>4452209</v>
      </c>
    </row>
    <row r="1143" spans="1:4" ht="18" customHeight="1" x14ac:dyDescent="0.25">
      <c r="A1143" s="2" t="s">
        <v>2048</v>
      </c>
      <c r="B1143" s="7">
        <v>48334413</v>
      </c>
      <c r="C1143" s="7">
        <v>4490375</v>
      </c>
      <c r="D1143" s="7">
        <f t="shared" si="18"/>
        <v>43844038</v>
      </c>
    </row>
    <row r="1144" spans="1:4" ht="18" customHeight="1" x14ac:dyDescent="0.25">
      <c r="A1144" s="2" t="s">
        <v>810</v>
      </c>
      <c r="B1144" s="7">
        <v>60507228</v>
      </c>
      <c r="C1144" s="7">
        <v>80000000</v>
      </c>
      <c r="D1144" s="7">
        <f t="shared" si="18"/>
        <v>-19492772</v>
      </c>
    </row>
    <row r="1145" spans="1:4" ht="18" customHeight="1" x14ac:dyDescent="0.25">
      <c r="A1145" s="2" t="s">
        <v>489</v>
      </c>
      <c r="B1145" s="7">
        <v>76400000</v>
      </c>
      <c r="C1145" s="7">
        <v>2280000</v>
      </c>
      <c r="D1145" s="7">
        <f t="shared" si="18"/>
        <v>74120000</v>
      </c>
    </row>
    <row r="1146" spans="1:4" ht="18" customHeight="1" x14ac:dyDescent="0.25">
      <c r="A1146" s="2" t="s">
        <v>3951</v>
      </c>
      <c r="B1146" s="7">
        <v>20999103</v>
      </c>
      <c r="C1146" s="7">
        <v>40000000</v>
      </c>
      <c r="D1146" s="7">
        <f t="shared" si="18"/>
        <v>-19000897</v>
      </c>
    </row>
    <row r="1147" spans="1:4" ht="18" customHeight="1" x14ac:dyDescent="0.25">
      <c r="A1147" s="2" t="s">
        <v>4283</v>
      </c>
      <c r="B1147" s="7">
        <v>15854988</v>
      </c>
      <c r="C1147" s="7">
        <v>13500000</v>
      </c>
      <c r="D1147" s="7">
        <f t="shared" si="18"/>
        <v>2354988</v>
      </c>
    </row>
    <row r="1148" spans="1:4" ht="18" customHeight="1" x14ac:dyDescent="0.25">
      <c r="A1148" s="2" t="s">
        <v>1925</v>
      </c>
      <c r="B1148" s="7">
        <v>48334413</v>
      </c>
      <c r="C1148" s="7">
        <v>7700000</v>
      </c>
      <c r="D1148" s="7">
        <f t="shared" si="18"/>
        <v>40634413</v>
      </c>
    </row>
    <row r="1149" spans="1:4" ht="18" customHeight="1" x14ac:dyDescent="0.25">
      <c r="A1149" s="2" t="s">
        <v>1391</v>
      </c>
      <c r="B1149" s="7">
        <v>48334413</v>
      </c>
      <c r="C1149" s="7">
        <v>39751583.5</v>
      </c>
      <c r="D1149" s="7">
        <f t="shared" si="18"/>
        <v>8582829.5</v>
      </c>
    </row>
    <row r="1150" spans="1:4" ht="18" customHeight="1" x14ac:dyDescent="0.25">
      <c r="A1150" s="2" t="s">
        <v>1369</v>
      </c>
      <c r="B1150" s="7">
        <v>48334413</v>
      </c>
      <c r="C1150" s="7">
        <v>39751583.5</v>
      </c>
      <c r="D1150" s="7">
        <f t="shared" si="18"/>
        <v>8582829.5</v>
      </c>
    </row>
    <row r="1151" spans="1:4" ht="18" customHeight="1" x14ac:dyDescent="0.25">
      <c r="A1151" s="2" t="s">
        <v>6619</v>
      </c>
      <c r="B1151" s="7">
        <v>16066</v>
      </c>
      <c r="C1151" s="7">
        <v>5000000</v>
      </c>
      <c r="D1151" s="7">
        <f t="shared" si="18"/>
        <v>-4983934</v>
      </c>
    </row>
    <row r="1152" spans="1:4" ht="18" customHeight="1" x14ac:dyDescent="0.25">
      <c r="A1152" s="2" t="s">
        <v>2038</v>
      </c>
      <c r="B1152" s="7">
        <v>48334413</v>
      </c>
      <c r="C1152" s="7">
        <v>4500000</v>
      </c>
      <c r="D1152" s="7">
        <f t="shared" si="18"/>
        <v>43834413</v>
      </c>
    </row>
    <row r="1153" spans="1:4" ht="18" customHeight="1" x14ac:dyDescent="0.25">
      <c r="A1153" s="2" t="s">
        <v>3826</v>
      </c>
      <c r="B1153" s="7">
        <v>23225911</v>
      </c>
      <c r="C1153" s="7">
        <v>24000000</v>
      </c>
      <c r="D1153" s="7">
        <f t="shared" si="18"/>
        <v>-774089</v>
      </c>
    </row>
    <row r="1154" spans="1:4" ht="18" customHeight="1" x14ac:dyDescent="0.25">
      <c r="A1154" s="2" t="s">
        <v>2751</v>
      </c>
      <c r="B1154" s="7">
        <v>48114556</v>
      </c>
      <c r="C1154" s="7">
        <v>26000000</v>
      </c>
      <c r="D1154" s="7">
        <f t="shared" si="18"/>
        <v>22114556</v>
      </c>
    </row>
    <row r="1155" spans="1:4" ht="18" customHeight="1" x14ac:dyDescent="0.25">
      <c r="A1155" s="2" t="s">
        <v>2212</v>
      </c>
      <c r="B1155" s="7">
        <v>48334413</v>
      </c>
      <c r="C1155" s="7">
        <v>2500000</v>
      </c>
      <c r="D1155" s="7">
        <f t="shared" si="18"/>
        <v>45834413</v>
      </c>
    </row>
    <row r="1156" spans="1:4" ht="18" customHeight="1" x14ac:dyDescent="0.25">
      <c r="A1156" s="2" t="s">
        <v>4682</v>
      </c>
      <c r="B1156" s="7">
        <v>10562387</v>
      </c>
      <c r="C1156" s="7">
        <v>18500000</v>
      </c>
      <c r="D1156" s="7">
        <f t="shared" si="18"/>
        <v>-7937613</v>
      </c>
    </row>
    <row r="1157" spans="1:4" ht="18" customHeight="1" x14ac:dyDescent="0.25">
      <c r="A1157" s="2" t="s">
        <v>2465</v>
      </c>
      <c r="B1157" s="7">
        <v>48334413</v>
      </c>
      <c r="C1157" s="7">
        <v>1000000</v>
      </c>
      <c r="D1157" s="7">
        <f t="shared" ref="D1157:D1220" si="19">B1157-C1157</f>
        <v>47334413</v>
      </c>
    </row>
    <row r="1158" spans="1:4" ht="18" customHeight="1" x14ac:dyDescent="0.25">
      <c r="A1158" s="2" t="s">
        <v>4501</v>
      </c>
      <c r="B1158" s="7">
        <v>13208023</v>
      </c>
      <c r="C1158" s="7">
        <v>42000000</v>
      </c>
      <c r="D1158" s="7">
        <f t="shared" si="19"/>
        <v>-28791977</v>
      </c>
    </row>
    <row r="1159" spans="1:4" ht="18" customHeight="1" x14ac:dyDescent="0.25">
      <c r="A1159" s="2" t="s">
        <v>2129</v>
      </c>
      <c r="B1159" s="7">
        <v>48334413</v>
      </c>
      <c r="C1159" s="7">
        <v>3200000</v>
      </c>
      <c r="D1159" s="7">
        <f t="shared" si="19"/>
        <v>45134413</v>
      </c>
    </row>
    <row r="1160" spans="1:4" ht="18" customHeight="1" x14ac:dyDescent="0.25">
      <c r="A1160" s="2" t="s">
        <v>5874</v>
      </c>
      <c r="B1160" s="7">
        <v>819852</v>
      </c>
      <c r="C1160" s="7">
        <v>39751583.5</v>
      </c>
      <c r="D1160" s="7">
        <f t="shared" si="19"/>
        <v>-38931731.5</v>
      </c>
    </row>
    <row r="1161" spans="1:4" ht="18" customHeight="1" x14ac:dyDescent="0.25">
      <c r="A1161" s="2" t="s">
        <v>5010</v>
      </c>
      <c r="B1161" s="7">
        <v>6592103</v>
      </c>
      <c r="C1161" s="7">
        <v>35000000</v>
      </c>
      <c r="D1161" s="7">
        <f t="shared" si="19"/>
        <v>-28407897</v>
      </c>
    </row>
    <row r="1162" spans="1:4" ht="18" customHeight="1" x14ac:dyDescent="0.25">
      <c r="A1162" s="2" t="s">
        <v>2348</v>
      </c>
      <c r="B1162" s="7">
        <v>48334413</v>
      </c>
      <c r="C1162" s="7">
        <v>1500000</v>
      </c>
      <c r="D1162" s="7">
        <f t="shared" si="19"/>
        <v>46834413</v>
      </c>
    </row>
    <row r="1163" spans="1:4" ht="18" customHeight="1" x14ac:dyDescent="0.25">
      <c r="A1163" s="2" t="s">
        <v>2946</v>
      </c>
      <c r="B1163" s="7">
        <v>42071069</v>
      </c>
      <c r="C1163" s="7">
        <v>30000000</v>
      </c>
      <c r="D1163" s="7">
        <f t="shared" si="19"/>
        <v>12071069</v>
      </c>
    </row>
    <row r="1164" spans="1:4" ht="18" customHeight="1" x14ac:dyDescent="0.25">
      <c r="A1164" s="2" t="s">
        <v>1168</v>
      </c>
      <c r="B1164" s="7">
        <v>50000000</v>
      </c>
      <c r="C1164" s="7">
        <v>9000000</v>
      </c>
      <c r="D1164" s="7">
        <f t="shared" si="19"/>
        <v>41000000</v>
      </c>
    </row>
    <row r="1165" spans="1:4" ht="18" customHeight="1" x14ac:dyDescent="0.25">
      <c r="A1165" s="2" t="s">
        <v>6140</v>
      </c>
      <c r="B1165" s="7">
        <v>298110</v>
      </c>
      <c r="C1165" s="7">
        <v>8000000</v>
      </c>
      <c r="D1165" s="7">
        <f t="shared" si="19"/>
        <v>-7701890</v>
      </c>
    </row>
    <row r="1166" spans="1:4" ht="18" customHeight="1" x14ac:dyDescent="0.25">
      <c r="A1166" s="2" t="s">
        <v>1962</v>
      </c>
      <c r="B1166" s="7">
        <v>48334413</v>
      </c>
      <c r="C1166" s="7">
        <v>6000000</v>
      </c>
      <c r="D1166" s="7">
        <f t="shared" si="19"/>
        <v>42334413</v>
      </c>
    </row>
    <row r="1167" spans="1:4" ht="18" customHeight="1" x14ac:dyDescent="0.25">
      <c r="A1167" s="2" t="s">
        <v>4608</v>
      </c>
      <c r="B1167" s="7">
        <v>11675178</v>
      </c>
      <c r="C1167" s="7">
        <v>5000000</v>
      </c>
      <c r="D1167" s="7">
        <f t="shared" si="19"/>
        <v>6675178</v>
      </c>
    </row>
    <row r="1168" spans="1:4" ht="18" customHeight="1" x14ac:dyDescent="0.25">
      <c r="A1168" s="2" t="s">
        <v>3163</v>
      </c>
      <c r="B1168" s="7">
        <v>37023395</v>
      </c>
      <c r="C1168" s="7">
        <v>63000000</v>
      </c>
      <c r="D1168" s="7">
        <f t="shared" si="19"/>
        <v>-25976605</v>
      </c>
    </row>
    <row r="1169" spans="1:4" ht="18" customHeight="1" x14ac:dyDescent="0.25">
      <c r="A1169" s="2" t="s">
        <v>2649</v>
      </c>
      <c r="B1169" s="7">
        <v>48334413</v>
      </c>
      <c r="C1169" s="7">
        <v>150000</v>
      </c>
      <c r="D1169" s="7">
        <f t="shared" si="19"/>
        <v>48184413</v>
      </c>
    </row>
    <row r="1170" spans="1:4" ht="18" customHeight="1" x14ac:dyDescent="0.25">
      <c r="A1170" s="2" t="s">
        <v>1626</v>
      </c>
      <c r="B1170" s="7">
        <v>48334413</v>
      </c>
      <c r="C1170" s="7">
        <v>27000000</v>
      </c>
      <c r="D1170" s="7">
        <f t="shared" si="19"/>
        <v>21334413</v>
      </c>
    </row>
    <row r="1171" spans="1:4" ht="18" customHeight="1" x14ac:dyDescent="0.25">
      <c r="A1171" s="2" t="s">
        <v>6694</v>
      </c>
      <c r="B1171" s="7">
        <v>5199</v>
      </c>
      <c r="C1171" s="7">
        <v>200000</v>
      </c>
      <c r="D1171" s="7">
        <f t="shared" si="19"/>
        <v>-194801</v>
      </c>
    </row>
    <row r="1172" spans="1:4" ht="18" customHeight="1" x14ac:dyDescent="0.25">
      <c r="A1172" s="2" t="s">
        <v>5497</v>
      </c>
      <c r="B1172" s="7">
        <v>2833383</v>
      </c>
      <c r="C1172" s="7">
        <v>427000</v>
      </c>
      <c r="D1172" s="7">
        <f t="shared" si="19"/>
        <v>2406383</v>
      </c>
    </row>
    <row r="1173" spans="1:4" ht="18" customHeight="1" x14ac:dyDescent="0.25">
      <c r="A1173" s="2" t="s">
        <v>2806</v>
      </c>
      <c r="B1173" s="7">
        <v>46455802</v>
      </c>
      <c r="C1173" s="7">
        <v>26000000</v>
      </c>
      <c r="D1173" s="7">
        <f t="shared" si="19"/>
        <v>20455802</v>
      </c>
    </row>
    <row r="1174" spans="1:4" ht="18" customHeight="1" x14ac:dyDescent="0.25">
      <c r="A1174" s="2" t="s">
        <v>1010</v>
      </c>
      <c r="B1174" s="7">
        <v>54098051</v>
      </c>
      <c r="C1174" s="7">
        <v>25000000</v>
      </c>
      <c r="D1174" s="7">
        <f t="shared" si="19"/>
        <v>29098051</v>
      </c>
    </row>
    <row r="1175" spans="1:4" ht="18" customHeight="1" x14ac:dyDescent="0.25">
      <c r="A1175" s="2" t="s">
        <v>2932</v>
      </c>
      <c r="B1175" s="7">
        <v>42575718</v>
      </c>
      <c r="C1175" s="7">
        <v>40000000</v>
      </c>
      <c r="D1175" s="7">
        <f t="shared" si="19"/>
        <v>2575718</v>
      </c>
    </row>
    <row r="1176" spans="1:4" ht="18" customHeight="1" x14ac:dyDescent="0.25">
      <c r="A1176" s="2" t="s">
        <v>1029</v>
      </c>
      <c r="B1176" s="7">
        <v>53302314</v>
      </c>
      <c r="C1176" s="7">
        <v>23000000</v>
      </c>
      <c r="D1176" s="7">
        <f t="shared" si="19"/>
        <v>30302314</v>
      </c>
    </row>
    <row r="1177" spans="1:4" ht="18" customHeight="1" x14ac:dyDescent="0.25">
      <c r="A1177" s="2" t="s">
        <v>5765</v>
      </c>
      <c r="B1177" s="7">
        <v>1172769</v>
      </c>
      <c r="C1177" s="7">
        <v>13000000</v>
      </c>
      <c r="D1177" s="7">
        <f t="shared" si="19"/>
        <v>-11827231</v>
      </c>
    </row>
    <row r="1178" spans="1:4" ht="18" customHeight="1" x14ac:dyDescent="0.25">
      <c r="A1178" s="2" t="s">
        <v>1081</v>
      </c>
      <c r="B1178" s="7">
        <v>51768623</v>
      </c>
      <c r="C1178" s="7">
        <v>43000000</v>
      </c>
      <c r="D1178" s="7">
        <f t="shared" si="19"/>
        <v>8768623</v>
      </c>
    </row>
    <row r="1179" spans="1:4" ht="18" customHeight="1" x14ac:dyDescent="0.25">
      <c r="A1179" s="2" t="s">
        <v>1085</v>
      </c>
      <c r="B1179" s="7">
        <v>51676606</v>
      </c>
      <c r="C1179" s="7">
        <v>25000000</v>
      </c>
      <c r="D1179" s="7">
        <f t="shared" si="19"/>
        <v>26676606</v>
      </c>
    </row>
    <row r="1180" spans="1:4" ht="18" customHeight="1" x14ac:dyDescent="0.25">
      <c r="A1180" s="2" t="s">
        <v>6489</v>
      </c>
      <c r="B1180" s="7">
        <v>52850</v>
      </c>
      <c r="C1180" s="7">
        <v>500000</v>
      </c>
      <c r="D1180" s="7">
        <f t="shared" si="19"/>
        <v>-447150</v>
      </c>
    </row>
    <row r="1181" spans="1:4" ht="18" customHeight="1" x14ac:dyDescent="0.25">
      <c r="A1181" s="2" t="s">
        <v>1291</v>
      </c>
      <c r="B1181" s="7">
        <v>48334413</v>
      </c>
      <c r="C1181" s="7">
        <v>39751583.5</v>
      </c>
      <c r="D1181" s="7">
        <f t="shared" si="19"/>
        <v>8582829.5</v>
      </c>
    </row>
    <row r="1182" spans="1:4" ht="18" customHeight="1" x14ac:dyDescent="0.25">
      <c r="A1182" s="2" t="s">
        <v>2802</v>
      </c>
      <c r="B1182" s="7">
        <v>46700000</v>
      </c>
      <c r="C1182" s="7">
        <v>21000000</v>
      </c>
      <c r="D1182" s="7">
        <f t="shared" si="19"/>
        <v>25700000</v>
      </c>
    </row>
    <row r="1183" spans="1:4" ht="18" customHeight="1" x14ac:dyDescent="0.25">
      <c r="A1183" s="2" t="s">
        <v>3320</v>
      </c>
      <c r="B1183" s="7">
        <v>33451479</v>
      </c>
      <c r="C1183" s="7">
        <v>500000</v>
      </c>
      <c r="D1183" s="7">
        <f t="shared" si="19"/>
        <v>32951479</v>
      </c>
    </row>
    <row r="1184" spans="1:4" ht="18" customHeight="1" x14ac:dyDescent="0.25">
      <c r="A1184" s="2" t="s">
        <v>4338</v>
      </c>
      <c r="B1184" s="7">
        <v>15100000</v>
      </c>
      <c r="C1184" s="7">
        <v>15000000</v>
      </c>
      <c r="D1184" s="7">
        <f t="shared" si="19"/>
        <v>100000</v>
      </c>
    </row>
    <row r="1185" spans="1:4" ht="18" customHeight="1" x14ac:dyDescent="0.25">
      <c r="A1185" s="2" t="s">
        <v>1299</v>
      </c>
      <c r="B1185" s="7">
        <v>48334413</v>
      </c>
      <c r="C1185" s="7">
        <v>39751583.5</v>
      </c>
      <c r="D1185" s="7">
        <f t="shared" si="19"/>
        <v>8582829.5</v>
      </c>
    </row>
    <row r="1186" spans="1:4" ht="18" customHeight="1" x14ac:dyDescent="0.25">
      <c r="A1186" s="2" t="s">
        <v>1193</v>
      </c>
      <c r="B1186" s="7">
        <v>48745150</v>
      </c>
      <c r="C1186" s="7">
        <v>50000000</v>
      </c>
      <c r="D1186" s="7">
        <f t="shared" si="19"/>
        <v>-1254850</v>
      </c>
    </row>
    <row r="1187" spans="1:4" ht="18" customHeight="1" x14ac:dyDescent="0.25">
      <c r="A1187" s="2" t="s">
        <v>1755</v>
      </c>
      <c r="B1187" s="7">
        <v>96668826</v>
      </c>
      <c r="C1187" s="7">
        <v>28000000</v>
      </c>
      <c r="D1187" s="7">
        <f t="shared" si="19"/>
        <v>68668826</v>
      </c>
    </row>
    <row r="1188" spans="1:4" ht="18" customHeight="1" x14ac:dyDescent="0.25">
      <c r="A1188" s="2" t="s">
        <v>3131</v>
      </c>
      <c r="B1188" s="7">
        <v>37600435</v>
      </c>
      <c r="C1188" s="7">
        <v>55000000</v>
      </c>
      <c r="D1188" s="7">
        <f t="shared" si="19"/>
        <v>-17399565</v>
      </c>
    </row>
    <row r="1189" spans="1:4" ht="18" customHeight="1" x14ac:dyDescent="0.25">
      <c r="A1189" s="2" t="s">
        <v>6517</v>
      </c>
      <c r="B1189" s="7">
        <v>40542</v>
      </c>
      <c r="C1189" s="7">
        <v>300000</v>
      </c>
      <c r="D1189" s="7">
        <f t="shared" si="19"/>
        <v>-259458</v>
      </c>
    </row>
    <row r="1190" spans="1:4" ht="18" customHeight="1" x14ac:dyDescent="0.25">
      <c r="A1190" s="2" t="s">
        <v>6088</v>
      </c>
      <c r="B1190" s="7">
        <v>373060</v>
      </c>
      <c r="C1190" s="7">
        <v>39751583.5</v>
      </c>
      <c r="D1190" s="7">
        <f t="shared" si="19"/>
        <v>-39378523.5</v>
      </c>
    </row>
    <row r="1191" spans="1:4" ht="18" customHeight="1" x14ac:dyDescent="0.25">
      <c r="A1191" s="2" t="s">
        <v>5947</v>
      </c>
      <c r="B1191" s="7">
        <v>610991</v>
      </c>
      <c r="C1191" s="7">
        <v>1000000</v>
      </c>
      <c r="D1191" s="7">
        <f t="shared" si="19"/>
        <v>-389009</v>
      </c>
    </row>
    <row r="1192" spans="1:4" ht="18" customHeight="1" x14ac:dyDescent="0.25">
      <c r="A1192" s="2" t="s">
        <v>3314</v>
      </c>
      <c r="B1192" s="7">
        <v>33574332</v>
      </c>
      <c r="C1192" s="7">
        <v>90000000</v>
      </c>
      <c r="D1192" s="7">
        <f t="shared" si="19"/>
        <v>-56425668</v>
      </c>
    </row>
    <row r="1193" spans="1:4" ht="18" customHeight="1" x14ac:dyDescent="0.25">
      <c r="A1193" s="2" t="s">
        <v>6289</v>
      </c>
      <c r="B1193" s="7">
        <v>145109</v>
      </c>
      <c r="C1193" s="7">
        <v>45000000</v>
      </c>
      <c r="D1193" s="7">
        <f t="shared" si="19"/>
        <v>-44854891</v>
      </c>
    </row>
    <row r="1194" spans="1:4" ht="18" customHeight="1" x14ac:dyDescent="0.25">
      <c r="A1194" s="2" t="s">
        <v>1669</v>
      </c>
      <c r="B1194" s="7">
        <v>48334413</v>
      </c>
      <c r="C1194" s="7">
        <v>20000000</v>
      </c>
      <c r="D1194" s="7">
        <f t="shared" si="19"/>
        <v>28334413</v>
      </c>
    </row>
    <row r="1195" spans="1:4" ht="18" customHeight="1" x14ac:dyDescent="0.25">
      <c r="A1195" s="2" t="s">
        <v>5282</v>
      </c>
      <c r="B1195" s="7">
        <v>4234040</v>
      </c>
      <c r="C1195" s="7">
        <v>20000000</v>
      </c>
      <c r="D1195" s="7">
        <f t="shared" si="19"/>
        <v>-15765960</v>
      </c>
    </row>
    <row r="1196" spans="1:4" ht="18" customHeight="1" x14ac:dyDescent="0.25">
      <c r="A1196" s="2" t="s">
        <v>213</v>
      </c>
      <c r="B1196" s="7">
        <v>94900000</v>
      </c>
      <c r="C1196" s="7">
        <v>4000000</v>
      </c>
      <c r="D1196" s="7">
        <f t="shared" si="19"/>
        <v>90900000</v>
      </c>
    </row>
    <row r="1197" spans="1:4" ht="18" customHeight="1" x14ac:dyDescent="0.25">
      <c r="A1197" s="2" t="s">
        <v>793</v>
      </c>
      <c r="B1197" s="7">
        <v>61490000</v>
      </c>
      <c r="C1197" s="7">
        <v>26000000</v>
      </c>
      <c r="D1197" s="7">
        <f t="shared" si="19"/>
        <v>35490000</v>
      </c>
    </row>
    <row r="1198" spans="1:4" ht="18" customHeight="1" x14ac:dyDescent="0.25">
      <c r="A1198" s="2" t="s">
        <v>5242</v>
      </c>
      <c r="B1198" s="7">
        <v>4485485</v>
      </c>
      <c r="C1198" s="7">
        <v>15000000</v>
      </c>
      <c r="D1198" s="7">
        <f t="shared" si="19"/>
        <v>-10514515</v>
      </c>
    </row>
    <row r="1199" spans="1:4" ht="18" customHeight="1" x14ac:dyDescent="0.25">
      <c r="A1199" s="2" t="s">
        <v>4193</v>
      </c>
      <c r="B1199" s="7">
        <v>17100000</v>
      </c>
      <c r="C1199" s="7">
        <v>25000000</v>
      </c>
      <c r="D1199" s="7">
        <f t="shared" si="19"/>
        <v>-7900000</v>
      </c>
    </row>
    <row r="1200" spans="1:4" ht="18" customHeight="1" x14ac:dyDescent="0.25">
      <c r="A1200" s="2" t="s">
        <v>3953</v>
      </c>
      <c r="B1200" s="7">
        <v>20998709</v>
      </c>
      <c r="C1200" s="7">
        <v>15000000</v>
      </c>
      <c r="D1200" s="7">
        <f t="shared" si="19"/>
        <v>5998709</v>
      </c>
    </row>
    <row r="1201" spans="1:4" ht="18" customHeight="1" x14ac:dyDescent="0.25">
      <c r="A1201" s="2" t="s">
        <v>4376</v>
      </c>
      <c r="B1201" s="7">
        <v>14587732</v>
      </c>
      <c r="C1201" s="7">
        <v>35000000</v>
      </c>
      <c r="D1201" s="7">
        <f t="shared" si="19"/>
        <v>-20412268</v>
      </c>
    </row>
    <row r="1202" spans="1:4" ht="18" customHeight="1" x14ac:dyDescent="0.25">
      <c r="A1202" s="2" t="s">
        <v>3948</v>
      </c>
      <c r="B1202" s="7">
        <v>21009180</v>
      </c>
      <c r="C1202" s="7">
        <v>45000000</v>
      </c>
      <c r="D1202" s="7">
        <f t="shared" si="19"/>
        <v>-23990820</v>
      </c>
    </row>
    <row r="1203" spans="1:4" ht="18" customHeight="1" x14ac:dyDescent="0.25">
      <c r="A1203" s="2" t="s">
        <v>226</v>
      </c>
      <c r="B1203" s="7">
        <v>93749203</v>
      </c>
      <c r="C1203" s="7">
        <v>31000000</v>
      </c>
      <c r="D1203" s="7">
        <f t="shared" si="19"/>
        <v>62749203</v>
      </c>
    </row>
    <row r="1204" spans="1:4" ht="18" customHeight="1" x14ac:dyDescent="0.25">
      <c r="A1204" s="2" t="s">
        <v>292</v>
      </c>
      <c r="B1204" s="7">
        <v>89706988</v>
      </c>
      <c r="C1204" s="7">
        <v>55000000</v>
      </c>
      <c r="D1204" s="7">
        <f t="shared" si="19"/>
        <v>34706988</v>
      </c>
    </row>
    <row r="1205" spans="1:4" ht="18" customHeight="1" x14ac:dyDescent="0.25">
      <c r="A1205" s="2" t="s">
        <v>5657</v>
      </c>
      <c r="B1205" s="7">
        <v>1752214</v>
      </c>
      <c r="C1205" s="7">
        <v>14000000</v>
      </c>
      <c r="D1205" s="7">
        <f t="shared" si="19"/>
        <v>-12247786</v>
      </c>
    </row>
    <row r="1206" spans="1:4" ht="18" customHeight="1" x14ac:dyDescent="0.25">
      <c r="A1206" s="2" t="s">
        <v>4013</v>
      </c>
      <c r="B1206" s="7">
        <v>20047715</v>
      </c>
      <c r="C1206" s="7">
        <v>25530000</v>
      </c>
      <c r="D1206" s="7">
        <f t="shared" si="19"/>
        <v>-5482285</v>
      </c>
    </row>
    <row r="1207" spans="1:4" ht="18" customHeight="1" x14ac:dyDescent="0.25">
      <c r="A1207" s="2" t="s">
        <v>4360</v>
      </c>
      <c r="B1207" s="7">
        <v>14891000</v>
      </c>
      <c r="C1207" s="7">
        <v>7000000</v>
      </c>
      <c r="D1207" s="7">
        <f t="shared" si="19"/>
        <v>7891000</v>
      </c>
    </row>
    <row r="1208" spans="1:4" ht="18" customHeight="1" x14ac:dyDescent="0.25">
      <c r="A1208" s="2" t="s">
        <v>1618</v>
      </c>
      <c r="B1208" s="7">
        <v>48334413</v>
      </c>
      <c r="C1208" s="7">
        <v>29000000</v>
      </c>
      <c r="D1208" s="7">
        <f t="shared" si="19"/>
        <v>19334413</v>
      </c>
    </row>
    <row r="1209" spans="1:4" ht="18" customHeight="1" x14ac:dyDescent="0.25">
      <c r="A1209" s="2" t="s">
        <v>238</v>
      </c>
      <c r="B1209" s="7">
        <v>92969824</v>
      </c>
      <c r="C1209" s="7">
        <v>80000000</v>
      </c>
      <c r="D1209" s="7">
        <f t="shared" si="19"/>
        <v>12969824</v>
      </c>
    </row>
    <row r="1210" spans="1:4" ht="18" customHeight="1" x14ac:dyDescent="0.25">
      <c r="A1210" s="2" t="s">
        <v>4507</v>
      </c>
      <c r="B1210" s="7">
        <v>13082288</v>
      </c>
      <c r="C1210" s="7">
        <v>60000000</v>
      </c>
      <c r="D1210" s="7">
        <f t="shared" si="19"/>
        <v>-46917712</v>
      </c>
    </row>
    <row r="1211" spans="1:4" ht="18" customHeight="1" x14ac:dyDescent="0.25">
      <c r="A1211" s="2" t="s">
        <v>1393</v>
      </c>
      <c r="B1211" s="7">
        <v>48334413</v>
      </c>
      <c r="C1211" s="7">
        <v>39751583.5</v>
      </c>
      <c r="D1211" s="7">
        <f t="shared" si="19"/>
        <v>8582829.5</v>
      </c>
    </row>
    <row r="1212" spans="1:4" ht="18" customHeight="1" x14ac:dyDescent="0.25">
      <c r="A1212" s="2" t="s">
        <v>2727</v>
      </c>
      <c r="B1212" s="7">
        <v>48334413</v>
      </c>
      <c r="C1212" s="7">
        <v>20000</v>
      </c>
      <c r="D1212" s="7">
        <f t="shared" si="19"/>
        <v>48314413</v>
      </c>
    </row>
    <row r="1213" spans="1:4" ht="18" customHeight="1" x14ac:dyDescent="0.25">
      <c r="A1213" s="2" t="s">
        <v>1020</v>
      </c>
      <c r="B1213" s="7">
        <v>53846915</v>
      </c>
      <c r="C1213" s="7">
        <v>50100000</v>
      </c>
      <c r="D1213" s="7">
        <f t="shared" si="19"/>
        <v>3746915</v>
      </c>
    </row>
    <row r="1214" spans="1:4" ht="18" customHeight="1" x14ac:dyDescent="0.25">
      <c r="A1214" s="2" t="s">
        <v>2484</v>
      </c>
      <c r="B1214" s="7">
        <v>48334413</v>
      </c>
      <c r="C1214" s="7">
        <v>913000</v>
      </c>
      <c r="D1214" s="7">
        <f t="shared" si="19"/>
        <v>47421413</v>
      </c>
    </row>
    <row r="1215" spans="1:4" ht="18" customHeight="1" x14ac:dyDescent="0.25">
      <c r="A1215" s="2" t="s">
        <v>5253</v>
      </c>
      <c r="B1215" s="7">
        <v>4417124</v>
      </c>
      <c r="C1215" s="7">
        <v>39751583.5</v>
      </c>
      <c r="D1215" s="7">
        <f t="shared" si="19"/>
        <v>-35334459.5</v>
      </c>
    </row>
    <row r="1216" spans="1:4" ht="18" customHeight="1" x14ac:dyDescent="0.25">
      <c r="A1216" s="2" t="s">
        <v>1208</v>
      </c>
      <c r="B1216" s="7">
        <v>48334413</v>
      </c>
      <c r="C1216" s="7">
        <v>65000000</v>
      </c>
      <c r="D1216" s="7">
        <f t="shared" si="19"/>
        <v>-16665587</v>
      </c>
    </row>
    <row r="1217" spans="1:4" ht="18" customHeight="1" x14ac:dyDescent="0.25">
      <c r="A1217" s="2" t="s">
        <v>5075</v>
      </c>
      <c r="B1217" s="7">
        <v>6026908</v>
      </c>
      <c r="C1217" s="7">
        <v>2000000</v>
      </c>
      <c r="D1217" s="7">
        <f t="shared" si="19"/>
        <v>4026908</v>
      </c>
    </row>
    <row r="1218" spans="1:4" ht="18" customHeight="1" x14ac:dyDescent="0.25">
      <c r="A1218" s="2" t="s">
        <v>622</v>
      </c>
      <c r="B1218" s="7">
        <v>70224196</v>
      </c>
      <c r="C1218" s="7">
        <v>70000000</v>
      </c>
      <c r="D1218" s="7">
        <f t="shared" si="19"/>
        <v>224196</v>
      </c>
    </row>
    <row r="1219" spans="1:4" ht="18" customHeight="1" x14ac:dyDescent="0.25">
      <c r="A1219" s="2" t="s">
        <v>438</v>
      </c>
      <c r="B1219" s="7">
        <v>80000000</v>
      </c>
      <c r="C1219" s="7">
        <v>8200000</v>
      </c>
      <c r="D1219" s="7">
        <f t="shared" si="19"/>
        <v>71800000</v>
      </c>
    </row>
    <row r="1220" spans="1:4" ht="18" customHeight="1" x14ac:dyDescent="0.25">
      <c r="A1220" s="2" t="s">
        <v>5740</v>
      </c>
      <c r="B1220" s="7">
        <v>1243961</v>
      </c>
      <c r="C1220" s="7">
        <v>850000</v>
      </c>
      <c r="D1220" s="7">
        <f t="shared" si="19"/>
        <v>393961</v>
      </c>
    </row>
    <row r="1221" spans="1:4" ht="18" customHeight="1" x14ac:dyDescent="0.25">
      <c r="A1221" s="2" t="s">
        <v>3124</v>
      </c>
      <c r="B1221" s="7">
        <v>37721949</v>
      </c>
      <c r="C1221" s="7">
        <v>39751583.5</v>
      </c>
      <c r="D1221" s="7">
        <f t="shared" ref="D1221:D1284" si="20">B1221-C1221</f>
        <v>-2029634.5</v>
      </c>
    </row>
    <row r="1222" spans="1:4" ht="18" customHeight="1" x14ac:dyDescent="0.25">
      <c r="A1222" s="2" t="s">
        <v>5121</v>
      </c>
      <c r="B1222" s="7">
        <v>5669081</v>
      </c>
      <c r="C1222" s="7">
        <v>10818775</v>
      </c>
      <c r="D1222" s="7">
        <f t="shared" si="20"/>
        <v>-5149694</v>
      </c>
    </row>
    <row r="1223" spans="1:4" ht="18" customHeight="1" x14ac:dyDescent="0.25">
      <c r="A1223" s="2" t="s">
        <v>3240</v>
      </c>
      <c r="B1223" s="7">
        <v>35168395</v>
      </c>
      <c r="C1223" s="7">
        <v>50000000</v>
      </c>
      <c r="D1223" s="7">
        <f t="shared" si="20"/>
        <v>-14831605</v>
      </c>
    </row>
    <row r="1224" spans="1:4" ht="18" customHeight="1" x14ac:dyDescent="0.25">
      <c r="A1224" s="2" t="s">
        <v>5129</v>
      </c>
      <c r="B1224" s="7">
        <v>5542025</v>
      </c>
      <c r="C1224" s="7">
        <v>12000000</v>
      </c>
      <c r="D1224" s="7">
        <f t="shared" si="20"/>
        <v>-6457975</v>
      </c>
    </row>
    <row r="1225" spans="1:4" ht="18" customHeight="1" x14ac:dyDescent="0.25">
      <c r="A1225" s="2" t="s">
        <v>789</v>
      </c>
      <c r="B1225" s="7">
        <v>62300000</v>
      </c>
      <c r="C1225" s="7">
        <v>28000000</v>
      </c>
      <c r="D1225" s="7">
        <f t="shared" si="20"/>
        <v>34300000</v>
      </c>
    </row>
    <row r="1226" spans="1:4" ht="18" customHeight="1" x14ac:dyDescent="0.25">
      <c r="A1226" s="2" t="s">
        <v>1995</v>
      </c>
      <c r="B1226" s="7">
        <v>48334413</v>
      </c>
      <c r="C1226" s="7">
        <v>5000000</v>
      </c>
      <c r="D1226" s="7">
        <f t="shared" si="20"/>
        <v>43334413</v>
      </c>
    </row>
    <row r="1227" spans="1:4" ht="18" customHeight="1" x14ac:dyDescent="0.25">
      <c r="A1227" s="2" t="s">
        <v>2374</v>
      </c>
      <c r="B1227" s="7">
        <v>48334413</v>
      </c>
      <c r="C1227" s="7">
        <v>1300000</v>
      </c>
      <c r="D1227" s="7">
        <f t="shared" si="20"/>
        <v>47034413</v>
      </c>
    </row>
    <row r="1228" spans="1:4" ht="18" customHeight="1" x14ac:dyDescent="0.25">
      <c r="A1228" s="2" t="s">
        <v>772</v>
      </c>
      <c r="B1228" s="7">
        <v>62877175</v>
      </c>
      <c r="C1228" s="7">
        <v>30000000</v>
      </c>
      <c r="D1228" s="7">
        <f t="shared" si="20"/>
        <v>32877175</v>
      </c>
    </row>
    <row r="1229" spans="1:4" ht="18" customHeight="1" x14ac:dyDescent="0.25">
      <c r="A1229" s="2" t="s">
        <v>5165</v>
      </c>
      <c r="B1229" s="7">
        <v>5204007</v>
      </c>
      <c r="C1229" s="7">
        <v>28000000</v>
      </c>
      <c r="D1229" s="7">
        <f t="shared" si="20"/>
        <v>-22795993</v>
      </c>
    </row>
    <row r="1230" spans="1:4" ht="18" customHeight="1" x14ac:dyDescent="0.25">
      <c r="A1230" s="2" t="s">
        <v>1799</v>
      </c>
      <c r="B1230" s="7">
        <v>48334413</v>
      </c>
      <c r="C1230" s="7">
        <v>11000000</v>
      </c>
      <c r="D1230" s="7">
        <f t="shared" si="20"/>
        <v>37334413</v>
      </c>
    </row>
    <row r="1231" spans="1:4" ht="18" customHeight="1" x14ac:dyDescent="0.25">
      <c r="A1231" s="2" t="s">
        <v>6441</v>
      </c>
      <c r="B1231" s="7">
        <v>73678</v>
      </c>
      <c r="C1231" s="7">
        <v>3000000</v>
      </c>
      <c r="D1231" s="7">
        <f t="shared" si="20"/>
        <v>-2926322</v>
      </c>
    </row>
    <row r="1232" spans="1:4" ht="18" customHeight="1" x14ac:dyDescent="0.25">
      <c r="A1232" s="2" t="s">
        <v>4992</v>
      </c>
      <c r="B1232" s="7">
        <v>6739141</v>
      </c>
      <c r="C1232" s="7">
        <v>8000000</v>
      </c>
      <c r="D1232" s="7">
        <f t="shared" si="20"/>
        <v>-1260859</v>
      </c>
    </row>
    <row r="1233" spans="1:4" ht="18" customHeight="1" x14ac:dyDescent="0.25">
      <c r="A1233" s="2" t="s">
        <v>2342</v>
      </c>
      <c r="B1233" s="7">
        <v>48334413</v>
      </c>
      <c r="C1233" s="7">
        <v>1500000</v>
      </c>
      <c r="D1233" s="7">
        <f t="shared" si="20"/>
        <v>46834413</v>
      </c>
    </row>
    <row r="1234" spans="1:4" ht="18" customHeight="1" x14ac:dyDescent="0.25">
      <c r="A1234" s="2" t="s">
        <v>540</v>
      </c>
      <c r="B1234" s="7">
        <v>74484168</v>
      </c>
      <c r="C1234" s="7">
        <v>45000000</v>
      </c>
      <c r="D1234" s="7">
        <f t="shared" si="20"/>
        <v>29484168</v>
      </c>
    </row>
    <row r="1235" spans="1:4" ht="18" customHeight="1" x14ac:dyDescent="0.25">
      <c r="A1235" s="2" t="s">
        <v>6131</v>
      </c>
      <c r="B1235" s="7">
        <v>304137</v>
      </c>
      <c r="C1235" s="7">
        <v>39751583.5</v>
      </c>
      <c r="D1235" s="7">
        <f t="shared" si="20"/>
        <v>-39447446.5</v>
      </c>
    </row>
    <row r="1236" spans="1:4" ht="18" customHeight="1" x14ac:dyDescent="0.25">
      <c r="A1236" s="2" t="s">
        <v>5271</v>
      </c>
      <c r="B1236" s="7">
        <v>4301331</v>
      </c>
      <c r="C1236" s="7">
        <v>4000000</v>
      </c>
      <c r="D1236" s="7">
        <f t="shared" si="20"/>
        <v>301331</v>
      </c>
    </row>
    <row r="1237" spans="1:4" ht="18" customHeight="1" x14ac:dyDescent="0.25">
      <c r="A1237" s="2" t="s">
        <v>2172</v>
      </c>
      <c r="B1237" s="7">
        <v>48334413</v>
      </c>
      <c r="C1237" s="7">
        <v>3000000</v>
      </c>
      <c r="D1237" s="7">
        <f t="shared" si="20"/>
        <v>45334413</v>
      </c>
    </row>
    <row r="1238" spans="1:4" ht="18" customHeight="1" x14ac:dyDescent="0.25">
      <c r="A1238" s="2" t="s">
        <v>1047</v>
      </c>
      <c r="B1238" s="7">
        <v>52700832</v>
      </c>
      <c r="C1238" s="7">
        <v>4500000</v>
      </c>
      <c r="D1238" s="7">
        <f t="shared" si="20"/>
        <v>48200832</v>
      </c>
    </row>
    <row r="1239" spans="1:4" ht="18" customHeight="1" x14ac:dyDescent="0.25">
      <c r="A1239" s="2" t="s">
        <v>4502</v>
      </c>
      <c r="B1239" s="7">
        <v>13103828</v>
      </c>
      <c r="C1239" s="7">
        <v>11000000</v>
      </c>
      <c r="D1239" s="7">
        <f t="shared" si="20"/>
        <v>2103828</v>
      </c>
    </row>
    <row r="1240" spans="1:4" ht="18" customHeight="1" x14ac:dyDescent="0.25">
      <c r="A1240" s="2" t="s">
        <v>5309</v>
      </c>
      <c r="B1240" s="7">
        <v>4063238</v>
      </c>
      <c r="C1240" s="7">
        <v>39751583.5</v>
      </c>
      <c r="D1240" s="7">
        <f t="shared" si="20"/>
        <v>-35688345.5</v>
      </c>
    </row>
    <row r="1241" spans="1:4" ht="18" customHeight="1" x14ac:dyDescent="0.25">
      <c r="A1241" s="2" t="s">
        <v>3231</v>
      </c>
      <c r="B1241" s="7">
        <v>35287788</v>
      </c>
      <c r="C1241" s="7">
        <v>39000000</v>
      </c>
      <c r="D1241" s="7">
        <f t="shared" si="20"/>
        <v>-3712212</v>
      </c>
    </row>
    <row r="1242" spans="1:4" ht="18" customHeight="1" x14ac:dyDescent="0.25">
      <c r="A1242" s="2" t="s">
        <v>2446</v>
      </c>
      <c r="B1242" s="7">
        <v>48334413</v>
      </c>
      <c r="C1242" s="7">
        <v>1000000</v>
      </c>
      <c r="D1242" s="7">
        <f t="shared" si="20"/>
        <v>47334413</v>
      </c>
    </row>
    <row r="1243" spans="1:4" ht="18" customHeight="1" x14ac:dyDescent="0.25">
      <c r="A1243" s="2" t="s">
        <v>6383</v>
      </c>
      <c r="B1243" s="7">
        <v>100675</v>
      </c>
      <c r="C1243" s="7">
        <v>3000000</v>
      </c>
      <c r="D1243" s="7">
        <f t="shared" si="20"/>
        <v>-2899325</v>
      </c>
    </row>
    <row r="1244" spans="1:4" ht="18" customHeight="1" x14ac:dyDescent="0.25">
      <c r="A1244" s="2" t="s">
        <v>1971</v>
      </c>
      <c r="B1244" s="7">
        <v>48334413</v>
      </c>
      <c r="C1244" s="7">
        <v>6000000</v>
      </c>
      <c r="D1244" s="7">
        <f t="shared" si="20"/>
        <v>42334413</v>
      </c>
    </row>
    <row r="1245" spans="1:4" ht="18" customHeight="1" x14ac:dyDescent="0.25">
      <c r="A1245" s="2" t="s">
        <v>12</v>
      </c>
      <c r="B1245" s="7">
        <v>110222438</v>
      </c>
      <c r="C1245" s="7">
        <v>26000000</v>
      </c>
      <c r="D1245" s="7">
        <f t="shared" si="20"/>
        <v>84222438</v>
      </c>
    </row>
    <row r="1246" spans="1:4" ht="18" customHeight="1" x14ac:dyDescent="0.25">
      <c r="A1246" s="2" t="s">
        <v>4409</v>
      </c>
      <c r="B1246" s="7">
        <v>14249005</v>
      </c>
      <c r="C1246" s="7">
        <v>15000000</v>
      </c>
      <c r="D1246" s="7">
        <f t="shared" si="20"/>
        <v>-750995</v>
      </c>
    </row>
    <row r="1247" spans="1:4" ht="18" customHeight="1" x14ac:dyDescent="0.25">
      <c r="A1247" s="2" t="s">
        <v>394</v>
      </c>
      <c r="B1247" s="7">
        <v>82163317</v>
      </c>
      <c r="C1247" s="7">
        <v>30000000</v>
      </c>
      <c r="D1247" s="7">
        <f t="shared" si="20"/>
        <v>52163317</v>
      </c>
    </row>
    <row r="1248" spans="1:4" ht="18" customHeight="1" x14ac:dyDescent="0.25">
      <c r="A1248" s="2" t="s">
        <v>3259</v>
      </c>
      <c r="B1248" s="7">
        <v>34872293</v>
      </c>
      <c r="C1248" s="7">
        <v>8500000</v>
      </c>
      <c r="D1248" s="7">
        <f t="shared" si="20"/>
        <v>26372293</v>
      </c>
    </row>
    <row r="1249" spans="1:4" ht="18" customHeight="1" x14ac:dyDescent="0.25">
      <c r="A1249" s="2" t="s">
        <v>957</v>
      </c>
      <c r="B1249" s="7">
        <v>55747724</v>
      </c>
      <c r="C1249" s="7">
        <v>55000000</v>
      </c>
      <c r="D1249" s="7">
        <f t="shared" si="20"/>
        <v>747724</v>
      </c>
    </row>
    <row r="1250" spans="1:4" ht="18" customHeight="1" x14ac:dyDescent="0.25">
      <c r="A1250" s="2" t="s">
        <v>3987</v>
      </c>
      <c r="B1250" s="7">
        <v>20389967</v>
      </c>
      <c r="C1250" s="7">
        <v>50000000</v>
      </c>
      <c r="D1250" s="7">
        <f t="shared" si="20"/>
        <v>-29610033</v>
      </c>
    </row>
    <row r="1251" spans="1:4" ht="18" customHeight="1" x14ac:dyDescent="0.25">
      <c r="A1251" s="2" t="s">
        <v>6298</v>
      </c>
      <c r="B1251" s="7">
        <v>140987</v>
      </c>
      <c r="C1251" s="7">
        <v>39751583.5</v>
      </c>
      <c r="D1251" s="7">
        <f t="shared" si="20"/>
        <v>-39610596.5</v>
      </c>
    </row>
    <row r="1252" spans="1:4" ht="18" customHeight="1" x14ac:dyDescent="0.25">
      <c r="A1252" s="2" t="s">
        <v>3179</v>
      </c>
      <c r="B1252" s="7">
        <v>36581633</v>
      </c>
      <c r="C1252" s="7">
        <v>21000000</v>
      </c>
      <c r="D1252" s="7">
        <f t="shared" si="20"/>
        <v>15581633</v>
      </c>
    </row>
    <row r="1253" spans="1:4" ht="18" customHeight="1" x14ac:dyDescent="0.25">
      <c r="A1253" s="2" t="s">
        <v>1753</v>
      </c>
      <c r="B1253" s="7">
        <v>48334413</v>
      </c>
      <c r="C1253" s="7">
        <v>14500000</v>
      </c>
      <c r="D1253" s="7">
        <f t="shared" si="20"/>
        <v>33834413</v>
      </c>
    </row>
    <row r="1254" spans="1:4" ht="18" customHeight="1" x14ac:dyDescent="0.25">
      <c r="A1254" s="2" t="s">
        <v>5986</v>
      </c>
      <c r="B1254" s="7">
        <v>532988</v>
      </c>
      <c r="C1254" s="7">
        <v>7000000</v>
      </c>
      <c r="D1254" s="7">
        <f t="shared" si="20"/>
        <v>-6467012</v>
      </c>
    </row>
    <row r="1255" spans="1:4" ht="18" customHeight="1" x14ac:dyDescent="0.25">
      <c r="A1255" s="2" t="s">
        <v>2157</v>
      </c>
      <c r="B1255" s="7">
        <v>48334413</v>
      </c>
      <c r="C1255" s="7">
        <v>3000000</v>
      </c>
      <c r="D1255" s="7">
        <f t="shared" si="20"/>
        <v>45334413</v>
      </c>
    </row>
    <row r="1256" spans="1:4" ht="18" customHeight="1" x14ac:dyDescent="0.25">
      <c r="A1256" s="2" t="s">
        <v>2266</v>
      </c>
      <c r="B1256" s="7">
        <v>48334413</v>
      </c>
      <c r="C1256" s="7">
        <v>2000000</v>
      </c>
      <c r="D1256" s="7">
        <f t="shared" si="20"/>
        <v>46334413</v>
      </c>
    </row>
    <row r="1257" spans="1:4" ht="18" customHeight="1" x14ac:dyDescent="0.25">
      <c r="A1257" s="2" t="s">
        <v>2252</v>
      </c>
      <c r="B1257" s="7">
        <v>48334413</v>
      </c>
      <c r="C1257" s="7">
        <v>2000000</v>
      </c>
      <c r="D1257" s="7">
        <f t="shared" si="20"/>
        <v>46334413</v>
      </c>
    </row>
    <row r="1258" spans="1:4" ht="18" customHeight="1" x14ac:dyDescent="0.25">
      <c r="A1258" s="2" t="s">
        <v>2846</v>
      </c>
      <c r="B1258" s="7">
        <v>44983704</v>
      </c>
      <c r="C1258" s="7">
        <v>31000000</v>
      </c>
      <c r="D1258" s="7">
        <f t="shared" si="20"/>
        <v>13983704</v>
      </c>
    </row>
    <row r="1259" spans="1:4" ht="18" customHeight="1" x14ac:dyDescent="0.25">
      <c r="A1259" s="2" t="s">
        <v>3702</v>
      </c>
      <c r="B1259" s="7">
        <v>25776062</v>
      </c>
      <c r="C1259" s="7">
        <v>12000000</v>
      </c>
      <c r="D1259" s="7">
        <f t="shared" si="20"/>
        <v>13776062</v>
      </c>
    </row>
    <row r="1260" spans="1:4" ht="18" customHeight="1" x14ac:dyDescent="0.25">
      <c r="A1260" s="2" t="s">
        <v>3346</v>
      </c>
      <c r="B1260" s="7">
        <v>32983713</v>
      </c>
      <c r="C1260" s="7">
        <v>20000000</v>
      </c>
      <c r="D1260" s="7">
        <f t="shared" si="20"/>
        <v>12983713</v>
      </c>
    </row>
    <row r="1261" spans="1:4" ht="18" customHeight="1" x14ac:dyDescent="0.25">
      <c r="A1261" s="2" t="s">
        <v>1267</v>
      </c>
      <c r="B1261" s="7">
        <v>48334413</v>
      </c>
      <c r="C1261" s="7">
        <v>39751583.5</v>
      </c>
      <c r="D1261" s="7">
        <f t="shared" si="20"/>
        <v>8582829.5</v>
      </c>
    </row>
    <row r="1262" spans="1:4" ht="18" customHeight="1" x14ac:dyDescent="0.25">
      <c r="A1262" s="2" t="s">
        <v>4059</v>
      </c>
      <c r="B1262" s="7">
        <v>19100000</v>
      </c>
      <c r="C1262" s="7">
        <v>1250000</v>
      </c>
      <c r="D1262" s="7">
        <f t="shared" si="20"/>
        <v>17850000</v>
      </c>
    </row>
    <row r="1263" spans="1:4" ht="18" customHeight="1" x14ac:dyDescent="0.25">
      <c r="A1263" s="2" t="s">
        <v>3193</v>
      </c>
      <c r="B1263" s="7">
        <v>36200000</v>
      </c>
      <c r="C1263" s="7">
        <v>4000000</v>
      </c>
      <c r="D1263" s="7">
        <f t="shared" si="20"/>
        <v>32200000</v>
      </c>
    </row>
    <row r="1264" spans="1:4" ht="18" customHeight="1" x14ac:dyDescent="0.25">
      <c r="A1264" s="2" t="s">
        <v>4055</v>
      </c>
      <c r="B1264" s="7">
        <v>19170001</v>
      </c>
      <c r="C1264" s="7">
        <v>2800000</v>
      </c>
      <c r="D1264" s="7">
        <f t="shared" si="20"/>
        <v>16370001</v>
      </c>
    </row>
    <row r="1265" spans="1:4" ht="18" customHeight="1" x14ac:dyDescent="0.25">
      <c r="A1265" s="2" t="s">
        <v>4397</v>
      </c>
      <c r="B1265" s="7">
        <v>14343976</v>
      </c>
      <c r="C1265" s="7">
        <v>5000000</v>
      </c>
      <c r="D1265" s="7">
        <f t="shared" si="20"/>
        <v>9343976</v>
      </c>
    </row>
    <row r="1266" spans="1:4" ht="18" customHeight="1" x14ac:dyDescent="0.25">
      <c r="A1266" s="2" t="s">
        <v>3935</v>
      </c>
      <c r="B1266" s="7">
        <v>21300000</v>
      </c>
      <c r="C1266" s="7">
        <v>2200000</v>
      </c>
      <c r="D1266" s="7">
        <f t="shared" si="20"/>
        <v>19100000</v>
      </c>
    </row>
    <row r="1267" spans="1:4" ht="18" customHeight="1" x14ac:dyDescent="0.25">
      <c r="A1267" s="2" t="s">
        <v>3363</v>
      </c>
      <c r="B1267" s="7">
        <v>32600000</v>
      </c>
      <c r="C1267" s="7">
        <v>1800000</v>
      </c>
      <c r="D1267" s="7">
        <f t="shared" si="20"/>
        <v>30800000</v>
      </c>
    </row>
    <row r="1268" spans="1:4" ht="18" customHeight="1" x14ac:dyDescent="0.25">
      <c r="A1268" s="2" t="s">
        <v>3587</v>
      </c>
      <c r="B1268" s="7">
        <v>27900000</v>
      </c>
      <c r="C1268" s="7">
        <v>3500000</v>
      </c>
      <c r="D1268" s="7">
        <f t="shared" si="20"/>
        <v>24400000</v>
      </c>
    </row>
    <row r="1269" spans="1:4" ht="18" customHeight="1" x14ac:dyDescent="0.25">
      <c r="A1269" s="2" t="s">
        <v>954</v>
      </c>
      <c r="B1269" s="7">
        <v>55802754</v>
      </c>
      <c r="C1269" s="7">
        <v>35000000</v>
      </c>
      <c r="D1269" s="7">
        <f t="shared" si="20"/>
        <v>20802754</v>
      </c>
    </row>
    <row r="1270" spans="1:4" ht="18" customHeight="1" x14ac:dyDescent="0.25">
      <c r="A1270" s="2" t="s">
        <v>4484</v>
      </c>
      <c r="B1270" s="7">
        <v>13367101</v>
      </c>
      <c r="C1270" s="7">
        <v>6500000</v>
      </c>
      <c r="D1270" s="7">
        <f t="shared" si="20"/>
        <v>6867101</v>
      </c>
    </row>
    <row r="1271" spans="1:4" ht="18" customHeight="1" x14ac:dyDescent="0.25">
      <c r="A1271" s="2" t="s">
        <v>4113</v>
      </c>
      <c r="B1271" s="7">
        <v>18298649</v>
      </c>
      <c r="C1271" s="7">
        <v>30000000</v>
      </c>
      <c r="D1271" s="7">
        <f t="shared" si="20"/>
        <v>-11701351</v>
      </c>
    </row>
    <row r="1272" spans="1:4" ht="18" customHeight="1" x14ac:dyDescent="0.25">
      <c r="A1272" s="2" t="s">
        <v>5709</v>
      </c>
      <c r="B1272" s="7">
        <v>1400000</v>
      </c>
      <c r="C1272" s="7">
        <v>1100000</v>
      </c>
      <c r="D1272" s="7">
        <f t="shared" si="20"/>
        <v>300000</v>
      </c>
    </row>
    <row r="1273" spans="1:4" ht="18" customHeight="1" x14ac:dyDescent="0.25">
      <c r="A1273" s="2" t="s">
        <v>3703</v>
      </c>
      <c r="B1273" s="7">
        <v>25753840</v>
      </c>
      <c r="C1273" s="7">
        <v>19000000</v>
      </c>
      <c r="D1273" s="7">
        <f t="shared" si="20"/>
        <v>6753840</v>
      </c>
    </row>
    <row r="1274" spans="1:4" ht="18" customHeight="1" x14ac:dyDescent="0.25">
      <c r="A1274" s="2" t="s">
        <v>3421</v>
      </c>
      <c r="B1274" s="7">
        <v>31598308</v>
      </c>
      <c r="C1274" s="7">
        <v>35000000</v>
      </c>
      <c r="D1274" s="7">
        <f t="shared" si="20"/>
        <v>-3401692</v>
      </c>
    </row>
    <row r="1275" spans="1:4" ht="18" customHeight="1" x14ac:dyDescent="0.25">
      <c r="A1275" s="2" t="s">
        <v>2321</v>
      </c>
      <c r="B1275" s="7">
        <v>48334413</v>
      </c>
      <c r="C1275" s="7">
        <v>1650000</v>
      </c>
      <c r="D1275" s="7">
        <f t="shared" si="20"/>
        <v>46684413</v>
      </c>
    </row>
    <row r="1276" spans="1:4" ht="18" customHeight="1" x14ac:dyDescent="0.25">
      <c r="A1276" s="2" t="s">
        <v>5194</v>
      </c>
      <c r="B1276" s="7">
        <v>4922166</v>
      </c>
      <c r="C1276" s="7">
        <v>12000000</v>
      </c>
      <c r="D1276" s="7">
        <f t="shared" si="20"/>
        <v>-7077834</v>
      </c>
    </row>
    <row r="1277" spans="1:4" ht="18" customHeight="1" x14ac:dyDescent="0.25">
      <c r="A1277" s="2" t="s">
        <v>3823</v>
      </c>
      <c r="B1277" s="7">
        <v>23324666</v>
      </c>
      <c r="C1277" s="7">
        <v>52000000</v>
      </c>
      <c r="D1277" s="7">
        <f t="shared" si="20"/>
        <v>-28675334</v>
      </c>
    </row>
    <row r="1278" spans="1:4" ht="18" customHeight="1" x14ac:dyDescent="0.25">
      <c r="A1278" s="2" t="s">
        <v>3770</v>
      </c>
      <c r="B1278" s="7">
        <v>24800000</v>
      </c>
      <c r="C1278" s="7">
        <v>2000000</v>
      </c>
      <c r="D1278" s="7">
        <f t="shared" si="20"/>
        <v>22800000</v>
      </c>
    </row>
    <row r="1279" spans="1:4" ht="18" customHeight="1" x14ac:dyDescent="0.25">
      <c r="A1279" s="2" t="s">
        <v>4095</v>
      </c>
      <c r="B1279" s="7">
        <v>18593156</v>
      </c>
      <c r="C1279" s="7">
        <v>35000000</v>
      </c>
      <c r="D1279" s="7">
        <f t="shared" si="20"/>
        <v>-16406844</v>
      </c>
    </row>
    <row r="1280" spans="1:4" ht="18" customHeight="1" x14ac:dyDescent="0.25">
      <c r="A1280" s="2" t="s">
        <v>5528</v>
      </c>
      <c r="B1280" s="7">
        <v>2508841</v>
      </c>
      <c r="C1280" s="7">
        <v>1000000</v>
      </c>
      <c r="D1280" s="7">
        <f t="shared" si="20"/>
        <v>1508841</v>
      </c>
    </row>
    <row r="1281" spans="1:4" ht="18" customHeight="1" x14ac:dyDescent="0.25">
      <c r="A1281" s="2" t="s">
        <v>4266</v>
      </c>
      <c r="B1281" s="7">
        <v>16097842</v>
      </c>
      <c r="C1281" s="7">
        <v>900000</v>
      </c>
      <c r="D1281" s="7">
        <f t="shared" si="20"/>
        <v>15197842</v>
      </c>
    </row>
    <row r="1282" spans="1:4" ht="18" customHeight="1" x14ac:dyDescent="0.25">
      <c r="A1282" s="2" t="s">
        <v>6260</v>
      </c>
      <c r="B1282" s="7">
        <v>173783</v>
      </c>
      <c r="C1282" s="7">
        <v>2500000</v>
      </c>
      <c r="D1282" s="7">
        <f t="shared" si="20"/>
        <v>-2326217</v>
      </c>
    </row>
    <row r="1283" spans="1:4" ht="18" customHeight="1" x14ac:dyDescent="0.25">
      <c r="A1283" s="2" t="s">
        <v>1408</v>
      </c>
      <c r="B1283" s="7">
        <v>48334413</v>
      </c>
      <c r="C1283" s="7">
        <v>39751583.5</v>
      </c>
      <c r="D1283" s="7">
        <f t="shared" si="20"/>
        <v>8582829.5</v>
      </c>
    </row>
    <row r="1284" spans="1:4" ht="18" customHeight="1" x14ac:dyDescent="0.25">
      <c r="A1284" s="2" t="s">
        <v>5531</v>
      </c>
      <c r="B1284" s="7">
        <v>2506446</v>
      </c>
      <c r="C1284" s="7">
        <v>2000000</v>
      </c>
      <c r="D1284" s="7">
        <f t="shared" si="20"/>
        <v>506446</v>
      </c>
    </row>
    <row r="1285" spans="1:4" ht="18" customHeight="1" x14ac:dyDescent="0.25">
      <c r="A1285" s="2" t="s">
        <v>4778</v>
      </c>
      <c r="B1285" s="7">
        <v>9402410</v>
      </c>
      <c r="C1285" s="7">
        <v>14000000</v>
      </c>
      <c r="D1285" s="7">
        <f t="shared" ref="D1285:D1348" si="21">B1285-C1285</f>
        <v>-4597590</v>
      </c>
    </row>
    <row r="1286" spans="1:4" ht="18" customHeight="1" x14ac:dyDescent="0.25">
      <c r="A1286" s="2" t="s">
        <v>5726</v>
      </c>
      <c r="B1286" s="7">
        <v>1294640</v>
      </c>
      <c r="C1286" s="7">
        <v>15000000</v>
      </c>
      <c r="D1286" s="7">
        <f t="shared" si="21"/>
        <v>-13705360</v>
      </c>
    </row>
    <row r="1287" spans="1:4" ht="18" customHeight="1" x14ac:dyDescent="0.25">
      <c r="A1287" s="2" t="s">
        <v>1574</v>
      </c>
      <c r="B1287" s="7">
        <v>48334413</v>
      </c>
      <c r="C1287" s="7">
        <v>39751583.5</v>
      </c>
      <c r="D1287" s="7">
        <f t="shared" si="21"/>
        <v>8582829.5</v>
      </c>
    </row>
    <row r="1288" spans="1:4" ht="18" customHeight="1" x14ac:dyDescent="0.25">
      <c r="A1288" s="2" t="s">
        <v>1077</v>
      </c>
      <c r="B1288" s="7">
        <v>51814190</v>
      </c>
      <c r="C1288" s="7">
        <v>75000000</v>
      </c>
      <c r="D1288" s="7">
        <f t="shared" si="21"/>
        <v>-23185810</v>
      </c>
    </row>
    <row r="1289" spans="1:4" ht="18" customHeight="1" x14ac:dyDescent="0.25">
      <c r="A1289" s="2" t="s">
        <v>6210</v>
      </c>
      <c r="B1289" s="7">
        <v>220914</v>
      </c>
      <c r="C1289" s="7">
        <v>16800000</v>
      </c>
      <c r="D1289" s="7">
        <f t="shared" si="21"/>
        <v>-16579086</v>
      </c>
    </row>
    <row r="1290" spans="1:4" ht="18" customHeight="1" x14ac:dyDescent="0.25">
      <c r="A1290" s="2" t="s">
        <v>4152</v>
      </c>
      <c r="B1290" s="7">
        <v>17596256</v>
      </c>
      <c r="C1290" s="7">
        <v>35000000</v>
      </c>
      <c r="D1290" s="7">
        <f t="shared" si="21"/>
        <v>-17403744</v>
      </c>
    </row>
    <row r="1291" spans="1:4" ht="18" customHeight="1" x14ac:dyDescent="0.25">
      <c r="A1291" s="2" t="s">
        <v>326</v>
      </c>
      <c r="B1291" s="7">
        <v>85707116</v>
      </c>
      <c r="C1291" s="7">
        <v>68000000</v>
      </c>
      <c r="D1291" s="7">
        <f t="shared" si="21"/>
        <v>17707116</v>
      </c>
    </row>
    <row r="1292" spans="1:4" ht="18" customHeight="1" x14ac:dyDescent="0.25">
      <c r="A1292" s="2" t="s">
        <v>6591</v>
      </c>
      <c r="B1292" s="7">
        <v>20262</v>
      </c>
      <c r="C1292" s="7">
        <v>4000000</v>
      </c>
      <c r="D1292" s="7">
        <f t="shared" si="21"/>
        <v>-3979738</v>
      </c>
    </row>
    <row r="1293" spans="1:4" ht="18" customHeight="1" x14ac:dyDescent="0.25">
      <c r="A1293" s="2" t="s">
        <v>2749</v>
      </c>
      <c r="B1293" s="7">
        <v>48154732</v>
      </c>
      <c r="C1293" s="7">
        <v>50000000</v>
      </c>
      <c r="D1293" s="7">
        <f t="shared" si="21"/>
        <v>-1845268</v>
      </c>
    </row>
    <row r="1294" spans="1:4" ht="18" customHeight="1" x14ac:dyDescent="0.25">
      <c r="A1294" s="2" t="s">
        <v>1567</v>
      </c>
      <c r="B1294" s="7">
        <v>48334413</v>
      </c>
      <c r="C1294" s="7">
        <v>39751583.5</v>
      </c>
      <c r="D1294" s="7">
        <f t="shared" si="21"/>
        <v>8582829.5</v>
      </c>
    </row>
    <row r="1295" spans="1:4" ht="18" customHeight="1" x14ac:dyDescent="0.25">
      <c r="A1295" s="2" t="s">
        <v>1386</v>
      </c>
      <c r="B1295" s="7">
        <v>48334413</v>
      </c>
      <c r="C1295" s="7">
        <v>39751583.5</v>
      </c>
      <c r="D1295" s="7">
        <f t="shared" si="21"/>
        <v>8582829.5</v>
      </c>
    </row>
    <row r="1296" spans="1:4" ht="18" customHeight="1" x14ac:dyDescent="0.25">
      <c r="A1296" s="2" t="s">
        <v>594</v>
      </c>
      <c r="B1296" s="7">
        <v>71423726</v>
      </c>
      <c r="C1296" s="7">
        <v>45000000</v>
      </c>
      <c r="D1296" s="7">
        <f t="shared" si="21"/>
        <v>26423726</v>
      </c>
    </row>
    <row r="1297" spans="1:4" ht="18" customHeight="1" x14ac:dyDescent="0.25">
      <c r="A1297" s="2" t="s">
        <v>3979</v>
      </c>
      <c r="B1297" s="7">
        <v>20488579</v>
      </c>
      <c r="C1297" s="7">
        <v>50000000</v>
      </c>
      <c r="D1297" s="7">
        <f t="shared" si="21"/>
        <v>-29511421</v>
      </c>
    </row>
    <row r="1298" spans="1:4" ht="18" customHeight="1" x14ac:dyDescent="0.25">
      <c r="A1298" s="2" t="s">
        <v>6180</v>
      </c>
      <c r="B1298" s="7">
        <v>240425</v>
      </c>
      <c r="C1298" s="7">
        <v>39751583.5</v>
      </c>
      <c r="D1298" s="7">
        <f t="shared" si="21"/>
        <v>-39511158.5</v>
      </c>
    </row>
    <row r="1299" spans="1:4" ht="18" customHeight="1" x14ac:dyDescent="0.25">
      <c r="A1299" s="2" t="s">
        <v>1663</v>
      </c>
      <c r="B1299" s="7">
        <v>48334413</v>
      </c>
      <c r="C1299" s="7">
        <v>22000000</v>
      </c>
      <c r="D1299" s="7">
        <f t="shared" si="21"/>
        <v>26334413</v>
      </c>
    </row>
    <row r="1300" spans="1:4" ht="18" customHeight="1" x14ac:dyDescent="0.25">
      <c r="A1300" s="2" t="s">
        <v>2815</v>
      </c>
      <c r="B1300" s="7">
        <v>45996718</v>
      </c>
      <c r="C1300" s="7">
        <v>60000000</v>
      </c>
      <c r="D1300" s="7">
        <f t="shared" si="21"/>
        <v>-14003282</v>
      </c>
    </row>
    <row r="1301" spans="1:4" ht="18" customHeight="1" x14ac:dyDescent="0.25">
      <c r="A1301" s="2" t="s">
        <v>6698</v>
      </c>
      <c r="B1301" s="7">
        <v>4958</v>
      </c>
      <c r="C1301" s="7">
        <v>2000000</v>
      </c>
      <c r="D1301" s="7">
        <f t="shared" si="21"/>
        <v>-1995042</v>
      </c>
    </row>
    <row r="1302" spans="1:4" ht="18" customHeight="1" x14ac:dyDescent="0.25">
      <c r="A1302" s="2" t="s">
        <v>3643</v>
      </c>
      <c r="B1302" s="7">
        <v>26781723</v>
      </c>
      <c r="C1302" s="7">
        <v>2500000</v>
      </c>
      <c r="D1302" s="7">
        <f t="shared" si="21"/>
        <v>24281723</v>
      </c>
    </row>
    <row r="1303" spans="1:4" ht="18" customHeight="1" x14ac:dyDescent="0.25">
      <c r="A1303" s="2" t="s">
        <v>3568</v>
      </c>
      <c r="B1303" s="7">
        <v>28424210</v>
      </c>
      <c r="C1303" s="7">
        <v>39751583.5</v>
      </c>
      <c r="D1303" s="7">
        <f t="shared" si="21"/>
        <v>-11327373.5</v>
      </c>
    </row>
    <row r="1304" spans="1:4" ht="18" customHeight="1" x14ac:dyDescent="0.25">
      <c r="A1304" s="2" t="s">
        <v>524</v>
      </c>
      <c r="B1304" s="7">
        <v>75367693</v>
      </c>
      <c r="C1304" s="7">
        <v>35000000</v>
      </c>
      <c r="D1304" s="7">
        <f t="shared" si="21"/>
        <v>40367693</v>
      </c>
    </row>
    <row r="1305" spans="1:4" ht="18" customHeight="1" x14ac:dyDescent="0.25">
      <c r="A1305" s="2" t="s">
        <v>4567</v>
      </c>
      <c r="B1305" s="7">
        <v>12339633</v>
      </c>
      <c r="C1305" s="7">
        <v>36000000</v>
      </c>
      <c r="D1305" s="7">
        <f t="shared" si="21"/>
        <v>-23660367</v>
      </c>
    </row>
    <row r="1306" spans="1:4" ht="18" customHeight="1" x14ac:dyDescent="0.25">
      <c r="A1306" s="2" t="s">
        <v>2260</v>
      </c>
      <c r="B1306" s="7">
        <v>48334413</v>
      </c>
      <c r="C1306" s="7">
        <v>2000000</v>
      </c>
      <c r="D1306" s="7">
        <f t="shared" si="21"/>
        <v>46334413</v>
      </c>
    </row>
    <row r="1307" spans="1:4" ht="18" customHeight="1" x14ac:dyDescent="0.25">
      <c r="A1307" s="2" t="s">
        <v>6350</v>
      </c>
      <c r="B1307" s="7">
        <v>113155</v>
      </c>
      <c r="C1307" s="7">
        <v>39751583.5</v>
      </c>
      <c r="D1307" s="7">
        <f t="shared" si="21"/>
        <v>-39638428.5</v>
      </c>
    </row>
    <row r="1308" spans="1:4" ht="18" customHeight="1" x14ac:dyDescent="0.25">
      <c r="A1308" s="2" t="s">
        <v>1598</v>
      </c>
      <c r="B1308" s="7">
        <v>48334413</v>
      </c>
      <c r="C1308" s="7">
        <v>32000000</v>
      </c>
      <c r="D1308" s="7">
        <f t="shared" si="21"/>
        <v>16334413</v>
      </c>
    </row>
    <row r="1309" spans="1:4" ht="18" customHeight="1" x14ac:dyDescent="0.25">
      <c r="A1309" s="2" t="s">
        <v>104</v>
      </c>
      <c r="B1309" s="7">
        <v>105263257</v>
      </c>
      <c r="C1309" s="7">
        <v>55000000</v>
      </c>
      <c r="D1309" s="7">
        <f t="shared" si="21"/>
        <v>50263257</v>
      </c>
    </row>
    <row r="1310" spans="1:4" ht="18" customHeight="1" x14ac:dyDescent="0.25">
      <c r="A1310" s="2" t="s">
        <v>6178</v>
      </c>
      <c r="B1310" s="7">
        <v>241816</v>
      </c>
      <c r="C1310" s="7">
        <v>42000</v>
      </c>
      <c r="D1310" s="7">
        <f t="shared" si="21"/>
        <v>199816</v>
      </c>
    </row>
    <row r="1311" spans="1:4" ht="18" customHeight="1" x14ac:dyDescent="0.25">
      <c r="A1311" s="2" t="s">
        <v>4074</v>
      </c>
      <c r="B1311" s="7">
        <v>18882880</v>
      </c>
      <c r="C1311" s="7">
        <v>20000000</v>
      </c>
      <c r="D1311" s="7">
        <f t="shared" si="21"/>
        <v>-1117120</v>
      </c>
    </row>
    <row r="1312" spans="1:4" ht="18" customHeight="1" x14ac:dyDescent="0.25">
      <c r="A1312" s="2" t="s">
        <v>6185</v>
      </c>
      <c r="B1312" s="7">
        <v>236266</v>
      </c>
      <c r="C1312" s="7">
        <v>3500000</v>
      </c>
      <c r="D1312" s="7">
        <f t="shared" si="21"/>
        <v>-3263734</v>
      </c>
    </row>
    <row r="1313" spans="1:4" ht="18" customHeight="1" x14ac:dyDescent="0.25">
      <c r="A1313" s="2" t="s">
        <v>4355</v>
      </c>
      <c r="B1313" s="7">
        <v>14967182</v>
      </c>
      <c r="C1313" s="7">
        <v>40000000</v>
      </c>
      <c r="D1313" s="7">
        <f t="shared" si="21"/>
        <v>-25032818</v>
      </c>
    </row>
    <row r="1314" spans="1:4" ht="18" customHeight="1" x14ac:dyDescent="0.25">
      <c r="A1314" s="2" t="s">
        <v>286</v>
      </c>
      <c r="B1314" s="7">
        <v>90353764</v>
      </c>
      <c r="C1314" s="7">
        <v>40000000</v>
      </c>
      <c r="D1314" s="7">
        <f t="shared" si="21"/>
        <v>50353764</v>
      </c>
    </row>
    <row r="1315" spans="1:4" ht="18" customHeight="1" x14ac:dyDescent="0.25">
      <c r="A1315" s="2" t="s">
        <v>805</v>
      </c>
      <c r="B1315" s="7">
        <v>60923325</v>
      </c>
      <c r="C1315" s="7">
        <v>39751583.5</v>
      </c>
      <c r="D1315" s="7">
        <f t="shared" si="21"/>
        <v>21171741.5</v>
      </c>
    </row>
    <row r="1316" spans="1:4" ht="18" customHeight="1" x14ac:dyDescent="0.25">
      <c r="A1316" s="2" t="s">
        <v>4787</v>
      </c>
      <c r="B1316" s="7">
        <v>9176553</v>
      </c>
      <c r="C1316" s="7">
        <v>7500000</v>
      </c>
      <c r="D1316" s="7">
        <f t="shared" si="21"/>
        <v>1676553</v>
      </c>
    </row>
    <row r="1317" spans="1:4" ht="18" customHeight="1" x14ac:dyDescent="0.25">
      <c r="A1317" s="2" t="s">
        <v>5111</v>
      </c>
      <c r="B1317" s="7">
        <v>5731103</v>
      </c>
      <c r="C1317" s="7">
        <v>2400000</v>
      </c>
      <c r="D1317" s="7">
        <f t="shared" si="21"/>
        <v>3331103</v>
      </c>
    </row>
    <row r="1318" spans="1:4" ht="18" customHeight="1" x14ac:dyDescent="0.25">
      <c r="A1318" s="2" t="s">
        <v>3474</v>
      </c>
      <c r="B1318" s="7">
        <v>30513940</v>
      </c>
      <c r="C1318" s="7">
        <v>30000000</v>
      </c>
      <c r="D1318" s="7">
        <f t="shared" si="21"/>
        <v>513940</v>
      </c>
    </row>
    <row r="1319" spans="1:4" ht="18" customHeight="1" x14ac:dyDescent="0.25">
      <c r="A1319" s="2" t="s">
        <v>4621</v>
      </c>
      <c r="B1319" s="7">
        <v>11560259</v>
      </c>
      <c r="C1319" s="7">
        <v>22000000</v>
      </c>
      <c r="D1319" s="7">
        <f t="shared" si="21"/>
        <v>-10439741</v>
      </c>
    </row>
    <row r="1320" spans="1:4" ht="18" customHeight="1" x14ac:dyDescent="0.25">
      <c r="A1320" s="2" t="s">
        <v>1451</v>
      </c>
      <c r="B1320" s="7">
        <v>48334413</v>
      </c>
      <c r="C1320" s="7">
        <v>39751583.5</v>
      </c>
      <c r="D1320" s="7">
        <f t="shared" si="21"/>
        <v>8582829.5</v>
      </c>
    </row>
    <row r="1321" spans="1:4" ht="18" customHeight="1" x14ac:dyDescent="0.25">
      <c r="A1321" s="2" t="s">
        <v>3457</v>
      </c>
      <c r="B1321" s="7">
        <v>30981850</v>
      </c>
      <c r="C1321" s="7">
        <v>40000000</v>
      </c>
      <c r="D1321" s="7">
        <f t="shared" si="21"/>
        <v>-9018150</v>
      </c>
    </row>
    <row r="1322" spans="1:4" ht="18" customHeight="1" x14ac:dyDescent="0.25">
      <c r="A1322" s="2" t="s">
        <v>579</v>
      </c>
      <c r="B1322" s="7">
        <v>72077000</v>
      </c>
      <c r="C1322" s="7">
        <v>30250000</v>
      </c>
      <c r="D1322" s="7">
        <f t="shared" si="21"/>
        <v>41827000</v>
      </c>
    </row>
    <row r="1323" spans="1:4" ht="18" customHeight="1" x14ac:dyDescent="0.25">
      <c r="A1323" s="2" t="s">
        <v>4693</v>
      </c>
      <c r="B1323" s="7">
        <v>10494494</v>
      </c>
      <c r="C1323" s="7">
        <v>18000000</v>
      </c>
      <c r="D1323" s="7">
        <f t="shared" si="21"/>
        <v>-7505506</v>
      </c>
    </row>
    <row r="1324" spans="1:4" ht="18" customHeight="1" x14ac:dyDescent="0.25">
      <c r="A1324" s="2" t="s">
        <v>4668</v>
      </c>
      <c r="B1324" s="7">
        <v>10769960</v>
      </c>
      <c r="C1324" s="7">
        <v>25000000</v>
      </c>
      <c r="D1324" s="7">
        <f t="shared" si="21"/>
        <v>-14230040</v>
      </c>
    </row>
    <row r="1325" spans="1:4" ht="18" customHeight="1" x14ac:dyDescent="0.25">
      <c r="A1325" s="2" t="s">
        <v>5399</v>
      </c>
      <c r="B1325" s="7">
        <v>3300230</v>
      </c>
      <c r="C1325" s="7">
        <v>39751583.5</v>
      </c>
      <c r="D1325" s="7">
        <f t="shared" si="21"/>
        <v>-36451353.5</v>
      </c>
    </row>
    <row r="1326" spans="1:4" ht="18" customHeight="1" x14ac:dyDescent="0.25">
      <c r="A1326" s="2" t="s">
        <v>1325</v>
      </c>
      <c r="B1326" s="7">
        <v>48334413</v>
      </c>
      <c r="C1326" s="7">
        <v>39751583.5</v>
      </c>
      <c r="D1326" s="7">
        <f t="shared" si="21"/>
        <v>8582829.5</v>
      </c>
    </row>
    <row r="1327" spans="1:4" ht="18" customHeight="1" x14ac:dyDescent="0.25">
      <c r="A1327" s="2" t="s">
        <v>1079</v>
      </c>
      <c r="B1327" s="7">
        <v>51774002</v>
      </c>
      <c r="C1327" s="7">
        <v>57000000</v>
      </c>
      <c r="D1327" s="7">
        <f t="shared" si="21"/>
        <v>-5225998</v>
      </c>
    </row>
    <row r="1328" spans="1:4" ht="18" customHeight="1" x14ac:dyDescent="0.25">
      <c r="A1328" s="2" t="s">
        <v>3500</v>
      </c>
      <c r="B1328" s="7">
        <v>30079316</v>
      </c>
      <c r="C1328" s="7">
        <v>35000000</v>
      </c>
      <c r="D1328" s="7">
        <f t="shared" si="21"/>
        <v>-4920684</v>
      </c>
    </row>
    <row r="1329" spans="1:4" ht="18" customHeight="1" x14ac:dyDescent="0.25">
      <c r="A1329" s="2" t="s">
        <v>4500</v>
      </c>
      <c r="B1329" s="7">
        <v>13214030</v>
      </c>
      <c r="C1329" s="7">
        <v>20000000</v>
      </c>
      <c r="D1329" s="7">
        <f t="shared" si="21"/>
        <v>-6785970</v>
      </c>
    </row>
    <row r="1330" spans="1:4" ht="18" customHeight="1" x14ac:dyDescent="0.25">
      <c r="A1330" s="2" t="s">
        <v>5051</v>
      </c>
      <c r="B1330" s="7">
        <v>6200756</v>
      </c>
      <c r="C1330" s="7">
        <v>7000000</v>
      </c>
      <c r="D1330" s="7">
        <f t="shared" si="21"/>
        <v>-799244</v>
      </c>
    </row>
    <row r="1331" spans="1:4" ht="18" customHeight="1" x14ac:dyDescent="0.25">
      <c r="A1331" s="2" t="s">
        <v>4836</v>
      </c>
      <c r="B1331" s="7">
        <v>8434601</v>
      </c>
      <c r="C1331" s="7">
        <v>28000000</v>
      </c>
      <c r="D1331" s="7">
        <f t="shared" si="21"/>
        <v>-19565399</v>
      </c>
    </row>
    <row r="1332" spans="1:4" ht="18" customHeight="1" x14ac:dyDescent="0.25">
      <c r="A1332" s="2" t="s">
        <v>4509</v>
      </c>
      <c r="B1332" s="7">
        <v>13052741</v>
      </c>
      <c r="C1332" s="7">
        <v>36000000</v>
      </c>
      <c r="D1332" s="7">
        <f t="shared" si="21"/>
        <v>-22947259</v>
      </c>
    </row>
    <row r="1333" spans="1:4" ht="18" customHeight="1" x14ac:dyDescent="0.25">
      <c r="A1333" s="2" t="s">
        <v>5124</v>
      </c>
      <c r="B1333" s="7">
        <v>5660084</v>
      </c>
      <c r="C1333" s="7">
        <v>54000000</v>
      </c>
      <c r="D1333" s="7">
        <f t="shared" si="21"/>
        <v>-48339916</v>
      </c>
    </row>
    <row r="1334" spans="1:4" ht="18" customHeight="1" x14ac:dyDescent="0.25">
      <c r="A1334" s="2" t="s">
        <v>5197</v>
      </c>
      <c r="B1334" s="7">
        <v>4903000</v>
      </c>
      <c r="C1334" s="7">
        <v>12000000</v>
      </c>
      <c r="D1334" s="7">
        <f t="shared" si="21"/>
        <v>-7097000</v>
      </c>
    </row>
    <row r="1335" spans="1:4" ht="18" customHeight="1" x14ac:dyDescent="0.25">
      <c r="A1335" s="2" t="s">
        <v>2136</v>
      </c>
      <c r="B1335" s="7">
        <v>48334413</v>
      </c>
      <c r="C1335" s="7">
        <v>3150000</v>
      </c>
      <c r="D1335" s="7">
        <f t="shared" si="21"/>
        <v>45184413</v>
      </c>
    </row>
    <row r="1336" spans="1:4" ht="18" customHeight="1" x14ac:dyDescent="0.25">
      <c r="A1336" s="2" t="s">
        <v>4613</v>
      </c>
      <c r="B1336" s="7">
        <v>11634362</v>
      </c>
      <c r="C1336" s="7">
        <v>39751583.5</v>
      </c>
      <c r="D1336" s="7">
        <f t="shared" si="21"/>
        <v>-28117221.5</v>
      </c>
    </row>
    <row r="1337" spans="1:4" ht="18" customHeight="1" x14ac:dyDescent="0.25">
      <c r="A1337" s="2" t="s">
        <v>3548</v>
      </c>
      <c r="B1337" s="7">
        <v>28871190</v>
      </c>
      <c r="C1337" s="7">
        <v>24000000</v>
      </c>
      <c r="D1337" s="7">
        <f t="shared" si="21"/>
        <v>4871190</v>
      </c>
    </row>
    <row r="1338" spans="1:4" ht="18" customHeight="1" x14ac:dyDescent="0.25">
      <c r="A1338" s="2" t="s">
        <v>2544</v>
      </c>
      <c r="B1338" s="7">
        <v>48334413</v>
      </c>
      <c r="C1338" s="7">
        <v>500000</v>
      </c>
      <c r="D1338" s="7">
        <f t="shared" si="21"/>
        <v>47834413</v>
      </c>
    </row>
    <row r="1339" spans="1:4" ht="18" customHeight="1" x14ac:dyDescent="0.25">
      <c r="A1339" s="2" t="s">
        <v>2617</v>
      </c>
      <c r="B1339" s="7">
        <v>48334413</v>
      </c>
      <c r="C1339" s="7">
        <v>250000</v>
      </c>
      <c r="D1339" s="7">
        <f t="shared" si="21"/>
        <v>48084413</v>
      </c>
    </row>
    <row r="1340" spans="1:4" ht="18" customHeight="1" x14ac:dyDescent="0.25">
      <c r="A1340" s="2" t="s">
        <v>4592</v>
      </c>
      <c r="B1340" s="7">
        <v>11860839</v>
      </c>
      <c r="C1340" s="7">
        <v>9000000</v>
      </c>
      <c r="D1340" s="7">
        <f t="shared" si="21"/>
        <v>2860839</v>
      </c>
    </row>
    <row r="1341" spans="1:4" ht="18" customHeight="1" x14ac:dyDescent="0.25">
      <c r="A1341" s="2" t="s">
        <v>4670</v>
      </c>
      <c r="B1341" s="7">
        <v>10725228</v>
      </c>
      <c r="C1341" s="7">
        <v>12500000</v>
      </c>
      <c r="D1341" s="7">
        <f t="shared" si="21"/>
        <v>-1774772</v>
      </c>
    </row>
    <row r="1342" spans="1:4" ht="18" customHeight="1" x14ac:dyDescent="0.25">
      <c r="A1342" s="2" t="s">
        <v>5275</v>
      </c>
      <c r="B1342" s="7">
        <v>4273372</v>
      </c>
      <c r="C1342" s="7">
        <v>22000000</v>
      </c>
      <c r="D1342" s="7">
        <f t="shared" si="21"/>
        <v>-17726628</v>
      </c>
    </row>
    <row r="1343" spans="1:4" ht="18" customHeight="1" x14ac:dyDescent="0.25">
      <c r="A1343" s="2" t="s">
        <v>2924</v>
      </c>
      <c r="B1343" s="7">
        <v>42643187</v>
      </c>
      <c r="C1343" s="7">
        <v>39751583.5</v>
      </c>
      <c r="D1343" s="7">
        <f t="shared" si="21"/>
        <v>2891603.5</v>
      </c>
    </row>
    <row r="1344" spans="1:4" ht="18" customHeight="1" x14ac:dyDescent="0.25">
      <c r="A1344" s="2" t="s">
        <v>3639</v>
      </c>
      <c r="B1344" s="7">
        <v>53660000</v>
      </c>
      <c r="C1344" s="7">
        <v>36000000</v>
      </c>
      <c r="D1344" s="7">
        <f t="shared" si="21"/>
        <v>17660000</v>
      </c>
    </row>
    <row r="1345" spans="1:4" ht="18" customHeight="1" x14ac:dyDescent="0.25">
      <c r="A1345" s="2" t="s">
        <v>6253</v>
      </c>
      <c r="B1345" s="7">
        <v>178739</v>
      </c>
      <c r="C1345" s="7">
        <v>2450000</v>
      </c>
      <c r="D1345" s="7">
        <f t="shared" si="21"/>
        <v>-2271261</v>
      </c>
    </row>
    <row r="1346" spans="1:4" ht="18" customHeight="1" x14ac:dyDescent="0.25">
      <c r="A1346" s="2" t="s">
        <v>4213</v>
      </c>
      <c r="B1346" s="7">
        <v>16842303</v>
      </c>
      <c r="C1346" s="7">
        <v>6500000</v>
      </c>
      <c r="D1346" s="7">
        <f t="shared" si="21"/>
        <v>10342303</v>
      </c>
    </row>
    <row r="1347" spans="1:4" ht="18" customHeight="1" x14ac:dyDescent="0.25">
      <c r="A1347" s="2" t="s">
        <v>5273</v>
      </c>
      <c r="B1347" s="7">
        <v>4280577</v>
      </c>
      <c r="C1347" s="7">
        <v>10000000</v>
      </c>
      <c r="D1347" s="7">
        <f t="shared" si="21"/>
        <v>-5719423</v>
      </c>
    </row>
    <row r="1348" spans="1:4" ht="18" customHeight="1" x14ac:dyDescent="0.25">
      <c r="A1348" s="2" t="s">
        <v>1380</v>
      </c>
      <c r="B1348" s="7">
        <v>48334413</v>
      </c>
      <c r="C1348" s="7">
        <v>39751583.5</v>
      </c>
      <c r="D1348" s="7">
        <f t="shared" si="21"/>
        <v>8582829.5</v>
      </c>
    </row>
    <row r="1349" spans="1:4" ht="18" customHeight="1" x14ac:dyDescent="0.25">
      <c r="A1349" s="2" t="s">
        <v>4529</v>
      </c>
      <c r="B1349" s="7">
        <v>12870569</v>
      </c>
      <c r="C1349" s="7">
        <v>56000000</v>
      </c>
      <c r="D1349" s="7">
        <f t="shared" ref="D1349:D1412" si="22">B1349-C1349</f>
        <v>-43129431</v>
      </c>
    </row>
    <row r="1350" spans="1:4" ht="18" customHeight="1" x14ac:dyDescent="0.25">
      <c r="A1350" s="2" t="s">
        <v>5036</v>
      </c>
      <c r="B1350" s="7">
        <v>6390032</v>
      </c>
      <c r="C1350" s="7">
        <v>3500000</v>
      </c>
      <c r="D1350" s="7">
        <f t="shared" si="22"/>
        <v>2890032</v>
      </c>
    </row>
    <row r="1351" spans="1:4" ht="18" customHeight="1" x14ac:dyDescent="0.25">
      <c r="A1351" s="2" t="s">
        <v>3968</v>
      </c>
      <c r="B1351" s="7">
        <v>20773070</v>
      </c>
      <c r="C1351" s="7">
        <v>5000000</v>
      </c>
      <c r="D1351" s="7">
        <f t="shared" si="22"/>
        <v>15773070</v>
      </c>
    </row>
    <row r="1352" spans="1:4" ht="18" customHeight="1" x14ac:dyDescent="0.25">
      <c r="A1352" s="2" t="s">
        <v>4400</v>
      </c>
      <c r="B1352" s="7">
        <v>14334645</v>
      </c>
      <c r="C1352" s="7">
        <v>25000000</v>
      </c>
      <c r="D1352" s="7">
        <f t="shared" si="22"/>
        <v>-10665355</v>
      </c>
    </row>
    <row r="1353" spans="1:4" ht="18" customHeight="1" x14ac:dyDescent="0.25">
      <c r="A1353" s="2" t="s">
        <v>1225</v>
      </c>
      <c r="B1353" s="7">
        <v>48334413</v>
      </c>
      <c r="C1353" s="7">
        <v>39751583.5</v>
      </c>
      <c r="D1353" s="7">
        <f t="shared" si="22"/>
        <v>8582829.5</v>
      </c>
    </row>
    <row r="1354" spans="1:4" ht="18" customHeight="1" x14ac:dyDescent="0.25">
      <c r="A1354" s="2" t="s">
        <v>4135</v>
      </c>
      <c r="B1354" s="7">
        <v>17797316</v>
      </c>
      <c r="C1354" s="7">
        <v>32000000</v>
      </c>
      <c r="D1354" s="7">
        <f t="shared" si="22"/>
        <v>-14202684</v>
      </c>
    </row>
    <row r="1355" spans="1:4" ht="18" customHeight="1" x14ac:dyDescent="0.25">
      <c r="A1355" s="2" t="s">
        <v>88</v>
      </c>
      <c r="B1355" s="7">
        <v>106635996</v>
      </c>
      <c r="C1355" s="7">
        <v>58000000</v>
      </c>
      <c r="D1355" s="7">
        <f t="shared" si="22"/>
        <v>48635996</v>
      </c>
    </row>
    <row r="1356" spans="1:4" ht="18" customHeight="1" x14ac:dyDescent="0.25">
      <c r="A1356" s="2" t="s">
        <v>1108</v>
      </c>
      <c r="B1356" s="7">
        <v>51100000</v>
      </c>
      <c r="C1356" s="7">
        <v>3000000</v>
      </c>
      <c r="D1356" s="7">
        <f t="shared" si="22"/>
        <v>48100000</v>
      </c>
    </row>
    <row r="1357" spans="1:4" ht="18" customHeight="1" x14ac:dyDescent="0.25">
      <c r="A1357" s="2" t="s">
        <v>1376</v>
      </c>
      <c r="B1357" s="7">
        <v>48334413</v>
      </c>
      <c r="C1357" s="7">
        <v>39751583.5</v>
      </c>
      <c r="D1357" s="7">
        <f t="shared" si="22"/>
        <v>8582829.5</v>
      </c>
    </row>
    <row r="1358" spans="1:4" ht="18" customHeight="1" x14ac:dyDescent="0.25">
      <c r="A1358" s="2" t="s">
        <v>146</v>
      </c>
      <c r="B1358" s="7">
        <v>101643008</v>
      </c>
      <c r="C1358" s="7">
        <v>90000000</v>
      </c>
      <c r="D1358" s="7">
        <f t="shared" si="22"/>
        <v>11643008</v>
      </c>
    </row>
    <row r="1359" spans="1:4" ht="18" customHeight="1" x14ac:dyDescent="0.25">
      <c r="A1359" s="2" t="s">
        <v>1297</v>
      </c>
      <c r="B1359" s="7">
        <v>48334413</v>
      </c>
      <c r="C1359" s="7">
        <v>39751583.5</v>
      </c>
      <c r="D1359" s="7">
        <f t="shared" si="22"/>
        <v>8582829.5</v>
      </c>
    </row>
    <row r="1360" spans="1:4" ht="18" customHeight="1" x14ac:dyDescent="0.25">
      <c r="A1360" s="2" t="s">
        <v>3134</v>
      </c>
      <c r="B1360" s="7">
        <v>37566230</v>
      </c>
      <c r="C1360" s="7">
        <v>17000000</v>
      </c>
      <c r="D1360" s="7">
        <f t="shared" si="22"/>
        <v>20566230</v>
      </c>
    </row>
    <row r="1361" spans="1:4" ht="18" customHeight="1" x14ac:dyDescent="0.25">
      <c r="A1361" s="2" t="s">
        <v>5308</v>
      </c>
      <c r="B1361" s="7">
        <v>4063859</v>
      </c>
      <c r="C1361" s="7">
        <v>4800000</v>
      </c>
      <c r="D1361" s="7">
        <f t="shared" si="22"/>
        <v>-736141</v>
      </c>
    </row>
    <row r="1362" spans="1:4" ht="18" customHeight="1" x14ac:dyDescent="0.25">
      <c r="A1362" s="2" t="s">
        <v>3251</v>
      </c>
      <c r="B1362" s="7">
        <v>35010192</v>
      </c>
      <c r="C1362" s="7">
        <v>39751583.5</v>
      </c>
      <c r="D1362" s="7">
        <f t="shared" si="22"/>
        <v>-4741391.5</v>
      </c>
    </row>
    <row r="1363" spans="1:4" ht="18" customHeight="1" x14ac:dyDescent="0.25">
      <c r="A1363" s="2" t="s">
        <v>6623</v>
      </c>
      <c r="B1363" s="7">
        <v>15542</v>
      </c>
      <c r="C1363" s="7">
        <v>39751583.5</v>
      </c>
      <c r="D1363" s="7">
        <f t="shared" si="22"/>
        <v>-39736041.5</v>
      </c>
    </row>
    <row r="1364" spans="1:4" ht="18" customHeight="1" x14ac:dyDescent="0.25">
      <c r="A1364" s="2" t="s">
        <v>1847</v>
      </c>
      <c r="B1364" s="7">
        <v>48334413</v>
      </c>
      <c r="C1364" s="7">
        <v>10000000</v>
      </c>
      <c r="D1364" s="7">
        <f t="shared" si="22"/>
        <v>38334413</v>
      </c>
    </row>
    <row r="1365" spans="1:4" ht="18" customHeight="1" x14ac:dyDescent="0.25">
      <c r="A1365" s="2" t="s">
        <v>6124</v>
      </c>
      <c r="B1365" s="7">
        <v>316842</v>
      </c>
      <c r="C1365" s="7">
        <v>39751583.5</v>
      </c>
      <c r="D1365" s="7">
        <f t="shared" si="22"/>
        <v>-39434741.5</v>
      </c>
    </row>
    <row r="1366" spans="1:4" ht="18" customHeight="1" x14ac:dyDescent="0.25">
      <c r="A1366" s="2" t="s">
        <v>3254</v>
      </c>
      <c r="B1366" s="7">
        <v>35000629</v>
      </c>
      <c r="C1366" s="7">
        <v>25000000</v>
      </c>
      <c r="D1366" s="7">
        <f t="shared" si="22"/>
        <v>10000629</v>
      </c>
    </row>
    <row r="1367" spans="1:4" ht="18" customHeight="1" x14ac:dyDescent="0.25">
      <c r="A1367" s="2" t="s">
        <v>3434</v>
      </c>
      <c r="B1367" s="7">
        <v>31501218</v>
      </c>
      <c r="C1367" s="7">
        <v>7500000</v>
      </c>
      <c r="D1367" s="7">
        <f t="shared" si="22"/>
        <v>24001218</v>
      </c>
    </row>
    <row r="1368" spans="1:4" ht="18" customHeight="1" x14ac:dyDescent="0.25">
      <c r="A1368" s="2" t="s">
        <v>6574</v>
      </c>
      <c r="B1368" s="7">
        <v>23091</v>
      </c>
      <c r="C1368" s="7">
        <v>15000000</v>
      </c>
      <c r="D1368" s="7">
        <f t="shared" si="22"/>
        <v>-14976909</v>
      </c>
    </row>
    <row r="1369" spans="1:4" ht="18" customHeight="1" x14ac:dyDescent="0.25">
      <c r="A1369" s="2" t="s">
        <v>2795</v>
      </c>
      <c r="B1369" s="7">
        <v>46836394</v>
      </c>
      <c r="C1369" s="7">
        <v>25000000</v>
      </c>
      <c r="D1369" s="7">
        <f t="shared" si="22"/>
        <v>21836394</v>
      </c>
    </row>
    <row r="1370" spans="1:4" ht="18" customHeight="1" x14ac:dyDescent="0.25">
      <c r="A1370" s="2" t="s">
        <v>434</v>
      </c>
      <c r="B1370" s="7">
        <v>160043480</v>
      </c>
      <c r="C1370" s="7">
        <v>116000000</v>
      </c>
      <c r="D1370" s="7">
        <f t="shared" si="22"/>
        <v>44043480</v>
      </c>
    </row>
    <row r="1371" spans="1:4" ht="18" customHeight="1" x14ac:dyDescent="0.25">
      <c r="A1371" s="2" t="s">
        <v>6654</v>
      </c>
      <c r="B1371" s="7">
        <v>11798</v>
      </c>
      <c r="C1371" s="7">
        <v>100000</v>
      </c>
      <c r="D1371" s="7">
        <f t="shared" si="22"/>
        <v>-88202</v>
      </c>
    </row>
    <row r="1372" spans="1:4" ht="18" customHeight="1" x14ac:dyDescent="0.25">
      <c r="A1372" s="2" t="s">
        <v>2977</v>
      </c>
      <c r="B1372" s="7">
        <v>41300105</v>
      </c>
      <c r="C1372" s="7">
        <v>19800000</v>
      </c>
      <c r="D1372" s="7">
        <f t="shared" si="22"/>
        <v>21500105</v>
      </c>
    </row>
    <row r="1373" spans="1:4" ht="18" customHeight="1" x14ac:dyDescent="0.25">
      <c r="A1373" s="2" t="s">
        <v>5170</v>
      </c>
      <c r="B1373" s="7">
        <v>5108820</v>
      </c>
      <c r="C1373" s="7">
        <v>24000000</v>
      </c>
      <c r="D1373" s="7">
        <f t="shared" si="22"/>
        <v>-18891180</v>
      </c>
    </row>
    <row r="1374" spans="1:4" ht="18" customHeight="1" x14ac:dyDescent="0.25">
      <c r="A1374" s="2" t="s">
        <v>846</v>
      </c>
      <c r="B1374" s="7">
        <v>59588068</v>
      </c>
      <c r="C1374" s="7">
        <v>40000000</v>
      </c>
      <c r="D1374" s="7">
        <f t="shared" si="22"/>
        <v>19588068</v>
      </c>
    </row>
    <row r="1375" spans="1:4" ht="18" customHeight="1" x14ac:dyDescent="0.25">
      <c r="A1375" s="2" t="s">
        <v>2059</v>
      </c>
      <c r="B1375" s="7">
        <v>48334413</v>
      </c>
      <c r="C1375" s="7">
        <v>4000000</v>
      </c>
      <c r="D1375" s="7">
        <f t="shared" si="22"/>
        <v>44334413</v>
      </c>
    </row>
    <row r="1376" spans="1:4" ht="18" customHeight="1" x14ac:dyDescent="0.25">
      <c r="A1376" s="2" t="s">
        <v>1605</v>
      </c>
      <c r="B1376" s="7">
        <v>48334413</v>
      </c>
      <c r="C1376" s="7">
        <v>30000000</v>
      </c>
      <c r="D1376" s="7">
        <f t="shared" si="22"/>
        <v>18334413</v>
      </c>
    </row>
    <row r="1377" spans="1:4" ht="18" customHeight="1" x14ac:dyDescent="0.25">
      <c r="A1377" s="2" t="s">
        <v>5530</v>
      </c>
      <c r="B1377" s="7">
        <v>2507106</v>
      </c>
      <c r="C1377" s="7">
        <v>39751583.5</v>
      </c>
      <c r="D1377" s="7">
        <f t="shared" si="22"/>
        <v>-37244477.5</v>
      </c>
    </row>
    <row r="1378" spans="1:4" ht="18" customHeight="1" x14ac:dyDescent="0.25">
      <c r="A1378" s="2" t="s">
        <v>5474</v>
      </c>
      <c r="B1378" s="7">
        <v>2955039</v>
      </c>
      <c r="C1378" s="7">
        <v>9000000</v>
      </c>
      <c r="D1378" s="7">
        <f t="shared" si="22"/>
        <v>-6044961</v>
      </c>
    </row>
    <row r="1379" spans="1:4" ht="18" customHeight="1" x14ac:dyDescent="0.25">
      <c r="A1379" s="2" t="s">
        <v>2606</v>
      </c>
      <c r="B1379" s="7">
        <v>48334413</v>
      </c>
      <c r="C1379" s="7">
        <v>250000</v>
      </c>
      <c r="D1379" s="7">
        <f t="shared" si="22"/>
        <v>48084413</v>
      </c>
    </row>
    <row r="1380" spans="1:4" ht="18" customHeight="1" x14ac:dyDescent="0.25">
      <c r="A1380" s="2" t="s">
        <v>1487</v>
      </c>
      <c r="B1380" s="7">
        <v>48334413</v>
      </c>
      <c r="C1380" s="7">
        <v>39751583.5</v>
      </c>
      <c r="D1380" s="7">
        <f t="shared" si="22"/>
        <v>8582829.5</v>
      </c>
    </row>
    <row r="1381" spans="1:4" ht="18" customHeight="1" x14ac:dyDescent="0.25">
      <c r="A1381" s="2" t="s">
        <v>5069</v>
      </c>
      <c r="B1381" s="7">
        <v>6088249</v>
      </c>
      <c r="C1381" s="7">
        <v>39751583.5</v>
      </c>
      <c r="D1381" s="7">
        <f t="shared" si="22"/>
        <v>-33663334.5</v>
      </c>
    </row>
    <row r="1382" spans="1:4" ht="18" customHeight="1" x14ac:dyDescent="0.25">
      <c r="A1382" s="2" t="s">
        <v>2672</v>
      </c>
      <c r="B1382" s="7">
        <v>48334413</v>
      </c>
      <c r="C1382" s="7">
        <v>100000</v>
      </c>
      <c r="D1382" s="7">
        <f t="shared" si="22"/>
        <v>48234413</v>
      </c>
    </row>
    <row r="1383" spans="1:4" ht="18" customHeight="1" x14ac:dyDescent="0.25">
      <c r="A1383" s="2" t="s">
        <v>5414</v>
      </c>
      <c r="B1383" s="7">
        <v>3219029</v>
      </c>
      <c r="C1383" s="7">
        <v>5000000</v>
      </c>
      <c r="D1383" s="7">
        <f t="shared" si="22"/>
        <v>-1780971</v>
      </c>
    </row>
    <row r="1384" spans="1:4" ht="18" customHeight="1" x14ac:dyDescent="0.25">
      <c r="A1384" s="2" t="s">
        <v>1368</v>
      </c>
      <c r="B1384" s="7">
        <v>48334413</v>
      </c>
      <c r="C1384" s="7">
        <v>39751583.5</v>
      </c>
      <c r="D1384" s="7">
        <f t="shared" si="22"/>
        <v>8582829.5</v>
      </c>
    </row>
    <row r="1385" spans="1:4" ht="18" customHeight="1" x14ac:dyDescent="0.25">
      <c r="A1385" s="2" t="s">
        <v>2971</v>
      </c>
      <c r="B1385" s="7">
        <v>41482207</v>
      </c>
      <c r="C1385" s="7">
        <v>50000000</v>
      </c>
      <c r="D1385" s="7">
        <f t="shared" si="22"/>
        <v>-8517793</v>
      </c>
    </row>
    <row r="1386" spans="1:4" ht="18" customHeight="1" x14ac:dyDescent="0.25">
      <c r="A1386" s="2" t="s">
        <v>3079</v>
      </c>
      <c r="B1386" s="7">
        <v>38432823</v>
      </c>
      <c r="C1386" s="7">
        <v>30000000</v>
      </c>
      <c r="D1386" s="7">
        <f t="shared" si="22"/>
        <v>8432823</v>
      </c>
    </row>
    <row r="1387" spans="1:4" ht="18" customHeight="1" x14ac:dyDescent="0.25">
      <c r="A1387" s="2" t="s">
        <v>1438</v>
      </c>
      <c r="B1387" s="7">
        <v>48334413</v>
      </c>
      <c r="C1387" s="7">
        <v>39751583.5</v>
      </c>
      <c r="D1387" s="7">
        <f t="shared" si="22"/>
        <v>8582829.5</v>
      </c>
    </row>
    <row r="1388" spans="1:4" ht="18" customHeight="1" x14ac:dyDescent="0.25">
      <c r="A1388" s="2" t="s">
        <v>3759</v>
      </c>
      <c r="B1388" s="7">
        <v>25031037</v>
      </c>
      <c r="C1388" s="7">
        <v>53000000</v>
      </c>
      <c r="D1388" s="7">
        <f t="shared" si="22"/>
        <v>-27968963</v>
      </c>
    </row>
    <row r="1389" spans="1:4" ht="18" customHeight="1" x14ac:dyDescent="0.25">
      <c r="A1389" s="2" t="s">
        <v>5777</v>
      </c>
      <c r="B1389" s="7">
        <v>1114943</v>
      </c>
      <c r="C1389" s="7">
        <v>500000</v>
      </c>
      <c r="D1389" s="7">
        <f t="shared" si="22"/>
        <v>614943</v>
      </c>
    </row>
    <row r="1390" spans="1:4" ht="18" customHeight="1" x14ac:dyDescent="0.25">
      <c r="A1390" s="2" t="s">
        <v>3582</v>
      </c>
      <c r="B1390" s="7">
        <v>28014536</v>
      </c>
      <c r="C1390" s="7">
        <v>15000000</v>
      </c>
      <c r="D1390" s="7">
        <f t="shared" si="22"/>
        <v>13014536</v>
      </c>
    </row>
    <row r="1391" spans="1:4" ht="18" customHeight="1" x14ac:dyDescent="0.25">
      <c r="A1391" s="2" t="s">
        <v>606</v>
      </c>
      <c r="B1391" s="7">
        <v>70906973</v>
      </c>
      <c r="C1391" s="7">
        <v>14600000</v>
      </c>
      <c r="D1391" s="7">
        <f t="shared" si="22"/>
        <v>56306973</v>
      </c>
    </row>
    <row r="1392" spans="1:4" ht="18" customHeight="1" x14ac:dyDescent="0.25">
      <c r="A1392" s="2" t="s">
        <v>2293</v>
      </c>
      <c r="B1392" s="7">
        <v>48334413</v>
      </c>
      <c r="C1392" s="7">
        <v>2000000</v>
      </c>
      <c r="D1392" s="7">
        <f t="shared" si="22"/>
        <v>46334413</v>
      </c>
    </row>
    <row r="1393" spans="1:4" ht="18" customHeight="1" x14ac:dyDescent="0.25">
      <c r="A1393" s="2" t="s">
        <v>3516</v>
      </c>
      <c r="B1393" s="7">
        <v>29802761</v>
      </c>
      <c r="C1393" s="7">
        <v>40000000</v>
      </c>
      <c r="D1393" s="7">
        <f t="shared" si="22"/>
        <v>-10197239</v>
      </c>
    </row>
    <row r="1394" spans="1:4" ht="18" customHeight="1" x14ac:dyDescent="0.25">
      <c r="A1394" s="2" t="s">
        <v>660</v>
      </c>
      <c r="B1394" s="7">
        <v>67962333</v>
      </c>
      <c r="C1394" s="7">
        <v>35000000</v>
      </c>
      <c r="D1394" s="7">
        <f t="shared" si="22"/>
        <v>32962333</v>
      </c>
    </row>
    <row r="1395" spans="1:4" ht="18" customHeight="1" x14ac:dyDescent="0.25">
      <c r="A1395" s="2" t="s">
        <v>6201</v>
      </c>
      <c r="B1395" s="7">
        <v>227241</v>
      </c>
      <c r="C1395" s="7">
        <v>39751583.5</v>
      </c>
      <c r="D1395" s="7">
        <f t="shared" si="22"/>
        <v>-39524342.5</v>
      </c>
    </row>
    <row r="1396" spans="1:4" ht="18" customHeight="1" x14ac:dyDescent="0.25">
      <c r="A1396" s="2" t="s">
        <v>5682</v>
      </c>
      <c r="B1396" s="7">
        <v>1631839</v>
      </c>
      <c r="C1396" s="7">
        <v>10000000</v>
      </c>
      <c r="D1396" s="7">
        <f t="shared" si="22"/>
        <v>-8368161</v>
      </c>
    </row>
    <row r="1397" spans="1:4" ht="18" customHeight="1" x14ac:dyDescent="0.25">
      <c r="A1397" s="2" t="s">
        <v>1851</v>
      </c>
      <c r="B1397" s="7">
        <v>48334413</v>
      </c>
      <c r="C1397" s="7">
        <v>10000000</v>
      </c>
      <c r="D1397" s="7">
        <f t="shared" si="22"/>
        <v>38334413</v>
      </c>
    </row>
    <row r="1398" spans="1:4" ht="18" customHeight="1" x14ac:dyDescent="0.25">
      <c r="A1398" s="2" t="s">
        <v>1553</v>
      </c>
      <c r="B1398" s="7">
        <v>48334413</v>
      </c>
      <c r="C1398" s="7">
        <v>39751583.5</v>
      </c>
      <c r="D1398" s="7">
        <f t="shared" si="22"/>
        <v>8582829.5</v>
      </c>
    </row>
    <row r="1399" spans="1:4" ht="18" customHeight="1" x14ac:dyDescent="0.25">
      <c r="A1399" s="2" t="s">
        <v>1728</v>
      </c>
      <c r="B1399" s="7">
        <v>48334413</v>
      </c>
      <c r="C1399" s="7">
        <v>16000000</v>
      </c>
      <c r="D1399" s="7">
        <f t="shared" si="22"/>
        <v>32334413</v>
      </c>
    </row>
    <row r="1400" spans="1:4" ht="18" customHeight="1" x14ac:dyDescent="0.25">
      <c r="A1400" s="2" t="s">
        <v>4909</v>
      </c>
      <c r="B1400" s="7">
        <v>7564000</v>
      </c>
      <c r="C1400" s="7">
        <v>20000000</v>
      </c>
      <c r="D1400" s="7">
        <f t="shared" si="22"/>
        <v>-12436000</v>
      </c>
    </row>
    <row r="1401" spans="1:4" ht="18" customHeight="1" x14ac:dyDescent="0.25">
      <c r="A1401" s="2" t="s">
        <v>3511</v>
      </c>
      <c r="B1401" s="7">
        <v>29997095</v>
      </c>
      <c r="C1401" s="7">
        <v>22000000</v>
      </c>
      <c r="D1401" s="7">
        <f t="shared" si="22"/>
        <v>7997095</v>
      </c>
    </row>
    <row r="1402" spans="1:4" ht="18" customHeight="1" x14ac:dyDescent="0.25">
      <c r="A1402" s="2" t="s">
        <v>4181</v>
      </c>
      <c r="B1402" s="7">
        <v>17278980</v>
      </c>
      <c r="C1402" s="7">
        <v>8000000</v>
      </c>
      <c r="D1402" s="7">
        <f t="shared" si="22"/>
        <v>9278980</v>
      </c>
    </row>
    <row r="1403" spans="1:4" ht="18" customHeight="1" x14ac:dyDescent="0.25">
      <c r="A1403" s="2" t="s">
        <v>5514</v>
      </c>
      <c r="B1403" s="7">
        <v>2694973</v>
      </c>
      <c r="C1403" s="7">
        <v>700000</v>
      </c>
      <c r="D1403" s="7">
        <f t="shared" si="22"/>
        <v>1994973</v>
      </c>
    </row>
    <row r="1404" spans="1:4" ht="18" customHeight="1" x14ac:dyDescent="0.25">
      <c r="A1404" s="2" t="s">
        <v>4319</v>
      </c>
      <c r="B1404" s="7">
        <v>15361537</v>
      </c>
      <c r="C1404" s="7">
        <v>13000000</v>
      </c>
      <c r="D1404" s="7">
        <f t="shared" si="22"/>
        <v>2361537</v>
      </c>
    </row>
    <row r="1405" spans="1:4" ht="18" customHeight="1" x14ac:dyDescent="0.25">
      <c r="A1405" s="2" t="s">
        <v>2842</v>
      </c>
      <c r="B1405" s="7">
        <v>45045037</v>
      </c>
      <c r="C1405" s="7">
        <v>36000000</v>
      </c>
      <c r="D1405" s="7">
        <f t="shared" si="22"/>
        <v>9045037</v>
      </c>
    </row>
    <row r="1406" spans="1:4" ht="18" customHeight="1" x14ac:dyDescent="0.25">
      <c r="A1406" s="2" t="s">
        <v>4137</v>
      </c>
      <c r="B1406" s="7">
        <v>17768000</v>
      </c>
      <c r="C1406" s="7">
        <v>5000000</v>
      </c>
      <c r="D1406" s="7">
        <f t="shared" si="22"/>
        <v>12768000</v>
      </c>
    </row>
    <row r="1407" spans="1:4" ht="18" customHeight="1" x14ac:dyDescent="0.25">
      <c r="A1407" s="2" t="s">
        <v>4610</v>
      </c>
      <c r="B1407" s="7">
        <v>11642254</v>
      </c>
      <c r="C1407" s="7">
        <v>3000000</v>
      </c>
      <c r="D1407" s="7">
        <f t="shared" si="22"/>
        <v>8642254</v>
      </c>
    </row>
    <row r="1408" spans="1:4" ht="18" customHeight="1" x14ac:dyDescent="0.25">
      <c r="A1408" s="2" t="s">
        <v>3328</v>
      </c>
      <c r="B1408" s="7">
        <v>33386128</v>
      </c>
      <c r="C1408" s="7">
        <v>15000000</v>
      </c>
      <c r="D1408" s="7">
        <f t="shared" si="22"/>
        <v>18386128</v>
      </c>
    </row>
    <row r="1409" spans="1:4" ht="18" customHeight="1" x14ac:dyDescent="0.25">
      <c r="A1409" s="2" t="s">
        <v>4386</v>
      </c>
      <c r="B1409" s="7">
        <v>14400000</v>
      </c>
      <c r="C1409" s="7">
        <v>2500000</v>
      </c>
      <c r="D1409" s="7">
        <f t="shared" si="22"/>
        <v>11900000</v>
      </c>
    </row>
    <row r="1410" spans="1:4" ht="18" customHeight="1" x14ac:dyDescent="0.25">
      <c r="A1410" s="2" t="s">
        <v>3487</v>
      </c>
      <c r="B1410" s="7">
        <v>30259652</v>
      </c>
      <c r="C1410" s="7">
        <v>15000000</v>
      </c>
      <c r="D1410" s="7">
        <f t="shared" si="22"/>
        <v>15259652</v>
      </c>
    </row>
    <row r="1411" spans="1:4" ht="18" customHeight="1" x14ac:dyDescent="0.25">
      <c r="A1411" s="2" t="s">
        <v>4335</v>
      </c>
      <c r="B1411" s="7">
        <v>15126948</v>
      </c>
      <c r="C1411" s="7">
        <v>5000000</v>
      </c>
      <c r="D1411" s="7">
        <f t="shared" si="22"/>
        <v>10126948</v>
      </c>
    </row>
    <row r="1412" spans="1:4" ht="18" customHeight="1" x14ac:dyDescent="0.25">
      <c r="A1412" s="2" t="s">
        <v>2790</v>
      </c>
      <c r="B1412" s="7">
        <v>94000000</v>
      </c>
      <c r="C1412" s="7">
        <v>600000</v>
      </c>
      <c r="D1412" s="7">
        <f t="shared" si="22"/>
        <v>93400000</v>
      </c>
    </row>
    <row r="1413" spans="1:4" ht="18" customHeight="1" x14ac:dyDescent="0.25">
      <c r="A1413" s="2" t="s">
        <v>5199</v>
      </c>
      <c r="B1413" s="7">
        <v>4881867</v>
      </c>
      <c r="C1413" s="7">
        <v>9000000</v>
      </c>
      <c r="D1413" s="7">
        <f t="shared" ref="D1413:D1476" si="23">B1413-C1413</f>
        <v>-4118133</v>
      </c>
    </row>
    <row r="1414" spans="1:4" ht="18" customHeight="1" x14ac:dyDescent="0.25">
      <c r="A1414" s="2" t="s">
        <v>5254</v>
      </c>
      <c r="B1414" s="7">
        <v>4414535</v>
      </c>
      <c r="C1414" s="7">
        <v>18000000</v>
      </c>
      <c r="D1414" s="7">
        <f t="shared" si="23"/>
        <v>-13585465</v>
      </c>
    </row>
    <row r="1415" spans="1:4" ht="18" customHeight="1" x14ac:dyDescent="0.25">
      <c r="A1415" s="2" t="s">
        <v>1686</v>
      </c>
      <c r="B1415" s="7">
        <v>48334413</v>
      </c>
      <c r="C1415" s="7">
        <v>20000000</v>
      </c>
      <c r="D1415" s="7">
        <f t="shared" si="23"/>
        <v>28334413</v>
      </c>
    </row>
    <row r="1416" spans="1:4" ht="18" customHeight="1" x14ac:dyDescent="0.25">
      <c r="A1416" s="2" t="s">
        <v>2306</v>
      </c>
      <c r="B1416" s="7">
        <v>48334413</v>
      </c>
      <c r="C1416" s="7">
        <v>1800000</v>
      </c>
      <c r="D1416" s="7">
        <f t="shared" si="23"/>
        <v>46534413</v>
      </c>
    </row>
    <row r="1417" spans="1:4" ht="18" customHeight="1" x14ac:dyDescent="0.25">
      <c r="A1417" s="2" t="s">
        <v>3199</v>
      </c>
      <c r="B1417" s="7">
        <v>36037909</v>
      </c>
      <c r="C1417" s="7">
        <v>60000000</v>
      </c>
      <c r="D1417" s="7">
        <f t="shared" si="23"/>
        <v>-23962091</v>
      </c>
    </row>
    <row r="1418" spans="1:4" ht="18" customHeight="1" x14ac:dyDescent="0.25">
      <c r="A1418" s="2" t="s">
        <v>3004</v>
      </c>
      <c r="B1418" s="7">
        <v>40247512</v>
      </c>
      <c r="C1418" s="7">
        <v>30000000</v>
      </c>
      <c r="D1418" s="7">
        <f t="shared" si="23"/>
        <v>10247512</v>
      </c>
    </row>
    <row r="1419" spans="1:4" ht="18" customHeight="1" x14ac:dyDescent="0.25">
      <c r="A1419" s="2" t="s">
        <v>449</v>
      </c>
      <c r="B1419" s="7">
        <v>79566871</v>
      </c>
      <c r="C1419" s="7">
        <v>30000000</v>
      </c>
      <c r="D1419" s="7">
        <f t="shared" si="23"/>
        <v>49566871</v>
      </c>
    </row>
    <row r="1420" spans="1:4" ht="18" customHeight="1" x14ac:dyDescent="0.25">
      <c r="A1420" s="2" t="s">
        <v>3601</v>
      </c>
      <c r="B1420" s="7">
        <v>27667947</v>
      </c>
      <c r="C1420" s="7">
        <v>50000000</v>
      </c>
      <c r="D1420" s="7">
        <f t="shared" si="23"/>
        <v>-22332053</v>
      </c>
    </row>
    <row r="1421" spans="1:4" ht="18" customHeight="1" x14ac:dyDescent="0.25">
      <c r="A1421" s="2" t="s">
        <v>1236</v>
      </c>
      <c r="B1421" s="7">
        <v>48334413</v>
      </c>
      <c r="C1421" s="7">
        <v>39751583.5</v>
      </c>
      <c r="D1421" s="7">
        <f t="shared" si="23"/>
        <v>8582829.5</v>
      </c>
    </row>
    <row r="1422" spans="1:4" ht="18" customHeight="1" x14ac:dyDescent="0.25">
      <c r="A1422" s="2" t="s">
        <v>2045</v>
      </c>
      <c r="B1422" s="7">
        <v>48334413</v>
      </c>
      <c r="C1422" s="7">
        <v>4500000</v>
      </c>
      <c r="D1422" s="7">
        <f t="shared" si="23"/>
        <v>43834413</v>
      </c>
    </row>
    <row r="1423" spans="1:4" ht="18" customHeight="1" x14ac:dyDescent="0.25">
      <c r="A1423" s="2" t="s">
        <v>959</v>
      </c>
      <c r="B1423" s="7">
        <v>55682070</v>
      </c>
      <c r="C1423" s="7">
        <v>50000000</v>
      </c>
      <c r="D1423" s="7">
        <f t="shared" si="23"/>
        <v>5682070</v>
      </c>
    </row>
    <row r="1424" spans="1:4" ht="18" customHeight="1" x14ac:dyDescent="0.25">
      <c r="A1424" s="2" t="s">
        <v>4307</v>
      </c>
      <c r="B1424" s="7">
        <v>15519841</v>
      </c>
      <c r="C1424" s="7">
        <v>47000000</v>
      </c>
      <c r="D1424" s="7">
        <f t="shared" si="23"/>
        <v>-31480159</v>
      </c>
    </row>
    <row r="1425" spans="1:4" ht="18" customHeight="1" x14ac:dyDescent="0.25">
      <c r="A1425" s="2" t="s">
        <v>5461</v>
      </c>
      <c r="B1425" s="7">
        <v>3000000</v>
      </c>
      <c r="C1425" s="7">
        <v>3000000</v>
      </c>
      <c r="D1425" s="7">
        <f t="shared" si="23"/>
        <v>0</v>
      </c>
    </row>
    <row r="1426" spans="1:4" ht="18" customHeight="1" x14ac:dyDescent="0.25">
      <c r="A1426" s="2" t="s">
        <v>6545</v>
      </c>
      <c r="B1426" s="7">
        <v>30084</v>
      </c>
      <c r="C1426" s="7">
        <v>70000</v>
      </c>
      <c r="D1426" s="7">
        <f t="shared" si="23"/>
        <v>-39916</v>
      </c>
    </row>
    <row r="1427" spans="1:4" ht="18" customHeight="1" x14ac:dyDescent="0.25">
      <c r="A1427" s="2" t="s">
        <v>3071</v>
      </c>
      <c r="B1427" s="7">
        <v>38624000</v>
      </c>
      <c r="C1427" s="7">
        <v>12000000</v>
      </c>
      <c r="D1427" s="7">
        <f t="shared" si="23"/>
        <v>26624000</v>
      </c>
    </row>
    <row r="1428" spans="1:4" ht="18" customHeight="1" x14ac:dyDescent="0.25">
      <c r="A1428" s="2" t="s">
        <v>1535</v>
      </c>
      <c r="B1428" s="7">
        <v>48334413</v>
      </c>
      <c r="C1428" s="7">
        <v>39751583.5</v>
      </c>
      <c r="D1428" s="7">
        <f t="shared" si="23"/>
        <v>8582829.5</v>
      </c>
    </row>
    <row r="1429" spans="1:4" ht="18" customHeight="1" x14ac:dyDescent="0.25">
      <c r="A1429" s="2" t="s">
        <v>5638</v>
      </c>
      <c r="B1429" s="7">
        <v>1943649</v>
      </c>
      <c r="C1429" s="7">
        <v>1700000</v>
      </c>
      <c r="D1429" s="7">
        <f t="shared" si="23"/>
        <v>243649</v>
      </c>
    </row>
    <row r="1430" spans="1:4" ht="18" customHeight="1" x14ac:dyDescent="0.25">
      <c r="A1430" s="2" t="s">
        <v>5819</v>
      </c>
      <c r="B1430" s="7">
        <v>1007962</v>
      </c>
      <c r="C1430" s="7">
        <v>950000</v>
      </c>
      <c r="D1430" s="7">
        <f t="shared" si="23"/>
        <v>57962</v>
      </c>
    </row>
    <row r="1431" spans="1:4" ht="18" customHeight="1" x14ac:dyDescent="0.25">
      <c r="A1431" s="2" t="s">
        <v>4020</v>
      </c>
      <c r="B1431" s="7">
        <v>19819494</v>
      </c>
      <c r="C1431" s="7">
        <v>70000000</v>
      </c>
      <c r="D1431" s="7">
        <f t="shared" si="23"/>
        <v>-50180506</v>
      </c>
    </row>
    <row r="1432" spans="1:4" ht="18" customHeight="1" x14ac:dyDescent="0.25">
      <c r="A1432" s="2" t="s">
        <v>1941</v>
      </c>
      <c r="B1432" s="7">
        <v>48334413</v>
      </c>
      <c r="C1432" s="7">
        <v>7000000</v>
      </c>
      <c r="D1432" s="7">
        <f t="shared" si="23"/>
        <v>41334413</v>
      </c>
    </row>
    <row r="1433" spans="1:4" ht="18" customHeight="1" x14ac:dyDescent="0.25">
      <c r="A1433" s="2" t="s">
        <v>3005</v>
      </c>
      <c r="B1433" s="7">
        <v>40219708</v>
      </c>
      <c r="C1433" s="7">
        <v>21000000</v>
      </c>
      <c r="D1433" s="7">
        <f t="shared" si="23"/>
        <v>19219708</v>
      </c>
    </row>
    <row r="1434" spans="1:4" ht="18" customHeight="1" x14ac:dyDescent="0.25">
      <c r="A1434" s="2" t="s">
        <v>6404</v>
      </c>
      <c r="B1434" s="7">
        <v>96734</v>
      </c>
      <c r="C1434" s="7">
        <v>1000000</v>
      </c>
      <c r="D1434" s="7">
        <f t="shared" si="23"/>
        <v>-903266</v>
      </c>
    </row>
    <row r="1435" spans="1:4" ht="18" customHeight="1" x14ac:dyDescent="0.25">
      <c r="A1435" s="2" t="s">
        <v>4927</v>
      </c>
      <c r="B1435" s="7">
        <v>7434726</v>
      </c>
      <c r="C1435" s="7">
        <v>23000000</v>
      </c>
      <c r="D1435" s="7">
        <f t="shared" si="23"/>
        <v>-15565274</v>
      </c>
    </row>
    <row r="1436" spans="1:4" ht="18" customHeight="1" x14ac:dyDescent="0.25">
      <c r="A1436" s="2" t="s">
        <v>1614</v>
      </c>
      <c r="B1436" s="7">
        <v>48334413</v>
      </c>
      <c r="C1436" s="7">
        <v>30000000</v>
      </c>
      <c r="D1436" s="7">
        <f t="shared" si="23"/>
        <v>18334413</v>
      </c>
    </row>
    <row r="1437" spans="1:4" ht="18" customHeight="1" x14ac:dyDescent="0.25">
      <c r="A1437" s="2" t="s">
        <v>3100</v>
      </c>
      <c r="B1437" s="7">
        <v>38087366</v>
      </c>
      <c r="C1437" s="7">
        <v>12000000</v>
      </c>
      <c r="D1437" s="7">
        <f t="shared" si="23"/>
        <v>26087366</v>
      </c>
    </row>
    <row r="1438" spans="1:4" ht="18" customHeight="1" x14ac:dyDescent="0.25">
      <c r="A1438" s="2" t="s">
        <v>4118</v>
      </c>
      <c r="B1438" s="7">
        <v>18225165</v>
      </c>
      <c r="C1438" s="7">
        <v>9000000</v>
      </c>
      <c r="D1438" s="7">
        <f t="shared" si="23"/>
        <v>9225165</v>
      </c>
    </row>
    <row r="1439" spans="1:4" ht="18" customHeight="1" x14ac:dyDescent="0.25">
      <c r="A1439" s="2" t="s">
        <v>2103</v>
      </c>
      <c r="B1439" s="7">
        <v>48334413</v>
      </c>
      <c r="C1439" s="7">
        <v>3500000</v>
      </c>
      <c r="D1439" s="7">
        <f t="shared" si="23"/>
        <v>44834413</v>
      </c>
    </row>
    <row r="1440" spans="1:4" ht="18" customHeight="1" x14ac:dyDescent="0.25">
      <c r="A1440" s="2" t="s">
        <v>3655</v>
      </c>
      <c r="B1440" s="7">
        <v>26539321</v>
      </c>
      <c r="C1440" s="7">
        <v>13000000</v>
      </c>
      <c r="D1440" s="7">
        <f t="shared" si="23"/>
        <v>13539321</v>
      </c>
    </row>
    <row r="1441" spans="1:4" ht="18" customHeight="1" x14ac:dyDescent="0.25">
      <c r="A1441" s="2" t="s">
        <v>2490</v>
      </c>
      <c r="B1441" s="7">
        <v>48334413</v>
      </c>
      <c r="C1441" s="7">
        <v>850000</v>
      </c>
      <c r="D1441" s="7">
        <f t="shared" si="23"/>
        <v>47484413</v>
      </c>
    </row>
    <row r="1442" spans="1:4" ht="18" customHeight="1" x14ac:dyDescent="0.25">
      <c r="A1442" s="2" t="s">
        <v>5650</v>
      </c>
      <c r="B1442" s="7">
        <v>1818681</v>
      </c>
      <c r="C1442" s="7">
        <v>7300000</v>
      </c>
      <c r="D1442" s="7">
        <f t="shared" si="23"/>
        <v>-5481319</v>
      </c>
    </row>
    <row r="1443" spans="1:4" ht="18" customHeight="1" x14ac:dyDescent="0.25">
      <c r="A1443" s="2" t="s">
        <v>1229</v>
      </c>
      <c r="B1443" s="7">
        <v>48334413</v>
      </c>
      <c r="C1443" s="7">
        <v>39751583.5</v>
      </c>
      <c r="D1443" s="7">
        <f t="shared" si="23"/>
        <v>8582829.5</v>
      </c>
    </row>
    <row r="1444" spans="1:4" ht="18" customHeight="1" x14ac:dyDescent="0.25">
      <c r="A1444" s="2" t="s">
        <v>1228</v>
      </c>
      <c r="B1444" s="7">
        <v>48334413</v>
      </c>
      <c r="C1444" s="7">
        <v>39751583.5</v>
      </c>
      <c r="D1444" s="7">
        <f t="shared" si="23"/>
        <v>8582829.5</v>
      </c>
    </row>
    <row r="1445" spans="1:4" ht="18" customHeight="1" x14ac:dyDescent="0.25">
      <c r="A1445" s="2" t="s">
        <v>5394</v>
      </c>
      <c r="B1445" s="7">
        <v>3335839</v>
      </c>
      <c r="C1445" s="7">
        <v>2000000</v>
      </c>
      <c r="D1445" s="7">
        <f t="shared" si="23"/>
        <v>1335839</v>
      </c>
    </row>
    <row r="1446" spans="1:4" ht="18" customHeight="1" x14ac:dyDescent="0.25">
      <c r="A1446" s="2" t="s">
        <v>4061</v>
      </c>
      <c r="B1446" s="7">
        <v>19076815</v>
      </c>
      <c r="C1446" s="7">
        <v>60000000</v>
      </c>
      <c r="D1446" s="7">
        <f t="shared" si="23"/>
        <v>-40923185</v>
      </c>
    </row>
    <row r="1447" spans="1:4" ht="18" customHeight="1" x14ac:dyDescent="0.25">
      <c r="A1447" s="2" t="s">
        <v>6480</v>
      </c>
      <c r="B1447" s="7">
        <v>56007</v>
      </c>
      <c r="C1447" s="7">
        <v>5500000</v>
      </c>
      <c r="D1447" s="7">
        <f t="shared" si="23"/>
        <v>-5443993</v>
      </c>
    </row>
    <row r="1448" spans="1:4" ht="18" customHeight="1" x14ac:dyDescent="0.25">
      <c r="A1448" s="2" t="s">
        <v>2340</v>
      </c>
      <c r="B1448" s="7">
        <v>48334413</v>
      </c>
      <c r="C1448" s="7">
        <v>1500000</v>
      </c>
      <c r="D1448" s="7">
        <f t="shared" si="23"/>
        <v>46834413</v>
      </c>
    </row>
    <row r="1449" spans="1:4" ht="18" customHeight="1" x14ac:dyDescent="0.25">
      <c r="A1449" s="2" t="s">
        <v>5561</v>
      </c>
      <c r="B1449" s="7">
        <v>2301777</v>
      </c>
      <c r="C1449" s="7">
        <v>650000</v>
      </c>
      <c r="D1449" s="7">
        <f t="shared" si="23"/>
        <v>1651777</v>
      </c>
    </row>
    <row r="1450" spans="1:4" ht="18" customHeight="1" x14ac:dyDescent="0.25">
      <c r="A1450" s="2" t="s">
        <v>2699</v>
      </c>
      <c r="B1450" s="7">
        <v>48334413</v>
      </c>
      <c r="C1450" s="7">
        <v>60000</v>
      </c>
      <c r="D1450" s="7">
        <f t="shared" si="23"/>
        <v>48274413</v>
      </c>
    </row>
    <row r="1451" spans="1:4" ht="18" customHeight="1" x14ac:dyDescent="0.25">
      <c r="A1451" s="2" t="s">
        <v>4073</v>
      </c>
      <c r="B1451" s="7">
        <v>18934858</v>
      </c>
      <c r="C1451" s="7">
        <v>23000000</v>
      </c>
      <c r="D1451" s="7">
        <f t="shared" si="23"/>
        <v>-4065142</v>
      </c>
    </row>
    <row r="1452" spans="1:4" ht="18" customHeight="1" x14ac:dyDescent="0.25">
      <c r="A1452" s="2" t="s">
        <v>3913</v>
      </c>
      <c r="B1452" s="7">
        <v>21554585</v>
      </c>
      <c r="C1452" s="7">
        <v>25000000</v>
      </c>
      <c r="D1452" s="7">
        <f t="shared" si="23"/>
        <v>-3445415</v>
      </c>
    </row>
    <row r="1453" spans="1:4" ht="18" customHeight="1" x14ac:dyDescent="0.25">
      <c r="A1453" s="2" t="s">
        <v>3114</v>
      </c>
      <c r="B1453" s="7">
        <v>37788228</v>
      </c>
      <c r="C1453" s="7">
        <v>35200000</v>
      </c>
      <c r="D1453" s="7">
        <f t="shared" si="23"/>
        <v>2588228</v>
      </c>
    </row>
    <row r="1454" spans="1:4" ht="18" customHeight="1" x14ac:dyDescent="0.25">
      <c r="A1454" s="2" t="s">
        <v>4704</v>
      </c>
      <c r="B1454" s="7">
        <v>10397365</v>
      </c>
      <c r="C1454" s="7">
        <v>14000000</v>
      </c>
      <c r="D1454" s="7">
        <f t="shared" si="23"/>
        <v>-3602635</v>
      </c>
    </row>
    <row r="1455" spans="1:4" ht="18" customHeight="1" x14ac:dyDescent="0.25">
      <c r="A1455" s="2" t="s">
        <v>5754</v>
      </c>
      <c r="B1455" s="7">
        <v>1196752</v>
      </c>
      <c r="C1455" s="7">
        <v>30300000</v>
      </c>
      <c r="D1455" s="7">
        <f t="shared" si="23"/>
        <v>-29103248</v>
      </c>
    </row>
    <row r="1456" spans="1:4" ht="18" customHeight="1" x14ac:dyDescent="0.25">
      <c r="A1456" s="2" t="s">
        <v>1827</v>
      </c>
      <c r="B1456" s="7">
        <v>48334413</v>
      </c>
      <c r="C1456" s="7">
        <v>10000000</v>
      </c>
      <c r="D1456" s="7">
        <f t="shared" si="23"/>
        <v>38334413</v>
      </c>
    </row>
    <row r="1457" spans="1:4" ht="18" customHeight="1" x14ac:dyDescent="0.25">
      <c r="A1457" s="2" t="s">
        <v>3001</v>
      </c>
      <c r="B1457" s="7">
        <v>40334024</v>
      </c>
      <c r="C1457" s="7">
        <v>35000000</v>
      </c>
      <c r="D1457" s="7">
        <f t="shared" si="23"/>
        <v>5334024</v>
      </c>
    </row>
    <row r="1458" spans="1:4" ht="18" customHeight="1" x14ac:dyDescent="0.25">
      <c r="A1458" s="2" t="s">
        <v>3795</v>
      </c>
      <c r="B1458" s="7">
        <v>24185781</v>
      </c>
      <c r="C1458" s="7">
        <v>31000000</v>
      </c>
      <c r="D1458" s="7">
        <f t="shared" si="23"/>
        <v>-6814219</v>
      </c>
    </row>
    <row r="1459" spans="1:4" ht="18" customHeight="1" x14ac:dyDescent="0.25">
      <c r="A1459" s="2" t="s">
        <v>253</v>
      </c>
      <c r="B1459" s="7">
        <v>91443253</v>
      </c>
      <c r="C1459" s="7">
        <v>12000000</v>
      </c>
      <c r="D1459" s="7">
        <f t="shared" si="23"/>
        <v>79443253</v>
      </c>
    </row>
    <row r="1460" spans="1:4" ht="18" customHeight="1" x14ac:dyDescent="0.25">
      <c r="A1460" s="2" t="s">
        <v>5450</v>
      </c>
      <c r="B1460" s="7">
        <v>3049135</v>
      </c>
      <c r="C1460" s="7">
        <v>5000000</v>
      </c>
      <c r="D1460" s="7">
        <f t="shared" si="23"/>
        <v>-1950865</v>
      </c>
    </row>
    <row r="1461" spans="1:4" ht="18" customHeight="1" x14ac:dyDescent="0.25">
      <c r="A1461" s="2" t="s">
        <v>5694</v>
      </c>
      <c r="B1461" s="7">
        <v>1500000</v>
      </c>
      <c r="C1461" s="7">
        <v>44000000</v>
      </c>
      <c r="D1461" s="7">
        <f t="shared" si="23"/>
        <v>-42500000</v>
      </c>
    </row>
    <row r="1462" spans="1:4" ht="18" customHeight="1" x14ac:dyDescent="0.25">
      <c r="A1462" s="2" t="s">
        <v>1869</v>
      </c>
      <c r="B1462" s="7">
        <v>48334413</v>
      </c>
      <c r="C1462" s="7">
        <v>9300000</v>
      </c>
      <c r="D1462" s="7">
        <f t="shared" si="23"/>
        <v>39034413</v>
      </c>
    </row>
    <row r="1463" spans="1:4" ht="18" customHeight="1" x14ac:dyDescent="0.25">
      <c r="A1463" s="2" t="s">
        <v>5458</v>
      </c>
      <c r="B1463" s="7">
        <v>3029081</v>
      </c>
      <c r="C1463" s="7">
        <v>6000000</v>
      </c>
      <c r="D1463" s="7">
        <f t="shared" si="23"/>
        <v>-2970919</v>
      </c>
    </row>
    <row r="1464" spans="1:4" ht="18" customHeight="1" x14ac:dyDescent="0.25">
      <c r="A1464" s="2" t="s">
        <v>1694</v>
      </c>
      <c r="B1464" s="7">
        <v>96668826</v>
      </c>
      <c r="C1464" s="7">
        <v>38000000</v>
      </c>
      <c r="D1464" s="7">
        <f t="shared" si="23"/>
        <v>58668826</v>
      </c>
    </row>
    <row r="1465" spans="1:4" ht="18" customHeight="1" x14ac:dyDescent="0.25">
      <c r="A1465" s="2" t="s">
        <v>5223</v>
      </c>
      <c r="B1465" s="7">
        <v>4692814</v>
      </c>
      <c r="C1465" s="7">
        <v>8000000</v>
      </c>
      <c r="D1465" s="7">
        <f t="shared" si="23"/>
        <v>-3307186</v>
      </c>
    </row>
    <row r="1466" spans="1:4" ht="18" customHeight="1" x14ac:dyDescent="0.25">
      <c r="A1466" s="2" t="s">
        <v>2434</v>
      </c>
      <c r="B1466" s="7">
        <v>48334413</v>
      </c>
      <c r="C1466" s="7">
        <v>1000000</v>
      </c>
      <c r="D1466" s="7">
        <f t="shared" si="23"/>
        <v>47334413</v>
      </c>
    </row>
    <row r="1467" spans="1:4" ht="18" customHeight="1" x14ac:dyDescent="0.25">
      <c r="A1467" s="2" t="s">
        <v>502</v>
      </c>
      <c r="B1467" s="7">
        <v>75754670</v>
      </c>
      <c r="C1467" s="7">
        <v>85000000</v>
      </c>
      <c r="D1467" s="7">
        <f t="shared" si="23"/>
        <v>-9245330</v>
      </c>
    </row>
    <row r="1468" spans="1:4" ht="18" customHeight="1" x14ac:dyDescent="0.25">
      <c r="A1468" s="2" t="s">
        <v>856</v>
      </c>
      <c r="B1468" s="7">
        <v>59035104</v>
      </c>
      <c r="C1468" s="7">
        <v>66000000</v>
      </c>
      <c r="D1468" s="7">
        <f t="shared" si="23"/>
        <v>-6964896</v>
      </c>
    </row>
    <row r="1469" spans="1:4" ht="18" customHeight="1" x14ac:dyDescent="0.25">
      <c r="A1469" s="2" t="s">
        <v>4379</v>
      </c>
      <c r="B1469" s="7">
        <v>14564027</v>
      </c>
      <c r="C1469" s="7">
        <v>1000000</v>
      </c>
      <c r="D1469" s="7">
        <f t="shared" si="23"/>
        <v>13564027</v>
      </c>
    </row>
    <row r="1470" spans="1:4" ht="18" customHeight="1" x14ac:dyDescent="0.25">
      <c r="A1470" s="2" t="s">
        <v>2092</v>
      </c>
      <c r="B1470" s="7">
        <v>48334413</v>
      </c>
      <c r="C1470" s="7">
        <v>3950000</v>
      </c>
      <c r="D1470" s="7">
        <f t="shared" si="23"/>
        <v>44384413</v>
      </c>
    </row>
    <row r="1471" spans="1:4" ht="18" customHeight="1" x14ac:dyDescent="0.25">
      <c r="A1471" s="2" t="s">
        <v>1860</v>
      </c>
      <c r="B1471" s="7">
        <v>48334413</v>
      </c>
      <c r="C1471" s="7">
        <v>10000000</v>
      </c>
      <c r="D1471" s="7">
        <f t="shared" si="23"/>
        <v>38334413</v>
      </c>
    </row>
    <row r="1472" spans="1:4" ht="18" customHeight="1" x14ac:dyDescent="0.25">
      <c r="A1472" s="2" t="s">
        <v>4727</v>
      </c>
      <c r="B1472" s="7">
        <v>10161099</v>
      </c>
      <c r="C1472" s="7">
        <v>9000000</v>
      </c>
      <c r="D1472" s="7">
        <f t="shared" si="23"/>
        <v>1161099</v>
      </c>
    </row>
    <row r="1473" spans="1:4" ht="18" customHeight="1" x14ac:dyDescent="0.25">
      <c r="A1473" s="2" t="s">
        <v>2701</v>
      </c>
      <c r="B1473" s="7">
        <v>48334413</v>
      </c>
      <c r="C1473" s="7">
        <v>60000</v>
      </c>
      <c r="D1473" s="7">
        <f t="shared" si="23"/>
        <v>48274413</v>
      </c>
    </row>
    <row r="1474" spans="1:4" ht="18" customHeight="1" x14ac:dyDescent="0.25">
      <c r="A1474" s="2" t="s">
        <v>3718</v>
      </c>
      <c r="B1474" s="7">
        <v>25556065</v>
      </c>
      <c r="C1474" s="7">
        <v>23000000</v>
      </c>
      <c r="D1474" s="7">
        <f t="shared" si="23"/>
        <v>2556065</v>
      </c>
    </row>
    <row r="1475" spans="1:4" ht="18" customHeight="1" x14ac:dyDescent="0.25">
      <c r="A1475" s="2" t="s">
        <v>709</v>
      </c>
      <c r="B1475" s="7">
        <v>66002004</v>
      </c>
      <c r="C1475" s="7">
        <v>50000000</v>
      </c>
      <c r="D1475" s="7">
        <f t="shared" si="23"/>
        <v>16002004</v>
      </c>
    </row>
    <row r="1476" spans="1:4" ht="18" customHeight="1" x14ac:dyDescent="0.25">
      <c r="A1476" s="2" t="s">
        <v>2836</v>
      </c>
      <c r="B1476" s="7">
        <v>45290318</v>
      </c>
      <c r="C1476" s="7">
        <v>42000000</v>
      </c>
      <c r="D1476" s="7">
        <f t="shared" si="23"/>
        <v>3290318</v>
      </c>
    </row>
    <row r="1477" spans="1:4" ht="18" customHeight="1" x14ac:dyDescent="0.25">
      <c r="A1477" s="2" t="s">
        <v>4695</v>
      </c>
      <c r="B1477" s="7">
        <v>10494147</v>
      </c>
      <c r="C1477" s="7">
        <v>15000000</v>
      </c>
      <c r="D1477" s="7">
        <f t="shared" ref="D1477:D1540" si="24">B1477-C1477</f>
        <v>-4505853</v>
      </c>
    </row>
    <row r="1478" spans="1:4" ht="18" customHeight="1" x14ac:dyDescent="0.25">
      <c r="A1478" s="2" t="s">
        <v>3353</v>
      </c>
      <c r="B1478" s="7">
        <v>32741596</v>
      </c>
      <c r="C1478" s="7">
        <v>50000000</v>
      </c>
      <c r="D1478" s="7">
        <f t="shared" si="24"/>
        <v>-17258404</v>
      </c>
    </row>
    <row r="1479" spans="1:4" ht="18" customHeight="1" x14ac:dyDescent="0.25">
      <c r="A1479" s="2" t="s">
        <v>6422</v>
      </c>
      <c r="B1479" s="7">
        <v>84961</v>
      </c>
      <c r="C1479" s="7">
        <v>31000000</v>
      </c>
      <c r="D1479" s="7">
        <f t="shared" si="24"/>
        <v>-30915039</v>
      </c>
    </row>
    <row r="1480" spans="1:4" ht="18" customHeight="1" x14ac:dyDescent="0.25">
      <c r="A1480" s="2" t="s">
        <v>1557</v>
      </c>
      <c r="B1480" s="7">
        <v>48334413</v>
      </c>
      <c r="C1480" s="7">
        <v>39751583.5</v>
      </c>
      <c r="D1480" s="7">
        <f t="shared" si="24"/>
        <v>8582829.5</v>
      </c>
    </row>
    <row r="1481" spans="1:4" ht="18" customHeight="1" x14ac:dyDescent="0.25">
      <c r="A1481" s="2" t="s">
        <v>1528</v>
      </c>
      <c r="B1481" s="7">
        <v>48334413</v>
      </c>
      <c r="C1481" s="7">
        <v>39751583.5</v>
      </c>
      <c r="D1481" s="7">
        <f t="shared" si="24"/>
        <v>8582829.5</v>
      </c>
    </row>
    <row r="1482" spans="1:4" ht="18" customHeight="1" x14ac:dyDescent="0.25">
      <c r="A1482" s="2" t="s">
        <v>222</v>
      </c>
      <c r="B1482" s="7">
        <v>93952276</v>
      </c>
      <c r="C1482" s="7">
        <v>40000000</v>
      </c>
      <c r="D1482" s="7">
        <f t="shared" si="24"/>
        <v>53952276</v>
      </c>
    </row>
    <row r="1483" spans="1:4" ht="18" customHeight="1" x14ac:dyDescent="0.25">
      <c r="A1483" s="2" t="s">
        <v>6073</v>
      </c>
      <c r="B1483" s="7">
        <v>382946</v>
      </c>
      <c r="C1483" s="7">
        <v>7000000</v>
      </c>
      <c r="D1483" s="7">
        <f t="shared" si="24"/>
        <v>-6617054</v>
      </c>
    </row>
    <row r="1484" spans="1:4" ht="18" customHeight="1" x14ac:dyDescent="0.25">
      <c r="A1484" s="2" t="s">
        <v>4458</v>
      </c>
      <c r="B1484" s="7">
        <v>13684949</v>
      </c>
      <c r="C1484" s="7">
        <v>3000000</v>
      </c>
      <c r="D1484" s="7">
        <f t="shared" si="24"/>
        <v>10684949</v>
      </c>
    </row>
    <row r="1485" spans="1:4" ht="18" customHeight="1" x14ac:dyDescent="0.25">
      <c r="A1485" s="2" t="s">
        <v>1497</v>
      </c>
      <c r="B1485" s="7">
        <v>48334413</v>
      </c>
      <c r="C1485" s="7">
        <v>39751583.5</v>
      </c>
      <c r="D1485" s="7">
        <f t="shared" si="24"/>
        <v>8582829.5</v>
      </c>
    </row>
    <row r="1486" spans="1:4" ht="18" customHeight="1" x14ac:dyDescent="0.25">
      <c r="A1486" s="2" t="s">
        <v>1110</v>
      </c>
      <c r="B1486" s="7">
        <v>51097664</v>
      </c>
      <c r="C1486" s="7">
        <v>30000000</v>
      </c>
      <c r="D1486" s="7">
        <f t="shared" si="24"/>
        <v>21097664</v>
      </c>
    </row>
    <row r="1487" spans="1:4" ht="18" customHeight="1" x14ac:dyDescent="0.25">
      <c r="A1487" s="2" t="s">
        <v>2119</v>
      </c>
      <c r="B1487" s="7">
        <v>48334413</v>
      </c>
      <c r="C1487" s="7">
        <v>3400000</v>
      </c>
      <c r="D1487" s="7">
        <f t="shared" si="24"/>
        <v>44934413</v>
      </c>
    </row>
    <row r="1488" spans="1:4" ht="18" customHeight="1" x14ac:dyDescent="0.25">
      <c r="A1488" s="2" t="s">
        <v>2969</v>
      </c>
      <c r="B1488" s="7">
        <v>41543207</v>
      </c>
      <c r="C1488" s="7">
        <v>42000000</v>
      </c>
      <c r="D1488" s="7">
        <f t="shared" si="24"/>
        <v>-456793</v>
      </c>
    </row>
    <row r="1489" spans="1:4" ht="18" customHeight="1" x14ac:dyDescent="0.25">
      <c r="A1489" s="2" t="s">
        <v>3619</v>
      </c>
      <c r="B1489" s="7">
        <v>27277055</v>
      </c>
      <c r="C1489" s="7">
        <v>20000000</v>
      </c>
      <c r="D1489" s="7">
        <f t="shared" si="24"/>
        <v>7277055</v>
      </c>
    </row>
    <row r="1490" spans="1:4" ht="18" customHeight="1" x14ac:dyDescent="0.25">
      <c r="A1490" s="2" t="s">
        <v>6203</v>
      </c>
      <c r="B1490" s="7">
        <v>226792</v>
      </c>
      <c r="C1490" s="7">
        <v>10000000</v>
      </c>
      <c r="D1490" s="7">
        <f t="shared" si="24"/>
        <v>-9773208</v>
      </c>
    </row>
    <row r="1491" spans="1:4" ht="18" customHeight="1" x14ac:dyDescent="0.25">
      <c r="A1491" s="2" t="s">
        <v>2506</v>
      </c>
      <c r="B1491" s="7">
        <v>48334413</v>
      </c>
      <c r="C1491" s="7">
        <v>750000</v>
      </c>
      <c r="D1491" s="7">
        <f t="shared" si="24"/>
        <v>47584413</v>
      </c>
    </row>
    <row r="1492" spans="1:4" ht="18" customHeight="1" x14ac:dyDescent="0.25">
      <c r="A1492" s="2" t="s">
        <v>1975</v>
      </c>
      <c r="B1492" s="7">
        <v>48334413</v>
      </c>
      <c r="C1492" s="7">
        <v>5500000</v>
      </c>
      <c r="D1492" s="7">
        <f t="shared" si="24"/>
        <v>42834413</v>
      </c>
    </row>
    <row r="1493" spans="1:4" ht="18" customHeight="1" x14ac:dyDescent="0.25">
      <c r="A1493" s="2" t="s">
        <v>1515</v>
      </c>
      <c r="B1493" s="7">
        <v>48334413</v>
      </c>
      <c r="C1493" s="7">
        <v>39751583.5</v>
      </c>
      <c r="D1493" s="7">
        <f t="shared" si="24"/>
        <v>8582829.5</v>
      </c>
    </row>
    <row r="1494" spans="1:4" ht="18" customHeight="1" x14ac:dyDescent="0.25">
      <c r="A1494" s="2" t="s">
        <v>1952</v>
      </c>
      <c r="B1494" s="7">
        <v>48334413</v>
      </c>
      <c r="C1494" s="7">
        <v>7000000</v>
      </c>
      <c r="D1494" s="7">
        <f t="shared" si="24"/>
        <v>41334413</v>
      </c>
    </row>
    <row r="1495" spans="1:4" ht="18" customHeight="1" x14ac:dyDescent="0.25">
      <c r="A1495" s="2" t="s">
        <v>275</v>
      </c>
      <c r="B1495" s="7">
        <v>90556401</v>
      </c>
      <c r="C1495" s="7">
        <v>11000000</v>
      </c>
      <c r="D1495" s="7">
        <f t="shared" si="24"/>
        <v>79556401</v>
      </c>
    </row>
    <row r="1496" spans="1:4" ht="18" customHeight="1" x14ac:dyDescent="0.25">
      <c r="A1496" s="2" t="s">
        <v>2055</v>
      </c>
      <c r="B1496" s="7">
        <v>48334413</v>
      </c>
      <c r="C1496" s="7">
        <v>4200000</v>
      </c>
      <c r="D1496" s="7">
        <f t="shared" si="24"/>
        <v>44134413</v>
      </c>
    </row>
    <row r="1497" spans="1:4" ht="18" customHeight="1" x14ac:dyDescent="0.25">
      <c r="A1497" s="2" t="s">
        <v>5360</v>
      </c>
      <c r="B1497" s="7">
        <v>3645438</v>
      </c>
      <c r="C1497" s="7">
        <v>2200000</v>
      </c>
      <c r="D1497" s="7">
        <f t="shared" si="24"/>
        <v>1445438</v>
      </c>
    </row>
    <row r="1498" spans="1:4" ht="18" customHeight="1" x14ac:dyDescent="0.25">
      <c r="A1498" s="2" t="s">
        <v>5865</v>
      </c>
      <c r="B1498" s="7">
        <v>841206</v>
      </c>
      <c r="C1498" s="7">
        <v>39751583.5</v>
      </c>
      <c r="D1498" s="7">
        <f t="shared" si="24"/>
        <v>-38910377.5</v>
      </c>
    </row>
    <row r="1499" spans="1:4" ht="18" customHeight="1" x14ac:dyDescent="0.25">
      <c r="A1499" s="2" t="s">
        <v>4532</v>
      </c>
      <c r="B1499" s="7">
        <v>12801190</v>
      </c>
      <c r="C1499" s="7">
        <v>15000000</v>
      </c>
      <c r="D1499" s="7">
        <f t="shared" si="24"/>
        <v>-2198810</v>
      </c>
    </row>
    <row r="1500" spans="1:4" ht="18" customHeight="1" x14ac:dyDescent="0.25">
      <c r="A1500" s="2" t="s">
        <v>4444</v>
      </c>
      <c r="B1500" s="7">
        <v>13829734</v>
      </c>
      <c r="C1500" s="7">
        <v>26000000</v>
      </c>
      <c r="D1500" s="7">
        <f t="shared" si="24"/>
        <v>-12170266</v>
      </c>
    </row>
    <row r="1501" spans="1:4" ht="18" customHeight="1" x14ac:dyDescent="0.25">
      <c r="A1501" s="2" t="s">
        <v>5093</v>
      </c>
      <c r="B1501" s="7">
        <v>5900000</v>
      </c>
      <c r="C1501" s="7">
        <v>16000000</v>
      </c>
      <c r="D1501" s="7">
        <f t="shared" si="24"/>
        <v>-10100000</v>
      </c>
    </row>
    <row r="1502" spans="1:4" ht="18" customHeight="1" x14ac:dyDescent="0.25">
      <c r="A1502" s="2" t="s">
        <v>1762</v>
      </c>
      <c r="B1502" s="7">
        <v>48334413</v>
      </c>
      <c r="C1502" s="7">
        <v>14000000</v>
      </c>
      <c r="D1502" s="7">
        <f t="shared" si="24"/>
        <v>34334413</v>
      </c>
    </row>
    <row r="1503" spans="1:4" ht="18" customHeight="1" x14ac:dyDescent="0.25">
      <c r="A1503" s="2" t="s">
        <v>1804</v>
      </c>
      <c r="B1503" s="7">
        <v>48334413</v>
      </c>
      <c r="C1503" s="7">
        <v>11000000</v>
      </c>
      <c r="D1503" s="7">
        <f t="shared" si="24"/>
        <v>37334413</v>
      </c>
    </row>
    <row r="1504" spans="1:4" ht="18" customHeight="1" x14ac:dyDescent="0.25">
      <c r="A1504" s="2" t="s">
        <v>4456</v>
      </c>
      <c r="B1504" s="7">
        <v>13746550</v>
      </c>
      <c r="C1504" s="7">
        <v>2000000</v>
      </c>
      <c r="D1504" s="7">
        <f t="shared" si="24"/>
        <v>11746550</v>
      </c>
    </row>
    <row r="1505" spans="1:4" ht="18" customHeight="1" x14ac:dyDescent="0.25">
      <c r="A1505" s="2" t="s">
        <v>1264</v>
      </c>
      <c r="B1505" s="7">
        <v>48334413</v>
      </c>
      <c r="C1505" s="7">
        <v>39751583.5</v>
      </c>
      <c r="D1505" s="7">
        <f t="shared" si="24"/>
        <v>8582829.5</v>
      </c>
    </row>
    <row r="1506" spans="1:4" ht="18" customHeight="1" x14ac:dyDescent="0.25">
      <c r="A1506" s="2" t="s">
        <v>3034</v>
      </c>
      <c r="B1506" s="7">
        <v>39687528</v>
      </c>
      <c r="C1506" s="7">
        <v>24000000</v>
      </c>
      <c r="D1506" s="7">
        <f t="shared" si="24"/>
        <v>15687528</v>
      </c>
    </row>
    <row r="1507" spans="1:4" ht="18" customHeight="1" x14ac:dyDescent="0.25">
      <c r="A1507" s="2" t="s">
        <v>2442</v>
      </c>
      <c r="B1507" s="7">
        <v>48334413</v>
      </c>
      <c r="C1507" s="7">
        <v>1000000</v>
      </c>
      <c r="D1507" s="7">
        <f t="shared" si="24"/>
        <v>47334413</v>
      </c>
    </row>
    <row r="1508" spans="1:4" ht="18" customHeight="1" x14ac:dyDescent="0.25">
      <c r="A1508" s="2" t="s">
        <v>5907</v>
      </c>
      <c r="B1508" s="7">
        <v>703002</v>
      </c>
      <c r="C1508" s="7">
        <v>3000000</v>
      </c>
      <c r="D1508" s="7">
        <f t="shared" si="24"/>
        <v>-2296998</v>
      </c>
    </row>
    <row r="1509" spans="1:4" ht="18" customHeight="1" x14ac:dyDescent="0.25">
      <c r="A1509" s="2" t="s">
        <v>3041</v>
      </c>
      <c r="B1509" s="7">
        <v>39514713</v>
      </c>
      <c r="C1509" s="7">
        <v>28000000</v>
      </c>
      <c r="D1509" s="7">
        <f t="shared" si="24"/>
        <v>11514713</v>
      </c>
    </row>
    <row r="1510" spans="1:4" ht="18" customHeight="1" x14ac:dyDescent="0.25">
      <c r="A1510" s="2" t="s">
        <v>3793</v>
      </c>
      <c r="B1510" s="7">
        <v>24276500</v>
      </c>
      <c r="C1510" s="7">
        <v>35000000</v>
      </c>
      <c r="D1510" s="7">
        <f t="shared" si="24"/>
        <v>-10723500</v>
      </c>
    </row>
    <row r="1511" spans="1:4" ht="18" customHeight="1" x14ac:dyDescent="0.25">
      <c r="A1511" s="2" t="s">
        <v>667</v>
      </c>
      <c r="B1511" s="7">
        <v>67325559</v>
      </c>
      <c r="C1511" s="7">
        <v>20000000</v>
      </c>
      <c r="D1511" s="7">
        <f t="shared" si="24"/>
        <v>47325559</v>
      </c>
    </row>
    <row r="1512" spans="1:4" ht="18" customHeight="1" x14ac:dyDescent="0.25">
      <c r="A1512" s="2" t="s">
        <v>5203</v>
      </c>
      <c r="B1512" s="7">
        <v>4839383</v>
      </c>
      <c r="C1512" s="7">
        <v>16000000</v>
      </c>
      <c r="D1512" s="7">
        <f t="shared" si="24"/>
        <v>-11160617</v>
      </c>
    </row>
    <row r="1513" spans="1:4" ht="18" customHeight="1" x14ac:dyDescent="0.25">
      <c r="A1513" s="2" t="s">
        <v>3506</v>
      </c>
      <c r="B1513" s="7">
        <v>30013346</v>
      </c>
      <c r="C1513" s="7">
        <v>75000000</v>
      </c>
      <c r="D1513" s="7">
        <f t="shared" si="24"/>
        <v>-44986654</v>
      </c>
    </row>
    <row r="1514" spans="1:4" ht="18" customHeight="1" x14ac:dyDescent="0.25">
      <c r="A1514" s="2" t="s">
        <v>5162</v>
      </c>
      <c r="B1514" s="7">
        <v>5228617</v>
      </c>
      <c r="C1514" s="7">
        <v>100000</v>
      </c>
      <c r="D1514" s="7">
        <f t="shared" si="24"/>
        <v>5128617</v>
      </c>
    </row>
    <row r="1515" spans="1:4" ht="18" customHeight="1" x14ac:dyDescent="0.25">
      <c r="A1515" s="2" t="s">
        <v>4582</v>
      </c>
      <c r="B1515" s="7">
        <v>12065985</v>
      </c>
      <c r="C1515" s="7">
        <v>60000000</v>
      </c>
      <c r="D1515" s="7">
        <f t="shared" si="24"/>
        <v>-47934015</v>
      </c>
    </row>
    <row r="1516" spans="1:4" ht="18" customHeight="1" x14ac:dyDescent="0.25">
      <c r="A1516" s="2" t="s">
        <v>1413</v>
      </c>
      <c r="B1516" s="7">
        <v>48334413</v>
      </c>
      <c r="C1516" s="7">
        <v>39751583.5</v>
      </c>
      <c r="D1516" s="7">
        <f t="shared" si="24"/>
        <v>8582829.5</v>
      </c>
    </row>
    <row r="1517" spans="1:4" ht="18" customHeight="1" x14ac:dyDescent="0.25">
      <c r="A1517" s="2" t="s">
        <v>4159</v>
      </c>
      <c r="B1517" s="7">
        <v>17518220</v>
      </c>
      <c r="C1517" s="7">
        <v>20000000</v>
      </c>
      <c r="D1517" s="7">
        <f t="shared" si="24"/>
        <v>-2481780</v>
      </c>
    </row>
    <row r="1518" spans="1:4" ht="18" customHeight="1" x14ac:dyDescent="0.25">
      <c r="A1518" s="2" t="s">
        <v>4697</v>
      </c>
      <c r="B1518" s="7">
        <v>10443316</v>
      </c>
      <c r="C1518" s="7">
        <v>15000000</v>
      </c>
      <c r="D1518" s="7">
        <f t="shared" si="24"/>
        <v>-4556684</v>
      </c>
    </row>
    <row r="1519" spans="1:4" ht="18" customHeight="1" x14ac:dyDescent="0.25">
      <c r="A1519" s="2" t="s">
        <v>1529</v>
      </c>
      <c r="B1519" s="7">
        <v>48334413</v>
      </c>
      <c r="C1519" s="7">
        <v>39751583.5</v>
      </c>
      <c r="D1519" s="7">
        <f t="shared" si="24"/>
        <v>8582829.5</v>
      </c>
    </row>
    <row r="1520" spans="1:4" ht="18" customHeight="1" x14ac:dyDescent="0.25">
      <c r="A1520" s="2" t="s">
        <v>5487</v>
      </c>
      <c r="B1520" s="7">
        <v>2859955</v>
      </c>
      <c r="C1520" s="7">
        <v>1200000</v>
      </c>
      <c r="D1520" s="7">
        <f t="shared" si="24"/>
        <v>1659955</v>
      </c>
    </row>
    <row r="1521" spans="1:4" ht="18" customHeight="1" x14ac:dyDescent="0.25">
      <c r="A1521" s="2" t="s">
        <v>4021</v>
      </c>
      <c r="B1521" s="7">
        <v>19783777</v>
      </c>
      <c r="C1521" s="7">
        <v>22000000</v>
      </c>
      <c r="D1521" s="7">
        <f t="shared" si="24"/>
        <v>-2216223</v>
      </c>
    </row>
    <row r="1522" spans="1:4" ht="18" customHeight="1" x14ac:dyDescent="0.25">
      <c r="A1522" s="2" t="s">
        <v>3490</v>
      </c>
      <c r="B1522" s="7">
        <v>30222640</v>
      </c>
      <c r="C1522" s="7">
        <v>25000000</v>
      </c>
      <c r="D1522" s="7">
        <f t="shared" si="24"/>
        <v>5222640</v>
      </c>
    </row>
    <row r="1523" spans="1:4" ht="18" customHeight="1" x14ac:dyDescent="0.25">
      <c r="A1523" s="2" t="s">
        <v>4734</v>
      </c>
      <c r="B1523" s="7">
        <v>10134754</v>
      </c>
      <c r="C1523" s="7">
        <v>30000000</v>
      </c>
      <c r="D1523" s="7">
        <f t="shared" si="24"/>
        <v>-19865246</v>
      </c>
    </row>
    <row r="1524" spans="1:4" ht="18" customHeight="1" x14ac:dyDescent="0.25">
      <c r="A1524" s="2" t="s">
        <v>1112</v>
      </c>
      <c r="B1524" s="7">
        <v>51053787</v>
      </c>
      <c r="C1524" s="7">
        <v>17500000</v>
      </c>
      <c r="D1524" s="7">
        <f t="shared" si="24"/>
        <v>33553787</v>
      </c>
    </row>
    <row r="1525" spans="1:4" ht="18" customHeight="1" x14ac:dyDescent="0.25">
      <c r="A1525" s="2" t="s">
        <v>4889</v>
      </c>
      <c r="B1525" s="7">
        <v>7830611</v>
      </c>
      <c r="C1525" s="7">
        <v>700000</v>
      </c>
      <c r="D1525" s="7">
        <f t="shared" si="24"/>
        <v>7130611</v>
      </c>
    </row>
    <row r="1526" spans="1:4" ht="18" customHeight="1" x14ac:dyDescent="0.25">
      <c r="A1526" s="2" t="s">
        <v>4859</v>
      </c>
      <c r="B1526" s="7">
        <v>8080116</v>
      </c>
      <c r="C1526" s="7">
        <v>15000000</v>
      </c>
      <c r="D1526" s="7">
        <f t="shared" si="24"/>
        <v>-6919884</v>
      </c>
    </row>
    <row r="1527" spans="1:4" ht="18" customHeight="1" x14ac:dyDescent="0.25">
      <c r="A1527" s="2" t="s">
        <v>61</v>
      </c>
      <c r="B1527" s="7">
        <v>108012170</v>
      </c>
      <c r="C1527" s="7">
        <v>63000000</v>
      </c>
      <c r="D1527" s="7">
        <f t="shared" si="24"/>
        <v>45012170</v>
      </c>
    </row>
    <row r="1528" spans="1:4" ht="18" customHeight="1" x14ac:dyDescent="0.25">
      <c r="A1528" s="2" t="s">
        <v>831</v>
      </c>
      <c r="B1528" s="7">
        <v>60033780</v>
      </c>
      <c r="C1528" s="7">
        <v>30000000</v>
      </c>
      <c r="D1528" s="7">
        <f t="shared" si="24"/>
        <v>30033780</v>
      </c>
    </row>
    <row r="1529" spans="1:4" ht="18" customHeight="1" x14ac:dyDescent="0.25">
      <c r="A1529" s="2" t="s">
        <v>757</v>
      </c>
      <c r="B1529" s="7">
        <v>63536011</v>
      </c>
      <c r="C1529" s="7">
        <v>30000000</v>
      </c>
      <c r="D1529" s="7">
        <f t="shared" si="24"/>
        <v>33536011</v>
      </c>
    </row>
    <row r="1530" spans="1:4" ht="18" customHeight="1" x14ac:dyDescent="0.25">
      <c r="A1530" s="2" t="s">
        <v>992</v>
      </c>
      <c r="B1530" s="7">
        <v>54414716</v>
      </c>
      <c r="C1530" s="7">
        <v>42000000</v>
      </c>
      <c r="D1530" s="7">
        <f t="shared" si="24"/>
        <v>12414716</v>
      </c>
    </row>
    <row r="1531" spans="1:4" ht="18" customHeight="1" x14ac:dyDescent="0.25">
      <c r="A1531" s="2" t="s">
        <v>2615</v>
      </c>
      <c r="B1531" s="7">
        <v>48334413</v>
      </c>
      <c r="C1531" s="7">
        <v>250000</v>
      </c>
      <c r="D1531" s="7">
        <f t="shared" si="24"/>
        <v>48084413</v>
      </c>
    </row>
    <row r="1532" spans="1:4" ht="18" customHeight="1" x14ac:dyDescent="0.25">
      <c r="A1532" s="2" t="s">
        <v>3268</v>
      </c>
      <c r="B1532" s="7">
        <v>34636443</v>
      </c>
      <c r="C1532" s="7">
        <v>52000000</v>
      </c>
      <c r="D1532" s="7">
        <f t="shared" si="24"/>
        <v>-17363557</v>
      </c>
    </row>
    <row r="1533" spans="1:4" ht="18" customHeight="1" x14ac:dyDescent="0.25">
      <c r="A1533" s="2" t="s">
        <v>4154</v>
      </c>
      <c r="B1533" s="7">
        <v>17544812</v>
      </c>
      <c r="C1533" s="7">
        <v>10000000</v>
      </c>
      <c r="D1533" s="7">
        <f t="shared" si="24"/>
        <v>7544812</v>
      </c>
    </row>
    <row r="1534" spans="1:4" ht="18" customHeight="1" x14ac:dyDescent="0.25">
      <c r="A1534" s="2" t="s">
        <v>2783</v>
      </c>
      <c r="B1534" s="7">
        <v>47277326</v>
      </c>
      <c r="C1534" s="7">
        <v>4800000</v>
      </c>
      <c r="D1534" s="7">
        <f t="shared" si="24"/>
        <v>42477326</v>
      </c>
    </row>
    <row r="1535" spans="1:4" ht="18" customHeight="1" x14ac:dyDescent="0.25">
      <c r="A1535" s="2" t="s">
        <v>3815</v>
      </c>
      <c r="B1535" s="7">
        <v>23618786</v>
      </c>
      <c r="C1535" s="7">
        <v>8000000</v>
      </c>
      <c r="D1535" s="7">
        <f t="shared" si="24"/>
        <v>15618786</v>
      </c>
    </row>
    <row r="1536" spans="1:4" ht="18" customHeight="1" x14ac:dyDescent="0.25">
      <c r="A1536" s="2" t="s">
        <v>3276</v>
      </c>
      <c r="B1536" s="7">
        <v>34507079</v>
      </c>
      <c r="C1536" s="7">
        <v>35000000</v>
      </c>
      <c r="D1536" s="7">
        <f t="shared" si="24"/>
        <v>-492921</v>
      </c>
    </row>
    <row r="1537" spans="1:4" ht="18" customHeight="1" x14ac:dyDescent="0.25">
      <c r="A1537" s="2" t="s">
        <v>4436</v>
      </c>
      <c r="B1537" s="7">
        <v>13920741</v>
      </c>
      <c r="C1537" s="7">
        <v>39751583.5</v>
      </c>
      <c r="D1537" s="7">
        <f t="shared" si="24"/>
        <v>-25830842.5</v>
      </c>
    </row>
    <row r="1538" spans="1:4" ht="18" customHeight="1" x14ac:dyDescent="0.25">
      <c r="A1538" s="2" t="s">
        <v>4568</v>
      </c>
      <c r="B1538" s="7">
        <v>12282677</v>
      </c>
      <c r="C1538" s="7">
        <v>14000000</v>
      </c>
      <c r="D1538" s="7">
        <f t="shared" si="24"/>
        <v>-1717323</v>
      </c>
    </row>
    <row r="1539" spans="1:4" ht="18" customHeight="1" x14ac:dyDescent="0.25">
      <c r="A1539" s="2" t="s">
        <v>1152</v>
      </c>
      <c r="B1539" s="7">
        <v>50213619</v>
      </c>
      <c r="C1539" s="7">
        <v>36000000</v>
      </c>
      <c r="D1539" s="7">
        <f t="shared" si="24"/>
        <v>14213619</v>
      </c>
    </row>
    <row r="1540" spans="1:4" ht="18" customHeight="1" x14ac:dyDescent="0.25">
      <c r="A1540" s="2" t="s">
        <v>559</v>
      </c>
      <c r="B1540" s="7">
        <v>73023275</v>
      </c>
      <c r="C1540" s="7">
        <v>35000000</v>
      </c>
      <c r="D1540" s="7">
        <f t="shared" si="24"/>
        <v>38023275</v>
      </c>
    </row>
    <row r="1541" spans="1:4" ht="18" customHeight="1" x14ac:dyDescent="0.25">
      <c r="A1541" s="2" t="s">
        <v>3818</v>
      </c>
      <c r="B1541" s="7">
        <v>23472900</v>
      </c>
      <c r="C1541" s="7">
        <v>17500000</v>
      </c>
      <c r="D1541" s="7">
        <f t="shared" ref="D1541:D1604" si="25">B1541-C1541</f>
        <v>5972900</v>
      </c>
    </row>
    <row r="1542" spans="1:4" ht="18" customHeight="1" x14ac:dyDescent="0.25">
      <c r="A1542" s="2" t="s">
        <v>2364</v>
      </c>
      <c r="B1542" s="7">
        <v>48334413</v>
      </c>
      <c r="C1542" s="7">
        <v>1400000</v>
      </c>
      <c r="D1542" s="7">
        <f t="shared" si="25"/>
        <v>46934413</v>
      </c>
    </row>
    <row r="1543" spans="1:4" ht="18" customHeight="1" x14ac:dyDescent="0.25">
      <c r="A1543" s="2" t="s">
        <v>3419</v>
      </c>
      <c r="B1543" s="7">
        <v>31607598</v>
      </c>
      <c r="C1543" s="7">
        <v>6900000</v>
      </c>
      <c r="D1543" s="7">
        <f t="shared" si="25"/>
        <v>24707598</v>
      </c>
    </row>
    <row r="1544" spans="1:4" ht="18" customHeight="1" x14ac:dyDescent="0.25">
      <c r="A1544" s="2" t="s">
        <v>4552</v>
      </c>
      <c r="B1544" s="7">
        <v>12583510</v>
      </c>
      <c r="C1544" s="7">
        <v>7000000</v>
      </c>
      <c r="D1544" s="7">
        <f t="shared" si="25"/>
        <v>5583510</v>
      </c>
    </row>
    <row r="1545" spans="1:4" ht="18" customHeight="1" x14ac:dyDescent="0.25">
      <c r="A1545" s="2" t="s">
        <v>6091</v>
      </c>
      <c r="B1545" s="7">
        <v>371081</v>
      </c>
      <c r="C1545" s="7">
        <v>6000000</v>
      </c>
      <c r="D1545" s="7">
        <f t="shared" si="25"/>
        <v>-5628919</v>
      </c>
    </row>
    <row r="1546" spans="1:4" ht="18" customHeight="1" x14ac:dyDescent="0.25">
      <c r="A1546" s="2" t="s">
        <v>4517</v>
      </c>
      <c r="B1546" s="7">
        <v>13005485</v>
      </c>
      <c r="C1546" s="7">
        <v>15000000</v>
      </c>
      <c r="D1546" s="7">
        <f t="shared" si="25"/>
        <v>-1994515</v>
      </c>
    </row>
    <row r="1547" spans="1:4" ht="18" customHeight="1" x14ac:dyDescent="0.25">
      <c r="A1547" s="2" t="s">
        <v>1921</v>
      </c>
      <c r="B1547" s="7">
        <v>48334413</v>
      </c>
      <c r="C1547" s="7">
        <v>8000000</v>
      </c>
      <c r="D1547" s="7">
        <f t="shared" si="25"/>
        <v>40334413</v>
      </c>
    </row>
    <row r="1548" spans="1:4" ht="18" customHeight="1" x14ac:dyDescent="0.25">
      <c r="A1548" s="2" t="s">
        <v>3395</v>
      </c>
      <c r="B1548" s="7">
        <v>64097618</v>
      </c>
      <c r="C1548" s="7">
        <v>60000000</v>
      </c>
      <c r="D1548" s="7">
        <f t="shared" si="25"/>
        <v>4097618</v>
      </c>
    </row>
    <row r="1549" spans="1:4" ht="18" customHeight="1" x14ac:dyDescent="0.25">
      <c r="A1549" s="2" t="s">
        <v>2993</v>
      </c>
      <c r="B1549" s="7">
        <v>40846082</v>
      </c>
      <c r="C1549" s="7">
        <v>19000000</v>
      </c>
      <c r="D1549" s="7">
        <f t="shared" si="25"/>
        <v>21846082</v>
      </c>
    </row>
    <row r="1550" spans="1:4" ht="18" customHeight="1" x14ac:dyDescent="0.25">
      <c r="A1550" s="2" t="s">
        <v>4050</v>
      </c>
      <c r="B1550" s="7">
        <v>19281235</v>
      </c>
      <c r="C1550" s="7">
        <v>5000000</v>
      </c>
      <c r="D1550" s="7">
        <f t="shared" si="25"/>
        <v>14281235</v>
      </c>
    </row>
    <row r="1551" spans="1:4" ht="18" customHeight="1" x14ac:dyDescent="0.25">
      <c r="A1551" s="2" t="s">
        <v>2582</v>
      </c>
      <c r="B1551" s="7">
        <v>48334413</v>
      </c>
      <c r="C1551" s="7">
        <v>350000</v>
      </c>
      <c r="D1551" s="7">
        <f t="shared" si="25"/>
        <v>47984413</v>
      </c>
    </row>
    <row r="1552" spans="1:4" ht="18" customHeight="1" x14ac:dyDescent="0.25">
      <c r="A1552" s="2" t="s">
        <v>5767</v>
      </c>
      <c r="B1552" s="7">
        <v>1165104</v>
      </c>
      <c r="C1552" s="7">
        <v>39751583.5</v>
      </c>
      <c r="D1552" s="7">
        <f t="shared" si="25"/>
        <v>-38586479.5</v>
      </c>
    </row>
    <row r="1553" spans="1:4" ht="18" customHeight="1" x14ac:dyDescent="0.25">
      <c r="A1553" s="2" t="s">
        <v>2388</v>
      </c>
      <c r="B1553" s="7">
        <v>48334413</v>
      </c>
      <c r="C1553" s="7">
        <v>1250000</v>
      </c>
      <c r="D1553" s="7">
        <f t="shared" si="25"/>
        <v>47084413</v>
      </c>
    </row>
    <row r="1554" spans="1:4" ht="18" customHeight="1" x14ac:dyDescent="0.25">
      <c r="A1554" s="2" t="s">
        <v>3449</v>
      </c>
      <c r="B1554" s="7">
        <v>31155435</v>
      </c>
      <c r="C1554" s="7">
        <v>12000000</v>
      </c>
      <c r="D1554" s="7">
        <f t="shared" si="25"/>
        <v>19155435</v>
      </c>
    </row>
    <row r="1555" spans="1:4" ht="18" customHeight="1" x14ac:dyDescent="0.25">
      <c r="A1555" s="2" t="s">
        <v>4955</v>
      </c>
      <c r="B1555" s="7">
        <v>7070459</v>
      </c>
      <c r="C1555" s="7">
        <v>39751583.5</v>
      </c>
      <c r="D1555" s="7">
        <f t="shared" si="25"/>
        <v>-32681124.5</v>
      </c>
    </row>
    <row r="1556" spans="1:4" ht="18" customHeight="1" x14ac:dyDescent="0.25">
      <c r="A1556" s="2" t="s">
        <v>3126</v>
      </c>
      <c r="B1556" s="7">
        <v>37672350</v>
      </c>
      <c r="C1556" s="7">
        <v>20000000</v>
      </c>
      <c r="D1556" s="7">
        <f t="shared" si="25"/>
        <v>17672350</v>
      </c>
    </row>
    <row r="1557" spans="1:4" ht="18" customHeight="1" x14ac:dyDescent="0.25">
      <c r="A1557" s="2" t="s">
        <v>4433</v>
      </c>
      <c r="B1557" s="7">
        <v>13960203</v>
      </c>
      <c r="C1557" s="7">
        <v>39751583.5</v>
      </c>
      <c r="D1557" s="7">
        <f t="shared" si="25"/>
        <v>-25791380.5</v>
      </c>
    </row>
    <row r="1558" spans="1:4" ht="18" customHeight="1" x14ac:dyDescent="0.25">
      <c r="A1558" s="2" t="s">
        <v>2798</v>
      </c>
      <c r="B1558" s="7">
        <v>46813366</v>
      </c>
      <c r="C1558" s="7">
        <v>38000000</v>
      </c>
      <c r="D1558" s="7">
        <f t="shared" si="25"/>
        <v>8813366</v>
      </c>
    </row>
    <row r="1559" spans="1:4" ht="18" customHeight="1" x14ac:dyDescent="0.25">
      <c r="A1559" s="2" t="s">
        <v>4417</v>
      </c>
      <c r="B1559" s="7">
        <v>14108518</v>
      </c>
      <c r="C1559" s="7">
        <v>16000000</v>
      </c>
      <c r="D1559" s="7">
        <f t="shared" si="25"/>
        <v>-1891482</v>
      </c>
    </row>
    <row r="1560" spans="1:4" ht="18" customHeight="1" x14ac:dyDescent="0.25">
      <c r="A1560" s="2" t="s">
        <v>2085</v>
      </c>
      <c r="B1560" s="7">
        <v>48334413</v>
      </c>
      <c r="C1560" s="7">
        <v>4000000</v>
      </c>
      <c r="D1560" s="7">
        <f t="shared" si="25"/>
        <v>44334413</v>
      </c>
    </row>
    <row r="1561" spans="1:4" ht="18" customHeight="1" x14ac:dyDescent="0.25">
      <c r="A1561" s="2" t="s">
        <v>95</v>
      </c>
      <c r="B1561" s="7">
        <v>105807520</v>
      </c>
      <c r="C1561" s="7">
        <v>50000000</v>
      </c>
      <c r="D1561" s="7">
        <f t="shared" si="25"/>
        <v>55807520</v>
      </c>
    </row>
    <row r="1562" spans="1:4" ht="18" customHeight="1" x14ac:dyDescent="0.25">
      <c r="A1562" s="2" t="s">
        <v>5507</v>
      </c>
      <c r="B1562" s="7">
        <v>2775593</v>
      </c>
      <c r="C1562" s="7">
        <v>27000000</v>
      </c>
      <c r="D1562" s="7">
        <f t="shared" si="25"/>
        <v>-24224407</v>
      </c>
    </row>
    <row r="1563" spans="1:4" ht="18" customHeight="1" x14ac:dyDescent="0.25">
      <c r="A1563" s="2" t="s">
        <v>4243</v>
      </c>
      <c r="B1563" s="7">
        <v>16295774</v>
      </c>
      <c r="C1563" s="7">
        <v>35000000</v>
      </c>
      <c r="D1563" s="7">
        <f t="shared" si="25"/>
        <v>-18704226</v>
      </c>
    </row>
    <row r="1564" spans="1:4" ht="18" customHeight="1" x14ac:dyDescent="0.25">
      <c r="A1564" s="2" t="s">
        <v>3688</v>
      </c>
      <c r="B1564" s="7">
        <v>25967000</v>
      </c>
      <c r="C1564" s="7">
        <v>39751583.5</v>
      </c>
      <c r="D1564" s="7">
        <f t="shared" si="25"/>
        <v>-13784583.5</v>
      </c>
    </row>
    <row r="1565" spans="1:4" ht="18" customHeight="1" x14ac:dyDescent="0.25">
      <c r="A1565" s="2" t="s">
        <v>5219</v>
      </c>
      <c r="B1565" s="7">
        <v>4710455</v>
      </c>
      <c r="C1565" s="7">
        <v>24000000</v>
      </c>
      <c r="D1565" s="7">
        <f t="shared" si="25"/>
        <v>-19289545</v>
      </c>
    </row>
    <row r="1566" spans="1:4" ht="18" customHeight="1" x14ac:dyDescent="0.25">
      <c r="A1566" s="2" t="s">
        <v>2215</v>
      </c>
      <c r="B1566" s="7">
        <v>48334413</v>
      </c>
      <c r="C1566" s="7">
        <v>2500000</v>
      </c>
      <c r="D1566" s="7">
        <f t="shared" si="25"/>
        <v>45834413</v>
      </c>
    </row>
    <row r="1567" spans="1:4" ht="18" customHeight="1" x14ac:dyDescent="0.25">
      <c r="A1567" s="2" t="s">
        <v>4186</v>
      </c>
      <c r="B1567" s="7">
        <v>17218080</v>
      </c>
      <c r="C1567" s="7">
        <v>70000000</v>
      </c>
      <c r="D1567" s="7">
        <f t="shared" si="25"/>
        <v>-52781920</v>
      </c>
    </row>
    <row r="1568" spans="1:4" ht="18" customHeight="1" x14ac:dyDescent="0.25">
      <c r="A1568" s="2" t="s">
        <v>1453</v>
      </c>
      <c r="B1568" s="7">
        <v>48334413</v>
      </c>
      <c r="C1568" s="7">
        <v>39751583.5</v>
      </c>
      <c r="D1568" s="7">
        <f t="shared" si="25"/>
        <v>8582829.5</v>
      </c>
    </row>
    <row r="1569" spans="1:4" ht="18" customHeight="1" x14ac:dyDescent="0.25">
      <c r="A1569" s="2" t="s">
        <v>6376</v>
      </c>
      <c r="B1569" s="7">
        <v>104257</v>
      </c>
      <c r="C1569" s="7">
        <v>2200000</v>
      </c>
      <c r="D1569" s="7">
        <f t="shared" si="25"/>
        <v>-2095743</v>
      </c>
    </row>
    <row r="1570" spans="1:4" ht="18" customHeight="1" x14ac:dyDescent="0.25">
      <c r="A1570" s="2" t="s">
        <v>6110</v>
      </c>
      <c r="B1570" s="7">
        <v>334041</v>
      </c>
      <c r="C1570" s="7">
        <v>500000</v>
      </c>
      <c r="D1570" s="7">
        <f t="shared" si="25"/>
        <v>-165959</v>
      </c>
    </row>
    <row r="1571" spans="1:4" ht="18" customHeight="1" x14ac:dyDescent="0.25">
      <c r="A1571" s="2" t="s">
        <v>3890</v>
      </c>
      <c r="B1571" s="7">
        <v>22201636</v>
      </c>
      <c r="C1571" s="7">
        <v>8000000</v>
      </c>
      <c r="D1571" s="7">
        <f t="shared" si="25"/>
        <v>14201636</v>
      </c>
    </row>
    <row r="1572" spans="1:4" ht="18" customHeight="1" x14ac:dyDescent="0.25">
      <c r="A1572" s="2" t="s">
        <v>5181</v>
      </c>
      <c r="B1572" s="7">
        <v>5004648</v>
      </c>
      <c r="C1572" s="7">
        <v>10000000</v>
      </c>
      <c r="D1572" s="7">
        <f t="shared" si="25"/>
        <v>-4995352</v>
      </c>
    </row>
    <row r="1573" spans="1:4" ht="18" customHeight="1" x14ac:dyDescent="0.25">
      <c r="A1573" s="2" t="s">
        <v>975</v>
      </c>
      <c r="B1573" s="7">
        <v>55092830</v>
      </c>
      <c r="C1573" s="7">
        <v>60000000</v>
      </c>
      <c r="D1573" s="7">
        <f t="shared" si="25"/>
        <v>-4907170</v>
      </c>
    </row>
    <row r="1574" spans="1:4" ht="18" customHeight="1" x14ac:dyDescent="0.25">
      <c r="A1574" s="2" t="s">
        <v>3003</v>
      </c>
      <c r="B1574" s="7">
        <v>40270895</v>
      </c>
      <c r="C1574" s="7">
        <v>22000000</v>
      </c>
      <c r="D1574" s="7">
        <f t="shared" si="25"/>
        <v>18270895</v>
      </c>
    </row>
    <row r="1575" spans="1:4" ht="18" customHeight="1" x14ac:dyDescent="0.25">
      <c r="A1575" s="2" t="s">
        <v>1706</v>
      </c>
      <c r="B1575" s="7">
        <v>48334413</v>
      </c>
      <c r="C1575" s="7">
        <v>18000000</v>
      </c>
      <c r="D1575" s="7">
        <f t="shared" si="25"/>
        <v>30334413</v>
      </c>
    </row>
    <row r="1576" spans="1:4" ht="18" customHeight="1" x14ac:dyDescent="0.25">
      <c r="A1576" s="2" t="s">
        <v>1083</v>
      </c>
      <c r="B1576" s="7">
        <v>51697449</v>
      </c>
      <c r="C1576" s="7">
        <v>13000000</v>
      </c>
      <c r="D1576" s="7">
        <f t="shared" si="25"/>
        <v>38697449</v>
      </c>
    </row>
    <row r="1577" spans="1:4" ht="18" customHeight="1" x14ac:dyDescent="0.25">
      <c r="A1577" s="2" t="s">
        <v>1705</v>
      </c>
      <c r="B1577" s="7">
        <v>48334413</v>
      </c>
      <c r="C1577" s="7">
        <v>18000000</v>
      </c>
      <c r="D1577" s="7">
        <f t="shared" si="25"/>
        <v>30334413</v>
      </c>
    </row>
    <row r="1578" spans="1:4" ht="18" customHeight="1" x14ac:dyDescent="0.25">
      <c r="A1578" s="2" t="s">
        <v>4764</v>
      </c>
      <c r="B1578" s="7">
        <v>9639242</v>
      </c>
      <c r="C1578" s="7">
        <v>24000000</v>
      </c>
      <c r="D1578" s="7">
        <f t="shared" si="25"/>
        <v>-14360758</v>
      </c>
    </row>
    <row r="1579" spans="1:4" ht="18" customHeight="1" x14ac:dyDescent="0.25">
      <c r="A1579" s="2" t="s">
        <v>5014</v>
      </c>
      <c r="B1579" s="7">
        <v>6543194</v>
      </c>
      <c r="C1579" s="7">
        <v>34000000</v>
      </c>
      <c r="D1579" s="7">
        <f t="shared" si="25"/>
        <v>-27456806</v>
      </c>
    </row>
    <row r="1580" spans="1:4" ht="18" customHeight="1" x14ac:dyDescent="0.25">
      <c r="A1580" s="2" t="s">
        <v>4710</v>
      </c>
      <c r="B1580" s="7">
        <v>10305534</v>
      </c>
      <c r="C1580" s="7">
        <v>3500000</v>
      </c>
      <c r="D1580" s="7">
        <f t="shared" si="25"/>
        <v>6805534</v>
      </c>
    </row>
    <row r="1581" spans="1:4" ht="18" customHeight="1" x14ac:dyDescent="0.25">
      <c r="A1581" s="2" t="s">
        <v>4535</v>
      </c>
      <c r="B1581" s="7">
        <v>12784713</v>
      </c>
      <c r="C1581" s="7">
        <v>22000000</v>
      </c>
      <c r="D1581" s="7">
        <f t="shared" si="25"/>
        <v>-9215287</v>
      </c>
    </row>
    <row r="1582" spans="1:4" ht="18" customHeight="1" x14ac:dyDescent="0.25">
      <c r="A1582" s="2" t="s">
        <v>5706</v>
      </c>
      <c r="B1582" s="7">
        <v>1425993</v>
      </c>
      <c r="C1582" s="7">
        <v>39751583.5</v>
      </c>
      <c r="D1582" s="7">
        <f t="shared" si="25"/>
        <v>-38325590.5</v>
      </c>
    </row>
    <row r="1583" spans="1:4" ht="18" customHeight="1" x14ac:dyDescent="0.25">
      <c r="A1583" s="2" t="s">
        <v>575</v>
      </c>
      <c r="B1583" s="7">
        <v>72219395</v>
      </c>
      <c r="C1583" s="7">
        <v>17000000</v>
      </c>
      <c r="D1583" s="7">
        <f t="shared" si="25"/>
        <v>55219395</v>
      </c>
    </row>
    <row r="1584" spans="1:4" ht="18" customHeight="1" x14ac:dyDescent="0.25">
      <c r="A1584" s="2" t="s">
        <v>5614</v>
      </c>
      <c r="B1584" s="7">
        <v>2035566</v>
      </c>
      <c r="C1584" s="7">
        <v>13000000</v>
      </c>
      <c r="D1584" s="7">
        <f t="shared" si="25"/>
        <v>-10964434</v>
      </c>
    </row>
    <row r="1585" spans="1:4" ht="18" customHeight="1" x14ac:dyDescent="0.25">
      <c r="A1585" s="2" t="s">
        <v>4366</v>
      </c>
      <c r="B1585" s="7">
        <v>14793904</v>
      </c>
      <c r="C1585" s="7">
        <v>18000000</v>
      </c>
      <c r="D1585" s="7">
        <f t="shared" si="25"/>
        <v>-3206096</v>
      </c>
    </row>
    <row r="1586" spans="1:4" ht="18" customHeight="1" x14ac:dyDescent="0.25">
      <c r="A1586" s="2" t="s">
        <v>6537</v>
      </c>
      <c r="B1586" s="7">
        <v>33598</v>
      </c>
      <c r="C1586" s="7">
        <v>39751583.5</v>
      </c>
      <c r="D1586" s="7">
        <f t="shared" si="25"/>
        <v>-39717985.5</v>
      </c>
    </row>
    <row r="1587" spans="1:4" ht="18" customHeight="1" x14ac:dyDescent="0.25">
      <c r="A1587" s="2" t="s">
        <v>595</v>
      </c>
      <c r="B1587" s="7">
        <v>71347010</v>
      </c>
      <c r="C1587" s="7">
        <v>40000000</v>
      </c>
      <c r="D1587" s="7">
        <f t="shared" si="25"/>
        <v>31347010</v>
      </c>
    </row>
    <row r="1588" spans="1:4" ht="18" customHeight="1" x14ac:dyDescent="0.25">
      <c r="A1588" s="2" t="s">
        <v>6723</v>
      </c>
      <c r="B1588" s="7">
        <v>2580</v>
      </c>
      <c r="C1588" s="7">
        <v>1650000</v>
      </c>
      <c r="D1588" s="7">
        <f t="shared" si="25"/>
        <v>-1647420</v>
      </c>
    </row>
    <row r="1589" spans="1:4" ht="18" customHeight="1" x14ac:dyDescent="0.25">
      <c r="A1589" s="2" t="s">
        <v>6224</v>
      </c>
      <c r="B1589" s="7">
        <v>203134</v>
      </c>
      <c r="C1589" s="7">
        <v>250000</v>
      </c>
      <c r="D1589" s="7">
        <f t="shared" si="25"/>
        <v>-46866</v>
      </c>
    </row>
    <row r="1590" spans="1:4" ht="18" customHeight="1" x14ac:dyDescent="0.25">
      <c r="A1590" s="2" t="s">
        <v>6108</v>
      </c>
      <c r="B1590" s="7">
        <v>334658</v>
      </c>
      <c r="C1590" s="7">
        <v>39751583.5</v>
      </c>
      <c r="D1590" s="7">
        <f t="shared" si="25"/>
        <v>-39416925.5</v>
      </c>
    </row>
    <row r="1591" spans="1:4" ht="18" customHeight="1" x14ac:dyDescent="0.25">
      <c r="A1591" s="2" t="s">
        <v>5936</v>
      </c>
      <c r="B1591" s="7">
        <v>617228</v>
      </c>
      <c r="C1591" s="7">
        <v>84450000</v>
      </c>
      <c r="D1591" s="7">
        <f t="shared" si="25"/>
        <v>-83832772</v>
      </c>
    </row>
    <row r="1592" spans="1:4" ht="18" customHeight="1" x14ac:dyDescent="0.25">
      <c r="A1592" s="2" t="s">
        <v>6413</v>
      </c>
      <c r="B1592" s="7">
        <v>92401</v>
      </c>
      <c r="C1592" s="7">
        <v>2000000</v>
      </c>
      <c r="D1592" s="7">
        <f t="shared" si="25"/>
        <v>-1907599</v>
      </c>
    </row>
    <row r="1593" spans="1:4" ht="18" customHeight="1" x14ac:dyDescent="0.25">
      <c r="A1593" s="2" t="s">
        <v>3340</v>
      </c>
      <c r="B1593" s="7">
        <v>33105600</v>
      </c>
      <c r="C1593" s="7">
        <v>70000000</v>
      </c>
      <c r="D1593" s="7">
        <f t="shared" si="25"/>
        <v>-36894400</v>
      </c>
    </row>
    <row r="1594" spans="1:4" ht="18" customHeight="1" x14ac:dyDescent="0.25">
      <c r="A1594" s="2" t="s">
        <v>3023</v>
      </c>
      <c r="B1594" s="7">
        <v>39989008</v>
      </c>
      <c r="C1594" s="7">
        <v>24000000</v>
      </c>
      <c r="D1594" s="7">
        <f t="shared" si="25"/>
        <v>15989008</v>
      </c>
    </row>
    <row r="1595" spans="1:4" ht="18" customHeight="1" x14ac:dyDescent="0.25">
      <c r="A1595" s="2" t="s">
        <v>4557</v>
      </c>
      <c r="B1595" s="7">
        <v>12550242</v>
      </c>
      <c r="C1595" s="7">
        <v>39751583.5</v>
      </c>
      <c r="D1595" s="7">
        <f t="shared" si="25"/>
        <v>-27201341.5</v>
      </c>
    </row>
    <row r="1596" spans="1:4" ht="18" customHeight="1" x14ac:dyDescent="0.25">
      <c r="A1596" s="2" t="s">
        <v>6235</v>
      </c>
      <c r="B1596" s="7">
        <v>194568</v>
      </c>
      <c r="C1596" s="7">
        <v>1500000</v>
      </c>
      <c r="D1596" s="7">
        <f t="shared" si="25"/>
        <v>-1305432</v>
      </c>
    </row>
    <row r="1597" spans="1:4" ht="18" customHeight="1" x14ac:dyDescent="0.25">
      <c r="A1597" s="2" t="s">
        <v>6046</v>
      </c>
      <c r="B1597" s="7">
        <v>425899</v>
      </c>
      <c r="C1597" s="7">
        <v>400000</v>
      </c>
      <c r="D1597" s="7">
        <f t="shared" si="25"/>
        <v>25899</v>
      </c>
    </row>
    <row r="1598" spans="1:4" ht="18" customHeight="1" x14ac:dyDescent="0.25">
      <c r="A1598" s="2" t="s">
        <v>4065</v>
      </c>
      <c r="B1598" s="7">
        <v>19059018</v>
      </c>
      <c r="C1598" s="7">
        <v>65000000</v>
      </c>
      <c r="D1598" s="7">
        <f t="shared" si="25"/>
        <v>-45940982</v>
      </c>
    </row>
    <row r="1599" spans="1:4" ht="18" customHeight="1" x14ac:dyDescent="0.25">
      <c r="A1599" s="2" t="s">
        <v>3787</v>
      </c>
      <c r="B1599" s="7">
        <v>24381334</v>
      </c>
      <c r="C1599" s="7">
        <v>39751583.5</v>
      </c>
      <c r="D1599" s="7">
        <f t="shared" si="25"/>
        <v>-15370249.5</v>
      </c>
    </row>
    <row r="1600" spans="1:4" ht="18" customHeight="1" x14ac:dyDescent="0.25">
      <c r="A1600" s="2" t="s">
        <v>5342</v>
      </c>
      <c r="B1600" s="7">
        <v>3826455</v>
      </c>
      <c r="C1600" s="7">
        <v>39751583.5</v>
      </c>
      <c r="D1600" s="7">
        <f t="shared" si="25"/>
        <v>-35925128.5</v>
      </c>
    </row>
    <row r="1601" spans="1:4" ht="18" customHeight="1" x14ac:dyDescent="0.25">
      <c r="A1601" s="2" t="s">
        <v>1093</v>
      </c>
      <c r="B1601" s="7">
        <v>51475962</v>
      </c>
      <c r="C1601" s="7">
        <v>30000000</v>
      </c>
      <c r="D1601" s="7">
        <f t="shared" si="25"/>
        <v>21475962</v>
      </c>
    </row>
    <row r="1602" spans="1:4" ht="18" customHeight="1" x14ac:dyDescent="0.25">
      <c r="A1602" s="2" t="s">
        <v>6040</v>
      </c>
      <c r="B1602" s="7">
        <v>438653</v>
      </c>
      <c r="C1602" s="7">
        <v>39751583.5</v>
      </c>
      <c r="D1602" s="7">
        <f t="shared" si="25"/>
        <v>-39312930.5</v>
      </c>
    </row>
    <row r="1603" spans="1:4" ht="18" customHeight="1" x14ac:dyDescent="0.25">
      <c r="A1603" s="2" t="s">
        <v>5322</v>
      </c>
      <c r="B1603" s="7">
        <v>4002955</v>
      </c>
      <c r="C1603" s="7">
        <v>20000000</v>
      </c>
      <c r="D1603" s="7">
        <f t="shared" si="25"/>
        <v>-15997045</v>
      </c>
    </row>
    <row r="1604" spans="1:4" ht="18" customHeight="1" x14ac:dyDescent="0.25">
      <c r="A1604" s="2" t="s">
        <v>4559</v>
      </c>
      <c r="B1604" s="7">
        <v>12549485</v>
      </c>
      <c r="C1604" s="7">
        <v>15000000</v>
      </c>
      <c r="D1604" s="7">
        <f t="shared" si="25"/>
        <v>-2450515</v>
      </c>
    </row>
    <row r="1605" spans="1:4" ht="18" customHeight="1" x14ac:dyDescent="0.25">
      <c r="A1605" s="2" t="s">
        <v>1147</v>
      </c>
      <c r="B1605" s="7">
        <v>50461335</v>
      </c>
      <c r="C1605" s="7">
        <v>11000000</v>
      </c>
      <c r="D1605" s="7">
        <f t="shared" ref="D1605:D1668" si="26">B1605-C1605</f>
        <v>39461335</v>
      </c>
    </row>
    <row r="1606" spans="1:4" ht="18" customHeight="1" x14ac:dyDescent="0.25">
      <c r="A1606" s="2" t="s">
        <v>5224</v>
      </c>
      <c r="B1606" s="7">
        <v>4681503</v>
      </c>
      <c r="C1606" s="7">
        <v>9000000</v>
      </c>
      <c r="D1606" s="7">
        <f t="shared" si="26"/>
        <v>-4318497</v>
      </c>
    </row>
    <row r="1607" spans="1:4" ht="18" customHeight="1" x14ac:dyDescent="0.25">
      <c r="A1607" s="2" t="s">
        <v>2178</v>
      </c>
      <c r="B1607" s="7">
        <v>48334413</v>
      </c>
      <c r="C1607" s="7">
        <v>3000000</v>
      </c>
      <c r="D1607" s="7">
        <f t="shared" si="26"/>
        <v>45334413</v>
      </c>
    </row>
    <row r="1608" spans="1:4" ht="18" customHeight="1" x14ac:dyDescent="0.25">
      <c r="A1608" s="2" t="s">
        <v>5867</v>
      </c>
      <c r="B1608" s="7">
        <v>836641</v>
      </c>
      <c r="C1608" s="7">
        <v>39751583.5</v>
      </c>
      <c r="D1608" s="7">
        <f t="shared" si="26"/>
        <v>-38914942.5</v>
      </c>
    </row>
    <row r="1609" spans="1:4" ht="18" customHeight="1" x14ac:dyDescent="0.25">
      <c r="A1609" s="2" t="s">
        <v>5323</v>
      </c>
      <c r="B1609" s="7">
        <v>4001121</v>
      </c>
      <c r="C1609" s="7">
        <v>20000000</v>
      </c>
      <c r="D1609" s="7">
        <f t="shared" si="26"/>
        <v>-15998879</v>
      </c>
    </row>
    <row r="1610" spans="1:4" ht="18" customHeight="1" x14ac:dyDescent="0.25">
      <c r="A1610" s="2" t="s">
        <v>6199</v>
      </c>
      <c r="B1610" s="7">
        <v>228524</v>
      </c>
      <c r="C1610" s="7">
        <v>4000000</v>
      </c>
      <c r="D1610" s="7">
        <f t="shared" si="26"/>
        <v>-3771476</v>
      </c>
    </row>
    <row r="1611" spans="1:4" ht="18" customHeight="1" x14ac:dyDescent="0.25">
      <c r="A1611" s="2" t="s">
        <v>5917</v>
      </c>
      <c r="B1611" s="7">
        <v>671240</v>
      </c>
      <c r="C1611" s="7">
        <v>7900000</v>
      </c>
      <c r="D1611" s="7">
        <f t="shared" si="26"/>
        <v>-7228760</v>
      </c>
    </row>
    <row r="1612" spans="1:4" ht="18" customHeight="1" x14ac:dyDescent="0.25">
      <c r="A1612" s="2" t="s">
        <v>4268</v>
      </c>
      <c r="B1612" s="7">
        <v>16088610</v>
      </c>
      <c r="C1612" s="7">
        <v>55000000</v>
      </c>
      <c r="D1612" s="7">
        <f t="shared" si="26"/>
        <v>-38911390</v>
      </c>
    </row>
    <row r="1613" spans="1:4" ht="18" customHeight="1" x14ac:dyDescent="0.25">
      <c r="A1613" s="2" t="s">
        <v>360</v>
      </c>
      <c r="B1613" s="7">
        <v>83503161</v>
      </c>
      <c r="C1613" s="7">
        <v>75000000</v>
      </c>
      <c r="D1613" s="7">
        <f t="shared" si="26"/>
        <v>8503161</v>
      </c>
    </row>
    <row r="1614" spans="1:4" ht="18" customHeight="1" x14ac:dyDescent="0.25">
      <c r="A1614" s="2" t="s">
        <v>2241</v>
      </c>
      <c r="B1614" s="7">
        <v>48334413</v>
      </c>
      <c r="C1614" s="7">
        <v>2200000</v>
      </c>
      <c r="D1614" s="7">
        <f t="shared" si="26"/>
        <v>46134413</v>
      </c>
    </row>
    <row r="1615" spans="1:4" ht="18" customHeight="1" x14ac:dyDescent="0.25">
      <c r="A1615" s="2" t="s">
        <v>5063</v>
      </c>
      <c r="B1615" s="7">
        <v>6114237</v>
      </c>
      <c r="C1615" s="7">
        <v>40000000</v>
      </c>
      <c r="D1615" s="7">
        <f t="shared" si="26"/>
        <v>-33885763</v>
      </c>
    </row>
    <row r="1616" spans="1:4" ht="18" customHeight="1" x14ac:dyDescent="0.25">
      <c r="A1616" s="2" t="s">
        <v>751</v>
      </c>
      <c r="B1616" s="7">
        <v>63826569</v>
      </c>
      <c r="C1616" s="7">
        <v>35000000</v>
      </c>
      <c r="D1616" s="7">
        <f t="shared" si="26"/>
        <v>28826569</v>
      </c>
    </row>
    <row r="1617" spans="1:4" ht="18" customHeight="1" x14ac:dyDescent="0.25">
      <c r="A1617" s="2" t="s">
        <v>4896</v>
      </c>
      <c r="B1617" s="7">
        <v>7757130</v>
      </c>
      <c r="C1617" s="7">
        <v>15000000</v>
      </c>
      <c r="D1617" s="7">
        <f t="shared" si="26"/>
        <v>-7242870</v>
      </c>
    </row>
    <row r="1618" spans="1:4" ht="18" customHeight="1" x14ac:dyDescent="0.25">
      <c r="A1618" s="2" t="s">
        <v>2101</v>
      </c>
      <c r="B1618" s="7">
        <v>48334413</v>
      </c>
      <c r="C1618" s="7">
        <v>3500000</v>
      </c>
      <c r="D1618" s="7">
        <f t="shared" si="26"/>
        <v>44834413</v>
      </c>
    </row>
    <row r="1619" spans="1:4" ht="18" customHeight="1" x14ac:dyDescent="0.25">
      <c r="A1619" s="2" t="s">
        <v>4590</v>
      </c>
      <c r="B1619" s="7">
        <v>11900000</v>
      </c>
      <c r="C1619" s="7">
        <v>30000000</v>
      </c>
      <c r="D1619" s="7">
        <f t="shared" si="26"/>
        <v>-18100000</v>
      </c>
    </row>
    <row r="1620" spans="1:4" ht="18" customHeight="1" x14ac:dyDescent="0.25">
      <c r="A1620" s="2" t="s">
        <v>2832</v>
      </c>
      <c r="B1620" s="7">
        <v>45489752</v>
      </c>
      <c r="C1620" s="7">
        <v>26000000</v>
      </c>
      <c r="D1620" s="7">
        <f t="shared" si="26"/>
        <v>19489752</v>
      </c>
    </row>
    <row r="1621" spans="1:4" ht="18" customHeight="1" x14ac:dyDescent="0.25">
      <c r="A1621" s="2" t="s">
        <v>6741</v>
      </c>
      <c r="B1621" s="7">
        <v>721</v>
      </c>
      <c r="C1621" s="7">
        <v>1000000</v>
      </c>
      <c r="D1621" s="7">
        <f t="shared" si="26"/>
        <v>-999279</v>
      </c>
    </row>
    <row r="1622" spans="1:4" ht="18" customHeight="1" x14ac:dyDescent="0.25">
      <c r="A1622" s="2" t="s">
        <v>3209</v>
      </c>
      <c r="B1622" s="7">
        <v>35918429</v>
      </c>
      <c r="C1622" s="7">
        <v>1700000</v>
      </c>
      <c r="D1622" s="7">
        <f t="shared" si="26"/>
        <v>34218429</v>
      </c>
    </row>
    <row r="1623" spans="1:4" ht="18" customHeight="1" x14ac:dyDescent="0.25">
      <c r="A1623" s="2" t="s">
        <v>5488</v>
      </c>
      <c r="B1623" s="7">
        <v>2856622</v>
      </c>
      <c r="C1623" s="7">
        <v>25000</v>
      </c>
      <c r="D1623" s="7">
        <f t="shared" si="26"/>
        <v>2831622</v>
      </c>
    </row>
    <row r="1624" spans="1:4" ht="18" customHeight="1" x14ac:dyDescent="0.25">
      <c r="A1624" s="2" t="s">
        <v>5218</v>
      </c>
      <c r="B1624" s="7">
        <v>4717455</v>
      </c>
      <c r="C1624" s="7">
        <v>12000000</v>
      </c>
      <c r="D1624" s="7">
        <f t="shared" si="26"/>
        <v>-7282545</v>
      </c>
    </row>
    <row r="1625" spans="1:4" ht="18" customHeight="1" x14ac:dyDescent="0.25">
      <c r="A1625" s="2" t="s">
        <v>1449</v>
      </c>
      <c r="B1625" s="7">
        <v>48334413</v>
      </c>
      <c r="C1625" s="7">
        <v>39751583.5</v>
      </c>
      <c r="D1625" s="7">
        <f t="shared" si="26"/>
        <v>8582829.5</v>
      </c>
    </row>
    <row r="1626" spans="1:4" ht="18" customHeight="1" x14ac:dyDescent="0.25">
      <c r="A1626" s="2" t="s">
        <v>6137</v>
      </c>
      <c r="B1626" s="7">
        <v>301305</v>
      </c>
      <c r="C1626" s="7">
        <v>13000000</v>
      </c>
      <c r="D1626" s="7">
        <f t="shared" si="26"/>
        <v>-12698695</v>
      </c>
    </row>
    <row r="1627" spans="1:4" ht="18" customHeight="1" x14ac:dyDescent="0.25">
      <c r="A1627" s="2" t="s">
        <v>4651</v>
      </c>
      <c r="B1627" s="7">
        <v>11043445</v>
      </c>
      <c r="C1627" s="7">
        <v>10000000</v>
      </c>
      <c r="D1627" s="7">
        <f t="shared" si="26"/>
        <v>1043445</v>
      </c>
    </row>
    <row r="1628" spans="1:4" ht="18" customHeight="1" x14ac:dyDescent="0.25">
      <c r="A1628" s="2" t="s">
        <v>5239</v>
      </c>
      <c r="B1628" s="7">
        <v>4535117</v>
      </c>
      <c r="C1628" s="7">
        <v>60000000</v>
      </c>
      <c r="D1628" s="7">
        <f t="shared" si="26"/>
        <v>-55464883</v>
      </c>
    </row>
    <row r="1629" spans="1:4" ht="18" customHeight="1" x14ac:dyDescent="0.25">
      <c r="A1629" s="2" t="s">
        <v>2110</v>
      </c>
      <c r="B1629" s="7">
        <v>48334413</v>
      </c>
      <c r="C1629" s="7">
        <v>3500000</v>
      </c>
      <c r="D1629" s="7">
        <f t="shared" si="26"/>
        <v>44834413</v>
      </c>
    </row>
    <row r="1630" spans="1:4" ht="18" customHeight="1" x14ac:dyDescent="0.25">
      <c r="A1630" s="2" t="s">
        <v>5772</v>
      </c>
      <c r="B1630" s="7">
        <v>1134049</v>
      </c>
      <c r="C1630" s="7">
        <v>2000000</v>
      </c>
      <c r="D1630" s="7">
        <f t="shared" si="26"/>
        <v>-865951</v>
      </c>
    </row>
    <row r="1631" spans="1:4" ht="18" customHeight="1" x14ac:dyDescent="0.25">
      <c r="A1631" s="2" t="s">
        <v>4986</v>
      </c>
      <c r="B1631" s="7">
        <v>6777589</v>
      </c>
      <c r="C1631" s="7">
        <v>39751583.5</v>
      </c>
      <c r="D1631" s="7">
        <f t="shared" si="26"/>
        <v>-32973994.5</v>
      </c>
    </row>
    <row r="1632" spans="1:4" ht="18" customHeight="1" x14ac:dyDescent="0.25">
      <c r="A1632" s="2" t="s">
        <v>3136</v>
      </c>
      <c r="B1632" s="7">
        <v>37553932</v>
      </c>
      <c r="C1632" s="7">
        <v>40000000</v>
      </c>
      <c r="D1632" s="7">
        <f t="shared" si="26"/>
        <v>-2446068</v>
      </c>
    </row>
    <row r="1633" spans="1:4" ht="18" customHeight="1" x14ac:dyDescent="0.25">
      <c r="A1633" s="2" t="s">
        <v>4424</v>
      </c>
      <c r="B1633" s="7">
        <v>14003141</v>
      </c>
      <c r="C1633" s="7">
        <v>7000000</v>
      </c>
      <c r="D1633" s="7">
        <f t="shared" si="26"/>
        <v>7003141</v>
      </c>
    </row>
    <row r="1634" spans="1:4" ht="18" customHeight="1" x14ac:dyDescent="0.25">
      <c r="A1634" s="2" t="s">
        <v>4976</v>
      </c>
      <c r="B1634" s="7">
        <v>6857096</v>
      </c>
      <c r="C1634" s="7">
        <v>6800000</v>
      </c>
      <c r="D1634" s="7">
        <f t="shared" si="26"/>
        <v>57096</v>
      </c>
    </row>
    <row r="1635" spans="1:4" ht="18" customHeight="1" x14ac:dyDescent="0.25">
      <c r="A1635" s="2" t="s">
        <v>1215</v>
      </c>
      <c r="B1635" s="7">
        <v>48334413</v>
      </c>
      <c r="C1635" s="7">
        <v>48000000</v>
      </c>
      <c r="D1635" s="7">
        <f t="shared" si="26"/>
        <v>334413</v>
      </c>
    </row>
    <row r="1636" spans="1:4" ht="18" customHeight="1" x14ac:dyDescent="0.25">
      <c r="A1636" s="2" t="s">
        <v>6529</v>
      </c>
      <c r="B1636" s="7">
        <v>36830</v>
      </c>
      <c r="C1636" s="7">
        <v>1400000</v>
      </c>
      <c r="D1636" s="7">
        <f t="shared" si="26"/>
        <v>-1363170</v>
      </c>
    </row>
    <row r="1637" spans="1:4" ht="18" customHeight="1" x14ac:dyDescent="0.25">
      <c r="A1637" s="2" t="s">
        <v>2310</v>
      </c>
      <c r="B1637" s="7">
        <v>48334413</v>
      </c>
      <c r="C1637" s="7">
        <v>1800000</v>
      </c>
      <c r="D1637" s="7">
        <f t="shared" si="26"/>
        <v>46534413</v>
      </c>
    </row>
    <row r="1638" spans="1:4" ht="18" customHeight="1" x14ac:dyDescent="0.25">
      <c r="A1638" s="2" t="s">
        <v>2681</v>
      </c>
      <c r="B1638" s="7">
        <v>48334413</v>
      </c>
      <c r="C1638" s="7">
        <v>100000</v>
      </c>
      <c r="D1638" s="7">
        <f t="shared" si="26"/>
        <v>48234413</v>
      </c>
    </row>
    <row r="1639" spans="1:4" ht="18" customHeight="1" x14ac:dyDescent="0.25">
      <c r="A1639" s="2" t="s">
        <v>5971</v>
      </c>
      <c r="B1639" s="7">
        <v>560512</v>
      </c>
      <c r="C1639" s="7">
        <v>39751583.5</v>
      </c>
      <c r="D1639" s="7">
        <f t="shared" si="26"/>
        <v>-39191071.5</v>
      </c>
    </row>
    <row r="1640" spans="1:4" ht="18" customHeight="1" x14ac:dyDescent="0.25">
      <c r="A1640" s="2" t="s">
        <v>6709</v>
      </c>
      <c r="B1640" s="7">
        <v>4063</v>
      </c>
      <c r="C1640" s="7">
        <v>4000000</v>
      </c>
      <c r="D1640" s="7">
        <f t="shared" si="26"/>
        <v>-3995937</v>
      </c>
    </row>
    <row r="1641" spans="1:4" ht="18" customHeight="1" x14ac:dyDescent="0.25">
      <c r="A1641" s="2" t="s">
        <v>5769</v>
      </c>
      <c r="B1641" s="7">
        <v>1150403</v>
      </c>
      <c r="C1641" s="7">
        <v>13000000</v>
      </c>
      <c r="D1641" s="7">
        <f t="shared" si="26"/>
        <v>-11849597</v>
      </c>
    </row>
    <row r="1642" spans="1:4" ht="18" customHeight="1" x14ac:dyDescent="0.25">
      <c r="A1642" s="2" t="s">
        <v>4857</v>
      </c>
      <c r="B1642" s="7">
        <v>8093318</v>
      </c>
      <c r="C1642" s="7">
        <v>20000000</v>
      </c>
      <c r="D1642" s="7">
        <f t="shared" si="26"/>
        <v>-11906682</v>
      </c>
    </row>
    <row r="1643" spans="1:4" ht="18" customHeight="1" x14ac:dyDescent="0.25">
      <c r="A1643" s="2" t="s">
        <v>1543</v>
      </c>
      <c r="B1643" s="7">
        <v>48334413</v>
      </c>
      <c r="C1643" s="7">
        <v>39751583.5</v>
      </c>
      <c r="D1643" s="7">
        <f t="shared" si="26"/>
        <v>8582829.5</v>
      </c>
    </row>
    <row r="1644" spans="1:4" ht="18" customHeight="1" x14ac:dyDescent="0.25">
      <c r="A1644" s="2" t="s">
        <v>4180</v>
      </c>
      <c r="B1644" s="7">
        <v>17281832</v>
      </c>
      <c r="C1644" s="7">
        <v>60000000</v>
      </c>
      <c r="D1644" s="7">
        <f t="shared" si="26"/>
        <v>-42718168</v>
      </c>
    </row>
    <row r="1645" spans="1:4" ht="18" customHeight="1" x14ac:dyDescent="0.25">
      <c r="A1645" s="2" t="s">
        <v>5923</v>
      </c>
      <c r="B1645" s="7">
        <v>653621</v>
      </c>
      <c r="C1645" s="7">
        <v>2000000</v>
      </c>
      <c r="D1645" s="7">
        <f t="shared" si="26"/>
        <v>-1346379</v>
      </c>
    </row>
    <row r="1646" spans="1:4" ht="18" customHeight="1" x14ac:dyDescent="0.25">
      <c r="A1646" s="2" t="s">
        <v>5266</v>
      </c>
      <c r="B1646" s="7">
        <v>4311834</v>
      </c>
      <c r="C1646" s="7">
        <v>39751583.5</v>
      </c>
      <c r="D1646" s="7">
        <f t="shared" si="26"/>
        <v>-35439749.5</v>
      </c>
    </row>
    <row r="1647" spans="1:4" ht="18" customHeight="1" x14ac:dyDescent="0.25">
      <c r="A1647" s="2" t="s">
        <v>4499</v>
      </c>
      <c r="B1647" s="7">
        <v>13214255</v>
      </c>
      <c r="C1647" s="7">
        <v>11000000</v>
      </c>
      <c r="D1647" s="7">
        <f t="shared" si="26"/>
        <v>2214255</v>
      </c>
    </row>
    <row r="1648" spans="1:4" ht="18" customHeight="1" x14ac:dyDescent="0.25">
      <c r="A1648" s="2" t="s">
        <v>303</v>
      </c>
      <c r="B1648" s="7">
        <v>88504640</v>
      </c>
      <c r="C1648" s="7">
        <v>45000000</v>
      </c>
      <c r="D1648" s="7">
        <f t="shared" si="26"/>
        <v>43504640</v>
      </c>
    </row>
    <row r="1649" spans="1:4" ht="18" customHeight="1" x14ac:dyDescent="0.25">
      <c r="A1649" s="2" t="s">
        <v>356</v>
      </c>
      <c r="B1649" s="7">
        <v>83574831</v>
      </c>
      <c r="C1649" s="7">
        <v>5000000</v>
      </c>
      <c r="D1649" s="7">
        <f t="shared" si="26"/>
        <v>78574831</v>
      </c>
    </row>
    <row r="1650" spans="1:4" ht="18" customHeight="1" x14ac:dyDescent="0.25">
      <c r="A1650" s="2" t="s">
        <v>1066</v>
      </c>
      <c r="B1650" s="7">
        <v>52200504</v>
      </c>
      <c r="C1650" s="7">
        <v>10000000</v>
      </c>
      <c r="D1650" s="7">
        <f t="shared" si="26"/>
        <v>42200504</v>
      </c>
    </row>
    <row r="1651" spans="1:4" ht="18" customHeight="1" x14ac:dyDescent="0.25">
      <c r="A1651" s="2" t="s">
        <v>1013</v>
      </c>
      <c r="B1651" s="7">
        <v>53991137</v>
      </c>
      <c r="C1651" s="7">
        <v>1500000</v>
      </c>
      <c r="D1651" s="7">
        <f t="shared" si="26"/>
        <v>52491137</v>
      </c>
    </row>
    <row r="1652" spans="1:4" ht="18" customHeight="1" x14ac:dyDescent="0.25">
      <c r="A1652" s="2" t="s">
        <v>2541</v>
      </c>
      <c r="B1652" s="7">
        <v>48334413</v>
      </c>
      <c r="C1652" s="7">
        <v>500000</v>
      </c>
      <c r="D1652" s="7">
        <f t="shared" si="26"/>
        <v>47834413</v>
      </c>
    </row>
    <row r="1653" spans="1:4" ht="18" customHeight="1" x14ac:dyDescent="0.25">
      <c r="A1653" s="2" t="s">
        <v>671</v>
      </c>
      <c r="B1653" s="7">
        <v>67263182</v>
      </c>
      <c r="C1653" s="7">
        <v>46000000</v>
      </c>
      <c r="D1653" s="7">
        <f t="shared" si="26"/>
        <v>21263182</v>
      </c>
    </row>
    <row r="1654" spans="1:4" ht="18" customHeight="1" x14ac:dyDescent="0.25">
      <c r="A1654" s="2" t="s">
        <v>192</v>
      </c>
      <c r="B1654" s="7">
        <v>97360069</v>
      </c>
      <c r="C1654" s="7">
        <v>75000000</v>
      </c>
      <c r="D1654" s="7">
        <f t="shared" si="26"/>
        <v>22360069</v>
      </c>
    </row>
    <row r="1655" spans="1:4" ht="18" customHeight="1" x14ac:dyDescent="0.25">
      <c r="A1655" s="2" t="s">
        <v>3290</v>
      </c>
      <c r="B1655" s="7">
        <v>34098563</v>
      </c>
      <c r="C1655" s="7">
        <v>55000000</v>
      </c>
      <c r="D1655" s="7">
        <f t="shared" si="26"/>
        <v>-20901437</v>
      </c>
    </row>
    <row r="1656" spans="1:4" ht="18" customHeight="1" x14ac:dyDescent="0.25">
      <c r="A1656" s="2" t="s">
        <v>2869</v>
      </c>
      <c r="B1656" s="7">
        <v>44456509</v>
      </c>
      <c r="C1656" s="7">
        <v>5000000</v>
      </c>
      <c r="D1656" s="7">
        <f t="shared" si="26"/>
        <v>39456509</v>
      </c>
    </row>
    <row r="1657" spans="1:4" ht="18" customHeight="1" x14ac:dyDescent="0.25">
      <c r="A1657" s="2" t="s">
        <v>6503</v>
      </c>
      <c r="B1657" s="7">
        <v>47329</v>
      </c>
      <c r="C1657" s="7">
        <v>750000</v>
      </c>
      <c r="D1657" s="7">
        <f t="shared" si="26"/>
        <v>-702671</v>
      </c>
    </row>
    <row r="1658" spans="1:4" ht="18" customHeight="1" x14ac:dyDescent="0.25">
      <c r="A1658" s="2" t="s">
        <v>102</v>
      </c>
      <c r="B1658" s="7">
        <v>105264608</v>
      </c>
      <c r="C1658" s="7">
        <v>60000000</v>
      </c>
      <c r="D1658" s="7">
        <f t="shared" si="26"/>
        <v>45264608</v>
      </c>
    </row>
    <row r="1659" spans="1:4" ht="18" customHeight="1" x14ac:dyDescent="0.25">
      <c r="A1659" s="2" t="s">
        <v>4101</v>
      </c>
      <c r="B1659" s="7">
        <v>18472363</v>
      </c>
      <c r="C1659" s="7">
        <v>50000000</v>
      </c>
      <c r="D1659" s="7">
        <f t="shared" si="26"/>
        <v>-31527637</v>
      </c>
    </row>
    <row r="1660" spans="1:4" ht="18" customHeight="1" x14ac:dyDescent="0.25">
      <c r="A1660" s="2" t="s">
        <v>1856</v>
      </c>
      <c r="B1660" s="7">
        <v>48334413</v>
      </c>
      <c r="C1660" s="7">
        <v>10000000</v>
      </c>
      <c r="D1660" s="7">
        <f t="shared" si="26"/>
        <v>38334413</v>
      </c>
    </row>
    <row r="1661" spans="1:4" ht="18" customHeight="1" x14ac:dyDescent="0.25">
      <c r="A1661" s="2" t="s">
        <v>2772</v>
      </c>
      <c r="B1661" s="7">
        <v>47553512</v>
      </c>
      <c r="C1661" s="7">
        <v>50000000</v>
      </c>
      <c r="D1661" s="7">
        <f t="shared" si="26"/>
        <v>-2446488</v>
      </c>
    </row>
    <row r="1662" spans="1:4" ht="18" customHeight="1" x14ac:dyDescent="0.25">
      <c r="A1662" s="2" t="s">
        <v>4107</v>
      </c>
      <c r="B1662" s="7">
        <v>18352454</v>
      </c>
      <c r="C1662" s="7">
        <v>15000000</v>
      </c>
      <c r="D1662" s="7">
        <f t="shared" si="26"/>
        <v>3352454</v>
      </c>
    </row>
    <row r="1663" spans="1:4" ht="18" customHeight="1" x14ac:dyDescent="0.25">
      <c r="A1663" s="2" t="s">
        <v>3242</v>
      </c>
      <c r="B1663" s="7">
        <v>35096190</v>
      </c>
      <c r="C1663" s="7">
        <v>60000000</v>
      </c>
      <c r="D1663" s="7">
        <f t="shared" si="26"/>
        <v>-24903810</v>
      </c>
    </row>
    <row r="1664" spans="1:4" ht="18" customHeight="1" x14ac:dyDescent="0.25">
      <c r="A1664" s="2" t="s">
        <v>2576</v>
      </c>
      <c r="B1664" s="7">
        <v>48334413</v>
      </c>
      <c r="C1664" s="7">
        <v>385907</v>
      </c>
      <c r="D1664" s="7">
        <f t="shared" si="26"/>
        <v>47948506</v>
      </c>
    </row>
    <row r="1665" spans="1:4" ht="18" customHeight="1" x14ac:dyDescent="0.25">
      <c r="A1665" s="2" t="s">
        <v>5198</v>
      </c>
      <c r="B1665" s="7">
        <v>4884663</v>
      </c>
      <c r="C1665" s="7">
        <v>12000000</v>
      </c>
      <c r="D1665" s="7">
        <f t="shared" si="26"/>
        <v>-7115337</v>
      </c>
    </row>
    <row r="1666" spans="1:4" ht="18" customHeight="1" x14ac:dyDescent="0.25">
      <c r="A1666" s="2" t="s">
        <v>1822</v>
      </c>
      <c r="B1666" s="7">
        <v>48334413</v>
      </c>
      <c r="C1666" s="7">
        <v>10000000</v>
      </c>
      <c r="D1666" s="7">
        <f t="shared" si="26"/>
        <v>38334413</v>
      </c>
    </row>
    <row r="1667" spans="1:4" ht="18" customHeight="1" x14ac:dyDescent="0.25">
      <c r="A1667" s="2" t="s">
        <v>3141</v>
      </c>
      <c r="B1667" s="7">
        <v>37479778</v>
      </c>
      <c r="C1667" s="7">
        <v>60000000</v>
      </c>
      <c r="D1667" s="7">
        <f t="shared" si="26"/>
        <v>-22520222</v>
      </c>
    </row>
    <row r="1668" spans="1:4" ht="18" customHeight="1" x14ac:dyDescent="0.25">
      <c r="A1668" s="2" t="s">
        <v>5598</v>
      </c>
      <c r="B1668" s="7">
        <v>2126511</v>
      </c>
      <c r="C1668" s="7">
        <v>36000000</v>
      </c>
      <c r="D1668" s="7">
        <f t="shared" si="26"/>
        <v>-33873489</v>
      </c>
    </row>
    <row r="1669" spans="1:4" ht="18" customHeight="1" x14ac:dyDescent="0.25">
      <c r="A1669" s="2" t="s">
        <v>6212</v>
      </c>
      <c r="B1669" s="7">
        <v>220234</v>
      </c>
      <c r="C1669" s="7">
        <v>3500000</v>
      </c>
      <c r="D1669" s="7">
        <f t="shared" ref="D1669:D1732" si="27">B1669-C1669</f>
        <v>-3279766</v>
      </c>
    </row>
    <row r="1670" spans="1:4" ht="18" customHeight="1" x14ac:dyDescent="0.25">
      <c r="A1670" s="2" t="s">
        <v>2500</v>
      </c>
      <c r="B1670" s="7">
        <v>48334413</v>
      </c>
      <c r="C1670" s="7">
        <v>750000</v>
      </c>
      <c r="D1670" s="7">
        <f t="shared" si="27"/>
        <v>47584413</v>
      </c>
    </row>
    <row r="1671" spans="1:4" ht="18" customHeight="1" x14ac:dyDescent="0.25">
      <c r="A1671" s="2" t="s">
        <v>5729</v>
      </c>
      <c r="B1671" s="7">
        <v>1292119</v>
      </c>
      <c r="C1671" s="7">
        <v>5500000</v>
      </c>
      <c r="D1671" s="7">
        <f t="shared" si="27"/>
        <v>-4207881</v>
      </c>
    </row>
    <row r="1672" spans="1:4" ht="18" customHeight="1" x14ac:dyDescent="0.25">
      <c r="A1672" s="2" t="s">
        <v>1646</v>
      </c>
      <c r="B1672" s="7">
        <v>48334413</v>
      </c>
      <c r="C1672" s="7">
        <v>25000000</v>
      </c>
      <c r="D1672" s="7">
        <f t="shared" si="27"/>
        <v>23334413</v>
      </c>
    </row>
    <row r="1673" spans="1:4" ht="18" customHeight="1" x14ac:dyDescent="0.25">
      <c r="A1673" s="2" t="s">
        <v>1513</v>
      </c>
      <c r="B1673" s="7">
        <v>48334413</v>
      </c>
      <c r="C1673" s="7">
        <v>39751583.5</v>
      </c>
      <c r="D1673" s="7">
        <f t="shared" si="27"/>
        <v>8582829.5</v>
      </c>
    </row>
    <row r="1674" spans="1:4" ht="18" customHeight="1" x14ac:dyDescent="0.25">
      <c r="A1674" s="2" t="s">
        <v>5895</v>
      </c>
      <c r="B1674" s="7">
        <v>753501</v>
      </c>
      <c r="C1674" s="7">
        <v>39751583.5</v>
      </c>
      <c r="D1674" s="7">
        <f t="shared" si="27"/>
        <v>-38998082.5</v>
      </c>
    </row>
    <row r="1675" spans="1:4" ht="18" customHeight="1" x14ac:dyDescent="0.25">
      <c r="A1675" s="2" t="s">
        <v>4389</v>
      </c>
      <c r="B1675" s="7">
        <v>14375181</v>
      </c>
      <c r="C1675" s="7">
        <v>51000000</v>
      </c>
      <c r="D1675" s="7">
        <f t="shared" si="27"/>
        <v>-36624819</v>
      </c>
    </row>
    <row r="1676" spans="1:4" ht="18" customHeight="1" x14ac:dyDescent="0.25">
      <c r="A1676" s="2" t="s">
        <v>5475</v>
      </c>
      <c r="B1676" s="7">
        <v>2954405</v>
      </c>
      <c r="C1676" s="7">
        <v>36000000</v>
      </c>
      <c r="D1676" s="7">
        <f t="shared" si="27"/>
        <v>-33045595</v>
      </c>
    </row>
    <row r="1677" spans="1:4" ht="18" customHeight="1" x14ac:dyDescent="0.25">
      <c r="A1677" s="2" t="s">
        <v>4371</v>
      </c>
      <c r="B1677" s="7">
        <v>14673301</v>
      </c>
      <c r="C1677" s="7">
        <v>2000000</v>
      </c>
      <c r="D1677" s="7">
        <f t="shared" si="27"/>
        <v>12673301</v>
      </c>
    </row>
    <row r="1678" spans="1:4" ht="18" customHeight="1" x14ac:dyDescent="0.25">
      <c r="A1678" s="2" t="s">
        <v>2588</v>
      </c>
      <c r="B1678" s="7">
        <v>48334413</v>
      </c>
      <c r="C1678" s="7">
        <v>325000</v>
      </c>
      <c r="D1678" s="7">
        <f t="shared" si="27"/>
        <v>48009413</v>
      </c>
    </row>
    <row r="1679" spans="1:4" ht="18" customHeight="1" x14ac:dyDescent="0.25">
      <c r="A1679" s="2" t="s">
        <v>2811</v>
      </c>
      <c r="B1679" s="7">
        <v>46300000</v>
      </c>
      <c r="C1679" s="7">
        <v>9400000</v>
      </c>
      <c r="D1679" s="7">
        <f t="shared" si="27"/>
        <v>36900000</v>
      </c>
    </row>
    <row r="1680" spans="1:4" ht="18" customHeight="1" x14ac:dyDescent="0.25">
      <c r="A1680" s="2" t="s">
        <v>1841</v>
      </c>
      <c r="B1680" s="7">
        <v>48334413</v>
      </c>
      <c r="C1680" s="7">
        <v>10000000</v>
      </c>
      <c r="D1680" s="7">
        <f t="shared" si="27"/>
        <v>38334413</v>
      </c>
    </row>
    <row r="1681" spans="1:4" ht="18" customHeight="1" x14ac:dyDescent="0.25">
      <c r="A1681" s="2" t="s">
        <v>2135</v>
      </c>
      <c r="B1681" s="7">
        <v>48334413</v>
      </c>
      <c r="C1681" s="7">
        <v>3180000</v>
      </c>
      <c r="D1681" s="7">
        <f t="shared" si="27"/>
        <v>45154413</v>
      </c>
    </row>
    <row r="1682" spans="1:4" ht="18" customHeight="1" x14ac:dyDescent="0.25">
      <c r="A1682" s="2" t="s">
        <v>6337</v>
      </c>
      <c r="B1682" s="7">
        <v>120620</v>
      </c>
      <c r="C1682" s="7">
        <v>39751583.5</v>
      </c>
      <c r="D1682" s="7">
        <f t="shared" si="27"/>
        <v>-39630963.5</v>
      </c>
    </row>
    <row r="1683" spans="1:4" ht="18" customHeight="1" x14ac:dyDescent="0.25">
      <c r="A1683" s="2" t="s">
        <v>1281</v>
      </c>
      <c r="B1683" s="7">
        <v>48334413</v>
      </c>
      <c r="C1683" s="7">
        <v>39751583.5</v>
      </c>
      <c r="D1683" s="7">
        <f t="shared" si="27"/>
        <v>8582829.5</v>
      </c>
    </row>
    <row r="1684" spans="1:4" ht="18" customHeight="1" x14ac:dyDescent="0.25">
      <c r="A1684" s="2" t="s">
        <v>5040</v>
      </c>
      <c r="B1684" s="7">
        <v>6350058</v>
      </c>
      <c r="C1684" s="7">
        <v>8000000</v>
      </c>
      <c r="D1684" s="7">
        <f t="shared" si="27"/>
        <v>-1649942</v>
      </c>
    </row>
    <row r="1685" spans="1:4" ht="18" customHeight="1" x14ac:dyDescent="0.25">
      <c r="A1685" s="2" t="s">
        <v>3149</v>
      </c>
      <c r="B1685" s="7">
        <v>37304950</v>
      </c>
      <c r="C1685" s="7">
        <v>35000000</v>
      </c>
      <c r="D1685" s="7">
        <f t="shared" si="27"/>
        <v>2304950</v>
      </c>
    </row>
    <row r="1686" spans="1:4" ht="18" customHeight="1" x14ac:dyDescent="0.25">
      <c r="A1686" s="2" t="s">
        <v>5452</v>
      </c>
      <c r="B1686" s="7">
        <v>3047539</v>
      </c>
      <c r="C1686" s="7">
        <v>7217600</v>
      </c>
      <c r="D1686" s="7">
        <f t="shared" si="27"/>
        <v>-4170061</v>
      </c>
    </row>
    <row r="1687" spans="1:4" ht="18" customHeight="1" x14ac:dyDescent="0.25">
      <c r="A1687" s="2" t="s">
        <v>544</v>
      </c>
      <c r="B1687" s="7">
        <v>74158157</v>
      </c>
      <c r="C1687" s="7">
        <v>79000000</v>
      </c>
      <c r="D1687" s="7">
        <f t="shared" si="27"/>
        <v>-4841843</v>
      </c>
    </row>
    <row r="1688" spans="1:4" ht="18" customHeight="1" x14ac:dyDescent="0.25">
      <c r="A1688" s="2" t="s">
        <v>2226</v>
      </c>
      <c r="B1688" s="7">
        <v>48334413</v>
      </c>
      <c r="C1688" s="7">
        <v>2500000</v>
      </c>
      <c r="D1688" s="7">
        <f t="shared" si="27"/>
        <v>45834413</v>
      </c>
    </row>
    <row r="1689" spans="1:4" ht="18" customHeight="1" x14ac:dyDescent="0.25">
      <c r="A1689" s="2" t="s">
        <v>432</v>
      </c>
      <c r="B1689" s="7">
        <v>160067286</v>
      </c>
      <c r="C1689" s="7">
        <v>120000000</v>
      </c>
      <c r="D1689" s="7">
        <f t="shared" si="27"/>
        <v>40067286</v>
      </c>
    </row>
    <row r="1690" spans="1:4" ht="18" customHeight="1" x14ac:dyDescent="0.25">
      <c r="A1690" s="2" t="s">
        <v>1145</v>
      </c>
      <c r="B1690" s="7">
        <v>50549107</v>
      </c>
      <c r="C1690" s="7">
        <v>60000000</v>
      </c>
      <c r="D1690" s="7">
        <f t="shared" si="27"/>
        <v>-9450893</v>
      </c>
    </row>
    <row r="1691" spans="1:4" ht="18" customHeight="1" x14ac:dyDescent="0.25">
      <c r="A1691" s="2" t="s">
        <v>564</v>
      </c>
      <c r="B1691" s="7">
        <v>72755517</v>
      </c>
      <c r="C1691" s="7">
        <v>39751583.5</v>
      </c>
      <c r="D1691" s="7">
        <f t="shared" si="27"/>
        <v>33003933.5</v>
      </c>
    </row>
    <row r="1692" spans="1:4" ht="18" customHeight="1" x14ac:dyDescent="0.25">
      <c r="A1692" s="2" t="s">
        <v>739</v>
      </c>
      <c r="B1692" s="7">
        <v>64267897</v>
      </c>
      <c r="C1692" s="7">
        <v>5000000</v>
      </c>
      <c r="D1692" s="7">
        <f t="shared" si="27"/>
        <v>59267897</v>
      </c>
    </row>
    <row r="1693" spans="1:4" ht="18" customHeight="1" x14ac:dyDescent="0.25">
      <c r="A1693" s="2" t="s">
        <v>3035</v>
      </c>
      <c r="B1693" s="7">
        <v>39647595</v>
      </c>
      <c r="C1693" s="7">
        <v>12000000</v>
      </c>
      <c r="D1693" s="7">
        <f t="shared" si="27"/>
        <v>27647595</v>
      </c>
    </row>
    <row r="1694" spans="1:4" ht="18" customHeight="1" x14ac:dyDescent="0.25">
      <c r="A1694" s="2" t="s">
        <v>4755</v>
      </c>
      <c r="B1694" s="7">
        <v>9795017</v>
      </c>
      <c r="C1694" s="7">
        <v>50000000</v>
      </c>
      <c r="D1694" s="7">
        <f t="shared" si="27"/>
        <v>-40204983</v>
      </c>
    </row>
    <row r="1695" spans="1:4" ht="18" customHeight="1" x14ac:dyDescent="0.25">
      <c r="A1695" s="2" t="s">
        <v>5189</v>
      </c>
      <c r="B1695" s="7">
        <v>4956401</v>
      </c>
      <c r="C1695" s="7">
        <v>15000000</v>
      </c>
      <c r="D1695" s="7">
        <f t="shared" si="27"/>
        <v>-10043599</v>
      </c>
    </row>
    <row r="1696" spans="1:4" ht="18" customHeight="1" x14ac:dyDescent="0.25">
      <c r="A1696" s="2" t="s">
        <v>5691</v>
      </c>
      <c r="B1696" s="7">
        <v>1512815</v>
      </c>
      <c r="C1696" s="7">
        <v>25000000</v>
      </c>
      <c r="D1696" s="7">
        <f t="shared" si="27"/>
        <v>-23487185</v>
      </c>
    </row>
    <row r="1697" spans="1:4" ht="18" customHeight="1" x14ac:dyDescent="0.25">
      <c r="A1697" s="2" t="s">
        <v>775</v>
      </c>
      <c r="B1697" s="7">
        <v>62647540</v>
      </c>
      <c r="C1697" s="7">
        <v>70000000</v>
      </c>
      <c r="D1697" s="7">
        <f t="shared" si="27"/>
        <v>-7352460</v>
      </c>
    </row>
    <row r="1698" spans="1:4" ht="18" customHeight="1" x14ac:dyDescent="0.25">
      <c r="A1698" s="2" t="s">
        <v>4279</v>
      </c>
      <c r="B1698" s="7">
        <v>15935068</v>
      </c>
      <c r="C1698" s="7">
        <v>2500000</v>
      </c>
      <c r="D1698" s="7">
        <f t="shared" si="27"/>
        <v>13435068</v>
      </c>
    </row>
    <row r="1699" spans="1:4" ht="18" customHeight="1" x14ac:dyDescent="0.25">
      <c r="A1699" s="2" t="s">
        <v>4034</v>
      </c>
      <c r="B1699" s="7">
        <v>19472057</v>
      </c>
      <c r="C1699" s="7">
        <v>3000000</v>
      </c>
      <c r="D1699" s="7">
        <f t="shared" si="27"/>
        <v>16472057</v>
      </c>
    </row>
    <row r="1700" spans="1:4" ht="18" customHeight="1" x14ac:dyDescent="0.25">
      <c r="A1700" s="2" t="s">
        <v>4548</v>
      </c>
      <c r="B1700" s="7">
        <v>12610731</v>
      </c>
      <c r="C1700" s="7">
        <v>11000000</v>
      </c>
      <c r="D1700" s="7">
        <f t="shared" si="27"/>
        <v>1610731</v>
      </c>
    </row>
    <row r="1701" spans="1:4" ht="18" customHeight="1" x14ac:dyDescent="0.25">
      <c r="A1701" s="2" t="s">
        <v>5444</v>
      </c>
      <c r="B1701" s="7">
        <v>3071947</v>
      </c>
      <c r="C1701" s="7">
        <v>3500000</v>
      </c>
      <c r="D1701" s="7">
        <f t="shared" si="27"/>
        <v>-428053</v>
      </c>
    </row>
    <row r="1702" spans="1:4" ht="18" customHeight="1" x14ac:dyDescent="0.25">
      <c r="A1702" s="2" t="s">
        <v>126</v>
      </c>
      <c r="B1702" s="7">
        <v>102922376</v>
      </c>
      <c r="C1702" s="7">
        <v>20000000</v>
      </c>
      <c r="D1702" s="7">
        <f t="shared" si="27"/>
        <v>82922376</v>
      </c>
    </row>
    <row r="1703" spans="1:4" ht="18" customHeight="1" x14ac:dyDescent="0.25">
      <c r="A1703" s="2" t="s">
        <v>3971</v>
      </c>
      <c r="B1703" s="7">
        <v>20763013</v>
      </c>
      <c r="C1703" s="7">
        <v>23000000</v>
      </c>
      <c r="D1703" s="7">
        <f t="shared" si="27"/>
        <v>-2236987</v>
      </c>
    </row>
    <row r="1704" spans="1:4" ht="18" customHeight="1" x14ac:dyDescent="0.25">
      <c r="A1704" s="2" t="s">
        <v>3502</v>
      </c>
      <c r="B1704" s="7">
        <v>30059386</v>
      </c>
      <c r="C1704" s="7">
        <v>22000000</v>
      </c>
      <c r="D1704" s="7">
        <f t="shared" si="27"/>
        <v>8059386</v>
      </c>
    </row>
    <row r="1705" spans="1:4" ht="18" customHeight="1" x14ac:dyDescent="0.25">
      <c r="A1705" s="2" t="s">
        <v>3241</v>
      </c>
      <c r="B1705" s="7">
        <v>35143332</v>
      </c>
      <c r="C1705" s="7">
        <v>17000000</v>
      </c>
      <c r="D1705" s="7">
        <f t="shared" si="27"/>
        <v>18143332</v>
      </c>
    </row>
    <row r="1706" spans="1:4" ht="18" customHeight="1" x14ac:dyDescent="0.25">
      <c r="A1706" s="2" t="s">
        <v>3143</v>
      </c>
      <c r="B1706" s="7">
        <v>37470017</v>
      </c>
      <c r="C1706" s="7">
        <v>10000000</v>
      </c>
      <c r="D1706" s="7">
        <f t="shared" si="27"/>
        <v>27470017</v>
      </c>
    </row>
    <row r="1707" spans="1:4" ht="18" customHeight="1" x14ac:dyDescent="0.25">
      <c r="A1707" s="2" t="s">
        <v>5277</v>
      </c>
      <c r="B1707" s="7">
        <v>4244155</v>
      </c>
      <c r="C1707" s="7">
        <v>10000000</v>
      </c>
      <c r="D1707" s="7">
        <f t="shared" si="27"/>
        <v>-5755845</v>
      </c>
    </row>
    <row r="1708" spans="1:4" ht="18" customHeight="1" x14ac:dyDescent="0.25">
      <c r="A1708" s="2" t="s">
        <v>5534</v>
      </c>
      <c r="B1708" s="7">
        <v>2474000</v>
      </c>
      <c r="C1708" s="7">
        <v>14000000</v>
      </c>
      <c r="D1708" s="7">
        <f t="shared" si="27"/>
        <v>-11526000</v>
      </c>
    </row>
    <row r="1709" spans="1:4" ht="18" customHeight="1" x14ac:dyDescent="0.25">
      <c r="A1709" s="2" t="s">
        <v>1999</v>
      </c>
      <c r="B1709" s="7">
        <v>48334413</v>
      </c>
      <c r="C1709" s="7">
        <v>5000000</v>
      </c>
      <c r="D1709" s="7">
        <f t="shared" si="27"/>
        <v>43334413</v>
      </c>
    </row>
    <row r="1710" spans="1:4" ht="18" customHeight="1" x14ac:dyDescent="0.25">
      <c r="A1710" s="2" t="s">
        <v>4254</v>
      </c>
      <c r="B1710" s="7">
        <v>16204793</v>
      </c>
      <c r="C1710" s="7">
        <v>16000000</v>
      </c>
      <c r="D1710" s="7">
        <f t="shared" si="27"/>
        <v>204793</v>
      </c>
    </row>
    <row r="1711" spans="1:4" ht="18" customHeight="1" x14ac:dyDescent="0.25">
      <c r="A1711" s="2" t="s">
        <v>2787</v>
      </c>
      <c r="B1711" s="7">
        <v>47034272</v>
      </c>
      <c r="C1711" s="7">
        <v>40000000</v>
      </c>
      <c r="D1711" s="7">
        <f t="shared" si="27"/>
        <v>7034272</v>
      </c>
    </row>
    <row r="1712" spans="1:4" ht="18" customHeight="1" x14ac:dyDescent="0.25">
      <c r="A1712" s="2" t="s">
        <v>3739</v>
      </c>
      <c r="B1712" s="7">
        <v>25266129</v>
      </c>
      <c r="C1712" s="7">
        <v>35000000</v>
      </c>
      <c r="D1712" s="7">
        <f t="shared" si="27"/>
        <v>-9733871</v>
      </c>
    </row>
    <row r="1713" spans="1:4" ht="18" customHeight="1" x14ac:dyDescent="0.25">
      <c r="A1713" s="2" t="s">
        <v>1503</v>
      </c>
      <c r="B1713" s="7">
        <v>48334413</v>
      </c>
      <c r="C1713" s="7">
        <v>39751583.5</v>
      </c>
      <c r="D1713" s="7">
        <f t="shared" si="27"/>
        <v>8582829.5</v>
      </c>
    </row>
    <row r="1714" spans="1:4" ht="18" customHeight="1" x14ac:dyDescent="0.25">
      <c r="A1714" s="2" t="s">
        <v>1545</v>
      </c>
      <c r="B1714" s="7">
        <v>48334413</v>
      </c>
      <c r="C1714" s="7">
        <v>39751583.5</v>
      </c>
      <c r="D1714" s="7">
        <f t="shared" si="27"/>
        <v>8582829.5</v>
      </c>
    </row>
    <row r="1715" spans="1:4" ht="18" customHeight="1" x14ac:dyDescent="0.25">
      <c r="A1715" s="2" t="s">
        <v>5731</v>
      </c>
      <c r="B1715" s="7">
        <v>1282084</v>
      </c>
      <c r="C1715" s="7">
        <v>2500000</v>
      </c>
      <c r="D1715" s="7">
        <f t="shared" si="27"/>
        <v>-1217916</v>
      </c>
    </row>
    <row r="1716" spans="1:4" ht="18" customHeight="1" x14ac:dyDescent="0.25">
      <c r="A1716" s="2" t="s">
        <v>615</v>
      </c>
      <c r="B1716" s="7">
        <v>70405498</v>
      </c>
      <c r="C1716" s="7">
        <v>40000000</v>
      </c>
      <c r="D1716" s="7">
        <f t="shared" si="27"/>
        <v>30405498</v>
      </c>
    </row>
    <row r="1717" spans="1:4" ht="18" customHeight="1" x14ac:dyDescent="0.25">
      <c r="A1717" s="2" t="s">
        <v>2444</v>
      </c>
      <c r="B1717" s="7">
        <v>48334413</v>
      </c>
      <c r="C1717" s="7">
        <v>1000000</v>
      </c>
      <c r="D1717" s="7">
        <f t="shared" si="27"/>
        <v>47334413</v>
      </c>
    </row>
    <row r="1718" spans="1:4" ht="18" customHeight="1" x14ac:dyDescent="0.25">
      <c r="A1718" s="2" t="s">
        <v>412</v>
      </c>
      <c r="B1718" s="7">
        <v>80920948</v>
      </c>
      <c r="C1718" s="7">
        <v>30000000</v>
      </c>
      <c r="D1718" s="7">
        <f t="shared" si="27"/>
        <v>50920948</v>
      </c>
    </row>
    <row r="1719" spans="1:4" ht="18" customHeight="1" x14ac:dyDescent="0.25">
      <c r="A1719" s="2" t="s">
        <v>6061</v>
      </c>
      <c r="B1719" s="7">
        <v>399879</v>
      </c>
      <c r="C1719" s="7">
        <v>15000000</v>
      </c>
      <c r="D1719" s="7">
        <f t="shared" si="27"/>
        <v>-14600121</v>
      </c>
    </row>
    <row r="1720" spans="1:4" ht="18" customHeight="1" x14ac:dyDescent="0.25">
      <c r="A1720" s="2" t="s">
        <v>809</v>
      </c>
      <c r="B1720" s="7">
        <v>60573641</v>
      </c>
      <c r="C1720" s="7">
        <v>60000000</v>
      </c>
      <c r="D1720" s="7">
        <f t="shared" si="27"/>
        <v>573641</v>
      </c>
    </row>
    <row r="1721" spans="1:4" ht="18" customHeight="1" x14ac:dyDescent="0.25">
      <c r="A1721" s="2" t="s">
        <v>3624</v>
      </c>
      <c r="B1721" s="7">
        <v>27087695</v>
      </c>
      <c r="C1721" s="7">
        <v>17700000</v>
      </c>
      <c r="D1721" s="7">
        <f t="shared" si="27"/>
        <v>9387695</v>
      </c>
    </row>
    <row r="1722" spans="1:4" ht="18" customHeight="1" x14ac:dyDescent="0.25">
      <c r="A1722" s="2" t="s">
        <v>3857</v>
      </c>
      <c r="B1722" s="7">
        <v>22770864</v>
      </c>
      <c r="C1722" s="7">
        <v>38000000</v>
      </c>
      <c r="D1722" s="7">
        <f t="shared" si="27"/>
        <v>-15229136</v>
      </c>
    </row>
    <row r="1723" spans="1:4" ht="18" customHeight="1" x14ac:dyDescent="0.25">
      <c r="A1723" s="2" t="s">
        <v>6089</v>
      </c>
      <c r="B1723" s="7">
        <v>371897</v>
      </c>
      <c r="C1723" s="7">
        <v>4000000</v>
      </c>
      <c r="D1723" s="7">
        <f t="shared" si="27"/>
        <v>-3628103</v>
      </c>
    </row>
    <row r="1724" spans="1:4" ht="18" customHeight="1" x14ac:dyDescent="0.25">
      <c r="A1724" s="2" t="s">
        <v>604</v>
      </c>
      <c r="B1724" s="7">
        <v>71026631</v>
      </c>
      <c r="C1724" s="7">
        <v>36000000</v>
      </c>
      <c r="D1724" s="7">
        <f t="shared" si="27"/>
        <v>35026631</v>
      </c>
    </row>
    <row r="1725" spans="1:4" ht="18" customHeight="1" x14ac:dyDescent="0.25">
      <c r="A1725" s="2" t="s">
        <v>4850</v>
      </c>
      <c r="B1725" s="7">
        <v>8129455</v>
      </c>
      <c r="C1725" s="7">
        <v>45000000</v>
      </c>
      <c r="D1725" s="7">
        <f t="shared" si="27"/>
        <v>-36870545</v>
      </c>
    </row>
    <row r="1726" spans="1:4" ht="18" customHeight="1" x14ac:dyDescent="0.25">
      <c r="A1726" s="2" t="s">
        <v>3586</v>
      </c>
      <c r="B1726" s="7">
        <v>27972410</v>
      </c>
      <c r="C1726" s="7">
        <v>35000000</v>
      </c>
      <c r="D1726" s="7">
        <f t="shared" si="27"/>
        <v>-7027590</v>
      </c>
    </row>
    <row r="1727" spans="1:4" ht="18" customHeight="1" x14ac:dyDescent="0.25">
      <c r="A1727" s="2" t="s">
        <v>2537</v>
      </c>
      <c r="B1727" s="7">
        <v>48334413</v>
      </c>
      <c r="C1727" s="7">
        <v>500000</v>
      </c>
      <c r="D1727" s="7">
        <f t="shared" si="27"/>
        <v>47834413</v>
      </c>
    </row>
    <row r="1728" spans="1:4" ht="18" customHeight="1" x14ac:dyDescent="0.25">
      <c r="A1728" s="2" t="s">
        <v>3447</v>
      </c>
      <c r="B1728" s="7">
        <v>31179516</v>
      </c>
      <c r="C1728" s="7">
        <v>12000000</v>
      </c>
      <c r="D1728" s="7">
        <f t="shared" si="27"/>
        <v>19179516</v>
      </c>
    </row>
    <row r="1729" spans="1:4" ht="18" customHeight="1" x14ac:dyDescent="0.25">
      <c r="A1729" s="2" t="s">
        <v>4690</v>
      </c>
      <c r="B1729" s="7">
        <v>10539414</v>
      </c>
      <c r="C1729" s="7">
        <v>47000000</v>
      </c>
      <c r="D1729" s="7">
        <f t="shared" si="27"/>
        <v>-36460586</v>
      </c>
    </row>
    <row r="1730" spans="1:4" ht="18" customHeight="1" x14ac:dyDescent="0.25">
      <c r="A1730" s="2" t="s">
        <v>3716</v>
      </c>
      <c r="B1730" s="7">
        <v>25571351</v>
      </c>
      <c r="C1730" s="7">
        <v>14000000</v>
      </c>
      <c r="D1730" s="7">
        <f t="shared" si="27"/>
        <v>11571351</v>
      </c>
    </row>
    <row r="1731" spans="1:4" ht="18" customHeight="1" x14ac:dyDescent="0.25">
      <c r="A1731" s="2" t="s">
        <v>4407</v>
      </c>
      <c r="B1731" s="7">
        <v>14252830</v>
      </c>
      <c r="C1731" s="7">
        <v>22000000</v>
      </c>
      <c r="D1731" s="7">
        <f t="shared" si="27"/>
        <v>-7747170</v>
      </c>
    </row>
    <row r="1732" spans="1:4" ht="18" customHeight="1" x14ac:dyDescent="0.25">
      <c r="A1732" s="2" t="s">
        <v>116</v>
      </c>
      <c r="B1732" s="7">
        <v>103812241</v>
      </c>
      <c r="C1732" s="7">
        <v>79000000</v>
      </c>
      <c r="D1732" s="7">
        <f t="shared" si="27"/>
        <v>24812241</v>
      </c>
    </row>
    <row r="1733" spans="1:4" ht="18" customHeight="1" x14ac:dyDescent="0.25">
      <c r="A1733" s="2" t="s">
        <v>5926</v>
      </c>
      <c r="B1733" s="7">
        <v>638951</v>
      </c>
      <c r="C1733" s="7">
        <v>1592000</v>
      </c>
      <c r="D1733" s="7">
        <f t="shared" ref="D1733:D1796" si="28">B1733-C1733</f>
        <v>-953049</v>
      </c>
    </row>
    <row r="1734" spans="1:4" ht="18" customHeight="1" x14ac:dyDescent="0.25">
      <c r="A1734" s="2" t="s">
        <v>1440</v>
      </c>
      <c r="B1734" s="7">
        <v>48334413</v>
      </c>
      <c r="C1734" s="7">
        <v>39751583.5</v>
      </c>
      <c r="D1734" s="7">
        <f t="shared" si="28"/>
        <v>8582829.5</v>
      </c>
    </row>
    <row r="1735" spans="1:4" ht="18" customHeight="1" x14ac:dyDescent="0.25">
      <c r="A1735" s="2" t="s">
        <v>144</v>
      </c>
      <c r="B1735" s="7">
        <v>101702060</v>
      </c>
      <c r="C1735" s="7">
        <v>45000000</v>
      </c>
      <c r="D1735" s="7">
        <f t="shared" si="28"/>
        <v>56702060</v>
      </c>
    </row>
    <row r="1736" spans="1:4" ht="18" customHeight="1" x14ac:dyDescent="0.25">
      <c r="A1736" s="2" t="s">
        <v>3900</v>
      </c>
      <c r="B1736" s="7">
        <v>21973182</v>
      </c>
      <c r="C1736" s="7">
        <v>23000000</v>
      </c>
      <c r="D1736" s="7">
        <f t="shared" si="28"/>
        <v>-1026818</v>
      </c>
    </row>
    <row r="1737" spans="1:4" ht="18" customHeight="1" x14ac:dyDescent="0.25">
      <c r="A1737" s="2" t="s">
        <v>931</v>
      </c>
      <c r="B1737" s="7">
        <v>56443482</v>
      </c>
      <c r="C1737" s="7">
        <v>60000000</v>
      </c>
      <c r="D1737" s="7">
        <f t="shared" si="28"/>
        <v>-3556518</v>
      </c>
    </row>
    <row r="1738" spans="1:4" ht="18" customHeight="1" x14ac:dyDescent="0.25">
      <c r="A1738" s="2" t="s">
        <v>5804</v>
      </c>
      <c r="B1738" s="7">
        <v>1050445</v>
      </c>
      <c r="C1738" s="7">
        <v>22000000</v>
      </c>
      <c r="D1738" s="7">
        <f t="shared" si="28"/>
        <v>-20949555</v>
      </c>
    </row>
    <row r="1739" spans="1:4" ht="18" customHeight="1" x14ac:dyDescent="0.25">
      <c r="A1739" s="2" t="s">
        <v>3459</v>
      </c>
      <c r="B1739" s="7">
        <v>30920167</v>
      </c>
      <c r="C1739" s="7">
        <v>25000000</v>
      </c>
      <c r="D1739" s="7">
        <f t="shared" si="28"/>
        <v>5920167</v>
      </c>
    </row>
    <row r="1740" spans="1:4" ht="18" customHeight="1" x14ac:dyDescent="0.25">
      <c r="A1740" s="2" t="s">
        <v>2149</v>
      </c>
      <c r="B1740" s="7">
        <v>48334413</v>
      </c>
      <c r="C1740" s="7">
        <v>3000000</v>
      </c>
      <c r="D1740" s="7">
        <f t="shared" si="28"/>
        <v>45334413</v>
      </c>
    </row>
    <row r="1741" spans="1:4" ht="18" customHeight="1" x14ac:dyDescent="0.25">
      <c r="A1741" s="2" t="s">
        <v>1923</v>
      </c>
      <c r="B1741" s="7">
        <v>48334413</v>
      </c>
      <c r="C1741" s="7">
        <v>7840000</v>
      </c>
      <c r="D1741" s="7">
        <f t="shared" si="28"/>
        <v>40494413</v>
      </c>
    </row>
    <row r="1742" spans="1:4" ht="18" customHeight="1" x14ac:dyDescent="0.25">
      <c r="A1742" s="2" t="s">
        <v>220</v>
      </c>
      <c r="B1742" s="7">
        <v>94125426</v>
      </c>
      <c r="C1742" s="7">
        <v>40000000</v>
      </c>
      <c r="D1742" s="7">
        <f t="shared" si="28"/>
        <v>54125426</v>
      </c>
    </row>
    <row r="1743" spans="1:4" ht="18" customHeight="1" x14ac:dyDescent="0.25">
      <c r="A1743" s="2" t="s">
        <v>2533</v>
      </c>
      <c r="B1743" s="7">
        <v>48334413</v>
      </c>
      <c r="C1743" s="7">
        <v>500000</v>
      </c>
      <c r="D1743" s="7">
        <f t="shared" si="28"/>
        <v>47834413</v>
      </c>
    </row>
    <row r="1744" spans="1:4" ht="18" customHeight="1" x14ac:dyDescent="0.25">
      <c r="A1744" s="2" t="s">
        <v>426</v>
      </c>
      <c r="B1744" s="7">
        <v>80170146</v>
      </c>
      <c r="C1744" s="7">
        <v>85000000</v>
      </c>
      <c r="D1744" s="7">
        <f t="shared" si="28"/>
        <v>-4829854</v>
      </c>
    </row>
    <row r="1745" spans="1:4" ht="18" customHeight="1" x14ac:dyDescent="0.25">
      <c r="A1745" s="2" t="s">
        <v>3153</v>
      </c>
      <c r="B1745" s="7">
        <v>37295394</v>
      </c>
      <c r="C1745" s="7">
        <v>6600000</v>
      </c>
      <c r="D1745" s="7">
        <f t="shared" si="28"/>
        <v>30695394</v>
      </c>
    </row>
    <row r="1746" spans="1:4" ht="18" customHeight="1" x14ac:dyDescent="0.25">
      <c r="A1746" s="2" t="s">
        <v>1838</v>
      </c>
      <c r="B1746" s="7">
        <v>48334413</v>
      </c>
      <c r="C1746" s="7">
        <v>10000000</v>
      </c>
      <c r="D1746" s="7">
        <f t="shared" si="28"/>
        <v>38334413</v>
      </c>
    </row>
    <row r="1747" spans="1:4" ht="18" customHeight="1" x14ac:dyDescent="0.25">
      <c r="A1747" s="2" t="s">
        <v>120</v>
      </c>
      <c r="B1747" s="7">
        <v>103028109</v>
      </c>
      <c r="C1747" s="7">
        <v>80000000</v>
      </c>
      <c r="D1747" s="7">
        <f t="shared" si="28"/>
        <v>23028109</v>
      </c>
    </row>
    <row r="1748" spans="1:4" ht="18" customHeight="1" x14ac:dyDescent="0.25">
      <c r="A1748" s="2" t="s">
        <v>2744</v>
      </c>
      <c r="B1748" s="7">
        <v>48291624</v>
      </c>
      <c r="C1748" s="7">
        <v>58000000</v>
      </c>
      <c r="D1748" s="7">
        <f t="shared" si="28"/>
        <v>-9708376</v>
      </c>
    </row>
    <row r="1749" spans="1:4" ht="18" customHeight="1" x14ac:dyDescent="0.25">
      <c r="A1749" s="2" t="s">
        <v>6519</v>
      </c>
      <c r="B1749" s="7">
        <v>39852</v>
      </c>
      <c r="C1749" s="7">
        <v>3000000</v>
      </c>
      <c r="D1749" s="7">
        <f t="shared" si="28"/>
        <v>-2960148</v>
      </c>
    </row>
    <row r="1750" spans="1:4" ht="18" customHeight="1" x14ac:dyDescent="0.25">
      <c r="A1750" s="2" t="s">
        <v>939</v>
      </c>
      <c r="B1750" s="7">
        <v>56127162</v>
      </c>
      <c r="C1750" s="7">
        <v>18000000</v>
      </c>
      <c r="D1750" s="7">
        <f t="shared" si="28"/>
        <v>38127162</v>
      </c>
    </row>
    <row r="1751" spans="1:4" ht="18" customHeight="1" x14ac:dyDescent="0.25">
      <c r="A1751" s="2" t="s">
        <v>4173</v>
      </c>
      <c r="B1751" s="7">
        <v>17324744</v>
      </c>
      <c r="C1751" s="7">
        <v>28000000</v>
      </c>
      <c r="D1751" s="7">
        <f t="shared" si="28"/>
        <v>-10675256</v>
      </c>
    </row>
    <row r="1752" spans="1:4" ht="18" customHeight="1" x14ac:dyDescent="0.25">
      <c r="A1752" s="2" t="s">
        <v>5211</v>
      </c>
      <c r="B1752" s="7">
        <v>4777007</v>
      </c>
      <c r="C1752" s="7">
        <v>40000000</v>
      </c>
      <c r="D1752" s="7">
        <f t="shared" si="28"/>
        <v>-35222993</v>
      </c>
    </row>
    <row r="1753" spans="1:4" ht="18" customHeight="1" x14ac:dyDescent="0.25">
      <c r="A1753" s="2" t="s">
        <v>3914</v>
      </c>
      <c r="B1753" s="7">
        <v>21520719</v>
      </c>
      <c r="C1753" s="7">
        <v>39751583.5</v>
      </c>
      <c r="D1753" s="7">
        <f t="shared" si="28"/>
        <v>-18230864.5</v>
      </c>
    </row>
    <row r="1754" spans="1:4" ht="18" customHeight="1" x14ac:dyDescent="0.25">
      <c r="A1754" s="2" t="s">
        <v>561</v>
      </c>
      <c r="B1754" s="7">
        <v>73000942</v>
      </c>
      <c r="C1754" s="7">
        <v>13000000</v>
      </c>
      <c r="D1754" s="7">
        <f t="shared" si="28"/>
        <v>60000942</v>
      </c>
    </row>
    <row r="1755" spans="1:4" ht="18" customHeight="1" x14ac:dyDescent="0.25">
      <c r="A1755" s="2" t="s">
        <v>4467</v>
      </c>
      <c r="B1755" s="7">
        <v>13571817</v>
      </c>
      <c r="C1755" s="7">
        <v>15600000</v>
      </c>
      <c r="D1755" s="7">
        <f t="shared" si="28"/>
        <v>-2028183</v>
      </c>
    </row>
    <row r="1756" spans="1:4" ht="18" customHeight="1" x14ac:dyDescent="0.25">
      <c r="A1756" s="2" t="s">
        <v>5297</v>
      </c>
      <c r="B1756" s="7">
        <v>4109095</v>
      </c>
      <c r="C1756" s="7">
        <v>3000000</v>
      </c>
      <c r="D1756" s="7">
        <f t="shared" si="28"/>
        <v>1109095</v>
      </c>
    </row>
    <row r="1757" spans="1:4" ht="18" customHeight="1" x14ac:dyDescent="0.25">
      <c r="A1757" s="2" t="s">
        <v>686</v>
      </c>
      <c r="B1757" s="7">
        <v>66734992</v>
      </c>
      <c r="C1757" s="7">
        <v>60000000</v>
      </c>
      <c r="D1757" s="7">
        <f t="shared" si="28"/>
        <v>6734992</v>
      </c>
    </row>
    <row r="1758" spans="1:4" ht="18" customHeight="1" x14ac:dyDescent="0.25">
      <c r="A1758" s="2" t="s">
        <v>5728</v>
      </c>
      <c r="B1758" s="7">
        <v>1292527</v>
      </c>
      <c r="C1758" s="7">
        <v>19000000</v>
      </c>
      <c r="D1758" s="7">
        <f t="shared" si="28"/>
        <v>-17707473</v>
      </c>
    </row>
    <row r="1759" spans="1:4" ht="18" customHeight="1" x14ac:dyDescent="0.25">
      <c r="A1759" s="2" t="s">
        <v>2436</v>
      </c>
      <c r="B1759" s="7">
        <v>48334413</v>
      </c>
      <c r="C1759" s="7">
        <v>1000000</v>
      </c>
      <c r="D1759" s="7">
        <f t="shared" si="28"/>
        <v>47334413</v>
      </c>
    </row>
    <row r="1760" spans="1:4" ht="18" customHeight="1" x14ac:dyDescent="0.25">
      <c r="A1760" s="2" t="s">
        <v>2786</v>
      </c>
      <c r="B1760" s="7">
        <v>47095453</v>
      </c>
      <c r="C1760" s="7">
        <v>48000000</v>
      </c>
      <c r="D1760" s="7">
        <f t="shared" si="28"/>
        <v>-904547</v>
      </c>
    </row>
    <row r="1761" spans="1:4" ht="18" customHeight="1" x14ac:dyDescent="0.25">
      <c r="A1761" s="2" t="s">
        <v>3742</v>
      </c>
      <c r="B1761" s="7">
        <v>25240988</v>
      </c>
      <c r="C1761" s="7">
        <v>12000000</v>
      </c>
      <c r="D1761" s="7">
        <f t="shared" si="28"/>
        <v>13240988</v>
      </c>
    </row>
    <row r="1762" spans="1:4" ht="18" customHeight="1" x14ac:dyDescent="0.25">
      <c r="A1762" s="2" t="s">
        <v>3977</v>
      </c>
      <c r="B1762" s="7">
        <v>20566327</v>
      </c>
      <c r="C1762" s="7">
        <v>15000000</v>
      </c>
      <c r="D1762" s="7">
        <f t="shared" si="28"/>
        <v>5566327</v>
      </c>
    </row>
    <row r="1763" spans="1:4" ht="18" customHeight="1" x14ac:dyDescent="0.25">
      <c r="A1763" s="2" t="s">
        <v>3159</v>
      </c>
      <c r="B1763" s="7">
        <v>37036404</v>
      </c>
      <c r="C1763" s="7">
        <v>30000000</v>
      </c>
      <c r="D1763" s="7">
        <f t="shared" si="28"/>
        <v>7036404</v>
      </c>
    </row>
    <row r="1764" spans="1:4" ht="18" customHeight="1" x14ac:dyDescent="0.25">
      <c r="A1764" s="2" t="s">
        <v>5264</v>
      </c>
      <c r="B1764" s="7">
        <v>4328294</v>
      </c>
      <c r="C1764" s="7">
        <v>39751583.5</v>
      </c>
      <c r="D1764" s="7">
        <f t="shared" si="28"/>
        <v>-35423289.5</v>
      </c>
    </row>
    <row r="1765" spans="1:4" ht="18" customHeight="1" x14ac:dyDescent="0.25">
      <c r="A1765" s="2" t="s">
        <v>4901</v>
      </c>
      <c r="B1765" s="7">
        <v>7705974</v>
      </c>
      <c r="C1765" s="7">
        <v>39751583.5</v>
      </c>
      <c r="D1765" s="7">
        <f t="shared" si="28"/>
        <v>-32045609.5</v>
      </c>
    </row>
    <row r="1766" spans="1:4" ht="18" customHeight="1" x14ac:dyDescent="0.25">
      <c r="A1766" s="2" t="s">
        <v>3383</v>
      </c>
      <c r="B1766" s="7">
        <v>32230907</v>
      </c>
      <c r="C1766" s="7">
        <v>2500000</v>
      </c>
      <c r="D1766" s="7">
        <f t="shared" si="28"/>
        <v>29730907</v>
      </c>
    </row>
    <row r="1767" spans="1:4" ht="18" customHeight="1" x14ac:dyDescent="0.25">
      <c r="A1767" s="2" t="s">
        <v>6098</v>
      </c>
      <c r="B1767" s="7">
        <v>352684</v>
      </c>
      <c r="C1767" s="7">
        <v>39751583.5</v>
      </c>
      <c r="D1767" s="7">
        <f t="shared" si="28"/>
        <v>-39398899.5</v>
      </c>
    </row>
    <row r="1768" spans="1:4" ht="18" customHeight="1" x14ac:dyDescent="0.25">
      <c r="A1768" s="2" t="s">
        <v>1690</v>
      </c>
      <c r="B1768" s="7">
        <v>48334413</v>
      </c>
      <c r="C1768" s="7">
        <v>20000000</v>
      </c>
      <c r="D1768" s="7">
        <f t="shared" si="28"/>
        <v>28334413</v>
      </c>
    </row>
    <row r="1769" spans="1:4" ht="18" customHeight="1" x14ac:dyDescent="0.25">
      <c r="A1769" s="2" t="s">
        <v>3552</v>
      </c>
      <c r="B1769" s="7">
        <v>28751715</v>
      </c>
      <c r="C1769" s="7">
        <v>28000000</v>
      </c>
      <c r="D1769" s="7">
        <f t="shared" si="28"/>
        <v>751715</v>
      </c>
    </row>
    <row r="1770" spans="1:4" ht="18" customHeight="1" x14ac:dyDescent="0.25">
      <c r="A1770" s="2" t="s">
        <v>2755</v>
      </c>
      <c r="B1770" s="7">
        <v>48043505</v>
      </c>
      <c r="C1770" s="7">
        <v>30000000</v>
      </c>
      <c r="D1770" s="7">
        <f t="shared" si="28"/>
        <v>18043505</v>
      </c>
    </row>
    <row r="1771" spans="1:4" ht="18" customHeight="1" x14ac:dyDescent="0.25">
      <c r="A1771" s="2" t="s">
        <v>1723</v>
      </c>
      <c r="B1771" s="7">
        <v>48334413</v>
      </c>
      <c r="C1771" s="7">
        <v>17000000</v>
      </c>
      <c r="D1771" s="7">
        <f t="shared" si="28"/>
        <v>31334413</v>
      </c>
    </row>
    <row r="1772" spans="1:4" ht="18" customHeight="1" x14ac:dyDescent="0.25">
      <c r="A1772" s="2" t="s">
        <v>1050</v>
      </c>
      <c r="B1772" s="7">
        <v>52580895</v>
      </c>
      <c r="C1772" s="7">
        <v>45000000</v>
      </c>
      <c r="D1772" s="7">
        <f t="shared" si="28"/>
        <v>7580895</v>
      </c>
    </row>
    <row r="1773" spans="1:4" ht="18" customHeight="1" x14ac:dyDescent="0.25">
      <c r="A1773" s="2" t="s">
        <v>1361</v>
      </c>
      <c r="B1773" s="7">
        <v>48334413</v>
      </c>
      <c r="C1773" s="7">
        <v>39751583.5</v>
      </c>
      <c r="D1773" s="7">
        <f t="shared" si="28"/>
        <v>8582829.5</v>
      </c>
    </row>
    <row r="1774" spans="1:4" ht="18" customHeight="1" x14ac:dyDescent="0.25">
      <c r="A1774" s="2" t="s">
        <v>4929</v>
      </c>
      <c r="B1774" s="7">
        <v>7417210</v>
      </c>
      <c r="C1774" s="7">
        <v>1500000</v>
      </c>
      <c r="D1774" s="7">
        <f t="shared" si="28"/>
        <v>5917210</v>
      </c>
    </row>
    <row r="1775" spans="1:4" ht="18" customHeight="1" x14ac:dyDescent="0.25">
      <c r="A1775" s="2" t="s">
        <v>628</v>
      </c>
      <c r="B1775" s="7">
        <v>70098138</v>
      </c>
      <c r="C1775" s="7">
        <v>30000000</v>
      </c>
      <c r="D1775" s="7">
        <f t="shared" si="28"/>
        <v>40098138</v>
      </c>
    </row>
    <row r="1776" spans="1:4" ht="18" customHeight="1" x14ac:dyDescent="0.25">
      <c r="A1776" s="2" t="s">
        <v>705</v>
      </c>
      <c r="B1776" s="7">
        <v>66207920</v>
      </c>
      <c r="C1776" s="7">
        <v>30000000</v>
      </c>
      <c r="D1776" s="7">
        <f t="shared" si="28"/>
        <v>36207920</v>
      </c>
    </row>
    <row r="1777" spans="1:4" ht="18" customHeight="1" x14ac:dyDescent="0.25">
      <c r="A1777" s="2" t="s">
        <v>6559</v>
      </c>
      <c r="B1777" s="7">
        <v>26297</v>
      </c>
      <c r="C1777" s="7">
        <v>500000</v>
      </c>
      <c r="D1777" s="7">
        <f t="shared" si="28"/>
        <v>-473703</v>
      </c>
    </row>
    <row r="1778" spans="1:4" ht="18" customHeight="1" x14ac:dyDescent="0.25">
      <c r="A1778" s="2" t="s">
        <v>5536</v>
      </c>
      <c r="B1778" s="7">
        <v>2445646</v>
      </c>
      <c r="C1778" s="7">
        <v>5000000</v>
      </c>
      <c r="D1778" s="7">
        <f t="shared" si="28"/>
        <v>-2554354</v>
      </c>
    </row>
    <row r="1779" spans="1:4" ht="18" customHeight="1" x14ac:dyDescent="0.25">
      <c r="A1779" s="2" t="s">
        <v>3752</v>
      </c>
      <c r="B1779" s="7">
        <v>25093607</v>
      </c>
      <c r="C1779" s="7">
        <v>35000000</v>
      </c>
      <c r="D1779" s="7">
        <f t="shared" si="28"/>
        <v>-9906393</v>
      </c>
    </row>
    <row r="1780" spans="1:4" ht="18" customHeight="1" x14ac:dyDescent="0.25">
      <c r="A1780" s="2" t="s">
        <v>5624</v>
      </c>
      <c r="B1780" s="7">
        <v>1987762</v>
      </c>
      <c r="C1780" s="7">
        <v>11000000</v>
      </c>
      <c r="D1780" s="7">
        <f t="shared" si="28"/>
        <v>-9012238</v>
      </c>
    </row>
    <row r="1781" spans="1:4" ht="18" customHeight="1" x14ac:dyDescent="0.25">
      <c r="A1781" s="2" t="s">
        <v>2788</v>
      </c>
      <c r="B1781" s="7">
        <v>47000485</v>
      </c>
      <c r="C1781" s="7">
        <v>75000000</v>
      </c>
      <c r="D1781" s="7">
        <f t="shared" si="28"/>
        <v>-27999515</v>
      </c>
    </row>
    <row r="1782" spans="1:4" ht="18" customHeight="1" x14ac:dyDescent="0.25">
      <c r="A1782" s="2" t="s">
        <v>4359</v>
      </c>
      <c r="B1782" s="7">
        <v>14938570</v>
      </c>
      <c r="C1782" s="7">
        <v>15000000</v>
      </c>
      <c r="D1782" s="7">
        <f t="shared" si="28"/>
        <v>-61430</v>
      </c>
    </row>
    <row r="1783" spans="1:4" ht="18" customHeight="1" x14ac:dyDescent="0.25">
      <c r="A1783" s="2" t="s">
        <v>6049</v>
      </c>
      <c r="B1783" s="7">
        <v>418953</v>
      </c>
      <c r="C1783" s="7">
        <v>1500000</v>
      </c>
      <c r="D1783" s="7">
        <f t="shared" si="28"/>
        <v>-1081047</v>
      </c>
    </row>
    <row r="1784" spans="1:4" ht="18" customHeight="1" x14ac:dyDescent="0.25">
      <c r="A1784" s="2" t="s">
        <v>251</v>
      </c>
      <c r="B1784" s="7">
        <v>91457688</v>
      </c>
      <c r="C1784" s="7">
        <v>26000000</v>
      </c>
      <c r="D1784" s="7">
        <f t="shared" si="28"/>
        <v>65457688</v>
      </c>
    </row>
    <row r="1785" spans="1:4" ht="18" customHeight="1" x14ac:dyDescent="0.25">
      <c r="A1785" s="2" t="s">
        <v>4200</v>
      </c>
      <c r="B1785" s="7">
        <v>17000000</v>
      </c>
      <c r="C1785" s="7">
        <v>500000</v>
      </c>
      <c r="D1785" s="7">
        <f t="shared" si="28"/>
        <v>16500000</v>
      </c>
    </row>
    <row r="1786" spans="1:4" ht="18" customHeight="1" x14ac:dyDescent="0.25">
      <c r="A1786" s="2" t="s">
        <v>3765</v>
      </c>
      <c r="B1786" s="7">
        <v>24944213</v>
      </c>
      <c r="C1786" s="7">
        <v>27000000</v>
      </c>
      <c r="D1786" s="7">
        <f t="shared" si="28"/>
        <v>-2055787</v>
      </c>
    </row>
    <row r="1787" spans="1:4" ht="18" customHeight="1" x14ac:dyDescent="0.25">
      <c r="A1787" s="2" t="s">
        <v>5320</v>
      </c>
      <c r="B1787" s="7">
        <v>4006906</v>
      </c>
      <c r="C1787" s="7">
        <v>15000000</v>
      </c>
      <c r="D1787" s="7">
        <f t="shared" si="28"/>
        <v>-10993094</v>
      </c>
    </row>
    <row r="1788" spans="1:4" ht="18" customHeight="1" x14ac:dyDescent="0.25">
      <c r="A1788" s="2" t="s">
        <v>4718</v>
      </c>
      <c r="B1788" s="7">
        <v>10214647</v>
      </c>
      <c r="C1788" s="7">
        <v>11000000</v>
      </c>
      <c r="D1788" s="7">
        <f t="shared" si="28"/>
        <v>-785353</v>
      </c>
    </row>
    <row r="1789" spans="1:4" ht="18" customHeight="1" x14ac:dyDescent="0.25">
      <c r="A1789" s="2" t="s">
        <v>5280</v>
      </c>
      <c r="B1789" s="7">
        <v>4235837</v>
      </c>
      <c r="C1789" s="7">
        <v>15000000</v>
      </c>
      <c r="D1789" s="7">
        <f t="shared" si="28"/>
        <v>-10764163</v>
      </c>
    </row>
    <row r="1790" spans="1:4" ht="18" customHeight="1" x14ac:dyDescent="0.25">
      <c r="A1790" s="2" t="s">
        <v>4357</v>
      </c>
      <c r="B1790" s="7">
        <v>14942422</v>
      </c>
      <c r="C1790" s="7">
        <v>40000000</v>
      </c>
      <c r="D1790" s="7">
        <f t="shared" si="28"/>
        <v>-25057578</v>
      </c>
    </row>
    <row r="1791" spans="1:4" ht="18" customHeight="1" x14ac:dyDescent="0.25">
      <c r="A1791" s="2" t="s">
        <v>3172</v>
      </c>
      <c r="B1791" s="7">
        <v>36833473</v>
      </c>
      <c r="C1791" s="7">
        <v>25000000</v>
      </c>
      <c r="D1791" s="7">
        <f t="shared" si="28"/>
        <v>11833473</v>
      </c>
    </row>
    <row r="1792" spans="1:4" ht="18" customHeight="1" x14ac:dyDescent="0.25">
      <c r="A1792" s="2" t="s">
        <v>6542</v>
      </c>
      <c r="B1792" s="7">
        <v>31937</v>
      </c>
      <c r="C1792" s="7">
        <v>500000</v>
      </c>
      <c r="D1792" s="7">
        <f t="shared" si="28"/>
        <v>-468063</v>
      </c>
    </row>
    <row r="1793" spans="1:4" ht="18" customHeight="1" x14ac:dyDescent="0.25">
      <c r="A1793" s="2" t="s">
        <v>812</v>
      </c>
      <c r="B1793" s="7">
        <v>60491560</v>
      </c>
      <c r="C1793" s="7">
        <v>27000000</v>
      </c>
      <c r="D1793" s="7">
        <f t="shared" si="28"/>
        <v>33491560</v>
      </c>
    </row>
    <row r="1794" spans="1:4" ht="18" customHeight="1" x14ac:dyDescent="0.25">
      <c r="A1794" s="2" t="s">
        <v>4959</v>
      </c>
      <c r="B1794" s="7">
        <v>7022940</v>
      </c>
      <c r="C1794" s="7">
        <v>1000000</v>
      </c>
      <c r="D1794" s="7">
        <f t="shared" si="28"/>
        <v>6022940</v>
      </c>
    </row>
    <row r="1795" spans="1:4" ht="18" customHeight="1" x14ac:dyDescent="0.25">
      <c r="A1795" s="2" t="s">
        <v>4148</v>
      </c>
      <c r="B1795" s="7">
        <v>17655201</v>
      </c>
      <c r="C1795" s="7">
        <v>10000000</v>
      </c>
      <c r="D1795" s="7">
        <f t="shared" si="28"/>
        <v>7655201</v>
      </c>
    </row>
    <row r="1796" spans="1:4" ht="18" customHeight="1" x14ac:dyDescent="0.25">
      <c r="A1796" s="2" t="s">
        <v>4743</v>
      </c>
      <c r="B1796" s="7">
        <v>10076136</v>
      </c>
      <c r="C1796" s="7">
        <v>35000000</v>
      </c>
      <c r="D1796" s="7">
        <f t="shared" si="28"/>
        <v>-24923864</v>
      </c>
    </row>
    <row r="1797" spans="1:4" ht="18" customHeight="1" x14ac:dyDescent="0.25">
      <c r="A1797" s="2" t="s">
        <v>4615</v>
      </c>
      <c r="B1797" s="7">
        <v>11632420</v>
      </c>
      <c r="C1797" s="7">
        <v>39751583.5</v>
      </c>
      <c r="D1797" s="7">
        <f t="shared" ref="D1797:D1860" si="29">B1797-C1797</f>
        <v>-28119163.5</v>
      </c>
    </row>
    <row r="1798" spans="1:4" ht="18" customHeight="1" x14ac:dyDescent="0.25">
      <c r="A1798" s="2" t="s">
        <v>440</v>
      </c>
      <c r="B1798" s="7">
        <v>79948113</v>
      </c>
      <c r="C1798" s="7">
        <v>50000000</v>
      </c>
      <c r="D1798" s="7">
        <f t="shared" si="29"/>
        <v>29948113</v>
      </c>
    </row>
    <row r="1799" spans="1:4" ht="18" customHeight="1" x14ac:dyDescent="0.25">
      <c r="A1799" s="2" t="s">
        <v>1156</v>
      </c>
      <c r="B1799" s="7">
        <v>50173190</v>
      </c>
      <c r="C1799" s="7">
        <v>48000000</v>
      </c>
      <c r="D1799" s="7">
        <f t="shared" si="29"/>
        <v>2173190</v>
      </c>
    </row>
    <row r="1800" spans="1:4" ht="18" customHeight="1" x14ac:dyDescent="0.25">
      <c r="A1800" s="2" t="s">
        <v>2931</v>
      </c>
      <c r="B1800" s="7">
        <v>42592530</v>
      </c>
      <c r="C1800" s="7">
        <v>15000000</v>
      </c>
      <c r="D1800" s="7">
        <f t="shared" si="29"/>
        <v>27592530</v>
      </c>
    </row>
    <row r="1801" spans="1:4" ht="18" customHeight="1" x14ac:dyDescent="0.25">
      <c r="A1801" s="2" t="s">
        <v>1829</v>
      </c>
      <c r="B1801" s="7">
        <v>48334413</v>
      </c>
      <c r="C1801" s="7">
        <v>10000000</v>
      </c>
      <c r="D1801" s="7">
        <f t="shared" si="29"/>
        <v>38334413</v>
      </c>
    </row>
    <row r="1802" spans="1:4" ht="18" customHeight="1" x14ac:dyDescent="0.25">
      <c r="A1802" s="2" t="s">
        <v>1622</v>
      </c>
      <c r="B1802" s="7">
        <v>48334413</v>
      </c>
      <c r="C1802" s="7">
        <v>27000000</v>
      </c>
      <c r="D1802" s="7">
        <f t="shared" si="29"/>
        <v>21334413</v>
      </c>
    </row>
    <row r="1803" spans="1:4" ht="18" customHeight="1" x14ac:dyDescent="0.25">
      <c r="A1803" s="2" t="s">
        <v>2146</v>
      </c>
      <c r="B1803" s="7">
        <v>48334413</v>
      </c>
      <c r="C1803" s="7">
        <v>3000000</v>
      </c>
      <c r="D1803" s="7">
        <f t="shared" si="29"/>
        <v>45334413</v>
      </c>
    </row>
    <row r="1804" spans="1:4" ht="18" customHeight="1" x14ac:dyDescent="0.25">
      <c r="A1804" s="2" t="s">
        <v>5130</v>
      </c>
      <c r="B1804" s="7">
        <v>5532301</v>
      </c>
      <c r="C1804" s="7">
        <v>28000000</v>
      </c>
      <c r="D1804" s="7">
        <f t="shared" si="29"/>
        <v>-22467699</v>
      </c>
    </row>
    <row r="1805" spans="1:4" ht="18" customHeight="1" x14ac:dyDescent="0.25">
      <c r="A1805" s="2" t="s">
        <v>4191</v>
      </c>
      <c r="B1805" s="7">
        <v>17104669</v>
      </c>
      <c r="C1805" s="7">
        <v>20000000</v>
      </c>
      <c r="D1805" s="7">
        <f t="shared" si="29"/>
        <v>-2895331</v>
      </c>
    </row>
    <row r="1806" spans="1:4" ht="18" customHeight="1" x14ac:dyDescent="0.25">
      <c r="A1806" s="2" t="s">
        <v>6312</v>
      </c>
      <c r="B1806" s="7">
        <v>129115</v>
      </c>
      <c r="C1806" s="7">
        <v>25000000</v>
      </c>
      <c r="D1806" s="7">
        <f t="shared" si="29"/>
        <v>-24870885</v>
      </c>
    </row>
    <row r="1807" spans="1:4" ht="18" customHeight="1" x14ac:dyDescent="0.25">
      <c r="A1807" s="2" t="s">
        <v>4270</v>
      </c>
      <c r="B1807" s="7">
        <v>16033556</v>
      </c>
      <c r="C1807" s="7">
        <v>10000000</v>
      </c>
      <c r="D1807" s="7">
        <f t="shared" si="29"/>
        <v>6033556</v>
      </c>
    </row>
    <row r="1808" spans="1:4" ht="18" customHeight="1" x14ac:dyDescent="0.25">
      <c r="A1808" s="2" t="s">
        <v>6596</v>
      </c>
      <c r="B1808" s="7">
        <v>20186</v>
      </c>
      <c r="C1808" s="7">
        <v>930000</v>
      </c>
      <c r="D1808" s="7">
        <f t="shared" si="29"/>
        <v>-909814</v>
      </c>
    </row>
    <row r="1809" spans="1:4" ht="18" customHeight="1" x14ac:dyDescent="0.25">
      <c r="A1809" s="2" t="s">
        <v>732</v>
      </c>
      <c r="B1809" s="7">
        <v>64604977</v>
      </c>
      <c r="C1809" s="7">
        <v>35000000</v>
      </c>
      <c r="D1809" s="7">
        <f t="shared" si="29"/>
        <v>29604977</v>
      </c>
    </row>
    <row r="1810" spans="1:4" ht="18" customHeight="1" x14ac:dyDescent="0.25">
      <c r="A1810" s="2" t="s">
        <v>5770</v>
      </c>
      <c r="B1810" s="7">
        <v>1141829</v>
      </c>
      <c r="C1810" s="7">
        <v>700000</v>
      </c>
      <c r="D1810" s="7">
        <f t="shared" si="29"/>
        <v>441829</v>
      </c>
    </row>
    <row r="1811" spans="1:4" ht="18" customHeight="1" x14ac:dyDescent="0.25">
      <c r="A1811" s="2" t="s">
        <v>1003</v>
      </c>
      <c r="B1811" s="7">
        <v>54215416</v>
      </c>
      <c r="C1811" s="7">
        <v>6500000</v>
      </c>
      <c r="D1811" s="7">
        <f t="shared" si="29"/>
        <v>47715416</v>
      </c>
    </row>
    <row r="1812" spans="1:4" ht="18" customHeight="1" x14ac:dyDescent="0.25">
      <c r="A1812" s="2" t="s">
        <v>1812</v>
      </c>
      <c r="B1812" s="7">
        <v>48334413</v>
      </c>
      <c r="C1812" s="7">
        <v>11000000</v>
      </c>
      <c r="D1812" s="7">
        <f t="shared" si="29"/>
        <v>37334413</v>
      </c>
    </row>
    <row r="1813" spans="1:4" ht="18" customHeight="1" x14ac:dyDescent="0.25">
      <c r="A1813" s="2" t="s">
        <v>5846</v>
      </c>
      <c r="B1813" s="7">
        <v>886410</v>
      </c>
      <c r="C1813" s="7">
        <v>3500000</v>
      </c>
      <c r="D1813" s="7">
        <f t="shared" si="29"/>
        <v>-2613590</v>
      </c>
    </row>
    <row r="1814" spans="1:4" ht="18" customHeight="1" x14ac:dyDescent="0.25">
      <c r="A1814" s="2" t="s">
        <v>4485</v>
      </c>
      <c r="B1814" s="7">
        <v>13362308</v>
      </c>
      <c r="C1814" s="7">
        <v>18000000</v>
      </c>
      <c r="D1814" s="7">
        <f t="shared" si="29"/>
        <v>-4637692</v>
      </c>
    </row>
    <row r="1815" spans="1:4" ht="18" customHeight="1" x14ac:dyDescent="0.25">
      <c r="A1815" s="2" t="s">
        <v>538</v>
      </c>
      <c r="B1815" s="7">
        <v>74540762</v>
      </c>
      <c r="C1815" s="7">
        <v>55000000</v>
      </c>
      <c r="D1815" s="7">
        <f t="shared" si="29"/>
        <v>19540762</v>
      </c>
    </row>
    <row r="1816" spans="1:4" ht="18" customHeight="1" x14ac:dyDescent="0.25">
      <c r="A1816" s="2" t="s">
        <v>2942</v>
      </c>
      <c r="B1816" s="7">
        <v>42272747</v>
      </c>
      <c r="C1816" s="7">
        <v>70000000</v>
      </c>
      <c r="D1816" s="7">
        <f t="shared" si="29"/>
        <v>-27727253</v>
      </c>
    </row>
    <row r="1817" spans="1:4" ht="18" customHeight="1" x14ac:dyDescent="0.25">
      <c r="A1817" s="2" t="s">
        <v>5665</v>
      </c>
      <c r="B1817" s="7">
        <v>1705139</v>
      </c>
      <c r="C1817" s="7">
        <v>4700000</v>
      </c>
      <c r="D1817" s="7">
        <f t="shared" si="29"/>
        <v>-2994861</v>
      </c>
    </row>
    <row r="1818" spans="1:4" ht="18" customHeight="1" x14ac:dyDescent="0.25">
      <c r="A1818" s="2" t="s">
        <v>1674</v>
      </c>
      <c r="B1818" s="7">
        <v>48334413</v>
      </c>
      <c r="C1818" s="7">
        <v>20000000</v>
      </c>
      <c r="D1818" s="7">
        <f t="shared" si="29"/>
        <v>28334413</v>
      </c>
    </row>
    <row r="1819" spans="1:4" ht="18" customHeight="1" x14ac:dyDescent="0.25">
      <c r="A1819" s="2" t="s">
        <v>2369</v>
      </c>
      <c r="B1819" s="7">
        <v>48334413</v>
      </c>
      <c r="C1819" s="7">
        <v>1400000</v>
      </c>
      <c r="D1819" s="7">
        <f t="shared" si="29"/>
        <v>46934413</v>
      </c>
    </row>
    <row r="1820" spans="1:4" ht="18" customHeight="1" x14ac:dyDescent="0.25">
      <c r="A1820" s="2" t="s">
        <v>6569</v>
      </c>
      <c r="B1820" s="7">
        <v>23807</v>
      </c>
      <c r="C1820" s="7">
        <v>39751583.5</v>
      </c>
      <c r="D1820" s="7">
        <f t="shared" si="29"/>
        <v>-39727776.5</v>
      </c>
    </row>
    <row r="1821" spans="1:4" ht="18" customHeight="1" x14ac:dyDescent="0.25">
      <c r="A1821" s="2" t="s">
        <v>3411</v>
      </c>
      <c r="B1821" s="7">
        <v>31768374</v>
      </c>
      <c r="C1821" s="7">
        <v>27000000</v>
      </c>
      <c r="D1821" s="7">
        <f t="shared" si="29"/>
        <v>4768374</v>
      </c>
    </row>
    <row r="1822" spans="1:4" ht="18" customHeight="1" x14ac:dyDescent="0.25">
      <c r="A1822" s="2" t="s">
        <v>3053</v>
      </c>
      <c r="B1822" s="7">
        <v>39263506</v>
      </c>
      <c r="C1822" s="7">
        <v>22000000</v>
      </c>
      <c r="D1822" s="7">
        <f t="shared" si="29"/>
        <v>17263506</v>
      </c>
    </row>
    <row r="1823" spans="1:4" ht="18" customHeight="1" x14ac:dyDescent="0.25">
      <c r="A1823" s="2" t="s">
        <v>3980</v>
      </c>
      <c r="B1823" s="7">
        <v>20433940</v>
      </c>
      <c r="C1823" s="7">
        <v>15000000</v>
      </c>
      <c r="D1823" s="7">
        <f t="shared" si="29"/>
        <v>5433940</v>
      </c>
    </row>
    <row r="1824" spans="1:4" ht="18" customHeight="1" x14ac:dyDescent="0.25">
      <c r="A1824" s="2" t="s">
        <v>3222</v>
      </c>
      <c r="B1824" s="7">
        <v>35565975</v>
      </c>
      <c r="C1824" s="7">
        <v>30000000</v>
      </c>
      <c r="D1824" s="7">
        <f t="shared" si="29"/>
        <v>5565975</v>
      </c>
    </row>
    <row r="1825" spans="1:4" ht="18" customHeight="1" x14ac:dyDescent="0.25">
      <c r="A1825" s="2" t="s">
        <v>4299</v>
      </c>
      <c r="B1825" s="7">
        <v>15655665</v>
      </c>
      <c r="C1825" s="7">
        <v>4000000</v>
      </c>
      <c r="D1825" s="7">
        <f t="shared" si="29"/>
        <v>11655665</v>
      </c>
    </row>
    <row r="1826" spans="1:4" ht="18" customHeight="1" x14ac:dyDescent="0.25">
      <c r="A1826" s="2" t="s">
        <v>5089</v>
      </c>
      <c r="B1826" s="7">
        <v>5949693</v>
      </c>
      <c r="C1826" s="7">
        <v>12000000</v>
      </c>
      <c r="D1826" s="7">
        <f t="shared" si="29"/>
        <v>-6050307</v>
      </c>
    </row>
    <row r="1827" spans="1:4" ht="18" customHeight="1" x14ac:dyDescent="0.25">
      <c r="A1827" s="2" t="s">
        <v>1164</v>
      </c>
      <c r="B1827" s="7">
        <v>50016394</v>
      </c>
      <c r="C1827" s="7">
        <v>70000000</v>
      </c>
      <c r="D1827" s="7">
        <f t="shared" si="29"/>
        <v>-19983606</v>
      </c>
    </row>
    <row r="1828" spans="1:4" ht="18" customHeight="1" x14ac:dyDescent="0.25">
      <c r="A1828" s="2" t="s">
        <v>3083</v>
      </c>
      <c r="B1828" s="7">
        <v>38360195</v>
      </c>
      <c r="C1828" s="7">
        <v>45000000</v>
      </c>
      <c r="D1828" s="7">
        <f t="shared" si="29"/>
        <v>-6639805</v>
      </c>
    </row>
    <row r="1829" spans="1:4" ht="18" customHeight="1" x14ac:dyDescent="0.25">
      <c r="A1829" s="2" t="s">
        <v>1246</v>
      </c>
      <c r="B1829" s="7">
        <v>48334413</v>
      </c>
      <c r="C1829" s="7">
        <v>39751583.5</v>
      </c>
      <c r="D1829" s="7">
        <f t="shared" si="29"/>
        <v>8582829.5</v>
      </c>
    </row>
    <row r="1830" spans="1:4" ht="18" customHeight="1" x14ac:dyDescent="0.25">
      <c r="A1830" s="2" t="s">
        <v>5556</v>
      </c>
      <c r="B1830" s="7">
        <v>2326407</v>
      </c>
      <c r="C1830" s="7">
        <v>12000000</v>
      </c>
      <c r="D1830" s="7">
        <f t="shared" si="29"/>
        <v>-9673593</v>
      </c>
    </row>
    <row r="1831" spans="1:4" ht="18" customHeight="1" x14ac:dyDescent="0.25">
      <c r="A1831" s="2" t="s">
        <v>750</v>
      </c>
      <c r="B1831" s="7">
        <v>63910583</v>
      </c>
      <c r="C1831" s="7">
        <v>28000000</v>
      </c>
      <c r="D1831" s="7">
        <f t="shared" si="29"/>
        <v>35910583</v>
      </c>
    </row>
    <row r="1832" spans="1:4" ht="18" customHeight="1" x14ac:dyDescent="0.25">
      <c r="A1832" s="2" t="s">
        <v>5873</v>
      </c>
      <c r="B1832" s="7">
        <v>819939</v>
      </c>
      <c r="C1832" s="7">
        <v>850000</v>
      </c>
      <c r="D1832" s="7">
        <f t="shared" si="29"/>
        <v>-30061</v>
      </c>
    </row>
    <row r="1833" spans="1:4" ht="18" customHeight="1" x14ac:dyDescent="0.25">
      <c r="A1833" s="2" t="s">
        <v>5336</v>
      </c>
      <c r="B1833" s="7">
        <v>3895664</v>
      </c>
      <c r="C1833" s="7">
        <v>5300000</v>
      </c>
      <c r="D1833" s="7">
        <f t="shared" si="29"/>
        <v>-1404336</v>
      </c>
    </row>
    <row r="1834" spans="1:4" ht="18" customHeight="1" x14ac:dyDescent="0.25">
      <c r="A1834" s="2" t="s">
        <v>553</v>
      </c>
      <c r="B1834" s="7">
        <v>73343413</v>
      </c>
      <c r="C1834" s="7">
        <v>50000000</v>
      </c>
      <c r="D1834" s="7">
        <f t="shared" si="29"/>
        <v>23343413</v>
      </c>
    </row>
    <row r="1835" spans="1:4" ht="18" customHeight="1" x14ac:dyDescent="0.25">
      <c r="A1835" s="2" t="s">
        <v>5081</v>
      </c>
      <c r="B1835" s="7">
        <v>6000000</v>
      </c>
      <c r="C1835" s="7">
        <v>15000000</v>
      </c>
      <c r="D1835" s="7">
        <f t="shared" si="29"/>
        <v>-9000000</v>
      </c>
    </row>
    <row r="1836" spans="1:4" ht="18" customHeight="1" x14ac:dyDescent="0.25">
      <c r="A1836" s="2" t="s">
        <v>4130</v>
      </c>
      <c r="B1836" s="7">
        <v>17848322</v>
      </c>
      <c r="C1836" s="7">
        <v>28000000</v>
      </c>
      <c r="D1836" s="7">
        <f t="shared" si="29"/>
        <v>-10151678</v>
      </c>
    </row>
    <row r="1837" spans="1:4" ht="18" customHeight="1" x14ac:dyDescent="0.25">
      <c r="A1837" s="2" t="s">
        <v>5552</v>
      </c>
      <c r="B1837" s="7">
        <v>2338695</v>
      </c>
      <c r="C1837" s="7">
        <v>4000000</v>
      </c>
      <c r="D1837" s="7">
        <f t="shared" si="29"/>
        <v>-1661305</v>
      </c>
    </row>
    <row r="1838" spans="1:4" ht="18" customHeight="1" x14ac:dyDescent="0.25">
      <c r="A1838" s="2" t="s">
        <v>5944</v>
      </c>
      <c r="B1838" s="7">
        <v>611709</v>
      </c>
      <c r="C1838" s="7">
        <v>3850000</v>
      </c>
      <c r="D1838" s="7">
        <f t="shared" si="29"/>
        <v>-3238291</v>
      </c>
    </row>
    <row r="1839" spans="1:4" ht="18" customHeight="1" x14ac:dyDescent="0.25">
      <c r="A1839" s="2" t="s">
        <v>6646</v>
      </c>
      <c r="B1839" s="7">
        <v>12561</v>
      </c>
      <c r="C1839" s="7">
        <v>19000000</v>
      </c>
      <c r="D1839" s="7">
        <f t="shared" si="29"/>
        <v>-18987439</v>
      </c>
    </row>
    <row r="1840" spans="1:4" ht="18" customHeight="1" x14ac:dyDescent="0.25">
      <c r="A1840" s="2" t="s">
        <v>3445</v>
      </c>
      <c r="B1840" s="7">
        <v>31199215</v>
      </c>
      <c r="C1840" s="7">
        <v>58000000</v>
      </c>
      <c r="D1840" s="7">
        <f t="shared" si="29"/>
        <v>-26800785</v>
      </c>
    </row>
    <row r="1841" spans="1:4" ht="18" customHeight="1" x14ac:dyDescent="0.25">
      <c r="A1841" s="2" t="s">
        <v>3405</v>
      </c>
      <c r="B1841" s="7">
        <v>31968347</v>
      </c>
      <c r="C1841" s="7">
        <v>3600000</v>
      </c>
      <c r="D1841" s="7">
        <f t="shared" si="29"/>
        <v>28368347</v>
      </c>
    </row>
    <row r="1842" spans="1:4" ht="18" customHeight="1" x14ac:dyDescent="0.25">
      <c r="A1842" s="2" t="s">
        <v>4428</v>
      </c>
      <c r="B1842" s="7">
        <v>13998282</v>
      </c>
      <c r="C1842" s="7">
        <v>16000000</v>
      </c>
      <c r="D1842" s="7">
        <f t="shared" si="29"/>
        <v>-2001718</v>
      </c>
    </row>
    <row r="1843" spans="1:4" ht="18" customHeight="1" x14ac:dyDescent="0.25">
      <c r="A1843" s="2" t="s">
        <v>1175</v>
      </c>
      <c r="B1843" s="7">
        <v>49851591</v>
      </c>
      <c r="C1843" s="7">
        <v>40000000</v>
      </c>
      <c r="D1843" s="7">
        <f t="shared" si="29"/>
        <v>9851591</v>
      </c>
    </row>
    <row r="1844" spans="1:4" ht="18" customHeight="1" x14ac:dyDescent="0.25">
      <c r="A1844" s="2" t="s">
        <v>291</v>
      </c>
      <c r="B1844" s="7">
        <v>89808372</v>
      </c>
      <c r="C1844" s="7">
        <v>45000000</v>
      </c>
      <c r="D1844" s="7">
        <f t="shared" si="29"/>
        <v>44808372</v>
      </c>
    </row>
    <row r="1845" spans="1:4" ht="18" customHeight="1" x14ac:dyDescent="0.25">
      <c r="A1845" s="2" t="s">
        <v>207</v>
      </c>
      <c r="B1845" s="7">
        <v>95001351</v>
      </c>
      <c r="C1845" s="7">
        <v>18000000</v>
      </c>
      <c r="D1845" s="7">
        <f t="shared" si="29"/>
        <v>77001351</v>
      </c>
    </row>
    <row r="1846" spans="1:4" ht="18" customHeight="1" x14ac:dyDescent="0.25">
      <c r="A1846" s="2" t="s">
        <v>1339</v>
      </c>
      <c r="B1846" s="7">
        <v>48334413</v>
      </c>
      <c r="C1846" s="7">
        <v>39751583.5</v>
      </c>
      <c r="D1846" s="7">
        <f t="shared" si="29"/>
        <v>8582829.5</v>
      </c>
    </row>
    <row r="1847" spans="1:4" ht="18" customHeight="1" x14ac:dyDescent="0.25">
      <c r="A1847" s="2" t="s">
        <v>960</v>
      </c>
      <c r="B1847" s="7">
        <v>55673333</v>
      </c>
      <c r="C1847" s="7">
        <v>80000000</v>
      </c>
      <c r="D1847" s="7">
        <f t="shared" si="29"/>
        <v>-24326667</v>
      </c>
    </row>
    <row r="1848" spans="1:4" ht="18" customHeight="1" x14ac:dyDescent="0.25">
      <c r="A1848" s="2" t="s">
        <v>5645</v>
      </c>
      <c r="B1848" s="7">
        <v>1865774</v>
      </c>
      <c r="C1848" s="7">
        <v>30000000</v>
      </c>
      <c r="D1848" s="7">
        <f t="shared" si="29"/>
        <v>-28134226</v>
      </c>
    </row>
    <row r="1849" spans="1:4" ht="18" customHeight="1" x14ac:dyDescent="0.25">
      <c r="A1849" s="2" t="s">
        <v>4835</v>
      </c>
      <c r="B1849" s="7">
        <v>8460990</v>
      </c>
      <c r="C1849" s="7">
        <v>70000000</v>
      </c>
      <c r="D1849" s="7">
        <f t="shared" si="29"/>
        <v>-61539010</v>
      </c>
    </row>
    <row r="1850" spans="1:4" ht="18" customHeight="1" x14ac:dyDescent="0.25">
      <c r="A1850" s="2" t="s">
        <v>693</v>
      </c>
      <c r="B1850" s="7">
        <v>66528842</v>
      </c>
      <c r="C1850" s="7">
        <v>30000000</v>
      </c>
      <c r="D1850" s="7">
        <f t="shared" si="29"/>
        <v>36528842</v>
      </c>
    </row>
    <row r="1851" spans="1:4" ht="18" customHeight="1" x14ac:dyDescent="0.25">
      <c r="A1851" s="2" t="s">
        <v>3011</v>
      </c>
      <c r="B1851" s="7">
        <v>40168080</v>
      </c>
      <c r="C1851" s="7">
        <v>26000000</v>
      </c>
      <c r="D1851" s="7">
        <f t="shared" si="29"/>
        <v>14168080</v>
      </c>
    </row>
    <row r="1852" spans="1:4" ht="18" customHeight="1" x14ac:dyDescent="0.25">
      <c r="A1852" s="2" t="s">
        <v>5908</v>
      </c>
      <c r="B1852" s="7">
        <v>700000</v>
      </c>
      <c r="C1852" s="7">
        <v>50000000</v>
      </c>
      <c r="D1852" s="7">
        <f t="shared" si="29"/>
        <v>-49300000</v>
      </c>
    </row>
    <row r="1853" spans="1:4" ht="18" customHeight="1" x14ac:dyDescent="0.25">
      <c r="A1853" s="2" t="s">
        <v>4580</v>
      </c>
      <c r="B1853" s="7">
        <v>12134420</v>
      </c>
      <c r="C1853" s="7">
        <v>20000000</v>
      </c>
      <c r="D1853" s="7">
        <f t="shared" si="29"/>
        <v>-7865580</v>
      </c>
    </row>
    <row r="1854" spans="1:4" ht="18" customHeight="1" x14ac:dyDescent="0.25">
      <c r="A1854" s="2" t="s">
        <v>385</v>
      </c>
      <c r="B1854" s="7">
        <v>82389560</v>
      </c>
      <c r="C1854" s="7">
        <v>17000000</v>
      </c>
      <c r="D1854" s="7">
        <f t="shared" si="29"/>
        <v>65389560</v>
      </c>
    </row>
    <row r="1855" spans="1:4" ht="18" customHeight="1" x14ac:dyDescent="0.25">
      <c r="A1855" s="2" t="s">
        <v>5227</v>
      </c>
      <c r="B1855" s="7">
        <v>4613815</v>
      </c>
      <c r="C1855" s="7">
        <v>39751583.5</v>
      </c>
      <c r="D1855" s="7">
        <f t="shared" si="29"/>
        <v>-35137768.5</v>
      </c>
    </row>
    <row r="1856" spans="1:4" ht="18" customHeight="1" x14ac:dyDescent="0.25">
      <c r="A1856" s="2" t="s">
        <v>2022</v>
      </c>
      <c r="B1856" s="7">
        <v>48334413</v>
      </c>
      <c r="C1856" s="7">
        <v>5000000</v>
      </c>
      <c r="D1856" s="7">
        <f t="shared" si="29"/>
        <v>43334413</v>
      </c>
    </row>
    <row r="1857" spans="1:4" ht="18" customHeight="1" x14ac:dyDescent="0.25">
      <c r="A1857" s="2" t="s">
        <v>4453</v>
      </c>
      <c r="B1857" s="7">
        <v>13753931</v>
      </c>
      <c r="C1857" s="7">
        <v>19000000</v>
      </c>
      <c r="D1857" s="7">
        <f t="shared" si="29"/>
        <v>-5246069</v>
      </c>
    </row>
    <row r="1858" spans="1:4" ht="18" customHeight="1" x14ac:dyDescent="0.25">
      <c r="A1858" s="2" t="s">
        <v>5493</v>
      </c>
      <c r="B1858" s="7">
        <v>2848578</v>
      </c>
      <c r="C1858" s="7">
        <v>3500000</v>
      </c>
      <c r="D1858" s="7">
        <f t="shared" si="29"/>
        <v>-651422</v>
      </c>
    </row>
    <row r="1859" spans="1:4" ht="18" customHeight="1" x14ac:dyDescent="0.25">
      <c r="A1859" s="2" t="s">
        <v>1038</v>
      </c>
      <c r="B1859" s="7">
        <v>53021560</v>
      </c>
      <c r="C1859" s="7">
        <v>30000000</v>
      </c>
      <c r="D1859" s="7">
        <f t="shared" si="29"/>
        <v>23021560</v>
      </c>
    </row>
    <row r="1860" spans="1:4" ht="18" customHeight="1" x14ac:dyDescent="0.25">
      <c r="A1860" s="2" t="s">
        <v>3266</v>
      </c>
      <c r="B1860" s="7">
        <v>34667015</v>
      </c>
      <c r="C1860" s="7">
        <v>32000000</v>
      </c>
      <c r="D1860" s="7">
        <f t="shared" si="29"/>
        <v>2667015</v>
      </c>
    </row>
    <row r="1861" spans="1:4" ht="18" customHeight="1" x14ac:dyDescent="0.25">
      <c r="A1861" s="2" t="s">
        <v>2890</v>
      </c>
      <c r="B1861" s="7">
        <v>43792641</v>
      </c>
      <c r="C1861" s="7">
        <v>35000000</v>
      </c>
      <c r="D1861" s="7">
        <f t="shared" ref="D1861:D1924" si="30">B1861-C1861</f>
        <v>8792641</v>
      </c>
    </row>
    <row r="1862" spans="1:4" ht="18" customHeight="1" x14ac:dyDescent="0.25">
      <c r="A1862" s="2" t="s">
        <v>2245</v>
      </c>
      <c r="B1862" s="7">
        <v>48334413</v>
      </c>
      <c r="C1862" s="7">
        <v>2100000</v>
      </c>
      <c r="D1862" s="7">
        <f t="shared" si="30"/>
        <v>46234413</v>
      </c>
    </row>
    <row r="1863" spans="1:4" ht="18" customHeight="1" x14ac:dyDescent="0.25">
      <c r="A1863" s="2" t="s">
        <v>4302</v>
      </c>
      <c r="B1863" s="7">
        <v>15561627</v>
      </c>
      <c r="C1863" s="7">
        <v>18000000</v>
      </c>
      <c r="D1863" s="7">
        <f t="shared" si="30"/>
        <v>-2438373</v>
      </c>
    </row>
    <row r="1864" spans="1:4" ht="18" customHeight="1" x14ac:dyDescent="0.25">
      <c r="A1864" s="2" t="s">
        <v>6148</v>
      </c>
      <c r="B1864" s="7">
        <v>278821</v>
      </c>
      <c r="C1864" s="7">
        <v>39751583.5</v>
      </c>
      <c r="D1864" s="7">
        <f t="shared" si="30"/>
        <v>-39472762.5</v>
      </c>
    </row>
    <row r="1865" spans="1:4" ht="18" customHeight="1" x14ac:dyDescent="0.25">
      <c r="A1865" s="2" t="s">
        <v>4384</v>
      </c>
      <c r="B1865" s="7">
        <v>14448589</v>
      </c>
      <c r="C1865" s="7">
        <v>40000000</v>
      </c>
      <c r="D1865" s="7">
        <f t="shared" si="30"/>
        <v>-25551411</v>
      </c>
    </row>
    <row r="1866" spans="1:4" ht="18" customHeight="1" x14ac:dyDescent="0.25">
      <c r="A1866" s="2" t="s">
        <v>1244</v>
      </c>
      <c r="B1866" s="7">
        <v>48334413</v>
      </c>
      <c r="C1866" s="7">
        <v>39751583.5</v>
      </c>
      <c r="D1866" s="7">
        <f t="shared" si="30"/>
        <v>8582829.5</v>
      </c>
    </row>
    <row r="1867" spans="1:4" ht="18" customHeight="1" x14ac:dyDescent="0.25">
      <c r="A1867" s="2" t="s">
        <v>1636</v>
      </c>
      <c r="B1867" s="7">
        <v>48334413</v>
      </c>
      <c r="C1867" s="7">
        <v>25000000</v>
      </c>
      <c r="D1867" s="7">
        <f t="shared" si="30"/>
        <v>23334413</v>
      </c>
    </row>
    <row r="1868" spans="1:4" ht="18" customHeight="1" x14ac:dyDescent="0.25">
      <c r="A1868" s="2" t="s">
        <v>2522</v>
      </c>
      <c r="B1868" s="7">
        <v>48334413</v>
      </c>
      <c r="C1868" s="7">
        <v>600000</v>
      </c>
      <c r="D1868" s="7">
        <f t="shared" si="30"/>
        <v>47734413</v>
      </c>
    </row>
    <row r="1869" spans="1:4" ht="18" customHeight="1" x14ac:dyDescent="0.25">
      <c r="A1869" s="2" t="s">
        <v>5101</v>
      </c>
      <c r="B1869" s="7">
        <v>5871603</v>
      </c>
      <c r="C1869" s="7">
        <v>13000000</v>
      </c>
      <c r="D1869" s="7">
        <f t="shared" si="30"/>
        <v>-7128397</v>
      </c>
    </row>
    <row r="1870" spans="1:4" ht="18" customHeight="1" x14ac:dyDescent="0.25">
      <c r="A1870" s="2" t="s">
        <v>5782</v>
      </c>
      <c r="B1870" s="7">
        <v>1100000</v>
      </c>
      <c r="C1870" s="7">
        <v>5000000</v>
      </c>
      <c r="D1870" s="7">
        <f t="shared" si="30"/>
        <v>-3900000</v>
      </c>
    </row>
    <row r="1871" spans="1:4" ht="18" customHeight="1" x14ac:dyDescent="0.25">
      <c r="A1871" s="2" t="s">
        <v>928</v>
      </c>
      <c r="B1871" s="7">
        <v>56536016</v>
      </c>
      <c r="C1871" s="7">
        <v>4900000</v>
      </c>
      <c r="D1871" s="7">
        <f t="shared" si="30"/>
        <v>51636016</v>
      </c>
    </row>
    <row r="1872" spans="1:4" ht="18" customHeight="1" x14ac:dyDescent="0.25">
      <c r="A1872" s="2" t="s">
        <v>5390</v>
      </c>
      <c r="B1872" s="7">
        <v>3388210</v>
      </c>
      <c r="C1872" s="7">
        <v>250000</v>
      </c>
      <c r="D1872" s="7">
        <f t="shared" si="30"/>
        <v>3138210</v>
      </c>
    </row>
    <row r="1873" spans="1:4" ht="18" customHeight="1" x14ac:dyDescent="0.25">
      <c r="A1873" s="2" t="s">
        <v>1095</v>
      </c>
      <c r="B1873" s="7">
        <v>51432423</v>
      </c>
      <c r="C1873" s="7">
        <v>30000000</v>
      </c>
      <c r="D1873" s="7">
        <f t="shared" si="30"/>
        <v>21432423</v>
      </c>
    </row>
    <row r="1874" spans="1:4" ht="18" customHeight="1" x14ac:dyDescent="0.25">
      <c r="A1874" s="2" t="s">
        <v>6250</v>
      </c>
      <c r="B1874" s="7">
        <v>181655</v>
      </c>
      <c r="C1874" s="7">
        <v>39751583.5</v>
      </c>
      <c r="D1874" s="7">
        <f t="shared" si="30"/>
        <v>-39569928.5</v>
      </c>
    </row>
    <row r="1875" spans="1:4" ht="18" customHeight="1" x14ac:dyDescent="0.25">
      <c r="A1875" s="2" t="s">
        <v>1594</v>
      </c>
      <c r="B1875" s="7">
        <v>48334413</v>
      </c>
      <c r="C1875" s="7">
        <v>34000000</v>
      </c>
      <c r="D1875" s="7">
        <f t="shared" si="30"/>
        <v>14334413</v>
      </c>
    </row>
    <row r="1876" spans="1:4" ht="18" customHeight="1" x14ac:dyDescent="0.25">
      <c r="A1876" s="2" t="s">
        <v>5623</v>
      </c>
      <c r="B1876" s="7">
        <v>1997807</v>
      </c>
      <c r="C1876" s="7">
        <v>8000000</v>
      </c>
      <c r="D1876" s="7">
        <f t="shared" si="30"/>
        <v>-6002193</v>
      </c>
    </row>
    <row r="1877" spans="1:4" ht="18" customHeight="1" x14ac:dyDescent="0.25">
      <c r="A1877" s="2" t="s">
        <v>1279</v>
      </c>
      <c r="B1877" s="7">
        <v>48334413</v>
      </c>
      <c r="C1877" s="7">
        <v>39751583.5</v>
      </c>
      <c r="D1877" s="7">
        <f t="shared" si="30"/>
        <v>8582829.5</v>
      </c>
    </row>
    <row r="1878" spans="1:4" ht="18" customHeight="1" x14ac:dyDescent="0.25">
      <c r="A1878" s="2" t="s">
        <v>1589</v>
      </c>
      <c r="B1878" s="7">
        <v>48334413</v>
      </c>
      <c r="C1878" s="7">
        <v>35000000</v>
      </c>
      <c r="D1878" s="7">
        <f t="shared" si="30"/>
        <v>13334413</v>
      </c>
    </row>
    <row r="1879" spans="1:4" ht="18" customHeight="1" x14ac:dyDescent="0.25">
      <c r="A1879" s="2" t="s">
        <v>4351</v>
      </c>
      <c r="B1879" s="7">
        <v>14998070</v>
      </c>
      <c r="C1879" s="7">
        <v>35000000</v>
      </c>
      <c r="D1879" s="7">
        <f t="shared" si="30"/>
        <v>-20001930</v>
      </c>
    </row>
    <row r="1880" spans="1:4" ht="18" customHeight="1" x14ac:dyDescent="0.25">
      <c r="A1880" s="2" t="s">
        <v>6352</v>
      </c>
      <c r="B1880" s="7">
        <v>112521</v>
      </c>
      <c r="C1880" s="7">
        <v>39751583.5</v>
      </c>
      <c r="D1880" s="7">
        <f t="shared" si="30"/>
        <v>-39639062.5</v>
      </c>
    </row>
    <row r="1881" spans="1:4" ht="18" customHeight="1" x14ac:dyDescent="0.25">
      <c r="A1881" s="2" t="s">
        <v>1318</v>
      </c>
      <c r="B1881" s="7">
        <v>48334413</v>
      </c>
      <c r="C1881" s="7">
        <v>39751583.5</v>
      </c>
      <c r="D1881" s="7">
        <f t="shared" si="30"/>
        <v>8582829.5</v>
      </c>
    </row>
    <row r="1882" spans="1:4" ht="18" customHeight="1" x14ac:dyDescent="0.25">
      <c r="A1882" s="2" t="s">
        <v>2626</v>
      </c>
      <c r="B1882" s="7">
        <v>48334413</v>
      </c>
      <c r="C1882" s="7">
        <v>240000</v>
      </c>
      <c r="D1882" s="7">
        <f t="shared" si="30"/>
        <v>48094413</v>
      </c>
    </row>
    <row r="1883" spans="1:4" ht="18" customHeight="1" x14ac:dyDescent="0.25">
      <c r="A1883" s="2" t="s">
        <v>3982</v>
      </c>
      <c r="B1883" s="7">
        <v>20422207</v>
      </c>
      <c r="C1883" s="7">
        <v>35000000</v>
      </c>
      <c r="D1883" s="7">
        <f t="shared" si="30"/>
        <v>-14577793</v>
      </c>
    </row>
    <row r="1884" spans="1:4" ht="18" customHeight="1" x14ac:dyDescent="0.25">
      <c r="A1884" s="2" t="s">
        <v>5033</v>
      </c>
      <c r="B1884" s="7">
        <v>6420319</v>
      </c>
      <c r="C1884" s="7">
        <v>20000000</v>
      </c>
      <c r="D1884" s="7">
        <f t="shared" si="30"/>
        <v>-13579681</v>
      </c>
    </row>
    <row r="1885" spans="1:4" ht="18" customHeight="1" x14ac:dyDescent="0.25">
      <c r="A1885" s="2" t="s">
        <v>5140</v>
      </c>
      <c r="B1885" s="7">
        <v>5459824</v>
      </c>
      <c r="C1885" s="7">
        <v>26000000</v>
      </c>
      <c r="D1885" s="7">
        <f t="shared" si="30"/>
        <v>-20540176</v>
      </c>
    </row>
    <row r="1886" spans="1:4" ht="18" customHeight="1" x14ac:dyDescent="0.25">
      <c r="A1886" s="2" t="s">
        <v>838</v>
      </c>
      <c r="B1886" s="7">
        <v>59889948</v>
      </c>
      <c r="C1886" s="7">
        <v>8000000</v>
      </c>
      <c r="D1886" s="7">
        <f t="shared" si="30"/>
        <v>51889948</v>
      </c>
    </row>
    <row r="1887" spans="1:4" ht="18" customHeight="1" x14ac:dyDescent="0.25">
      <c r="A1887" s="2" t="s">
        <v>1274</v>
      </c>
      <c r="B1887" s="7">
        <v>48334413</v>
      </c>
      <c r="C1887" s="7">
        <v>39751583.5</v>
      </c>
      <c r="D1887" s="7">
        <f t="shared" si="30"/>
        <v>8582829.5</v>
      </c>
    </row>
    <row r="1888" spans="1:4" ht="18" customHeight="1" x14ac:dyDescent="0.25">
      <c r="A1888" s="2" t="s">
        <v>3044</v>
      </c>
      <c r="B1888" s="7">
        <v>39442871</v>
      </c>
      <c r="C1888" s="7">
        <v>80000000</v>
      </c>
      <c r="D1888" s="7">
        <f t="shared" si="30"/>
        <v>-40557129</v>
      </c>
    </row>
    <row r="1889" spans="1:4" ht="18" customHeight="1" x14ac:dyDescent="0.25">
      <c r="A1889" s="2" t="s">
        <v>3070</v>
      </c>
      <c r="B1889" s="7">
        <v>38747385</v>
      </c>
      <c r="C1889" s="7">
        <v>25000000</v>
      </c>
      <c r="D1889" s="7">
        <f t="shared" si="30"/>
        <v>13747385</v>
      </c>
    </row>
    <row r="1890" spans="1:4" ht="18" customHeight="1" x14ac:dyDescent="0.25">
      <c r="A1890" s="2" t="s">
        <v>5231</v>
      </c>
      <c r="B1890" s="7">
        <v>4595000</v>
      </c>
      <c r="C1890" s="7">
        <v>39751583.5</v>
      </c>
      <c r="D1890" s="7">
        <f t="shared" si="30"/>
        <v>-35156583.5</v>
      </c>
    </row>
    <row r="1891" spans="1:4" ht="18" customHeight="1" x14ac:dyDescent="0.25">
      <c r="A1891" s="2" t="s">
        <v>6244</v>
      </c>
      <c r="B1891" s="7">
        <v>183662</v>
      </c>
      <c r="C1891" s="7">
        <v>25000000</v>
      </c>
      <c r="D1891" s="7">
        <f t="shared" si="30"/>
        <v>-24816338</v>
      </c>
    </row>
    <row r="1892" spans="1:4" ht="18" customHeight="1" x14ac:dyDescent="0.25">
      <c r="A1892" s="2" t="s">
        <v>1167</v>
      </c>
      <c r="B1892" s="7">
        <v>50003300</v>
      </c>
      <c r="C1892" s="7">
        <v>15000000</v>
      </c>
      <c r="D1892" s="7">
        <f t="shared" si="30"/>
        <v>35003300</v>
      </c>
    </row>
    <row r="1893" spans="1:4" ht="18" customHeight="1" x14ac:dyDescent="0.25">
      <c r="A1893" s="2" t="s">
        <v>877</v>
      </c>
      <c r="B1893" s="7">
        <v>58255287</v>
      </c>
      <c r="C1893" s="7">
        <v>64000000</v>
      </c>
      <c r="D1893" s="7">
        <f t="shared" si="30"/>
        <v>-5744713</v>
      </c>
    </row>
    <row r="1894" spans="1:4" ht="18" customHeight="1" x14ac:dyDescent="0.25">
      <c r="A1894" s="2" t="s">
        <v>3227</v>
      </c>
      <c r="B1894" s="7">
        <v>35400000</v>
      </c>
      <c r="C1894" s="7">
        <v>7000000</v>
      </c>
      <c r="D1894" s="7">
        <f t="shared" si="30"/>
        <v>28400000</v>
      </c>
    </row>
    <row r="1895" spans="1:4" ht="18" customHeight="1" x14ac:dyDescent="0.25">
      <c r="A1895" s="2" t="s">
        <v>2496</v>
      </c>
      <c r="B1895" s="7">
        <v>48334413</v>
      </c>
      <c r="C1895" s="7">
        <v>800000</v>
      </c>
      <c r="D1895" s="7">
        <f t="shared" si="30"/>
        <v>47534413</v>
      </c>
    </row>
    <row r="1896" spans="1:4" ht="18" customHeight="1" x14ac:dyDescent="0.25">
      <c r="A1896" s="2" t="s">
        <v>2316</v>
      </c>
      <c r="B1896" s="7">
        <v>48334413</v>
      </c>
      <c r="C1896" s="7">
        <v>1750000</v>
      </c>
      <c r="D1896" s="7">
        <f t="shared" si="30"/>
        <v>46584413</v>
      </c>
    </row>
    <row r="1897" spans="1:4" ht="18" customHeight="1" x14ac:dyDescent="0.25">
      <c r="A1897" s="2" t="s">
        <v>4525</v>
      </c>
      <c r="B1897" s="7">
        <v>12902790</v>
      </c>
      <c r="C1897" s="7">
        <v>12000000</v>
      </c>
      <c r="D1897" s="7">
        <f t="shared" si="30"/>
        <v>902790</v>
      </c>
    </row>
    <row r="1898" spans="1:4" ht="18" customHeight="1" x14ac:dyDescent="0.25">
      <c r="A1898" s="2" t="s">
        <v>3584</v>
      </c>
      <c r="B1898" s="7">
        <v>27979400</v>
      </c>
      <c r="C1898" s="7">
        <v>8200000</v>
      </c>
      <c r="D1898" s="7">
        <f t="shared" si="30"/>
        <v>19779400</v>
      </c>
    </row>
    <row r="1899" spans="1:4" ht="18" customHeight="1" x14ac:dyDescent="0.25">
      <c r="A1899" s="2" t="s">
        <v>5359</v>
      </c>
      <c r="B1899" s="7">
        <v>3650677</v>
      </c>
      <c r="C1899" s="7">
        <v>960000</v>
      </c>
      <c r="D1899" s="7">
        <f t="shared" si="30"/>
        <v>2690677</v>
      </c>
    </row>
    <row r="1900" spans="1:4" ht="18" customHeight="1" x14ac:dyDescent="0.25">
      <c r="A1900" s="2" t="s">
        <v>6725</v>
      </c>
      <c r="B1900" s="7">
        <v>2468</v>
      </c>
      <c r="C1900" s="7">
        <v>300000</v>
      </c>
      <c r="D1900" s="7">
        <f t="shared" si="30"/>
        <v>-297532</v>
      </c>
    </row>
    <row r="1901" spans="1:4" ht="18" customHeight="1" x14ac:dyDescent="0.25">
      <c r="A1901" s="2" t="s">
        <v>4404</v>
      </c>
      <c r="B1901" s="7">
        <v>14291570</v>
      </c>
      <c r="C1901" s="7">
        <v>20000000</v>
      </c>
      <c r="D1901" s="7">
        <f t="shared" si="30"/>
        <v>-5708430</v>
      </c>
    </row>
    <row r="1902" spans="1:4" ht="18" customHeight="1" x14ac:dyDescent="0.25">
      <c r="A1902" s="2" t="s">
        <v>3762</v>
      </c>
      <c r="B1902" s="7">
        <v>25000000</v>
      </c>
      <c r="C1902" s="7">
        <v>9000000</v>
      </c>
      <c r="D1902" s="7">
        <f t="shared" si="30"/>
        <v>16000000</v>
      </c>
    </row>
    <row r="1903" spans="1:4" ht="18" customHeight="1" x14ac:dyDescent="0.25">
      <c r="A1903" s="2" t="s">
        <v>1810</v>
      </c>
      <c r="B1903" s="7">
        <v>48334413</v>
      </c>
      <c r="C1903" s="7">
        <v>11000000</v>
      </c>
      <c r="D1903" s="7">
        <f t="shared" si="30"/>
        <v>37334413</v>
      </c>
    </row>
    <row r="1904" spans="1:4" ht="18" customHeight="1" x14ac:dyDescent="0.25">
      <c r="A1904" s="2" t="s">
        <v>2250</v>
      </c>
      <c r="B1904" s="7">
        <v>96668826</v>
      </c>
      <c r="C1904" s="7">
        <v>4000000</v>
      </c>
      <c r="D1904" s="7">
        <f t="shared" si="30"/>
        <v>92668826</v>
      </c>
    </row>
    <row r="1905" spans="1:4" ht="18" customHeight="1" x14ac:dyDescent="0.25">
      <c r="A1905" s="2" t="s">
        <v>784</v>
      </c>
      <c r="B1905" s="7">
        <v>62401264</v>
      </c>
      <c r="C1905" s="7">
        <v>60000000</v>
      </c>
      <c r="D1905" s="7">
        <f t="shared" si="30"/>
        <v>2401264</v>
      </c>
    </row>
    <row r="1906" spans="1:4" ht="18" customHeight="1" x14ac:dyDescent="0.25">
      <c r="A1906" s="2" t="s">
        <v>2531</v>
      </c>
      <c r="B1906" s="7">
        <v>48334413</v>
      </c>
      <c r="C1906" s="7">
        <v>500000</v>
      </c>
      <c r="D1906" s="7">
        <f t="shared" si="30"/>
        <v>47834413</v>
      </c>
    </row>
    <row r="1907" spans="1:4" ht="18" customHeight="1" x14ac:dyDescent="0.25">
      <c r="A1907" s="2" t="s">
        <v>6645</v>
      </c>
      <c r="B1907" s="7">
        <v>12667</v>
      </c>
      <c r="C1907" s="7">
        <v>14000</v>
      </c>
      <c r="D1907" s="7">
        <f t="shared" si="30"/>
        <v>-1333</v>
      </c>
    </row>
    <row r="1908" spans="1:4" ht="18" customHeight="1" x14ac:dyDescent="0.25">
      <c r="A1908" s="2" t="s">
        <v>4493</v>
      </c>
      <c r="B1908" s="7">
        <v>13269963</v>
      </c>
      <c r="C1908" s="7">
        <v>5000000</v>
      </c>
      <c r="D1908" s="7">
        <f t="shared" si="30"/>
        <v>8269963</v>
      </c>
    </row>
    <row r="1909" spans="1:4" ht="18" customHeight="1" x14ac:dyDescent="0.25">
      <c r="A1909" s="2" t="s">
        <v>4574</v>
      </c>
      <c r="B1909" s="7">
        <v>12200000</v>
      </c>
      <c r="C1909" s="7">
        <v>5000000</v>
      </c>
      <c r="D1909" s="7">
        <f t="shared" si="30"/>
        <v>7200000</v>
      </c>
    </row>
    <row r="1910" spans="1:4" ht="18" customHeight="1" x14ac:dyDescent="0.25">
      <c r="A1910" s="2" t="s">
        <v>6277</v>
      </c>
      <c r="B1910" s="7">
        <v>154077</v>
      </c>
      <c r="C1910" s="7">
        <v>500000</v>
      </c>
      <c r="D1910" s="7">
        <f t="shared" si="30"/>
        <v>-345923</v>
      </c>
    </row>
    <row r="1911" spans="1:4" ht="18" customHeight="1" x14ac:dyDescent="0.25">
      <c r="A1911" s="2" t="s">
        <v>3958</v>
      </c>
      <c r="B1911" s="7">
        <v>20950820</v>
      </c>
      <c r="C1911" s="7">
        <v>80000000</v>
      </c>
      <c r="D1911" s="7">
        <f t="shared" si="30"/>
        <v>-59049180</v>
      </c>
    </row>
    <row r="1912" spans="1:4" ht="18" customHeight="1" x14ac:dyDescent="0.25">
      <c r="A1912" s="2" t="s">
        <v>697</v>
      </c>
      <c r="B1912" s="7">
        <v>66468315</v>
      </c>
      <c r="C1912" s="7">
        <v>30000000</v>
      </c>
      <c r="D1912" s="7">
        <f t="shared" si="30"/>
        <v>36468315</v>
      </c>
    </row>
    <row r="1913" spans="1:4" ht="18" customHeight="1" x14ac:dyDescent="0.25">
      <c r="A1913" s="2" t="s">
        <v>1350</v>
      </c>
      <c r="B1913" s="7">
        <v>48334413</v>
      </c>
      <c r="C1913" s="7">
        <v>39751583.5</v>
      </c>
      <c r="D1913" s="7">
        <f t="shared" si="30"/>
        <v>8582829.5</v>
      </c>
    </row>
    <row r="1914" spans="1:4" ht="18" customHeight="1" x14ac:dyDescent="0.25">
      <c r="A1914" s="2" t="s">
        <v>3797</v>
      </c>
      <c r="B1914" s="7">
        <v>24127895</v>
      </c>
      <c r="C1914" s="7">
        <v>50000000</v>
      </c>
      <c r="D1914" s="7">
        <f t="shared" si="30"/>
        <v>-25872105</v>
      </c>
    </row>
    <row r="1915" spans="1:4" ht="18" customHeight="1" x14ac:dyDescent="0.25">
      <c r="A1915" s="2" t="s">
        <v>4654</v>
      </c>
      <c r="B1915" s="7">
        <v>11008432</v>
      </c>
      <c r="C1915" s="7">
        <v>25000000</v>
      </c>
      <c r="D1915" s="7">
        <f t="shared" si="30"/>
        <v>-13991568</v>
      </c>
    </row>
    <row r="1916" spans="1:4" ht="18" customHeight="1" x14ac:dyDescent="0.25">
      <c r="A1916" s="2" t="s">
        <v>2118</v>
      </c>
      <c r="B1916" s="7">
        <v>48334413</v>
      </c>
      <c r="C1916" s="7">
        <v>3440000</v>
      </c>
      <c r="D1916" s="7">
        <f t="shared" si="30"/>
        <v>44894413</v>
      </c>
    </row>
    <row r="1917" spans="1:4" ht="18" customHeight="1" x14ac:dyDescent="0.25">
      <c r="A1917" s="2" t="s">
        <v>4311</v>
      </c>
      <c r="B1917" s="7">
        <v>15464026</v>
      </c>
      <c r="C1917" s="7">
        <v>20000000</v>
      </c>
      <c r="D1917" s="7">
        <f t="shared" si="30"/>
        <v>-4535974</v>
      </c>
    </row>
    <row r="1918" spans="1:4" ht="18" customHeight="1" x14ac:dyDescent="0.25">
      <c r="A1918" s="2" t="s">
        <v>1939</v>
      </c>
      <c r="B1918" s="7">
        <v>48334413</v>
      </c>
      <c r="C1918" s="7">
        <v>7000000</v>
      </c>
      <c r="D1918" s="7">
        <f t="shared" si="30"/>
        <v>41334413</v>
      </c>
    </row>
    <row r="1919" spans="1:4" ht="18" customHeight="1" x14ac:dyDescent="0.25">
      <c r="A1919" s="2" t="s">
        <v>649</v>
      </c>
      <c r="B1919" s="7">
        <v>69102910</v>
      </c>
      <c r="C1919" s="7">
        <v>80000000</v>
      </c>
      <c r="D1919" s="7">
        <f t="shared" si="30"/>
        <v>-10897090</v>
      </c>
    </row>
    <row r="1920" spans="1:4" ht="18" customHeight="1" x14ac:dyDescent="0.25">
      <c r="A1920" s="2" t="s">
        <v>2863</v>
      </c>
      <c r="B1920" s="7">
        <v>44566004</v>
      </c>
      <c r="C1920" s="7">
        <v>4000000</v>
      </c>
      <c r="D1920" s="7">
        <f t="shared" si="30"/>
        <v>40566004</v>
      </c>
    </row>
    <row r="1921" spans="1:4" ht="18" customHeight="1" x14ac:dyDescent="0.25">
      <c r="A1921" s="2" t="s">
        <v>4217</v>
      </c>
      <c r="B1921" s="7">
        <v>16779636</v>
      </c>
      <c r="C1921" s="7">
        <v>28000000</v>
      </c>
      <c r="D1921" s="7">
        <f t="shared" si="30"/>
        <v>-11220364</v>
      </c>
    </row>
    <row r="1922" spans="1:4" ht="18" customHeight="1" x14ac:dyDescent="0.25">
      <c r="A1922" s="2" t="s">
        <v>3775</v>
      </c>
      <c r="B1922" s="7">
        <v>24708699</v>
      </c>
      <c r="C1922" s="7">
        <v>39751583.5</v>
      </c>
      <c r="D1922" s="7">
        <f t="shared" si="30"/>
        <v>-15042884.5</v>
      </c>
    </row>
    <row r="1923" spans="1:4" ht="18" customHeight="1" x14ac:dyDescent="0.25">
      <c r="A1923" s="2" t="s">
        <v>3608</v>
      </c>
      <c r="B1923" s="7">
        <v>27441122</v>
      </c>
      <c r="C1923" s="7">
        <v>15000000</v>
      </c>
      <c r="D1923" s="7">
        <f t="shared" si="30"/>
        <v>12441122</v>
      </c>
    </row>
    <row r="1924" spans="1:4" ht="18" customHeight="1" x14ac:dyDescent="0.25">
      <c r="A1924" s="2" t="s">
        <v>3377</v>
      </c>
      <c r="B1924" s="7">
        <v>32357532</v>
      </c>
      <c r="C1924" s="7">
        <v>30000000</v>
      </c>
      <c r="D1924" s="7">
        <f t="shared" si="30"/>
        <v>2357532</v>
      </c>
    </row>
    <row r="1925" spans="1:4" ht="18" customHeight="1" x14ac:dyDescent="0.25">
      <c r="A1925" s="2" t="s">
        <v>851</v>
      </c>
      <c r="B1925" s="7">
        <v>59365105</v>
      </c>
      <c r="C1925" s="7">
        <v>45000000</v>
      </c>
      <c r="D1925" s="7">
        <f t="shared" ref="D1925:D1988" si="31">B1925-C1925</f>
        <v>14365105</v>
      </c>
    </row>
    <row r="1926" spans="1:4" ht="18" customHeight="1" x14ac:dyDescent="0.25">
      <c r="A1926" s="2" t="s">
        <v>5526</v>
      </c>
      <c r="B1926" s="7">
        <v>2542264</v>
      </c>
      <c r="C1926" s="7">
        <v>39751583.5</v>
      </c>
      <c r="D1926" s="7">
        <f t="shared" si="31"/>
        <v>-37209319.5</v>
      </c>
    </row>
    <row r="1927" spans="1:4" ht="18" customHeight="1" x14ac:dyDescent="0.25">
      <c r="A1927" s="2" t="s">
        <v>6219</v>
      </c>
      <c r="B1927" s="7">
        <v>212285</v>
      </c>
      <c r="C1927" s="7">
        <v>250000</v>
      </c>
      <c r="D1927" s="7">
        <f t="shared" si="31"/>
        <v>-37715</v>
      </c>
    </row>
    <row r="1928" spans="1:4" ht="18" customHeight="1" x14ac:dyDescent="0.25">
      <c r="A1928" s="2" t="s">
        <v>3847</v>
      </c>
      <c r="B1928" s="7">
        <v>22927390</v>
      </c>
      <c r="C1928" s="7">
        <v>18000000</v>
      </c>
      <c r="D1928" s="7">
        <f t="shared" si="31"/>
        <v>4927390</v>
      </c>
    </row>
    <row r="1929" spans="1:4" ht="18" customHeight="1" x14ac:dyDescent="0.25">
      <c r="A1929" s="2" t="s">
        <v>5232</v>
      </c>
      <c r="B1929" s="7">
        <v>4584886</v>
      </c>
      <c r="C1929" s="7">
        <v>45000000</v>
      </c>
      <c r="D1929" s="7">
        <f t="shared" si="31"/>
        <v>-40415114</v>
      </c>
    </row>
    <row r="1930" spans="1:4" ht="18" customHeight="1" x14ac:dyDescent="0.25">
      <c r="A1930" s="2" t="s">
        <v>2558</v>
      </c>
      <c r="B1930" s="7">
        <v>48334413</v>
      </c>
      <c r="C1930" s="7">
        <v>500000</v>
      </c>
      <c r="D1930" s="7">
        <f t="shared" si="31"/>
        <v>47834413</v>
      </c>
    </row>
    <row r="1931" spans="1:4" ht="18" customHeight="1" x14ac:dyDescent="0.25">
      <c r="A1931" s="2" t="s">
        <v>4561</v>
      </c>
      <c r="B1931" s="7">
        <v>12514138</v>
      </c>
      <c r="C1931" s="7">
        <v>10000000</v>
      </c>
      <c r="D1931" s="7">
        <f t="shared" si="31"/>
        <v>2514138</v>
      </c>
    </row>
    <row r="1932" spans="1:4" ht="18" customHeight="1" x14ac:dyDescent="0.25">
      <c r="A1932" s="2" t="s">
        <v>2526</v>
      </c>
      <c r="B1932" s="7">
        <v>48334413</v>
      </c>
      <c r="C1932" s="7">
        <v>550000</v>
      </c>
      <c r="D1932" s="7">
        <f t="shared" si="31"/>
        <v>47784413</v>
      </c>
    </row>
    <row r="1933" spans="1:4" ht="18" customHeight="1" x14ac:dyDescent="0.25">
      <c r="A1933" s="2" t="s">
        <v>2423</v>
      </c>
      <c r="B1933" s="7">
        <v>48334413</v>
      </c>
      <c r="C1933" s="7">
        <v>1000000</v>
      </c>
      <c r="D1933" s="7">
        <f t="shared" si="31"/>
        <v>47334413</v>
      </c>
    </row>
    <row r="1934" spans="1:4" ht="18" customHeight="1" x14ac:dyDescent="0.25">
      <c r="A1934" s="2" t="s">
        <v>6304</v>
      </c>
      <c r="B1934" s="7">
        <v>134904</v>
      </c>
      <c r="C1934" s="7">
        <v>25000000</v>
      </c>
      <c r="D1934" s="7">
        <f t="shared" si="31"/>
        <v>-24865096</v>
      </c>
    </row>
    <row r="1935" spans="1:4" ht="18" customHeight="1" x14ac:dyDescent="0.25">
      <c r="A1935" s="2" t="s">
        <v>5505</v>
      </c>
      <c r="B1935" s="7">
        <v>2800000</v>
      </c>
      <c r="C1935" s="7">
        <v>4000000</v>
      </c>
      <c r="D1935" s="7">
        <f t="shared" si="31"/>
        <v>-1200000</v>
      </c>
    </row>
    <row r="1936" spans="1:4" ht="18" customHeight="1" x14ac:dyDescent="0.25">
      <c r="A1936" s="2" t="s">
        <v>3670</v>
      </c>
      <c r="B1936" s="7">
        <v>26284475</v>
      </c>
      <c r="C1936" s="7">
        <v>17000000</v>
      </c>
      <c r="D1936" s="7">
        <f t="shared" si="31"/>
        <v>9284475</v>
      </c>
    </row>
    <row r="1937" spans="1:4" ht="18" customHeight="1" x14ac:dyDescent="0.25">
      <c r="A1937" s="2" t="s">
        <v>5288</v>
      </c>
      <c r="B1937" s="7">
        <v>4186931</v>
      </c>
      <c r="C1937" s="7">
        <v>250000</v>
      </c>
      <c r="D1937" s="7">
        <f t="shared" si="31"/>
        <v>3936931</v>
      </c>
    </row>
    <row r="1938" spans="1:4" ht="18" customHeight="1" x14ac:dyDescent="0.25">
      <c r="A1938" s="2" t="s">
        <v>6329</v>
      </c>
      <c r="B1938" s="7">
        <v>124720</v>
      </c>
      <c r="C1938" s="7">
        <v>5000000</v>
      </c>
      <c r="D1938" s="7">
        <f t="shared" si="31"/>
        <v>-4875280</v>
      </c>
    </row>
    <row r="1939" spans="1:4" ht="18" customHeight="1" x14ac:dyDescent="0.25">
      <c r="A1939" s="2" t="s">
        <v>6165</v>
      </c>
      <c r="B1939" s="7">
        <v>252726</v>
      </c>
      <c r="C1939" s="7">
        <v>3000000</v>
      </c>
      <c r="D1939" s="7">
        <f t="shared" si="31"/>
        <v>-2747274</v>
      </c>
    </row>
    <row r="1940" spans="1:4" ht="18" customHeight="1" x14ac:dyDescent="0.25">
      <c r="A1940" s="2" t="s">
        <v>1343</v>
      </c>
      <c r="B1940" s="7">
        <v>48334413</v>
      </c>
      <c r="C1940" s="7">
        <v>39751583.5</v>
      </c>
      <c r="D1940" s="7">
        <f t="shared" si="31"/>
        <v>8582829.5</v>
      </c>
    </row>
    <row r="1941" spans="1:4" ht="18" customHeight="1" x14ac:dyDescent="0.25">
      <c r="A1941" s="2" t="s">
        <v>2440</v>
      </c>
      <c r="B1941" s="7">
        <v>48334413</v>
      </c>
      <c r="C1941" s="7">
        <v>1000000</v>
      </c>
      <c r="D1941" s="7">
        <f t="shared" si="31"/>
        <v>47334413</v>
      </c>
    </row>
    <row r="1942" spans="1:4" ht="18" customHeight="1" x14ac:dyDescent="0.25">
      <c r="A1942" s="2" t="s">
        <v>6484</v>
      </c>
      <c r="B1942" s="7">
        <v>54606</v>
      </c>
      <c r="C1942" s="7">
        <v>6000000</v>
      </c>
      <c r="D1942" s="7">
        <f t="shared" si="31"/>
        <v>-5945394</v>
      </c>
    </row>
    <row r="1943" spans="1:4" ht="18" customHeight="1" x14ac:dyDescent="0.25">
      <c r="A1943" s="2" t="s">
        <v>3870</v>
      </c>
      <c r="B1943" s="7">
        <v>44988974</v>
      </c>
      <c r="C1943" s="7">
        <v>54000000</v>
      </c>
      <c r="D1943" s="7">
        <f t="shared" si="31"/>
        <v>-9011026</v>
      </c>
    </row>
    <row r="1944" spans="1:4" ht="18" customHeight="1" x14ac:dyDescent="0.25">
      <c r="A1944" s="2" t="s">
        <v>4750</v>
      </c>
      <c r="B1944" s="7">
        <v>10014234</v>
      </c>
      <c r="C1944" s="7">
        <v>65000000</v>
      </c>
      <c r="D1944" s="7">
        <f t="shared" si="31"/>
        <v>-54985766</v>
      </c>
    </row>
    <row r="1945" spans="1:4" ht="18" customHeight="1" x14ac:dyDescent="0.25">
      <c r="A1945" s="2" t="s">
        <v>5108</v>
      </c>
      <c r="B1945" s="7">
        <v>5755286</v>
      </c>
      <c r="C1945" s="7">
        <v>55000000</v>
      </c>
      <c r="D1945" s="7">
        <f t="shared" si="31"/>
        <v>-49244714</v>
      </c>
    </row>
    <row r="1946" spans="1:4" ht="18" customHeight="1" x14ac:dyDescent="0.25">
      <c r="A1946" s="2" t="s">
        <v>6044</v>
      </c>
      <c r="B1946" s="7">
        <v>428535</v>
      </c>
      <c r="C1946" s="7">
        <v>1000000</v>
      </c>
      <c r="D1946" s="7">
        <f t="shared" si="31"/>
        <v>-571465</v>
      </c>
    </row>
    <row r="1947" spans="1:4" ht="18" customHeight="1" x14ac:dyDescent="0.25">
      <c r="A1947" s="2" t="s">
        <v>1266</v>
      </c>
      <c r="B1947" s="7">
        <v>48334413</v>
      </c>
      <c r="C1947" s="7">
        <v>39751583.5</v>
      </c>
      <c r="D1947" s="7">
        <f t="shared" si="31"/>
        <v>8582829.5</v>
      </c>
    </row>
    <row r="1948" spans="1:4" ht="18" customHeight="1" x14ac:dyDescent="0.25">
      <c r="A1948" s="2" t="s">
        <v>1421</v>
      </c>
      <c r="B1948" s="7">
        <v>48334413</v>
      </c>
      <c r="C1948" s="7">
        <v>39751583.5</v>
      </c>
      <c r="D1948" s="7">
        <f t="shared" si="31"/>
        <v>8582829.5</v>
      </c>
    </row>
    <row r="1949" spans="1:4" ht="18" customHeight="1" x14ac:dyDescent="0.25">
      <c r="A1949" s="2" t="s">
        <v>4833</v>
      </c>
      <c r="B1949" s="7">
        <v>8460995</v>
      </c>
      <c r="C1949" s="7">
        <v>10000000</v>
      </c>
      <c r="D1949" s="7">
        <f t="shared" si="31"/>
        <v>-1539005</v>
      </c>
    </row>
    <row r="1950" spans="1:4" ht="18" customHeight="1" x14ac:dyDescent="0.25">
      <c r="A1950" s="2" t="s">
        <v>4938</v>
      </c>
      <c r="B1950" s="7">
        <v>7268659</v>
      </c>
      <c r="C1950" s="7">
        <v>20000000</v>
      </c>
      <c r="D1950" s="7">
        <f t="shared" si="31"/>
        <v>-12731341</v>
      </c>
    </row>
    <row r="1951" spans="1:4" ht="18" customHeight="1" x14ac:dyDescent="0.25">
      <c r="A1951" s="2" t="s">
        <v>3651</v>
      </c>
      <c r="B1951" s="7">
        <v>26589953</v>
      </c>
      <c r="C1951" s="7">
        <v>10500000</v>
      </c>
      <c r="D1951" s="7">
        <f t="shared" si="31"/>
        <v>16089953</v>
      </c>
    </row>
    <row r="1952" spans="1:4" ht="18" customHeight="1" x14ac:dyDescent="0.25">
      <c r="A1952" s="2" t="s">
        <v>1341</v>
      </c>
      <c r="B1952" s="7">
        <v>48334413</v>
      </c>
      <c r="C1952" s="7">
        <v>39751583.5</v>
      </c>
      <c r="D1952" s="7">
        <f t="shared" si="31"/>
        <v>8582829.5</v>
      </c>
    </row>
    <row r="1953" spans="1:4" ht="18" customHeight="1" x14ac:dyDescent="0.25">
      <c r="A1953" s="2" t="s">
        <v>5980</v>
      </c>
      <c r="B1953" s="7">
        <v>537580</v>
      </c>
      <c r="C1953" s="7">
        <v>30000000</v>
      </c>
      <c r="D1953" s="7">
        <f t="shared" si="31"/>
        <v>-29462420</v>
      </c>
    </row>
    <row r="1954" spans="1:4" ht="18" customHeight="1" x14ac:dyDescent="0.25">
      <c r="A1954" s="2" t="s">
        <v>4686</v>
      </c>
      <c r="B1954" s="7">
        <v>10556196</v>
      </c>
      <c r="C1954" s="7">
        <v>50000000</v>
      </c>
      <c r="D1954" s="7">
        <f t="shared" si="31"/>
        <v>-39443804</v>
      </c>
    </row>
    <row r="1955" spans="1:4" ht="18" customHeight="1" x14ac:dyDescent="0.25">
      <c r="A1955" s="2" t="s">
        <v>4866</v>
      </c>
      <c r="B1955" s="7">
        <v>8044906</v>
      </c>
      <c r="C1955" s="7">
        <v>39751583.5</v>
      </c>
      <c r="D1955" s="7">
        <f t="shared" si="31"/>
        <v>-31706677.5</v>
      </c>
    </row>
    <row r="1956" spans="1:4" ht="18" customHeight="1" x14ac:dyDescent="0.25">
      <c r="A1956" s="2" t="s">
        <v>4804</v>
      </c>
      <c r="B1956" s="7">
        <v>9003011</v>
      </c>
      <c r="C1956" s="7">
        <v>2000000</v>
      </c>
      <c r="D1956" s="7">
        <f t="shared" si="31"/>
        <v>7003011</v>
      </c>
    </row>
    <row r="1957" spans="1:4" ht="18" customHeight="1" x14ac:dyDescent="0.25">
      <c r="A1957" s="2" t="s">
        <v>3191</v>
      </c>
      <c r="B1957" s="7">
        <v>36200000</v>
      </c>
      <c r="C1957" s="7">
        <v>12305523</v>
      </c>
      <c r="D1957" s="7">
        <f t="shared" si="31"/>
        <v>23894477</v>
      </c>
    </row>
    <row r="1958" spans="1:4" ht="18" customHeight="1" x14ac:dyDescent="0.25">
      <c r="A1958" s="2" t="s">
        <v>2627</v>
      </c>
      <c r="B1958" s="7">
        <v>48334413</v>
      </c>
      <c r="C1958" s="7">
        <v>200000</v>
      </c>
      <c r="D1958" s="7">
        <f t="shared" si="31"/>
        <v>48134413</v>
      </c>
    </row>
    <row r="1959" spans="1:4" ht="18" customHeight="1" x14ac:dyDescent="0.25">
      <c r="A1959" s="2" t="s">
        <v>3974</v>
      </c>
      <c r="B1959" s="7">
        <v>20668843</v>
      </c>
      <c r="C1959" s="7">
        <v>22000000</v>
      </c>
      <c r="D1959" s="7">
        <f t="shared" si="31"/>
        <v>-1331157</v>
      </c>
    </row>
    <row r="1960" spans="1:4" ht="18" customHeight="1" x14ac:dyDescent="0.25">
      <c r="A1960" s="2" t="s">
        <v>6500</v>
      </c>
      <c r="B1960" s="7">
        <v>48856</v>
      </c>
      <c r="C1960" s="7">
        <v>11900000</v>
      </c>
      <c r="D1960" s="7">
        <f t="shared" si="31"/>
        <v>-11851144</v>
      </c>
    </row>
    <row r="1961" spans="1:4" ht="18" customHeight="1" x14ac:dyDescent="0.25">
      <c r="A1961" s="2" t="s">
        <v>5787</v>
      </c>
      <c r="B1961" s="7">
        <v>1094798</v>
      </c>
      <c r="C1961" s="7">
        <v>7200000</v>
      </c>
      <c r="D1961" s="7">
        <f t="shared" si="31"/>
        <v>-6105202</v>
      </c>
    </row>
    <row r="1962" spans="1:4" ht="18" customHeight="1" x14ac:dyDescent="0.25">
      <c r="A1962" s="2" t="s">
        <v>2814</v>
      </c>
      <c r="B1962" s="7">
        <v>46012734</v>
      </c>
      <c r="C1962" s="7">
        <v>40000000</v>
      </c>
      <c r="D1962" s="7">
        <f t="shared" si="31"/>
        <v>6012734</v>
      </c>
    </row>
    <row r="1963" spans="1:4" ht="18" customHeight="1" x14ac:dyDescent="0.25">
      <c r="A1963" s="2" t="s">
        <v>277</v>
      </c>
      <c r="B1963" s="7">
        <v>90485233</v>
      </c>
      <c r="C1963" s="7">
        <v>39751583.5</v>
      </c>
      <c r="D1963" s="7">
        <f t="shared" si="31"/>
        <v>50733649.5</v>
      </c>
    </row>
    <row r="1964" spans="1:4" ht="18" customHeight="1" x14ac:dyDescent="0.25">
      <c r="A1964" s="2" t="s">
        <v>5155</v>
      </c>
      <c r="B1964" s="7">
        <v>5308707</v>
      </c>
      <c r="C1964" s="7">
        <v>5000000</v>
      </c>
      <c r="D1964" s="7">
        <f t="shared" si="31"/>
        <v>308707</v>
      </c>
    </row>
    <row r="1965" spans="1:4" ht="18" customHeight="1" x14ac:dyDescent="0.25">
      <c r="A1965" s="2" t="s">
        <v>764</v>
      </c>
      <c r="B1965" s="7">
        <v>63231524</v>
      </c>
      <c r="C1965" s="7">
        <v>6000000</v>
      </c>
      <c r="D1965" s="7">
        <f t="shared" si="31"/>
        <v>57231524</v>
      </c>
    </row>
    <row r="1966" spans="1:4" ht="18" customHeight="1" x14ac:dyDescent="0.25">
      <c r="A1966" s="2" t="s">
        <v>714</v>
      </c>
      <c r="B1966" s="7">
        <v>65623128</v>
      </c>
      <c r="C1966" s="7">
        <v>20000000</v>
      </c>
      <c r="D1966" s="7">
        <f t="shared" si="31"/>
        <v>45623128</v>
      </c>
    </row>
    <row r="1967" spans="1:4" ht="18" customHeight="1" x14ac:dyDescent="0.25">
      <c r="A1967" s="2" t="s">
        <v>6001</v>
      </c>
      <c r="B1967" s="7">
        <v>508867</v>
      </c>
      <c r="C1967" s="7">
        <v>39751583.5</v>
      </c>
      <c r="D1967" s="7">
        <f t="shared" si="31"/>
        <v>-39242716.5</v>
      </c>
    </row>
    <row r="1968" spans="1:4" ht="18" customHeight="1" x14ac:dyDescent="0.25">
      <c r="A1968" s="2" t="s">
        <v>6309</v>
      </c>
      <c r="B1968" s="7">
        <v>131175</v>
      </c>
      <c r="C1968" s="7">
        <v>8500000</v>
      </c>
      <c r="D1968" s="7">
        <f t="shared" si="31"/>
        <v>-8368825</v>
      </c>
    </row>
    <row r="1969" spans="1:4" ht="18" customHeight="1" x14ac:dyDescent="0.25">
      <c r="A1969" s="2" t="s">
        <v>707</v>
      </c>
      <c r="B1969" s="7">
        <v>66009973</v>
      </c>
      <c r="C1969" s="7">
        <v>14800000</v>
      </c>
      <c r="D1969" s="7">
        <f t="shared" si="31"/>
        <v>51209973</v>
      </c>
    </row>
    <row r="1970" spans="1:4" ht="18" customHeight="1" x14ac:dyDescent="0.25">
      <c r="A1970" s="2" t="s">
        <v>3875</v>
      </c>
      <c r="B1970" s="7">
        <v>22450975</v>
      </c>
      <c r="C1970" s="7">
        <v>37000000</v>
      </c>
      <c r="D1970" s="7">
        <f t="shared" si="31"/>
        <v>-14549025</v>
      </c>
    </row>
    <row r="1971" spans="1:4" ht="18" customHeight="1" x14ac:dyDescent="0.25">
      <c r="A1971" s="2" t="s">
        <v>224</v>
      </c>
      <c r="B1971" s="7">
        <v>93815117</v>
      </c>
      <c r="C1971" s="7">
        <v>55000000</v>
      </c>
      <c r="D1971" s="7">
        <f t="shared" si="31"/>
        <v>38815117</v>
      </c>
    </row>
    <row r="1972" spans="1:4" ht="18" customHeight="1" x14ac:dyDescent="0.25">
      <c r="A1972" s="2" t="s">
        <v>6630</v>
      </c>
      <c r="B1972" s="7">
        <v>14873</v>
      </c>
      <c r="C1972" s="7">
        <v>3800000</v>
      </c>
      <c r="D1972" s="7">
        <f t="shared" si="31"/>
        <v>-3785127</v>
      </c>
    </row>
    <row r="1973" spans="1:4" ht="18" customHeight="1" x14ac:dyDescent="0.25">
      <c r="A1973" s="2" t="s">
        <v>1177</v>
      </c>
      <c r="B1973" s="7">
        <v>49797148</v>
      </c>
      <c r="C1973" s="7">
        <v>11000000</v>
      </c>
      <c r="D1973" s="7">
        <f t="shared" si="31"/>
        <v>38797148</v>
      </c>
    </row>
    <row r="1974" spans="1:4" ht="18" customHeight="1" x14ac:dyDescent="0.25">
      <c r="A1974" s="2" t="s">
        <v>2748</v>
      </c>
      <c r="B1974" s="7">
        <v>48169908</v>
      </c>
      <c r="C1974" s="7">
        <v>33000000</v>
      </c>
      <c r="D1974" s="7">
        <f t="shared" si="31"/>
        <v>15169908</v>
      </c>
    </row>
    <row r="1975" spans="1:4" ht="18" customHeight="1" x14ac:dyDescent="0.25">
      <c r="A1975" s="2" t="s">
        <v>2631</v>
      </c>
      <c r="B1975" s="7">
        <v>48334413</v>
      </c>
      <c r="C1975" s="7">
        <v>200000</v>
      </c>
      <c r="D1975" s="7">
        <f t="shared" si="31"/>
        <v>48134413</v>
      </c>
    </row>
    <row r="1976" spans="1:4" ht="18" customHeight="1" x14ac:dyDescent="0.25">
      <c r="A1976" s="2" t="s">
        <v>3282</v>
      </c>
      <c r="B1976" s="7">
        <v>34308901</v>
      </c>
      <c r="C1976" s="7">
        <v>16000000</v>
      </c>
      <c r="D1976" s="7">
        <f t="shared" si="31"/>
        <v>18308901</v>
      </c>
    </row>
    <row r="1977" spans="1:4" ht="18" customHeight="1" x14ac:dyDescent="0.25">
      <c r="A1977" s="2" t="s">
        <v>5599</v>
      </c>
      <c r="B1977" s="7">
        <v>2122561</v>
      </c>
      <c r="C1977" s="7">
        <v>6000000</v>
      </c>
      <c r="D1977" s="7">
        <f t="shared" si="31"/>
        <v>-3877439</v>
      </c>
    </row>
    <row r="1978" spans="1:4" ht="18" customHeight="1" x14ac:dyDescent="0.25">
      <c r="A1978" s="2" t="s">
        <v>5447</v>
      </c>
      <c r="B1978" s="7">
        <v>3060858</v>
      </c>
      <c r="C1978" s="7">
        <v>10000000</v>
      </c>
      <c r="D1978" s="7">
        <f t="shared" si="31"/>
        <v>-6939142</v>
      </c>
    </row>
    <row r="1979" spans="1:4" ht="18" customHeight="1" x14ac:dyDescent="0.25">
      <c r="A1979" s="2" t="s">
        <v>588</v>
      </c>
      <c r="B1979" s="7">
        <v>71588220</v>
      </c>
      <c r="C1979" s="7">
        <v>20000000</v>
      </c>
      <c r="D1979" s="7">
        <f t="shared" si="31"/>
        <v>51588220</v>
      </c>
    </row>
    <row r="1980" spans="1:4" ht="18" customHeight="1" x14ac:dyDescent="0.25">
      <c r="A1980" s="2" t="s">
        <v>5048</v>
      </c>
      <c r="B1980" s="7">
        <v>6239558</v>
      </c>
      <c r="C1980" s="7">
        <v>5000000</v>
      </c>
      <c r="D1980" s="7">
        <f t="shared" si="31"/>
        <v>1239558</v>
      </c>
    </row>
    <row r="1981" spans="1:4" ht="18" customHeight="1" x14ac:dyDescent="0.25">
      <c r="A1981" s="2" t="s">
        <v>4058</v>
      </c>
      <c r="B1981" s="7">
        <v>19118247</v>
      </c>
      <c r="C1981" s="7">
        <v>40000000</v>
      </c>
      <c r="D1981" s="7">
        <f t="shared" si="31"/>
        <v>-20881753</v>
      </c>
    </row>
    <row r="1982" spans="1:4" ht="18" customHeight="1" x14ac:dyDescent="0.25">
      <c r="A1982" s="2" t="s">
        <v>3144</v>
      </c>
      <c r="B1982" s="7">
        <v>37442180</v>
      </c>
      <c r="C1982" s="7">
        <v>20000000</v>
      </c>
      <c r="D1982" s="7">
        <f t="shared" si="31"/>
        <v>17442180</v>
      </c>
    </row>
    <row r="1983" spans="1:4" ht="18" customHeight="1" x14ac:dyDescent="0.25">
      <c r="A1983" s="2" t="s">
        <v>4093</v>
      </c>
      <c r="B1983" s="7">
        <v>18600911</v>
      </c>
      <c r="C1983" s="7">
        <v>42000000</v>
      </c>
      <c r="D1983" s="7">
        <f t="shared" si="31"/>
        <v>-23399089</v>
      </c>
    </row>
    <row r="1984" spans="1:4" ht="18" customHeight="1" x14ac:dyDescent="0.25">
      <c r="A1984" s="2" t="s">
        <v>470</v>
      </c>
      <c r="B1984" s="7">
        <v>77862546</v>
      </c>
      <c r="C1984" s="7">
        <v>70000000</v>
      </c>
      <c r="D1984" s="7">
        <f t="shared" si="31"/>
        <v>7862546</v>
      </c>
    </row>
    <row r="1985" spans="1:4" ht="18" customHeight="1" x14ac:dyDescent="0.25">
      <c r="A1985" s="2" t="s">
        <v>3270</v>
      </c>
      <c r="B1985" s="7">
        <v>34580635</v>
      </c>
      <c r="C1985" s="7">
        <v>52000000</v>
      </c>
      <c r="D1985" s="7">
        <f t="shared" si="31"/>
        <v>-17419365</v>
      </c>
    </row>
    <row r="1986" spans="1:4" ht="18" customHeight="1" x14ac:dyDescent="0.25">
      <c r="A1986" s="2" t="s">
        <v>5471</v>
      </c>
      <c r="B1986" s="7">
        <v>2957978</v>
      </c>
      <c r="C1986" s="7">
        <v>1000000</v>
      </c>
      <c r="D1986" s="7">
        <f t="shared" si="31"/>
        <v>1957978</v>
      </c>
    </row>
    <row r="1987" spans="1:4" ht="18" customHeight="1" x14ac:dyDescent="0.25">
      <c r="A1987" s="2" t="s">
        <v>4844</v>
      </c>
      <c r="B1987" s="7">
        <v>8324748</v>
      </c>
      <c r="C1987" s="7">
        <v>35000000</v>
      </c>
      <c r="D1987" s="7">
        <f t="shared" si="31"/>
        <v>-26675252</v>
      </c>
    </row>
    <row r="1988" spans="1:4" ht="18" customHeight="1" x14ac:dyDescent="0.25">
      <c r="A1988" s="2" t="s">
        <v>6439</v>
      </c>
      <c r="B1988" s="7">
        <v>74205</v>
      </c>
      <c r="C1988" s="7">
        <v>14200000</v>
      </c>
      <c r="D1988" s="7">
        <f t="shared" si="31"/>
        <v>-14125795</v>
      </c>
    </row>
    <row r="1989" spans="1:4" ht="18" customHeight="1" x14ac:dyDescent="0.25">
      <c r="A1989" s="2" t="s">
        <v>6642</v>
      </c>
      <c r="B1989" s="7">
        <v>12843</v>
      </c>
      <c r="C1989" s="7">
        <v>6000000</v>
      </c>
      <c r="D1989" s="7">
        <f t="shared" ref="D1989:D2052" si="32">B1989-C1989</f>
        <v>-5987157</v>
      </c>
    </row>
    <row r="1990" spans="1:4" ht="18" customHeight="1" x14ac:dyDescent="0.25">
      <c r="A1990" s="2" t="s">
        <v>2721</v>
      </c>
      <c r="B1990" s="7">
        <v>48334413</v>
      </c>
      <c r="C1990" s="7">
        <v>24000</v>
      </c>
      <c r="D1990" s="7">
        <f t="shared" si="32"/>
        <v>48310413</v>
      </c>
    </row>
    <row r="1991" spans="1:4" ht="18" customHeight="1" x14ac:dyDescent="0.25">
      <c r="A1991" s="2" t="s">
        <v>5209</v>
      </c>
      <c r="B1991" s="7">
        <v>4806750</v>
      </c>
      <c r="C1991" s="7">
        <v>39751583.5</v>
      </c>
      <c r="D1991" s="7">
        <f t="shared" si="32"/>
        <v>-34944833.5</v>
      </c>
    </row>
    <row r="1992" spans="1:4" ht="18" customHeight="1" x14ac:dyDescent="0.25">
      <c r="A1992" s="2" t="s">
        <v>472</v>
      </c>
      <c r="B1992" s="7">
        <v>77413017</v>
      </c>
      <c r="C1992" s="7">
        <v>8000000</v>
      </c>
      <c r="D1992" s="7">
        <f t="shared" si="32"/>
        <v>69413017</v>
      </c>
    </row>
    <row r="1993" spans="1:4" ht="18" customHeight="1" x14ac:dyDescent="0.25">
      <c r="A1993" s="2" t="s">
        <v>5825</v>
      </c>
      <c r="B1993" s="7">
        <v>1000000</v>
      </c>
      <c r="C1993" s="7">
        <v>9000000</v>
      </c>
      <c r="D1993" s="7">
        <f t="shared" si="32"/>
        <v>-8000000</v>
      </c>
    </row>
    <row r="1994" spans="1:4" ht="18" customHeight="1" x14ac:dyDescent="0.25">
      <c r="A1994" s="2" t="s">
        <v>5679</v>
      </c>
      <c r="B1994" s="7">
        <v>1646664</v>
      </c>
      <c r="C1994" s="7">
        <v>20000000</v>
      </c>
      <c r="D1994" s="7">
        <f t="shared" si="32"/>
        <v>-18353336</v>
      </c>
    </row>
    <row r="1995" spans="1:4" ht="18" customHeight="1" x14ac:dyDescent="0.25">
      <c r="A1995" s="2" t="s">
        <v>6506</v>
      </c>
      <c r="B1995" s="7">
        <v>46495</v>
      </c>
      <c r="C1995" s="7">
        <v>14000000</v>
      </c>
      <c r="D1995" s="7">
        <f t="shared" si="32"/>
        <v>-13953505</v>
      </c>
    </row>
    <row r="1996" spans="1:4" ht="18" customHeight="1" x14ac:dyDescent="0.25">
      <c r="A1996" s="2" t="s">
        <v>5150</v>
      </c>
      <c r="B1996" s="7">
        <v>5354039</v>
      </c>
      <c r="C1996" s="7">
        <v>3500000</v>
      </c>
      <c r="D1996" s="7">
        <f t="shared" si="32"/>
        <v>1854039</v>
      </c>
    </row>
    <row r="1997" spans="1:4" ht="18" customHeight="1" x14ac:dyDescent="0.25">
      <c r="A1997" s="2" t="s">
        <v>5020</v>
      </c>
      <c r="B1997" s="7">
        <v>6517198</v>
      </c>
      <c r="C1997" s="7">
        <v>3000000</v>
      </c>
      <c r="D1997" s="7">
        <f t="shared" si="32"/>
        <v>3517198</v>
      </c>
    </row>
    <row r="1998" spans="1:4" ht="18" customHeight="1" x14ac:dyDescent="0.25">
      <c r="A1998" s="2" t="s">
        <v>4277</v>
      </c>
      <c r="B1998" s="7">
        <v>15962471</v>
      </c>
      <c r="C1998" s="7">
        <v>40000000</v>
      </c>
      <c r="D1998" s="7">
        <f t="shared" si="32"/>
        <v>-24037529</v>
      </c>
    </row>
    <row r="1999" spans="1:4" ht="18" customHeight="1" x14ac:dyDescent="0.25">
      <c r="A1999" s="2" t="s">
        <v>6112</v>
      </c>
      <c r="B1999" s="7">
        <v>333658</v>
      </c>
      <c r="C1999" s="7">
        <v>34000</v>
      </c>
      <c r="D1999" s="7">
        <f t="shared" si="32"/>
        <v>299658</v>
      </c>
    </row>
    <row r="2000" spans="1:4" ht="18" customHeight="1" x14ac:dyDescent="0.25">
      <c r="A2000" s="2" t="s">
        <v>3309</v>
      </c>
      <c r="B2000" s="7">
        <v>33643461</v>
      </c>
      <c r="C2000" s="7">
        <v>50000000</v>
      </c>
      <c r="D2000" s="7">
        <f t="shared" si="32"/>
        <v>-16356539</v>
      </c>
    </row>
    <row r="2001" spans="1:4" ht="18" customHeight="1" x14ac:dyDescent="0.25">
      <c r="A2001" s="2" t="s">
        <v>5693</v>
      </c>
      <c r="B2001" s="7">
        <v>1506998</v>
      </c>
      <c r="C2001" s="7">
        <v>12000000</v>
      </c>
      <c r="D2001" s="7">
        <f t="shared" si="32"/>
        <v>-10493002</v>
      </c>
    </row>
    <row r="2002" spans="1:4" ht="18" customHeight="1" x14ac:dyDescent="0.25">
      <c r="A2002" s="2" t="s">
        <v>3119</v>
      </c>
      <c r="B2002" s="7">
        <v>37754208</v>
      </c>
      <c r="C2002" s="7">
        <v>70000000</v>
      </c>
      <c r="D2002" s="7">
        <f t="shared" si="32"/>
        <v>-32245792</v>
      </c>
    </row>
    <row r="2003" spans="1:4" ht="18" customHeight="1" x14ac:dyDescent="0.25">
      <c r="A2003" s="2" t="s">
        <v>5467</v>
      </c>
      <c r="B2003" s="7">
        <v>2981638</v>
      </c>
      <c r="C2003" s="7">
        <v>39751583.5</v>
      </c>
      <c r="D2003" s="7">
        <f t="shared" si="32"/>
        <v>-36769945.5</v>
      </c>
    </row>
    <row r="2004" spans="1:4" ht="18" customHeight="1" x14ac:dyDescent="0.25">
      <c r="A2004" s="2" t="s">
        <v>4922</v>
      </c>
      <c r="B2004" s="7">
        <v>7486906</v>
      </c>
      <c r="C2004" s="7">
        <v>27000000</v>
      </c>
      <c r="D2004" s="7">
        <f t="shared" si="32"/>
        <v>-19513094</v>
      </c>
    </row>
    <row r="2005" spans="1:4" ht="18" customHeight="1" x14ac:dyDescent="0.25">
      <c r="A2005" s="2" t="s">
        <v>4052</v>
      </c>
      <c r="B2005" s="7">
        <v>19184015</v>
      </c>
      <c r="C2005" s="7">
        <v>3000000</v>
      </c>
      <c r="D2005" s="7">
        <f t="shared" si="32"/>
        <v>16184015</v>
      </c>
    </row>
    <row r="2006" spans="1:4" ht="18" customHeight="1" x14ac:dyDescent="0.25">
      <c r="A2006" s="2" t="s">
        <v>4539</v>
      </c>
      <c r="B2006" s="7">
        <v>12782508</v>
      </c>
      <c r="C2006" s="7">
        <v>23000000</v>
      </c>
      <c r="D2006" s="7">
        <f t="shared" si="32"/>
        <v>-10217492</v>
      </c>
    </row>
    <row r="2007" spans="1:4" ht="18" customHeight="1" x14ac:dyDescent="0.25">
      <c r="A2007" s="2" t="s">
        <v>138</v>
      </c>
      <c r="B2007" s="7">
        <v>102300000</v>
      </c>
      <c r="C2007" s="7">
        <v>6000000</v>
      </c>
      <c r="D2007" s="7">
        <f t="shared" si="32"/>
        <v>96300000</v>
      </c>
    </row>
    <row r="2008" spans="1:4" ht="18" customHeight="1" x14ac:dyDescent="0.25">
      <c r="A2008" s="2" t="s">
        <v>5127</v>
      </c>
      <c r="B2008" s="7">
        <v>5600000</v>
      </c>
      <c r="C2008" s="7">
        <v>47000000</v>
      </c>
      <c r="D2008" s="7">
        <f t="shared" si="32"/>
        <v>-41400000</v>
      </c>
    </row>
    <row r="2009" spans="1:4" ht="18" customHeight="1" x14ac:dyDescent="0.25">
      <c r="A2009" s="2" t="s">
        <v>5985</v>
      </c>
      <c r="B2009" s="7">
        <v>533344</v>
      </c>
      <c r="C2009" s="7">
        <v>39751583.5</v>
      </c>
      <c r="D2009" s="7">
        <f t="shared" si="32"/>
        <v>-39218239.5</v>
      </c>
    </row>
    <row r="2010" spans="1:4" ht="18" customHeight="1" x14ac:dyDescent="0.25">
      <c r="A2010" s="2" t="s">
        <v>3837</v>
      </c>
      <c r="B2010" s="7">
        <v>23089926</v>
      </c>
      <c r="C2010" s="7">
        <v>15000000</v>
      </c>
      <c r="D2010" s="7">
        <f t="shared" si="32"/>
        <v>8089926</v>
      </c>
    </row>
    <row r="2011" spans="1:4" ht="18" customHeight="1" x14ac:dyDescent="0.25">
      <c r="A2011" s="2" t="s">
        <v>5422</v>
      </c>
      <c r="B2011" s="7">
        <v>3130592</v>
      </c>
      <c r="C2011" s="7">
        <v>2600000</v>
      </c>
      <c r="D2011" s="7">
        <f t="shared" si="32"/>
        <v>530592</v>
      </c>
    </row>
    <row r="2012" spans="1:4" ht="18" customHeight="1" x14ac:dyDescent="0.25">
      <c r="A2012" s="2" t="s">
        <v>4179</v>
      </c>
      <c r="B2012" s="7">
        <v>17292381</v>
      </c>
      <c r="C2012" s="7">
        <v>12000000</v>
      </c>
      <c r="D2012" s="7">
        <f t="shared" si="32"/>
        <v>5292381</v>
      </c>
    </row>
    <row r="2013" spans="1:4" ht="18" customHeight="1" x14ac:dyDescent="0.25">
      <c r="A2013" s="2" t="s">
        <v>2994</v>
      </c>
      <c r="B2013" s="7">
        <v>40687294</v>
      </c>
      <c r="C2013" s="7">
        <v>35000000</v>
      </c>
      <c r="D2013" s="7">
        <f t="shared" si="32"/>
        <v>5687294</v>
      </c>
    </row>
    <row r="2014" spans="1:4" ht="18" customHeight="1" x14ac:dyDescent="0.25">
      <c r="A2014" s="2" t="s">
        <v>2922</v>
      </c>
      <c r="B2014" s="7">
        <v>42652003</v>
      </c>
      <c r="C2014" s="7">
        <v>20000000</v>
      </c>
      <c r="D2014" s="7">
        <f t="shared" si="32"/>
        <v>22652003</v>
      </c>
    </row>
    <row r="2015" spans="1:4" ht="18" customHeight="1" x14ac:dyDescent="0.25">
      <c r="A2015" s="2" t="s">
        <v>4420</v>
      </c>
      <c r="B2015" s="7">
        <v>14095303</v>
      </c>
      <c r="C2015" s="7">
        <v>25000000</v>
      </c>
      <c r="D2015" s="7">
        <f t="shared" si="32"/>
        <v>-10904697</v>
      </c>
    </row>
    <row r="2016" spans="1:4" ht="18" customHeight="1" x14ac:dyDescent="0.25">
      <c r="A2016" s="2" t="s">
        <v>6286</v>
      </c>
      <c r="B2016" s="7">
        <v>145540</v>
      </c>
      <c r="C2016" s="7">
        <v>500000</v>
      </c>
      <c r="D2016" s="7">
        <f t="shared" si="32"/>
        <v>-354460</v>
      </c>
    </row>
    <row r="2017" spans="1:4" ht="18" customHeight="1" x14ac:dyDescent="0.25">
      <c r="A2017" s="2" t="s">
        <v>2867</v>
      </c>
      <c r="B2017" s="7">
        <v>44469602</v>
      </c>
      <c r="C2017" s="7">
        <v>17000000</v>
      </c>
      <c r="D2017" s="7">
        <f t="shared" si="32"/>
        <v>27469602</v>
      </c>
    </row>
    <row r="2018" spans="1:4" ht="18" customHeight="1" x14ac:dyDescent="0.25">
      <c r="A2018" s="2" t="s">
        <v>1258</v>
      </c>
      <c r="B2018" s="7">
        <v>48334413</v>
      </c>
      <c r="C2018" s="7">
        <v>39751583.5</v>
      </c>
      <c r="D2018" s="7">
        <f t="shared" si="32"/>
        <v>8582829.5</v>
      </c>
    </row>
    <row r="2019" spans="1:4" ht="18" customHeight="1" x14ac:dyDescent="0.25">
      <c r="A2019" s="2" t="s">
        <v>5757</v>
      </c>
      <c r="B2019" s="7">
        <v>1186957</v>
      </c>
      <c r="C2019" s="7">
        <v>25000000</v>
      </c>
      <c r="D2019" s="7">
        <f t="shared" si="32"/>
        <v>-23813043</v>
      </c>
    </row>
    <row r="2020" spans="1:4" ht="18" customHeight="1" x14ac:dyDescent="0.25">
      <c r="A2020" s="2" t="s">
        <v>5338</v>
      </c>
      <c r="B2020" s="7">
        <v>3885134</v>
      </c>
      <c r="C2020" s="7">
        <v>2000000</v>
      </c>
      <c r="D2020" s="7">
        <f t="shared" si="32"/>
        <v>1885134</v>
      </c>
    </row>
    <row r="2021" spans="1:4" ht="18" customHeight="1" x14ac:dyDescent="0.25">
      <c r="A2021" s="2" t="s">
        <v>938</v>
      </c>
      <c r="B2021" s="7">
        <v>56154094</v>
      </c>
      <c r="C2021" s="7">
        <v>20000000</v>
      </c>
      <c r="D2021" s="7">
        <f t="shared" si="32"/>
        <v>36154094</v>
      </c>
    </row>
    <row r="2022" spans="1:4" ht="18" customHeight="1" x14ac:dyDescent="0.25">
      <c r="A2022" s="2" t="s">
        <v>2344</v>
      </c>
      <c r="B2022" s="7">
        <v>48334413</v>
      </c>
      <c r="C2022" s="7">
        <v>1500000</v>
      </c>
      <c r="D2022" s="7">
        <f t="shared" si="32"/>
        <v>46834413</v>
      </c>
    </row>
    <row r="2023" spans="1:4" ht="18" customHeight="1" x14ac:dyDescent="0.25">
      <c r="A2023" s="2" t="s">
        <v>273</v>
      </c>
      <c r="B2023" s="7">
        <v>90567722</v>
      </c>
      <c r="C2023" s="7">
        <v>51000000</v>
      </c>
      <c r="D2023" s="7">
        <f t="shared" si="32"/>
        <v>39567722</v>
      </c>
    </row>
    <row r="2024" spans="1:4" ht="18" customHeight="1" x14ac:dyDescent="0.25">
      <c r="A2024" s="2" t="s">
        <v>5952</v>
      </c>
      <c r="B2024" s="7">
        <v>603943</v>
      </c>
      <c r="C2024" s="7">
        <v>500000</v>
      </c>
      <c r="D2024" s="7">
        <f t="shared" si="32"/>
        <v>103943</v>
      </c>
    </row>
    <row r="2025" spans="1:4" ht="18" customHeight="1" x14ac:dyDescent="0.25">
      <c r="A2025" s="2" t="s">
        <v>320</v>
      </c>
      <c r="B2025" s="7">
        <v>86049418</v>
      </c>
      <c r="C2025" s="7">
        <v>17000000</v>
      </c>
      <c r="D2025" s="7">
        <f t="shared" si="32"/>
        <v>69049418</v>
      </c>
    </row>
    <row r="2026" spans="1:4" ht="18" customHeight="1" x14ac:dyDescent="0.25">
      <c r="A2026" s="2" t="s">
        <v>6416</v>
      </c>
      <c r="B2026" s="7">
        <v>92191</v>
      </c>
      <c r="C2026" s="7">
        <v>2500000</v>
      </c>
      <c r="D2026" s="7">
        <f t="shared" si="32"/>
        <v>-2407809</v>
      </c>
    </row>
    <row r="2027" spans="1:4" ht="18" customHeight="1" x14ac:dyDescent="0.25">
      <c r="A2027" s="2" t="s">
        <v>6538</v>
      </c>
      <c r="B2027" s="7">
        <v>32645</v>
      </c>
      <c r="C2027" s="7">
        <v>500000</v>
      </c>
      <c r="D2027" s="7">
        <f t="shared" si="32"/>
        <v>-467355</v>
      </c>
    </row>
    <row r="2028" spans="1:4" ht="18" customHeight="1" x14ac:dyDescent="0.25">
      <c r="A2028" s="2" t="s">
        <v>2831</v>
      </c>
      <c r="B2028" s="7">
        <v>45500797</v>
      </c>
      <c r="C2028" s="7">
        <v>40000000</v>
      </c>
      <c r="D2028" s="7">
        <f t="shared" si="32"/>
        <v>5500797</v>
      </c>
    </row>
    <row r="2029" spans="1:4" ht="18" customHeight="1" x14ac:dyDescent="0.25">
      <c r="A2029" s="2" t="s">
        <v>5833</v>
      </c>
      <c r="B2029" s="7">
        <v>977600</v>
      </c>
      <c r="C2029" s="7">
        <v>39751583.5</v>
      </c>
      <c r="D2029" s="7">
        <f t="shared" si="32"/>
        <v>-38773983.5</v>
      </c>
    </row>
    <row r="2030" spans="1:4" ht="18" customHeight="1" x14ac:dyDescent="0.25">
      <c r="A2030" s="2" t="s">
        <v>4598</v>
      </c>
      <c r="B2030" s="7">
        <v>11802056</v>
      </c>
      <c r="C2030" s="7">
        <v>60000000</v>
      </c>
      <c r="D2030" s="7">
        <f t="shared" si="32"/>
        <v>-48197944</v>
      </c>
    </row>
    <row r="2031" spans="1:4" ht="18" customHeight="1" x14ac:dyDescent="0.25">
      <c r="A2031" s="2" t="s">
        <v>2861</v>
      </c>
      <c r="B2031" s="7">
        <v>44606335</v>
      </c>
      <c r="C2031" s="7">
        <v>90000000</v>
      </c>
      <c r="D2031" s="7">
        <f t="shared" si="32"/>
        <v>-45393665</v>
      </c>
    </row>
    <row r="2032" spans="1:4" ht="18" customHeight="1" x14ac:dyDescent="0.25">
      <c r="A2032" s="2" t="s">
        <v>1289</v>
      </c>
      <c r="B2032" s="7">
        <v>48334413</v>
      </c>
      <c r="C2032" s="7">
        <v>39751583.5</v>
      </c>
      <c r="D2032" s="7">
        <f t="shared" si="32"/>
        <v>8582829.5</v>
      </c>
    </row>
    <row r="2033" spans="1:4" ht="18" customHeight="1" x14ac:dyDescent="0.25">
      <c r="A2033" s="2" t="s">
        <v>5268</v>
      </c>
      <c r="B2033" s="7">
        <v>4308981</v>
      </c>
      <c r="C2033" s="7">
        <v>24000000</v>
      </c>
      <c r="D2033" s="7">
        <f t="shared" si="32"/>
        <v>-19691019</v>
      </c>
    </row>
    <row r="2034" spans="1:4" ht="18" customHeight="1" x14ac:dyDescent="0.25">
      <c r="A2034" s="2" t="s">
        <v>3087</v>
      </c>
      <c r="B2034" s="7">
        <v>38232624</v>
      </c>
      <c r="C2034" s="7">
        <v>30000000</v>
      </c>
      <c r="D2034" s="7">
        <f t="shared" si="32"/>
        <v>8232624</v>
      </c>
    </row>
    <row r="2035" spans="1:4" ht="18" customHeight="1" x14ac:dyDescent="0.25">
      <c r="A2035" s="2" t="s">
        <v>5154</v>
      </c>
      <c r="B2035" s="7">
        <v>5333658</v>
      </c>
      <c r="C2035" s="7">
        <v>20000000</v>
      </c>
      <c r="D2035" s="7">
        <f t="shared" si="32"/>
        <v>-14666342</v>
      </c>
    </row>
    <row r="2036" spans="1:4" ht="18" customHeight="1" x14ac:dyDescent="0.25">
      <c r="A2036" s="2" t="s">
        <v>5088</v>
      </c>
      <c r="B2036" s="7">
        <v>5974653</v>
      </c>
      <c r="C2036" s="7">
        <v>22000000</v>
      </c>
      <c r="D2036" s="7">
        <f t="shared" si="32"/>
        <v>-16025347</v>
      </c>
    </row>
    <row r="2037" spans="1:4" ht="18" customHeight="1" x14ac:dyDescent="0.25">
      <c r="A2037" s="2" t="s">
        <v>5456</v>
      </c>
      <c r="B2037" s="7">
        <v>3029870</v>
      </c>
      <c r="C2037" s="7">
        <v>7400000</v>
      </c>
      <c r="D2037" s="7">
        <f t="shared" si="32"/>
        <v>-4370130</v>
      </c>
    </row>
    <row r="2038" spans="1:4" ht="18" customHeight="1" x14ac:dyDescent="0.25">
      <c r="A2038" s="2" t="s">
        <v>3719</v>
      </c>
      <c r="B2038" s="7">
        <v>25530884</v>
      </c>
      <c r="C2038" s="7">
        <v>9000000</v>
      </c>
      <c r="D2038" s="7">
        <f t="shared" si="32"/>
        <v>16530884</v>
      </c>
    </row>
    <row r="2039" spans="1:4" ht="18" customHeight="1" x14ac:dyDescent="0.25">
      <c r="A2039" s="2" t="s">
        <v>905</v>
      </c>
      <c r="B2039" s="7">
        <v>57010853</v>
      </c>
      <c r="C2039" s="7">
        <v>85000000</v>
      </c>
      <c r="D2039" s="7">
        <f t="shared" si="32"/>
        <v>-27989147</v>
      </c>
    </row>
    <row r="2040" spans="1:4" ht="18" customHeight="1" x14ac:dyDescent="0.25">
      <c r="A2040" s="2" t="s">
        <v>4393</v>
      </c>
      <c r="B2040" s="7">
        <v>14358033</v>
      </c>
      <c r="C2040" s="7">
        <v>40000000</v>
      </c>
      <c r="D2040" s="7">
        <f t="shared" si="32"/>
        <v>-25641967</v>
      </c>
    </row>
    <row r="2041" spans="1:4" ht="18" customHeight="1" x14ac:dyDescent="0.25">
      <c r="A2041" s="2" t="s">
        <v>1191</v>
      </c>
      <c r="B2041" s="7">
        <v>48814909</v>
      </c>
      <c r="C2041" s="7">
        <v>32000000</v>
      </c>
      <c r="D2041" s="7">
        <f t="shared" si="32"/>
        <v>16814909</v>
      </c>
    </row>
    <row r="2042" spans="1:4" ht="18" customHeight="1" x14ac:dyDescent="0.25">
      <c r="A2042" s="2" t="s">
        <v>1888</v>
      </c>
      <c r="B2042" s="7">
        <v>48334413</v>
      </c>
      <c r="C2042" s="7">
        <v>8600000</v>
      </c>
      <c r="D2042" s="7">
        <f t="shared" si="32"/>
        <v>39734413</v>
      </c>
    </row>
    <row r="2043" spans="1:4" ht="18" customHeight="1" x14ac:dyDescent="0.25">
      <c r="A2043" s="2" t="s">
        <v>5278</v>
      </c>
      <c r="B2043" s="7">
        <v>4239767</v>
      </c>
      <c r="C2043" s="7">
        <v>7500000</v>
      </c>
      <c r="D2043" s="7">
        <f t="shared" si="32"/>
        <v>-3260233</v>
      </c>
    </row>
    <row r="2044" spans="1:4" ht="18" customHeight="1" x14ac:dyDescent="0.25">
      <c r="A2044" s="2" t="s">
        <v>3588</v>
      </c>
      <c r="B2044" s="7">
        <v>27900000</v>
      </c>
      <c r="C2044" s="7">
        <v>3500000</v>
      </c>
      <c r="D2044" s="7">
        <f t="shared" si="32"/>
        <v>24400000</v>
      </c>
    </row>
    <row r="2045" spans="1:4" ht="18" customHeight="1" x14ac:dyDescent="0.25">
      <c r="A2045" s="2" t="s">
        <v>3347</v>
      </c>
      <c r="B2045" s="7">
        <v>65881014</v>
      </c>
      <c r="C2045" s="7">
        <v>120000000</v>
      </c>
      <c r="D2045" s="7">
        <f t="shared" si="32"/>
        <v>-54118986</v>
      </c>
    </row>
    <row r="2046" spans="1:4" ht="18" customHeight="1" x14ac:dyDescent="0.25">
      <c r="A2046" s="2" t="s">
        <v>6263</v>
      </c>
      <c r="B2046" s="7">
        <v>171988</v>
      </c>
      <c r="C2046" s="7">
        <v>600000</v>
      </c>
      <c r="D2046" s="7">
        <f t="shared" si="32"/>
        <v>-428012</v>
      </c>
    </row>
    <row r="2047" spans="1:4" ht="18" customHeight="1" x14ac:dyDescent="0.25">
      <c r="A2047" s="2" t="s">
        <v>1045</v>
      </c>
      <c r="B2047" s="7">
        <v>52799004</v>
      </c>
      <c r="C2047" s="7">
        <v>55000000</v>
      </c>
      <c r="D2047" s="7">
        <f t="shared" si="32"/>
        <v>-2200996</v>
      </c>
    </row>
    <row r="2048" spans="1:4" ht="18" customHeight="1" x14ac:dyDescent="0.25">
      <c r="A2048" s="2" t="s">
        <v>5388</v>
      </c>
      <c r="B2048" s="7">
        <v>3419967</v>
      </c>
      <c r="C2048" s="7">
        <v>39751583.5</v>
      </c>
      <c r="D2048" s="7">
        <f t="shared" si="32"/>
        <v>-36331616.5</v>
      </c>
    </row>
    <row r="2049" spans="1:4" ht="18" customHeight="1" x14ac:dyDescent="0.25">
      <c r="A2049" s="2" t="s">
        <v>1727</v>
      </c>
      <c r="B2049" s="7">
        <v>48334413</v>
      </c>
      <c r="C2049" s="7">
        <v>16000000</v>
      </c>
      <c r="D2049" s="7">
        <f t="shared" si="32"/>
        <v>32334413</v>
      </c>
    </row>
    <row r="2050" spans="1:4" ht="18" customHeight="1" x14ac:dyDescent="0.25">
      <c r="A2050" s="2" t="s">
        <v>6556</v>
      </c>
      <c r="B2050" s="7">
        <v>26435</v>
      </c>
      <c r="C2050" s="7">
        <v>6000000</v>
      </c>
      <c r="D2050" s="7">
        <f t="shared" si="32"/>
        <v>-5973565</v>
      </c>
    </row>
    <row r="2051" spans="1:4" ht="18" customHeight="1" x14ac:dyDescent="0.25">
      <c r="A2051" s="2" t="s">
        <v>5477</v>
      </c>
      <c r="B2051" s="7">
        <v>2938208</v>
      </c>
      <c r="C2051" s="7">
        <v>225000</v>
      </c>
      <c r="D2051" s="7">
        <f t="shared" si="32"/>
        <v>2713208</v>
      </c>
    </row>
    <row r="2052" spans="1:4" ht="18" customHeight="1" x14ac:dyDescent="0.25">
      <c r="A2052" s="2" t="s">
        <v>6717</v>
      </c>
      <c r="B2052" s="7">
        <v>3330</v>
      </c>
      <c r="C2052" s="7">
        <v>2100000</v>
      </c>
      <c r="D2052" s="7">
        <f t="shared" si="32"/>
        <v>-2096670</v>
      </c>
    </row>
    <row r="2053" spans="1:4" ht="18" customHeight="1" x14ac:dyDescent="0.25">
      <c r="A2053" s="2" t="s">
        <v>2327</v>
      </c>
      <c r="B2053" s="7">
        <v>48334413</v>
      </c>
      <c r="C2053" s="7">
        <v>1500000</v>
      </c>
      <c r="D2053" s="7">
        <f t="shared" ref="D2053:D2116" si="33">B2053-C2053</f>
        <v>46834413</v>
      </c>
    </row>
    <row r="2054" spans="1:4" ht="18" customHeight="1" x14ac:dyDescent="0.25">
      <c r="A2054" s="2" t="s">
        <v>1188</v>
      </c>
      <c r="B2054" s="7">
        <v>49024969</v>
      </c>
      <c r="C2054" s="7">
        <v>25000000</v>
      </c>
      <c r="D2054" s="7">
        <f t="shared" si="33"/>
        <v>24024969</v>
      </c>
    </row>
    <row r="2055" spans="1:4" ht="18" customHeight="1" x14ac:dyDescent="0.25">
      <c r="A2055" s="2" t="s">
        <v>4653</v>
      </c>
      <c r="B2055" s="7">
        <v>11030963</v>
      </c>
      <c r="C2055" s="7">
        <v>28000000</v>
      </c>
      <c r="D2055" s="7">
        <f t="shared" si="33"/>
        <v>-16969037</v>
      </c>
    </row>
    <row r="2056" spans="1:4" ht="18" customHeight="1" x14ac:dyDescent="0.25">
      <c r="A2056" s="2" t="s">
        <v>4088</v>
      </c>
      <c r="B2056" s="7">
        <v>18642318</v>
      </c>
      <c r="C2056" s="7">
        <v>39751583.5</v>
      </c>
      <c r="D2056" s="7">
        <f t="shared" si="33"/>
        <v>-21109265.5</v>
      </c>
    </row>
    <row r="2057" spans="1:4" ht="18" customHeight="1" x14ac:dyDescent="0.25">
      <c r="A2057" s="2" t="s">
        <v>3298</v>
      </c>
      <c r="B2057" s="7">
        <v>33864342</v>
      </c>
      <c r="C2057" s="7">
        <v>40000000</v>
      </c>
      <c r="D2057" s="7">
        <f t="shared" si="33"/>
        <v>-6135658</v>
      </c>
    </row>
    <row r="2058" spans="1:4" ht="18" customHeight="1" x14ac:dyDescent="0.25">
      <c r="A2058" s="2" t="s">
        <v>5735</v>
      </c>
      <c r="B2058" s="7">
        <v>1260917</v>
      </c>
      <c r="C2058" s="7">
        <v>27000000</v>
      </c>
      <c r="D2058" s="7">
        <f t="shared" si="33"/>
        <v>-25739083</v>
      </c>
    </row>
    <row r="2059" spans="1:4" ht="18" customHeight="1" x14ac:dyDescent="0.25">
      <c r="A2059" s="2" t="s">
        <v>6430</v>
      </c>
      <c r="B2059" s="7">
        <v>78030</v>
      </c>
      <c r="C2059" s="7">
        <v>200000</v>
      </c>
      <c r="D2059" s="7">
        <f t="shared" si="33"/>
        <v>-121970</v>
      </c>
    </row>
    <row r="2060" spans="1:4" ht="18" customHeight="1" x14ac:dyDescent="0.25">
      <c r="A2060" s="2" t="s">
        <v>1534</v>
      </c>
      <c r="B2060" s="7">
        <v>48334413</v>
      </c>
      <c r="C2060" s="7">
        <v>39751583.5</v>
      </c>
      <c r="D2060" s="7">
        <f t="shared" si="33"/>
        <v>8582829.5</v>
      </c>
    </row>
    <row r="2061" spans="1:4" ht="18" customHeight="1" x14ac:dyDescent="0.25">
      <c r="A2061" s="2" t="s">
        <v>2097</v>
      </c>
      <c r="B2061" s="7">
        <v>48334413</v>
      </c>
      <c r="C2061" s="7">
        <v>3600000</v>
      </c>
      <c r="D2061" s="7">
        <f t="shared" si="33"/>
        <v>44734413</v>
      </c>
    </row>
    <row r="2062" spans="1:4" ht="18" customHeight="1" x14ac:dyDescent="0.25">
      <c r="A2062" s="2" t="s">
        <v>909</v>
      </c>
      <c r="B2062" s="7">
        <v>56816662</v>
      </c>
      <c r="C2062" s="7">
        <v>17000000</v>
      </c>
      <c r="D2062" s="7">
        <f t="shared" si="33"/>
        <v>39816662</v>
      </c>
    </row>
    <row r="2063" spans="1:4" ht="18" customHeight="1" x14ac:dyDescent="0.25">
      <c r="A2063" s="2" t="s">
        <v>3753</v>
      </c>
      <c r="B2063" s="7">
        <v>25078937</v>
      </c>
      <c r="C2063" s="7">
        <v>30000000</v>
      </c>
      <c r="D2063" s="7">
        <f t="shared" si="33"/>
        <v>-4921063</v>
      </c>
    </row>
    <row r="2064" spans="1:4" ht="18" customHeight="1" x14ac:dyDescent="0.25">
      <c r="A2064" s="2" t="s">
        <v>3080</v>
      </c>
      <c r="B2064" s="7">
        <v>38413606</v>
      </c>
      <c r="C2064" s="7">
        <v>30000000</v>
      </c>
      <c r="D2064" s="7">
        <f t="shared" si="33"/>
        <v>8413606</v>
      </c>
    </row>
    <row r="2065" spans="1:4" ht="18" customHeight="1" x14ac:dyDescent="0.25">
      <c r="A2065" s="2" t="s">
        <v>5356</v>
      </c>
      <c r="B2065" s="7">
        <v>3707794</v>
      </c>
      <c r="C2065" s="7">
        <v>18000000</v>
      </c>
      <c r="D2065" s="7">
        <f t="shared" si="33"/>
        <v>-14292206</v>
      </c>
    </row>
    <row r="2066" spans="1:4" ht="18" customHeight="1" x14ac:dyDescent="0.25">
      <c r="A2066" s="2" t="s">
        <v>1142</v>
      </c>
      <c r="B2066" s="7">
        <v>50628009</v>
      </c>
      <c r="C2066" s="7">
        <v>90000000</v>
      </c>
      <c r="D2066" s="7">
        <f t="shared" si="33"/>
        <v>-39371991</v>
      </c>
    </row>
    <row r="2067" spans="1:4" ht="18" customHeight="1" x14ac:dyDescent="0.25">
      <c r="A2067" s="2" t="s">
        <v>3409</v>
      </c>
      <c r="B2067" s="7">
        <v>31838002</v>
      </c>
      <c r="C2067" s="7">
        <v>20000000</v>
      </c>
      <c r="D2067" s="7">
        <f t="shared" si="33"/>
        <v>11838002</v>
      </c>
    </row>
    <row r="2068" spans="1:4" ht="18" customHeight="1" x14ac:dyDescent="0.25">
      <c r="A2068" s="2" t="s">
        <v>3183</v>
      </c>
      <c r="B2068" s="7">
        <v>36447959</v>
      </c>
      <c r="C2068" s="7">
        <v>25000000</v>
      </c>
      <c r="D2068" s="7">
        <f t="shared" si="33"/>
        <v>11447959</v>
      </c>
    </row>
    <row r="2069" spans="1:4" ht="18" customHeight="1" x14ac:dyDescent="0.25">
      <c r="A2069" s="2" t="s">
        <v>172</v>
      </c>
      <c r="B2069" s="7">
        <v>100422786</v>
      </c>
      <c r="C2069" s="7">
        <v>30000000</v>
      </c>
      <c r="D2069" s="7">
        <f t="shared" si="33"/>
        <v>70422786</v>
      </c>
    </row>
    <row r="2070" spans="1:4" ht="18" customHeight="1" x14ac:dyDescent="0.25">
      <c r="A2070" s="2" t="s">
        <v>5243</v>
      </c>
      <c r="B2070" s="7">
        <v>4476235</v>
      </c>
      <c r="C2070" s="7">
        <v>27000000</v>
      </c>
      <c r="D2070" s="7">
        <f t="shared" si="33"/>
        <v>-22523765</v>
      </c>
    </row>
    <row r="2071" spans="1:4" ht="18" customHeight="1" x14ac:dyDescent="0.25">
      <c r="A2071" s="2" t="s">
        <v>4881</v>
      </c>
      <c r="B2071" s="7">
        <v>7916887</v>
      </c>
      <c r="C2071" s="7">
        <v>45000000</v>
      </c>
      <c r="D2071" s="7">
        <f t="shared" si="33"/>
        <v>-37083113</v>
      </c>
    </row>
    <row r="2072" spans="1:4" ht="18" customHeight="1" x14ac:dyDescent="0.25">
      <c r="A2072" s="2" t="s">
        <v>738</v>
      </c>
      <c r="B2072" s="7">
        <v>64371181</v>
      </c>
      <c r="C2072" s="7">
        <v>28000000</v>
      </c>
      <c r="D2072" s="7">
        <f t="shared" si="33"/>
        <v>36371181</v>
      </c>
    </row>
    <row r="2073" spans="1:4" ht="18" customHeight="1" x14ac:dyDescent="0.25">
      <c r="A2073" s="2" t="s">
        <v>791</v>
      </c>
      <c r="B2073" s="7">
        <v>61693523</v>
      </c>
      <c r="C2073" s="7">
        <v>13000000</v>
      </c>
      <c r="D2073" s="7">
        <f t="shared" si="33"/>
        <v>48693523</v>
      </c>
    </row>
    <row r="2074" spans="1:4" ht="18" customHeight="1" x14ac:dyDescent="0.25">
      <c r="A2074" s="2" t="s">
        <v>729</v>
      </c>
      <c r="B2074" s="7">
        <v>64933670</v>
      </c>
      <c r="C2074" s="7">
        <v>85000000</v>
      </c>
      <c r="D2074" s="7">
        <f t="shared" si="33"/>
        <v>-20066330</v>
      </c>
    </row>
    <row r="2075" spans="1:4" ht="18" customHeight="1" x14ac:dyDescent="0.25">
      <c r="A2075" s="2" t="s">
        <v>5861</v>
      </c>
      <c r="B2075" s="7">
        <v>864959</v>
      </c>
      <c r="C2075" s="7">
        <v>4000000</v>
      </c>
      <c r="D2075" s="7">
        <f t="shared" si="33"/>
        <v>-3135041</v>
      </c>
    </row>
    <row r="2076" spans="1:4" ht="18" customHeight="1" x14ac:dyDescent="0.25">
      <c r="A2076" s="2" t="s">
        <v>3463</v>
      </c>
      <c r="B2076" s="7">
        <v>30691439</v>
      </c>
      <c r="C2076" s="7">
        <v>35000000</v>
      </c>
      <c r="D2076" s="7">
        <f t="shared" si="33"/>
        <v>-4308561</v>
      </c>
    </row>
    <row r="2077" spans="1:4" ht="18" customHeight="1" x14ac:dyDescent="0.25">
      <c r="A2077" s="2" t="s">
        <v>1814</v>
      </c>
      <c r="B2077" s="7">
        <v>48334413</v>
      </c>
      <c r="C2077" s="7">
        <v>11000000</v>
      </c>
      <c r="D2077" s="7">
        <f t="shared" si="33"/>
        <v>37334413</v>
      </c>
    </row>
    <row r="2078" spans="1:4" ht="18" customHeight="1" x14ac:dyDescent="0.25">
      <c r="A2078" s="2" t="s">
        <v>1198</v>
      </c>
      <c r="B2078" s="7">
        <v>48472213</v>
      </c>
      <c r="C2078" s="7">
        <v>45000000</v>
      </c>
      <c r="D2078" s="7">
        <f t="shared" si="33"/>
        <v>3472213</v>
      </c>
    </row>
    <row r="2079" spans="1:4" ht="18" customHeight="1" x14ac:dyDescent="0.25">
      <c r="A2079" s="2" t="s">
        <v>79</v>
      </c>
      <c r="B2079" s="7">
        <v>106807667</v>
      </c>
      <c r="C2079" s="7">
        <v>45000000</v>
      </c>
      <c r="D2079" s="7">
        <f t="shared" si="33"/>
        <v>61807667</v>
      </c>
    </row>
    <row r="2080" spans="1:4" ht="18" customHeight="1" x14ac:dyDescent="0.25">
      <c r="A2080" s="2" t="s">
        <v>1977</v>
      </c>
      <c r="B2080" s="7">
        <v>48334413</v>
      </c>
      <c r="C2080" s="7">
        <v>5500000</v>
      </c>
      <c r="D2080" s="7">
        <f t="shared" si="33"/>
        <v>42834413</v>
      </c>
    </row>
    <row r="2081" spans="1:4" ht="18" customHeight="1" x14ac:dyDescent="0.25">
      <c r="A2081" s="2" t="s">
        <v>5238</v>
      </c>
      <c r="B2081" s="7">
        <v>4542775</v>
      </c>
      <c r="C2081" s="7">
        <v>6000000</v>
      </c>
      <c r="D2081" s="7">
        <f t="shared" si="33"/>
        <v>-1457225</v>
      </c>
    </row>
    <row r="2082" spans="1:4" ht="18" customHeight="1" x14ac:dyDescent="0.25">
      <c r="A2082" s="2" t="s">
        <v>5468</v>
      </c>
      <c r="B2082" s="7">
        <v>2975649</v>
      </c>
      <c r="C2082" s="7">
        <v>30000000</v>
      </c>
      <c r="D2082" s="7">
        <f t="shared" si="33"/>
        <v>-27024351</v>
      </c>
    </row>
    <row r="2083" spans="1:4" ht="18" customHeight="1" x14ac:dyDescent="0.25">
      <c r="A2083" s="2" t="s">
        <v>806</v>
      </c>
      <c r="B2083" s="7">
        <v>60874615</v>
      </c>
      <c r="C2083" s="7">
        <v>90000000</v>
      </c>
      <c r="D2083" s="7">
        <f t="shared" si="33"/>
        <v>-29125385</v>
      </c>
    </row>
    <row r="2084" spans="1:4" ht="18" customHeight="1" x14ac:dyDescent="0.25">
      <c r="A2084" s="2" t="s">
        <v>6554</v>
      </c>
      <c r="B2084" s="7">
        <v>26893</v>
      </c>
      <c r="C2084" s="7">
        <v>1600000</v>
      </c>
      <c r="D2084" s="7">
        <f t="shared" si="33"/>
        <v>-1573107</v>
      </c>
    </row>
    <row r="2085" spans="1:4" ht="18" customHeight="1" x14ac:dyDescent="0.25">
      <c r="A2085" s="2" t="s">
        <v>4257</v>
      </c>
      <c r="B2085" s="7">
        <v>16153600</v>
      </c>
      <c r="C2085" s="7">
        <v>10000000</v>
      </c>
      <c r="D2085" s="7">
        <f t="shared" si="33"/>
        <v>6153600</v>
      </c>
    </row>
    <row r="2086" spans="1:4" ht="18" customHeight="1" x14ac:dyDescent="0.25">
      <c r="A2086" s="2" t="s">
        <v>2040</v>
      </c>
      <c r="B2086" s="7">
        <v>48334413</v>
      </c>
      <c r="C2086" s="7">
        <v>4500000</v>
      </c>
      <c r="D2086" s="7">
        <f t="shared" si="33"/>
        <v>43834413</v>
      </c>
    </row>
    <row r="2087" spans="1:4" ht="18" customHeight="1" x14ac:dyDescent="0.25">
      <c r="A2087" s="2" t="s">
        <v>1905</v>
      </c>
      <c r="B2087" s="7">
        <v>48334413</v>
      </c>
      <c r="C2087" s="7">
        <v>8000000</v>
      </c>
      <c r="D2087" s="7">
        <f t="shared" si="33"/>
        <v>40334413</v>
      </c>
    </row>
    <row r="2088" spans="1:4" ht="18" customHeight="1" x14ac:dyDescent="0.25">
      <c r="A2088" s="2" t="s">
        <v>6272</v>
      </c>
      <c r="B2088" s="7">
        <v>163245</v>
      </c>
      <c r="C2088" s="7">
        <v>1500000</v>
      </c>
      <c r="D2088" s="7">
        <f t="shared" si="33"/>
        <v>-1336755</v>
      </c>
    </row>
    <row r="2089" spans="1:4" ht="18" customHeight="1" x14ac:dyDescent="0.25">
      <c r="A2089" s="2" t="s">
        <v>5929</v>
      </c>
      <c r="B2089" s="7">
        <v>634277</v>
      </c>
      <c r="C2089" s="7">
        <v>16000000</v>
      </c>
      <c r="D2089" s="7">
        <f t="shared" si="33"/>
        <v>-15365723</v>
      </c>
    </row>
    <row r="2090" spans="1:4" ht="18" customHeight="1" x14ac:dyDescent="0.25">
      <c r="A2090" s="2" t="s">
        <v>6621</v>
      </c>
      <c r="B2090" s="7">
        <v>15593</v>
      </c>
      <c r="C2090" s="7">
        <v>21000000</v>
      </c>
      <c r="D2090" s="7">
        <f t="shared" si="33"/>
        <v>-20984407</v>
      </c>
    </row>
    <row r="2091" spans="1:4" ht="18" customHeight="1" x14ac:dyDescent="0.25">
      <c r="A2091" s="2" t="s">
        <v>1987</v>
      </c>
      <c r="B2091" s="7">
        <v>48334413</v>
      </c>
      <c r="C2091" s="7">
        <v>5000000</v>
      </c>
      <c r="D2091" s="7">
        <f t="shared" si="33"/>
        <v>43334413</v>
      </c>
    </row>
    <row r="2092" spans="1:4" ht="18" customHeight="1" x14ac:dyDescent="0.25">
      <c r="A2092" s="2" t="s">
        <v>4701</v>
      </c>
      <c r="B2092" s="7">
        <v>10429707</v>
      </c>
      <c r="C2092" s="7">
        <v>5000000</v>
      </c>
      <c r="D2092" s="7">
        <f t="shared" si="33"/>
        <v>5429707</v>
      </c>
    </row>
    <row r="2093" spans="1:4" ht="18" customHeight="1" x14ac:dyDescent="0.25">
      <c r="A2093" s="2" t="s">
        <v>753</v>
      </c>
      <c r="B2093" s="7">
        <v>63695760</v>
      </c>
      <c r="C2093" s="7">
        <v>65000000</v>
      </c>
      <c r="D2093" s="7">
        <f t="shared" si="33"/>
        <v>-1304240</v>
      </c>
    </row>
    <row r="2094" spans="1:4" ht="18" customHeight="1" x14ac:dyDescent="0.25">
      <c r="A2094" s="2" t="s">
        <v>6283</v>
      </c>
      <c r="B2094" s="7">
        <v>146402</v>
      </c>
      <c r="C2094" s="7">
        <v>4000000</v>
      </c>
      <c r="D2094" s="7">
        <f t="shared" si="33"/>
        <v>-3853598</v>
      </c>
    </row>
    <row r="2095" spans="1:4" ht="18" customHeight="1" x14ac:dyDescent="0.25">
      <c r="A2095" s="2" t="s">
        <v>2985</v>
      </c>
      <c r="B2095" s="7">
        <v>41008532</v>
      </c>
      <c r="C2095" s="7">
        <v>27000000</v>
      </c>
      <c r="D2095" s="7">
        <f t="shared" si="33"/>
        <v>14008532</v>
      </c>
    </row>
    <row r="2096" spans="1:4" ht="18" customHeight="1" x14ac:dyDescent="0.25">
      <c r="A2096" s="2" t="s">
        <v>2983</v>
      </c>
      <c r="B2096" s="7">
        <v>41067398</v>
      </c>
      <c r="C2096" s="7">
        <v>25000000</v>
      </c>
      <c r="D2096" s="7">
        <f t="shared" si="33"/>
        <v>16067398</v>
      </c>
    </row>
    <row r="2097" spans="1:4" ht="18" customHeight="1" x14ac:dyDescent="0.25">
      <c r="A2097" s="2" t="s">
        <v>3230</v>
      </c>
      <c r="B2097" s="7">
        <v>35324232</v>
      </c>
      <c r="C2097" s="7">
        <v>68000000</v>
      </c>
      <c r="D2097" s="7">
        <f t="shared" si="33"/>
        <v>-32675768</v>
      </c>
    </row>
    <row r="2098" spans="1:4" ht="18" customHeight="1" x14ac:dyDescent="0.25">
      <c r="A2098" s="2" t="s">
        <v>509</v>
      </c>
      <c r="B2098" s="7">
        <v>75605492</v>
      </c>
      <c r="C2098" s="7">
        <v>50000000</v>
      </c>
      <c r="D2098" s="7">
        <f t="shared" si="33"/>
        <v>25605492</v>
      </c>
    </row>
    <row r="2099" spans="1:4" ht="18" customHeight="1" x14ac:dyDescent="0.25">
      <c r="A2099" s="2" t="s">
        <v>5116</v>
      </c>
      <c r="B2099" s="7">
        <v>5701643</v>
      </c>
      <c r="C2099" s="7">
        <v>20000000</v>
      </c>
      <c r="D2099" s="7">
        <f t="shared" si="33"/>
        <v>-14298357</v>
      </c>
    </row>
    <row r="2100" spans="1:4" ht="18" customHeight="1" x14ac:dyDescent="0.25">
      <c r="A2100" s="2" t="s">
        <v>5143</v>
      </c>
      <c r="B2100" s="7">
        <v>5409517</v>
      </c>
      <c r="C2100" s="7">
        <v>75000000</v>
      </c>
      <c r="D2100" s="7">
        <f t="shared" si="33"/>
        <v>-69590483</v>
      </c>
    </row>
    <row r="2101" spans="1:4" ht="18" customHeight="1" x14ac:dyDescent="0.25">
      <c r="A2101" s="2" t="s">
        <v>4439</v>
      </c>
      <c r="B2101" s="7">
        <v>13876974</v>
      </c>
      <c r="C2101" s="7">
        <v>7000000</v>
      </c>
      <c r="D2101" s="7">
        <f t="shared" si="33"/>
        <v>6876974</v>
      </c>
    </row>
    <row r="2102" spans="1:4" ht="18" customHeight="1" x14ac:dyDescent="0.25">
      <c r="A2102" s="2" t="s">
        <v>551</v>
      </c>
      <c r="B2102" s="7">
        <v>73661010</v>
      </c>
      <c r="C2102" s="7">
        <v>75000000</v>
      </c>
      <c r="D2102" s="7">
        <f t="shared" si="33"/>
        <v>-1338990</v>
      </c>
    </row>
    <row r="2103" spans="1:4" ht="18" customHeight="1" x14ac:dyDescent="0.25">
      <c r="A2103" s="2" t="s">
        <v>3278</v>
      </c>
      <c r="B2103" s="7">
        <v>34468224</v>
      </c>
      <c r="C2103" s="7">
        <v>4500000</v>
      </c>
      <c r="D2103" s="7">
        <f t="shared" si="33"/>
        <v>29968224</v>
      </c>
    </row>
    <row r="2104" spans="1:4" ht="18" customHeight="1" x14ac:dyDescent="0.25">
      <c r="A2104" s="2" t="s">
        <v>373</v>
      </c>
      <c r="B2104" s="7">
        <v>82931301</v>
      </c>
      <c r="C2104" s="7">
        <v>60000000</v>
      </c>
      <c r="D2104" s="7">
        <f t="shared" si="33"/>
        <v>22931301</v>
      </c>
    </row>
    <row r="2105" spans="1:4" ht="18" customHeight="1" x14ac:dyDescent="0.25">
      <c r="A2105" s="2" t="s">
        <v>3444</v>
      </c>
      <c r="B2105" s="7">
        <v>31252964</v>
      </c>
      <c r="C2105" s="7">
        <v>4000000</v>
      </c>
      <c r="D2105" s="7">
        <f t="shared" si="33"/>
        <v>27252964</v>
      </c>
    </row>
    <row r="2106" spans="1:4" ht="18" customHeight="1" x14ac:dyDescent="0.25">
      <c r="A2106" s="2" t="s">
        <v>6184</v>
      </c>
      <c r="B2106" s="7">
        <v>237301</v>
      </c>
      <c r="C2106" s="7">
        <v>500000</v>
      </c>
      <c r="D2106" s="7">
        <f t="shared" si="33"/>
        <v>-262699</v>
      </c>
    </row>
    <row r="2107" spans="1:4" ht="18" customHeight="1" x14ac:dyDescent="0.25">
      <c r="A2107" s="2" t="s">
        <v>3833</v>
      </c>
      <c r="B2107" s="7">
        <v>23179303</v>
      </c>
      <c r="C2107" s="7">
        <v>20000000</v>
      </c>
      <c r="D2107" s="7">
        <f t="shared" si="33"/>
        <v>3179303</v>
      </c>
    </row>
    <row r="2108" spans="1:4" ht="18" customHeight="1" x14ac:dyDescent="0.25">
      <c r="A2108" s="2" t="s">
        <v>5741</v>
      </c>
      <c r="B2108" s="7">
        <v>1229197</v>
      </c>
      <c r="C2108" s="7">
        <v>229575</v>
      </c>
      <c r="D2108" s="7">
        <f t="shared" si="33"/>
        <v>999622</v>
      </c>
    </row>
    <row r="2109" spans="1:4" ht="18" customHeight="1" x14ac:dyDescent="0.25">
      <c r="A2109" s="2" t="s">
        <v>5178</v>
      </c>
      <c r="B2109" s="7">
        <v>5009677</v>
      </c>
      <c r="C2109" s="7">
        <v>5000000</v>
      </c>
      <c r="D2109" s="7">
        <f t="shared" si="33"/>
        <v>9677</v>
      </c>
    </row>
    <row r="2110" spans="1:4" ht="18" customHeight="1" x14ac:dyDescent="0.25">
      <c r="A2110" s="2" t="s">
        <v>4985</v>
      </c>
      <c r="B2110" s="7">
        <v>6830957</v>
      </c>
      <c r="C2110" s="7">
        <v>21000000</v>
      </c>
      <c r="D2110" s="7">
        <f t="shared" si="33"/>
        <v>-14169043</v>
      </c>
    </row>
    <row r="2111" spans="1:4" ht="18" customHeight="1" x14ac:dyDescent="0.25">
      <c r="A2111" s="2" t="s">
        <v>774</v>
      </c>
      <c r="B2111" s="7">
        <v>62700000</v>
      </c>
      <c r="C2111" s="7">
        <v>34000000</v>
      </c>
      <c r="D2111" s="7">
        <f t="shared" si="33"/>
        <v>28700000</v>
      </c>
    </row>
    <row r="2112" spans="1:4" ht="18" customHeight="1" x14ac:dyDescent="0.25">
      <c r="A2112" s="2" t="s">
        <v>2828</v>
      </c>
      <c r="B2112" s="7">
        <v>45507053</v>
      </c>
      <c r="C2112" s="7">
        <v>16000000</v>
      </c>
      <c r="D2112" s="7">
        <f t="shared" si="33"/>
        <v>29507053</v>
      </c>
    </row>
    <row r="2113" spans="1:4" ht="18" customHeight="1" x14ac:dyDescent="0.25">
      <c r="A2113" s="2" t="s">
        <v>1482</v>
      </c>
      <c r="B2113" s="7">
        <v>48334413</v>
      </c>
      <c r="C2113" s="7">
        <v>39751583.5</v>
      </c>
      <c r="D2113" s="7">
        <f t="shared" si="33"/>
        <v>8582829.5</v>
      </c>
    </row>
    <row r="2114" spans="1:4" ht="18" customHeight="1" x14ac:dyDescent="0.25">
      <c r="A2114" s="2" t="s">
        <v>3455</v>
      </c>
      <c r="B2114" s="7">
        <v>30993544</v>
      </c>
      <c r="C2114" s="7">
        <v>40000000</v>
      </c>
      <c r="D2114" s="7">
        <f t="shared" si="33"/>
        <v>-9006456</v>
      </c>
    </row>
    <row r="2115" spans="1:4" ht="18" customHeight="1" x14ac:dyDescent="0.25">
      <c r="A2115" s="2" t="s">
        <v>3207</v>
      </c>
      <c r="B2115" s="7">
        <v>35927406</v>
      </c>
      <c r="C2115" s="7">
        <v>30000000</v>
      </c>
      <c r="D2115" s="7">
        <f t="shared" si="33"/>
        <v>5927406</v>
      </c>
    </row>
    <row r="2116" spans="1:4" ht="18" customHeight="1" x14ac:dyDescent="0.25">
      <c r="A2116" s="2" t="s">
        <v>616</v>
      </c>
      <c r="B2116" s="7">
        <v>70360285</v>
      </c>
      <c r="C2116" s="7">
        <v>18000000</v>
      </c>
      <c r="D2116" s="7">
        <f t="shared" si="33"/>
        <v>52360285</v>
      </c>
    </row>
    <row r="2117" spans="1:4" ht="18" customHeight="1" x14ac:dyDescent="0.25">
      <c r="A2117" s="2" t="s">
        <v>4906</v>
      </c>
      <c r="B2117" s="7">
        <v>7605668</v>
      </c>
      <c r="C2117" s="7">
        <v>60000000</v>
      </c>
      <c r="D2117" s="7">
        <f t="shared" ref="D2117:D2180" si="34">B2117-C2117</f>
        <v>-52394332</v>
      </c>
    </row>
    <row r="2118" spans="1:4" ht="18" customHeight="1" x14ac:dyDescent="0.25">
      <c r="A2118" s="2" t="s">
        <v>6158</v>
      </c>
      <c r="B2118" s="7">
        <v>267194</v>
      </c>
      <c r="C2118" s="7">
        <v>39751583.5</v>
      </c>
      <c r="D2118" s="7">
        <f t="shared" si="34"/>
        <v>-39484389.5</v>
      </c>
    </row>
    <row r="2119" spans="1:4" ht="18" customHeight="1" x14ac:dyDescent="0.25">
      <c r="A2119" s="2" t="s">
        <v>5779</v>
      </c>
      <c r="B2119" s="7">
        <v>1110286</v>
      </c>
      <c r="C2119" s="7">
        <v>4825000</v>
      </c>
      <c r="D2119" s="7">
        <f t="shared" si="34"/>
        <v>-3714714</v>
      </c>
    </row>
    <row r="2120" spans="1:4" ht="18" customHeight="1" x14ac:dyDescent="0.25">
      <c r="A2120" s="2" t="s">
        <v>6411</v>
      </c>
      <c r="B2120" s="7">
        <v>92900</v>
      </c>
      <c r="C2120" s="7">
        <v>5000000</v>
      </c>
      <c r="D2120" s="7">
        <f t="shared" si="34"/>
        <v>-4907100</v>
      </c>
    </row>
    <row r="2121" spans="1:4" ht="18" customHeight="1" x14ac:dyDescent="0.25">
      <c r="A2121" s="2" t="s">
        <v>895</v>
      </c>
      <c r="B2121" s="7">
        <v>57386369</v>
      </c>
      <c r="C2121" s="7">
        <v>52500000</v>
      </c>
      <c r="D2121" s="7">
        <f t="shared" si="34"/>
        <v>4886369</v>
      </c>
    </row>
    <row r="2122" spans="1:4" ht="18" customHeight="1" x14ac:dyDescent="0.25">
      <c r="A2122" s="2" t="s">
        <v>4814</v>
      </c>
      <c r="B2122" s="7">
        <v>8828771</v>
      </c>
      <c r="C2122" s="7">
        <v>6000000</v>
      </c>
      <c r="D2122" s="7">
        <f t="shared" si="34"/>
        <v>2828771</v>
      </c>
    </row>
    <row r="2123" spans="1:4" ht="18" customHeight="1" x14ac:dyDescent="0.25">
      <c r="A2123" s="2" t="s">
        <v>5905</v>
      </c>
      <c r="B2123" s="7">
        <v>706622</v>
      </c>
      <c r="C2123" s="7">
        <v>39751583.5</v>
      </c>
      <c r="D2123" s="7">
        <f t="shared" si="34"/>
        <v>-39044961.5</v>
      </c>
    </row>
    <row r="2124" spans="1:4" ht="18" customHeight="1" x14ac:dyDescent="0.25">
      <c r="A2124" s="2" t="s">
        <v>3903</v>
      </c>
      <c r="B2124" s="7">
        <v>21800302</v>
      </c>
      <c r="C2124" s="7">
        <v>30000000</v>
      </c>
      <c r="D2124" s="7">
        <f t="shared" si="34"/>
        <v>-8199698</v>
      </c>
    </row>
    <row r="2125" spans="1:4" ht="18" customHeight="1" x14ac:dyDescent="0.25">
      <c r="A2125" s="2" t="s">
        <v>3366</v>
      </c>
      <c r="B2125" s="7">
        <v>32553210</v>
      </c>
      <c r="C2125" s="7">
        <v>25000000</v>
      </c>
      <c r="D2125" s="7">
        <f t="shared" si="34"/>
        <v>7553210</v>
      </c>
    </row>
    <row r="2126" spans="1:4" ht="18" customHeight="1" x14ac:dyDescent="0.25">
      <c r="A2126" s="2" t="s">
        <v>1915</v>
      </c>
      <c r="B2126" s="7">
        <v>48334413</v>
      </c>
      <c r="C2126" s="7">
        <v>8000000</v>
      </c>
      <c r="D2126" s="7">
        <f t="shared" si="34"/>
        <v>40334413</v>
      </c>
    </row>
    <row r="2127" spans="1:4" ht="18" customHeight="1" x14ac:dyDescent="0.25">
      <c r="A2127" s="2" t="s">
        <v>379</v>
      </c>
      <c r="B2127" s="7">
        <v>82528097</v>
      </c>
      <c r="C2127" s="7">
        <v>6500000</v>
      </c>
      <c r="D2127" s="7">
        <f t="shared" si="34"/>
        <v>76028097</v>
      </c>
    </row>
    <row r="2128" spans="1:4" ht="18" customHeight="1" x14ac:dyDescent="0.25">
      <c r="A2128" s="2" t="s">
        <v>4544</v>
      </c>
      <c r="B2128" s="7">
        <v>12674183</v>
      </c>
      <c r="C2128" s="7">
        <v>39751583.5</v>
      </c>
      <c r="D2128" s="7">
        <f t="shared" si="34"/>
        <v>-27077400.5</v>
      </c>
    </row>
    <row r="2129" spans="1:4" ht="18" customHeight="1" x14ac:dyDescent="0.25">
      <c r="A2129" s="2" t="s">
        <v>657</v>
      </c>
      <c r="B2129" s="7">
        <v>68218041</v>
      </c>
      <c r="C2129" s="7">
        <v>55000000</v>
      </c>
      <c r="D2129" s="7">
        <f t="shared" si="34"/>
        <v>13218041</v>
      </c>
    </row>
    <row r="2130" spans="1:4" ht="18" customHeight="1" x14ac:dyDescent="0.25">
      <c r="A2130" s="2" t="s">
        <v>2334</v>
      </c>
      <c r="B2130" s="7">
        <v>48334413</v>
      </c>
      <c r="C2130" s="7">
        <v>1500000</v>
      </c>
      <c r="D2130" s="7">
        <f t="shared" si="34"/>
        <v>46834413</v>
      </c>
    </row>
    <row r="2131" spans="1:4" ht="18" customHeight="1" x14ac:dyDescent="0.25">
      <c r="A2131" s="2" t="s">
        <v>5327</v>
      </c>
      <c r="B2131" s="7">
        <v>3958500</v>
      </c>
      <c r="C2131" s="7">
        <v>8200000</v>
      </c>
      <c r="D2131" s="7">
        <f t="shared" si="34"/>
        <v>-4241500</v>
      </c>
    </row>
    <row r="2132" spans="1:4" ht="18" customHeight="1" x14ac:dyDescent="0.25">
      <c r="A2132" s="2" t="s">
        <v>4652</v>
      </c>
      <c r="B2132" s="7">
        <v>11034436</v>
      </c>
      <c r="C2132" s="7">
        <v>20000000</v>
      </c>
      <c r="D2132" s="7">
        <f t="shared" si="34"/>
        <v>-8965564</v>
      </c>
    </row>
    <row r="2133" spans="1:4" ht="18" customHeight="1" x14ac:dyDescent="0.25">
      <c r="A2133" s="2" t="s">
        <v>4745</v>
      </c>
      <c r="B2133" s="7">
        <v>10070000</v>
      </c>
      <c r="C2133" s="7">
        <v>25000000</v>
      </c>
      <c r="D2133" s="7">
        <f t="shared" si="34"/>
        <v>-14930000</v>
      </c>
    </row>
    <row r="2134" spans="1:4" ht="18" customHeight="1" x14ac:dyDescent="0.25">
      <c r="A2134" s="2" t="s">
        <v>3863</v>
      </c>
      <c r="B2134" s="7">
        <v>22551000</v>
      </c>
      <c r="C2134" s="7">
        <v>8000000</v>
      </c>
      <c r="D2134" s="7">
        <f t="shared" si="34"/>
        <v>14551000</v>
      </c>
    </row>
    <row r="2135" spans="1:4" ht="18" customHeight="1" x14ac:dyDescent="0.25">
      <c r="A2135" s="2" t="s">
        <v>3907</v>
      </c>
      <c r="B2135" s="7">
        <v>21589307</v>
      </c>
      <c r="C2135" s="7">
        <v>10000000</v>
      </c>
      <c r="D2135" s="7">
        <f t="shared" si="34"/>
        <v>11589307</v>
      </c>
    </row>
    <row r="2136" spans="1:4" ht="18" customHeight="1" x14ac:dyDescent="0.25">
      <c r="A2136" s="2" t="s">
        <v>4942</v>
      </c>
      <c r="B2136" s="7">
        <v>7219578</v>
      </c>
      <c r="C2136" s="7">
        <v>15000000</v>
      </c>
      <c r="D2136" s="7">
        <f t="shared" si="34"/>
        <v>-7780422</v>
      </c>
    </row>
    <row r="2137" spans="1:4" ht="18" customHeight="1" x14ac:dyDescent="0.25">
      <c r="A2137" s="2" t="s">
        <v>4011</v>
      </c>
      <c r="B2137" s="7">
        <v>20101861</v>
      </c>
      <c r="C2137" s="7">
        <v>45000000</v>
      </c>
      <c r="D2137" s="7">
        <f t="shared" si="34"/>
        <v>-24898139</v>
      </c>
    </row>
    <row r="2138" spans="1:4" ht="18" customHeight="1" x14ac:dyDescent="0.25">
      <c r="A2138" s="2" t="s">
        <v>5236</v>
      </c>
      <c r="B2138" s="7">
        <v>4554569</v>
      </c>
      <c r="C2138" s="7">
        <v>28000000</v>
      </c>
      <c r="D2138" s="7">
        <f t="shared" si="34"/>
        <v>-23445431</v>
      </c>
    </row>
    <row r="2139" spans="1:4" ht="18" customHeight="1" x14ac:dyDescent="0.25">
      <c r="A2139" s="2" t="s">
        <v>2778</v>
      </c>
      <c r="B2139" s="7">
        <v>47379090</v>
      </c>
      <c r="C2139" s="7">
        <v>70000000</v>
      </c>
      <c r="D2139" s="7">
        <f t="shared" si="34"/>
        <v>-22620910</v>
      </c>
    </row>
    <row r="2140" spans="1:4" ht="18" customHeight="1" x14ac:dyDescent="0.25">
      <c r="A2140" s="2" t="s">
        <v>4244</v>
      </c>
      <c r="B2140" s="7">
        <v>16290976</v>
      </c>
      <c r="C2140" s="7">
        <v>24000000</v>
      </c>
      <c r="D2140" s="7">
        <f t="shared" si="34"/>
        <v>-7709024</v>
      </c>
    </row>
    <row r="2141" spans="1:4" ht="18" customHeight="1" x14ac:dyDescent="0.25">
      <c r="A2141" s="2" t="s">
        <v>1104</v>
      </c>
      <c r="B2141" s="7">
        <v>51178893</v>
      </c>
      <c r="C2141" s="7">
        <v>50000000</v>
      </c>
      <c r="D2141" s="7">
        <f t="shared" si="34"/>
        <v>1178893</v>
      </c>
    </row>
    <row r="2142" spans="1:4" ht="18" customHeight="1" x14ac:dyDescent="0.25">
      <c r="A2142" s="2" t="s">
        <v>3408</v>
      </c>
      <c r="B2142" s="7">
        <v>63749738</v>
      </c>
      <c r="C2142" s="7">
        <v>100000000</v>
      </c>
      <c r="D2142" s="7">
        <f t="shared" si="34"/>
        <v>-36250262</v>
      </c>
    </row>
    <row r="2143" spans="1:4" ht="18" customHeight="1" x14ac:dyDescent="0.25">
      <c r="A2143" s="2" t="s">
        <v>5690</v>
      </c>
      <c r="B2143" s="7">
        <v>1523883</v>
      </c>
      <c r="C2143" s="7">
        <v>1750211</v>
      </c>
      <c r="D2143" s="7">
        <f t="shared" si="34"/>
        <v>-226328</v>
      </c>
    </row>
    <row r="2144" spans="1:4" ht="18" customHeight="1" x14ac:dyDescent="0.25">
      <c r="A2144" s="2" t="s">
        <v>1143</v>
      </c>
      <c r="B2144" s="7">
        <v>50562555</v>
      </c>
      <c r="C2144" s="7">
        <v>39751583.5</v>
      </c>
      <c r="D2144" s="7">
        <f t="shared" si="34"/>
        <v>10810971.5</v>
      </c>
    </row>
    <row r="2145" spans="1:4" ht="18" customHeight="1" x14ac:dyDescent="0.25">
      <c r="A2145" s="2" t="s">
        <v>2883</v>
      </c>
      <c r="B2145" s="7">
        <v>43894863</v>
      </c>
      <c r="C2145" s="7">
        <v>30000000</v>
      </c>
      <c r="D2145" s="7">
        <f t="shared" si="34"/>
        <v>13894863</v>
      </c>
    </row>
    <row r="2146" spans="1:4" ht="18" customHeight="1" x14ac:dyDescent="0.25">
      <c r="A2146" s="2" t="s">
        <v>2352</v>
      </c>
      <c r="B2146" s="7">
        <v>48334413</v>
      </c>
      <c r="C2146" s="7">
        <v>1500000</v>
      </c>
      <c r="D2146" s="7">
        <f t="shared" si="34"/>
        <v>46834413</v>
      </c>
    </row>
    <row r="2147" spans="1:4" ht="18" customHeight="1" x14ac:dyDescent="0.25">
      <c r="A2147" s="2" t="s">
        <v>1573</v>
      </c>
      <c r="B2147" s="7">
        <v>48334413</v>
      </c>
      <c r="C2147" s="7">
        <v>39751583.5</v>
      </c>
      <c r="D2147" s="7">
        <f t="shared" si="34"/>
        <v>8582829.5</v>
      </c>
    </row>
    <row r="2148" spans="1:4" ht="18" customHeight="1" x14ac:dyDescent="0.25">
      <c r="A2148" s="2" t="s">
        <v>2566</v>
      </c>
      <c r="B2148" s="7">
        <v>48334413</v>
      </c>
      <c r="C2148" s="7">
        <v>450000</v>
      </c>
      <c r="D2148" s="7">
        <f t="shared" si="34"/>
        <v>47884413</v>
      </c>
    </row>
    <row r="2149" spans="1:4" ht="18" customHeight="1" x14ac:dyDescent="0.25">
      <c r="A2149" s="2" t="s">
        <v>4175</v>
      </c>
      <c r="B2149" s="7">
        <v>17321573</v>
      </c>
      <c r="C2149" s="7">
        <v>39751583.5</v>
      </c>
      <c r="D2149" s="7">
        <f t="shared" si="34"/>
        <v>-22430010.5</v>
      </c>
    </row>
    <row r="2150" spans="1:4" ht="18" customHeight="1" x14ac:dyDescent="0.25">
      <c r="A2150" s="2" t="s">
        <v>2518</v>
      </c>
      <c r="B2150" s="7">
        <v>48334413</v>
      </c>
      <c r="C2150" s="7">
        <v>650000</v>
      </c>
      <c r="D2150" s="7">
        <f t="shared" si="34"/>
        <v>47684413</v>
      </c>
    </row>
    <row r="2151" spans="1:4" ht="18" customHeight="1" x14ac:dyDescent="0.25">
      <c r="A2151" s="2" t="s">
        <v>4057</v>
      </c>
      <c r="B2151" s="7">
        <v>19151864</v>
      </c>
      <c r="C2151" s="7">
        <v>40000000</v>
      </c>
      <c r="D2151" s="7">
        <f t="shared" si="34"/>
        <v>-20848136</v>
      </c>
    </row>
    <row r="2152" spans="1:4" ht="18" customHeight="1" x14ac:dyDescent="0.25">
      <c r="A2152" s="2" t="s">
        <v>848</v>
      </c>
      <c r="B2152" s="7">
        <v>59573085</v>
      </c>
      <c r="C2152" s="7">
        <v>18000000</v>
      </c>
      <c r="D2152" s="7">
        <f t="shared" si="34"/>
        <v>41573085</v>
      </c>
    </row>
    <row r="2153" spans="1:4" ht="18" customHeight="1" x14ac:dyDescent="0.25">
      <c r="A2153" s="2" t="s">
        <v>2161</v>
      </c>
      <c r="B2153" s="7">
        <v>48334413</v>
      </c>
      <c r="C2153" s="7">
        <v>3000000</v>
      </c>
      <c r="D2153" s="7">
        <f t="shared" si="34"/>
        <v>45334413</v>
      </c>
    </row>
    <row r="2154" spans="1:4" ht="18" customHeight="1" x14ac:dyDescent="0.25">
      <c r="A2154" s="2" t="s">
        <v>1091</v>
      </c>
      <c r="B2154" s="7">
        <v>51527787</v>
      </c>
      <c r="C2154" s="7">
        <v>15000000</v>
      </c>
      <c r="D2154" s="7">
        <f t="shared" si="34"/>
        <v>36527787</v>
      </c>
    </row>
    <row r="2155" spans="1:4" ht="18" customHeight="1" x14ac:dyDescent="0.25">
      <c r="A2155" s="2" t="s">
        <v>5859</v>
      </c>
      <c r="B2155" s="7">
        <v>866778</v>
      </c>
      <c r="C2155" s="7">
        <v>10000000</v>
      </c>
      <c r="D2155" s="7">
        <f t="shared" si="34"/>
        <v>-9133222</v>
      </c>
    </row>
    <row r="2156" spans="1:4" ht="18" customHeight="1" x14ac:dyDescent="0.25">
      <c r="A2156" s="2" t="s">
        <v>4303</v>
      </c>
      <c r="B2156" s="7">
        <v>15549702</v>
      </c>
      <c r="C2156" s="7">
        <v>14000000</v>
      </c>
      <c r="D2156" s="7">
        <f t="shared" si="34"/>
        <v>1549702</v>
      </c>
    </row>
    <row r="2157" spans="1:4" ht="18" customHeight="1" x14ac:dyDescent="0.25">
      <c r="A2157" s="2" t="s">
        <v>1041</v>
      </c>
      <c r="B2157" s="7">
        <v>52929168</v>
      </c>
      <c r="C2157" s="7">
        <v>11000000</v>
      </c>
      <c r="D2157" s="7">
        <f t="shared" si="34"/>
        <v>41929168</v>
      </c>
    </row>
    <row r="2158" spans="1:4" ht="18" customHeight="1" x14ac:dyDescent="0.25">
      <c r="A2158" s="2" t="s">
        <v>6421</v>
      </c>
      <c r="B2158" s="7">
        <v>85222</v>
      </c>
      <c r="C2158" s="7">
        <v>1100</v>
      </c>
      <c r="D2158" s="7">
        <f t="shared" si="34"/>
        <v>84122</v>
      </c>
    </row>
    <row r="2159" spans="1:4" ht="18" customHeight="1" x14ac:dyDescent="0.25">
      <c r="A2159" s="2" t="s">
        <v>3289</v>
      </c>
      <c r="B2159" s="7">
        <v>34099640</v>
      </c>
      <c r="C2159" s="7">
        <v>5000000</v>
      </c>
      <c r="D2159" s="7">
        <f t="shared" si="34"/>
        <v>29099640</v>
      </c>
    </row>
    <row r="2160" spans="1:4" ht="18" customHeight="1" x14ac:dyDescent="0.25">
      <c r="A2160" s="2" t="s">
        <v>6171</v>
      </c>
      <c r="B2160" s="7">
        <v>246574</v>
      </c>
      <c r="C2160" s="7">
        <v>39751583.5</v>
      </c>
      <c r="D2160" s="7">
        <f t="shared" si="34"/>
        <v>-39505009.5</v>
      </c>
    </row>
    <row r="2161" spans="1:4" ht="18" customHeight="1" x14ac:dyDescent="0.25">
      <c r="A2161" s="2" t="s">
        <v>581</v>
      </c>
      <c r="B2161" s="7">
        <v>72000000</v>
      </c>
      <c r="C2161" s="7">
        <v>17000000</v>
      </c>
      <c r="D2161" s="7">
        <f t="shared" si="34"/>
        <v>55000000</v>
      </c>
    </row>
    <row r="2162" spans="1:4" ht="18" customHeight="1" x14ac:dyDescent="0.25">
      <c r="A2162" s="2" t="s">
        <v>3173</v>
      </c>
      <c r="B2162" s="7">
        <v>36830057</v>
      </c>
      <c r="C2162" s="7">
        <v>65000000</v>
      </c>
      <c r="D2162" s="7">
        <f t="shared" si="34"/>
        <v>-28169943</v>
      </c>
    </row>
    <row r="2163" spans="1:4" ht="18" customHeight="1" x14ac:dyDescent="0.25">
      <c r="A2163" s="2" t="s">
        <v>3882</v>
      </c>
      <c r="B2163" s="7">
        <v>22294341</v>
      </c>
      <c r="C2163" s="7">
        <v>21500000</v>
      </c>
      <c r="D2163" s="7">
        <f t="shared" si="34"/>
        <v>794341</v>
      </c>
    </row>
    <row r="2164" spans="1:4" ht="18" customHeight="1" x14ac:dyDescent="0.25">
      <c r="A2164" s="2" t="s">
        <v>839</v>
      </c>
      <c r="B2164" s="7">
        <v>59847242</v>
      </c>
      <c r="C2164" s="7">
        <v>16500000</v>
      </c>
      <c r="D2164" s="7">
        <f t="shared" si="34"/>
        <v>43347242</v>
      </c>
    </row>
    <row r="2165" spans="1:4" ht="18" customHeight="1" x14ac:dyDescent="0.25">
      <c r="A2165" s="2" t="s">
        <v>2454</v>
      </c>
      <c r="B2165" s="7">
        <v>48334413</v>
      </c>
      <c r="C2165" s="7">
        <v>1000000</v>
      </c>
      <c r="D2165" s="7">
        <f t="shared" si="34"/>
        <v>47334413</v>
      </c>
    </row>
    <row r="2166" spans="1:4" ht="18" customHeight="1" x14ac:dyDescent="0.25">
      <c r="A2166" s="2" t="s">
        <v>4821</v>
      </c>
      <c r="B2166" s="7">
        <v>8662318</v>
      </c>
      <c r="C2166" s="7">
        <v>17000000</v>
      </c>
      <c r="D2166" s="7">
        <f t="shared" si="34"/>
        <v>-8337682</v>
      </c>
    </row>
    <row r="2167" spans="1:4" ht="18" customHeight="1" x14ac:dyDescent="0.25">
      <c r="A2167" s="2" t="s">
        <v>6069</v>
      </c>
      <c r="B2167" s="7">
        <v>395592</v>
      </c>
      <c r="C2167" s="7">
        <v>2000000</v>
      </c>
      <c r="D2167" s="7">
        <f t="shared" si="34"/>
        <v>-1604408</v>
      </c>
    </row>
    <row r="2168" spans="1:4" ht="18" customHeight="1" x14ac:dyDescent="0.25">
      <c r="A2168" s="2" t="s">
        <v>6492</v>
      </c>
      <c r="B2168" s="7">
        <v>50000</v>
      </c>
      <c r="C2168" s="7">
        <v>39751583.5</v>
      </c>
      <c r="D2168" s="7">
        <f t="shared" si="34"/>
        <v>-39701583.5</v>
      </c>
    </row>
    <row r="2169" spans="1:4" ht="18" customHeight="1" x14ac:dyDescent="0.25">
      <c r="A2169" s="2" t="s">
        <v>6262</v>
      </c>
      <c r="B2169" s="7">
        <v>173066</v>
      </c>
      <c r="C2169" s="7">
        <v>1500000</v>
      </c>
      <c r="D2169" s="7">
        <f t="shared" si="34"/>
        <v>-1326934</v>
      </c>
    </row>
    <row r="2170" spans="1:4" ht="18" customHeight="1" x14ac:dyDescent="0.25">
      <c r="A2170" s="2" t="s">
        <v>5316</v>
      </c>
      <c r="B2170" s="7">
        <v>4018695</v>
      </c>
      <c r="C2170" s="7">
        <v>12000000</v>
      </c>
      <c r="D2170" s="7">
        <f t="shared" si="34"/>
        <v>-7981305</v>
      </c>
    </row>
    <row r="2171" spans="1:4" ht="18" customHeight="1" x14ac:dyDescent="0.25">
      <c r="A2171" s="2" t="s">
        <v>5035</v>
      </c>
      <c r="B2171" s="7">
        <v>6401336</v>
      </c>
      <c r="C2171" s="7">
        <v>2500000</v>
      </c>
      <c r="D2171" s="7">
        <f t="shared" si="34"/>
        <v>3901336</v>
      </c>
    </row>
    <row r="2172" spans="1:4" ht="18" customHeight="1" x14ac:dyDescent="0.25">
      <c r="A2172" s="2" t="s">
        <v>1182</v>
      </c>
      <c r="B2172" s="7">
        <v>49185998</v>
      </c>
      <c r="C2172" s="7">
        <v>30000000</v>
      </c>
      <c r="D2172" s="7">
        <f t="shared" si="34"/>
        <v>19185998</v>
      </c>
    </row>
    <row r="2173" spans="1:4" ht="18" customHeight="1" x14ac:dyDescent="0.25">
      <c r="A2173" s="2" t="s">
        <v>4372</v>
      </c>
      <c r="B2173" s="7">
        <v>14637490</v>
      </c>
      <c r="C2173" s="7">
        <v>25000000</v>
      </c>
      <c r="D2173" s="7">
        <f t="shared" si="34"/>
        <v>-10362510</v>
      </c>
    </row>
    <row r="2174" spans="1:4" ht="18" customHeight="1" x14ac:dyDescent="0.25">
      <c r="A2174" s="2" t="s">
        <v>4441</v>
      </c>
      <c r="B2174" s="7">
        <v>13854000</v>
      </c>
      <c r="C2174" s="7">
        <v>20000000</v>
      </c>
      <c r="D2174" s="7">
        <f t="shared" si="34"/>
        <v>-6146000</v>
      </c>
    </row>
    <row r="2175" spans="1:4" ht="18" customHeight="1" x14ac:dyDescent="0.25">
      <c r="A2175" s="2" t="s">
        <v>5826</v>
      </c>
      <c r="B2175" s="7">
        <v>992238</v>
      </c>
      <c r="C2175" s="7">
        <v>1700000</v>
      </c>
      <c r="D2175" s="7">
        <f t="shared" si="34"/>
        <v>-707762</v>
      </c>
    </row>
    <row r="2176" spans="1:4" ht="18" customHeight="1" x14ac:dyDescent="0.25">
      <c r="A2176" s="2" t="s">
        <v>3865</v>
      </c>
      <c r="B2176" s="7">
        <v>22526144</v>
      </c>
      <c r="C2176" s="7">
        <v>30000000</v>
      </c>
      <c r="D2176" s="7">
        <f t="shared" si="34"/>
        <v>-7473856</v>
      </c>
    </row>
    <row r="2177" spans="1:4" ht="18" customHeight="1" x14ac:dyDescent="0.25">
      <c r="A2177" s="2" t="s">
        <v>4374</v>
      </c>
      <c r="B2177" s="7">
        <v>14597405</v>
      </c>
      <c r="C2177" s="7">
        <v>6400000</v>
      </c>
      <c r="D2177" s="7">
        <f t="shared" si="34"/>
        <v>8197405</v>
      </c>
    </row>
    <row r="2178" spans="1:4" ht="18" customHeight="1" x14ac:dyDescent="0.25">
      <c r="A2178" s="2" t="s">
        <v>3521</v>
      </c>
      <c r="B2178" s="7">
        <v>29655590</v>
      </c>
      <c r="C2178" s="7">
        <v>65000000</v>
      </c>
      <c r="D2178" s="7">
        <f t="shared" si="34"/>
        <v>-35344410</v>
      </c>
    </row>
    <row r="2179" spans="1:4" ht="18" customHeight="1" x14ac:dyDescent="0.25">
      <c r="A2179" s="2" t="s">
        <v>4809</v>
      </c>
      <c r="B2179" s="7">
        <v>8888143</v>
      </c>
      <c r="C2179" s="7">
        <v>28000000</v>
      </c>
      <c r="D2179" s="7">
        <f t="shared" si="34"/>
        <v>-19111857</v>
      </c>
    </row>
    <row r="2180" spans="1:4" ht="18" customHeight="1" x14ac:dyDescent="0.25">
      <c r="A2180" s="2" t="s">
        <v>4534</v>
      </c>
      <c r="B2180" s="7">
        <v>12793213</v>
      </c>
      <c r="C2180" s="7">
        <v>6000000</v>
      </c>
      <c r="D2180" s="7">
        <f t="shared" si="34"/>
        <v>6793213</v>
      </c>
    </row>
    <row r="2181" spans="1:4" ht="18" customHeight="1" x14ac:dyDescent="0.25">
      <c r="A2181" s="2" t="s">
        <v>289</v>
      </c>
      <c r="B2181" s="7">
        <v>90135191</v>
      </c>
      <c r="C2181" s="7">
        <v>25000000</v>
      </c>
      <c r="D2181" s="7">
        <f t="shared" ref="D2181:D2244" si="35">B2181-C2181</f>
        <v>65135191</v>
      </c>
    </row>
    <row r="2182" spans="1:4" ht="18" customHeight="1" x14ac:dyDescent="0.25">
      <c r="A2182" s="2" t="s">
        <v>424</v>
      </c>
      <c r="B2182" s="7">
        <v>80197993</v>
      </c>
      <c r="C2182" s="7">
        <v>32000000</v>
      </c>
      <c r="D2182" s="7">
        <f t="shared" si="35"/>
        <v>48197993</v>
      </c>
    </row>
    <row r="2183" spans="1:4" ht="18" customHeight="1" x14ac:dyDescent="0.25">
      <c r="A2183" s="2" t="s">
        <v>1106</v>
      </c>
      <c r="B2183" s="7">
        <v>51109400</v>
      </c>
      <c r="C2183" s="7">
        <v>30000000</v>
      </c>
      <c r="D2183" s="7">
        <f t="shared" si="35"/>
        <v>21109400</v>
      </c>
    </row>
    <row r="2184" spans="1:4" ht="18" customHeight="1" x14ac:dyDescent="0.25">
      <c r="A2184" s="2" t="s">
        <v>5748</v>
      </c>
      <c r="B2184" s="7">
        <v>1207007</v>
      </c>
      <c r="C2184" s="7">
        <v>39751583.5</v>
      </c>
      <c r="D2184" s="7">
        <f t="shared" si="35"/>
        <v>-38544576.5</v>
      </c>
    </row>
    <row r="2185" spans="1:4" ht="18" customHeight="1" x14ac:dyDescent="0.25">
      <c r="A2185" s="2" t="s">
        <v>3714</v>
      </c>
      <c r="B2185" s="7">
        <v>25584685</v>
      </c>
      <c r="C2185" s="7">
        <v>20000000</v>
      </c>
      <c r="D2185" s="7">
        <f t="shared" si="35"/>
        <v>5584685</v>
      </c>
    </row>
    <row r="2186" spans="1:4" ht="18" customHeight="1" x14ac:dyDescent="0.25">
      <c r="A2186" s="2" t="s">
        <v>3539</v>
      </c>
      <c r="B2186" s="7">
        <v>28995450</v>
      </c>
      <c r="C2186" s="7">
        <v>35000000</v>
      </c>
      <c r="D2186" s="7">
        <f t="shared" si="35"/>
        <v>-6004550</v>
      </c>
    </row>
    <row r="2187" spans="1:4" ht="18" customHeight="1" x14ac:dyDescent="0.25">
      <c r="A2187" s="2" t="s">
        <v>2784</v>
      </c>
      <c r="B2187" s="7">
        <v>47124400</v>
      </c>
      <c r="C2187" s="7">
        <v>25000000</v>
      </c>
      <c r="D2187" s="7">
        <f t="shared" si="35"/>
        <v>22124400</v>
      </c>
    </row>
    <row r="2188" spans="1:4" ht="18" customHeight="1" x14ac:dyDescent="0.25">
      <c r="A2188" s="2" t="s">
        <v>2864</v>
      </c>
      <c r="B2188" s="7">
        <v>44540956</v>
      </c>
      <c r="C2188" s="7">
        <v>400000</v>
      </c>
      <c r="D2188" s="7">
        <f t="shared" si="35"/>
        <v>44140956</v>
      </c>
    </row>
    <row r="2189" spans="1:4" ht="18" customHeight="1" x14ac:dyDescent="0.25">
      <c r="A2189" s="2" t="s">
        <v>4696</v>
      </c>
      <c r="B2189" s="7">
        <v>10460089</v>
      </c>
      <c r="C2189" s="7">
        <v>7500000</v>
      </c>
      <c r="D2189" s="7">
        <f t="shared" si="35"/>
        <v>2960089</v>
      </c>
    </row>
    <row r="2190" spans="1:4" ht="18" customHeight="1" x14ac:dyDescent="0.25">
      <c r="A2190" s="2" t="s">
        <v>794</v>
      </c>
      <c r="B2190" s="7">
        <v>61400000</v>
      </c>
      <c r="C2190" s="7">
        <v>15000000</v>
      </c>
      <c r="D2190" s="7">
        <f t="shared" si="35"/>
        <v>46400000</v>
      </c>
    </row>
    <row r="2191" spans="1:4" ht="18" customHeight="1" x14ac:dyDescent="0.25">
      <c r="A2191" s="2" t="s">
        <v>6660</v>
      </c>
      <c r="B2191" s="7">
        <v>10508</v>
      </c>
      <c r="C2191" s="7">
        <v>700000</v>
      </c>
      <c r="D2191" s="7">
        <f t="shared" si="35"/>
        <v>-689492</v>
      </c>
    </row>
    <row r="2192" spans="1:4" ht="18" customHeight="1" x14ac:dyDescent="0.25">
      <c r="A2192" s="2" t="s">
        <v>1398</v>
      </c>
      <c r="B2192" s="7">
        <v>48334413</v>
      </c>
      <c r="C2192" s="7">
        <v>39751583.5</v>
      </c>
      <c r="D2192" s="7">
        <f t="shared" si="35"/>
        <v>8582829.5</v>
      </c>
    </row>
    <row r="2193" spans="1:4" ht="18" customHeight="1" x14ac:dyDescent="0.25">
      <c r="A2193" s="2" t="s">
        <v>6393</v>
      </c>
      <c r="B2193" s="7">
        <v>100358</v>
      </c>
      <c r="C2193" s="7">
        <v>1500000</v>
      </c>
      <c r="D2193" s="7">
        <f t="shared" si="35"/>
        <v>-1399642</v>
      </c>
    </row>
    <row r="2194" spans="1:4" ht="18" customHeight="1" x14ac:dyDescent="0.25">
      <c r="A2194" s="2" t="s">
        <v>4149</v>
      </c>
      <c r="B2194" s="7">
        <v>17613460</v>
      </c>
      <c r="C2194" s="7">
        <v>12000000</v>
      </c>
      <c r="D2194" s="7">
        <f t="shared" si="35"/>
        <v>5613460</v>
      </c>
    </row>
    <row r="2195" spans="1:4" ht="18" customHeight="1" x14ac:dyDescent="0.25">
      <c r="A2195" s="2" t="s">
        <v>2899</v>
      </c>
      <c r="B2195" s="7">
        <v>43568507</v>
      </c>
      <c r="C2195" s="7">
        <v>66000000</v>
      </c>
      <c r="D2195" s="7">
        <f t="shared" si="35"/>
        <v>-22431493</v>
      </c>
    </row>
    <row r="2196" spans="1:4" ht="18" customHeight="1" x14ac:dyDescent="0.25">
      <c r="A2196" s="2" t="s">
        <v>970</v>
      </c>
      <c r="B2196" s="7">
        <v>55291815</v>
      </c>
      <c r="C2196" s="7">
        <v>35000000</v>
      </c>
      <c r="D2196" s="7">
        <f t="shared" si="35"/>
        <v>20291815</v>
      </c>
    </row>
    <row r="2197" spans="1:4" ht="18" customHeight="1" x14ac:dyDescent="0.25">
      <c r="A2197" s="2" t="s">
        <v>3545</v>
      </c>
      <c r="B2197" s="7">
        <v>28876924</v>
      </c>
      <c r="C2197" s="7">
        <v>20000000</v>
      </c>
      <c r="D2197" s="7">
        <f t="shared" si="35"/>
        <v>8876924</v>
      </c>
    </row>
    <row r="2198" spans="1:4" ht="18" customHeight="1" x14ac:dyDescent="0.25">
      <c r="A2198" s="2" t="s">
        <v>2093</v>
      </c>
      <c r="B2198" s="7">
        <v>48334413</v>
      </c>
      <c r="C2198" s="7">
        <v>3800000</v>
      </c>
      <c r="D2198" s="7">
        <f t="shared" si="35"/>
        <v>44534413</v>
      </c>
    </row>
    <row r="2199" spans="1:4" ht="18" customHeight="1" x14ac:dyDescent="0.25">
      <c r="A2199" s="2" t="s">
        <v>6143</v>
      </c>
      <c r="B2199" s="7">
        <v>295468</v>
      </c>
      <c r="C2199" s="7">
        <v>500000</v>
      </c>
      <c r="D2199" s="7">
        <f t="shared" si="35"/>
        <v>-204532</v>
      </c>
    </row>
    <row r="2200" spans="1:4" ht="18" customHeight="1" x14ac:dyDescent="0.25">
      <c r="A2200" s="2" t="s">
        <v>2169</v>
      </c>
      <c r="B2200" s="7">
        <v>48334413</v>
      </c>
      <c r="C2200" s="7">
        <v>3000000</v>
      </c>
      <c r="D2200" s="7">
        <f t="shared" si="35"/>
        <v>45334413</v>
      </c>
    </row>
    <row r="2201" spans="1:4" ht="18" customHeight="1" x14ac:dyDescent="0.25">
      <c r="A2201" s="2" t="s">
        <v>3767</v>
      </c>
      <c r="B2201" s="7">
        <v>24848292</v>
      </c>
      <c r="C2201" s="7">
        <v>20000000</v>
      </c>
      <c r="D2201" s="7">
        <f t="shared" si="35"/>
        <v>4848292</v>
      </c>
    </row>
    <row r="2202" spans="1:4" ht="18" customHeight="1" x14ac:dyDescent="0.25">
      <c r="A2202" s="2" t="s">
        <v>5541</v>
      </c>
      <c r="B2202" s="7">
        <v>2412045</v>
      </c>
      <c r="C2202" s="7">
        <v>15000000</v>
      </c>
      <c r="D2202" s="7">
        <f t="shared" si="35"/>
        <v>-12587955</v>
      </c>
    </row>
    <row r="2203" spans="1:4" ht="18" customHeight="1" x14ac:dyDescent="0.25">
      <c r="A2203" s="2" t="s">
        <v>964</v>
      </c>
      <c r="B2203" s="7">
        <v>55500000</v>
      </c>
      <c r="C2203" s="7">
        <v>36000000</v>
      </c>
      <c r="D2203" s="7">
        <f t="shared" si="35"/>
        <v>19500000</v>
      </c>
    </row>
    <row r="2204" spans="1:4" ht="18" customHeight="1" x14ac:dyDescent="0.25">
      <c r="A2204" s="2" t="s">
        <v>4221</v>
      </c>
      <c r="B2204" s="7">
        <v>16699684</v>
      </c>
      <c r="C2204" s="7">
        <v>8000000</v>
      </c>
      <c r="D2204" s="7">
        <f t="shared" si="35"/>
        <v>8699684</v>
      </c>
    </row>
    <row r="2205" spans="1:4" ht="18" customHeight="1" x14ac:dyDescent="0.25">
      <c r="A2205" s="2" t="s">
        <v>4123</v>
      </c>
      <c r="B2205" s="7">
        <v>18090181</v>
      </c>
      <c r="C2205" s="7">
        <v>8000000</v>
      </c>
      <c r="D2205" s="7">
        <f t="shared" si="35"/>
        <v>10090181</v>
      </c>
    </row>
    <row r="2206" spans="1:4" ht="18" customHeight="1" x14ac:dyDescent="0.25">
      <c r="A2206" s="2" t="s">
        <v>990</v>
      </c>
      <c r="B2206" s="7">
        <v>54540525</v>
      </c>
      <c r="C2206" s="7">
        <v>56000000</v>
      </c>
      <c r="D2206" s="7">
        <f t="shared" si="35"/>
        <v>-1459475</v>
      </c>
    </row>
    <row r="2207" spans="1:4" ht="18" customHeight="1" x14ac:dyDescent="0.25">
      <c r="A2207" s="2" t="s">
        <v>4422</v>
      </c>
      <c r="B2207" s="7">
        <v>14018364</v>
      </c>
      <c r="C2207" s="7">
        <v>30000000</v>
      </c>
      <c r="D2207" s="7">
        <f t="shared" si="35"/>
        <v>-15981636</v>
      </c>
    </row>
    <row r="2208" spans="1:4" ht="18" customHeight="1" x14ac:dyDescent="0.25">
      <c r="A2208" s="2" t="s">
        <v>4669</v>
      </c>
      <c r="B2208" s="7">
        <v>10763469</v>
      </c>
      <c r="C2208" s="7">
        <v>15000000</v>
      </c>
      <c r="D2208" s="7">
        <f t="shared" si="35"/>
        <v>-4236531</v>
      </c>
    </row>
    <row r="2209" spans="1:4" ht="18" customHeight="1" x14ac:dyDescent="0.25">
      <c r="A2209" s="2" t="s">
        <v>1760</v>
      </c>
      <c r="B2209" s="7">
        <v>48334413</v>
      </c>
      <c r="C2209" s="7">
        <v>14000000</v>
      </c>
      <c r="D2209" s="7">
        <f t="shared" si="35"/>
        <v>34334413</v>
      </c>
    </row>
    <row r="2210" spans="1:4" ht="18" customHeight="1" x14ac:dyDescent="0.25">
      <c r="A2210" s="2" t="s">
        <v>6703</v>
      </c>
      <c r="B2210" s="7">
        <v>4584</v>
      </c>
      <c r="C2210" s="7">
        <v>9000</v>
      </c>
      <c r="D2210" s="7">
        <f t="shared" si="35"/>
        <v>-4416</v>
      </c>
    </row>
    <row r="2211" spans="1:4" ht="18" customHeight="1" x14ac:dyDescent="0.25">
      <c r="A2211" s="2" t="s">
        <v>4749</v>
      </c>
      <c r="B2211" s="7">
        <v>10017041</v>
      </c>
      <c r="C2211" s="7">
        <v>3000000</v>
      </c>
      <c r="D2211" s="7">
        <f t="shared" si="35"/>
        <v>7017041</v>
      </c>
    </row>
    <row r="2212" spans="1:4" ht="18" customHeight="1" x14ac:dyDescent="0.25">
      <c r="A2212" s="2" t="s">
        <v>901</v>
      </c>
      <c r="B2212" s="7">
        <v>57176582</v>
      </c>
      <c r="C2212" s="7">
        <v>9500000</v>
      </c>
      <c r="D2212" s="7">
        <f t="shared" si="35"/>
        <v>47676582</v>
      </c>
    </row>
    <row r="2213" spans="1:4" ht="18" customHeight="1" x14ac:dyDescent="0.25">
      <c r="A2213" s="2" t="s">
        <v>5391</v>
      </c>
      <c r="B2213" s="7">
        <v>3386698</v>
      </c>
      <c r="C2213" s="7">
        <v>1000000</v>
      </c>
      <c r="D2213" s="7">
        <f t="shared" si="35"/>
        <v>2386698</v>
      </c>
    </row>
    <row r="2214" spans="1:4" ht="18" customHeight="1" x14ac:dyDescent="0.25">
      <c r="A2214" s="2" t="s">
        <v>2387</v>
      </c>
      <c r="B2214" s="7">
        <v>48334413</v>
      </c>
      <c r="C2214" s="7">
        <v>1250000</v>
      </c>
      <c r="D2214" s="7">
        <f t="shared" si="35"/>
        <v>47084413</v>
      </c>
    </row>
    <row r="2215" spans="1:4" ht="18" customHeight="1" x14ac:dyDescent="0.25">
      <c r="A2215" s="2" t="s">
        <v>5724</v>
      </c>
      <c r="B2215" s="7">
        <v>1309849</v>
      </c>
      <c r="C2215" s="7">
        <v>10000000</v>
      </c>
      <c r="D2215" s="7">
        <f t="shared" si="35"/>
        <v>-8690151</v>
      </c>
    </row>
    <row r="2216" spans="1:4" ht="18" customHeight="1" x14ac:dyDescent="0.25">
      <c r="A2216" s="2" t="s">
        <v>3439</v>
      </c>
      <c r="B2216" s="7">
        <v>31487293</v>
      </c>
      <c r="C2216" s="7">
        <v>9000000</v>
      </c>
      <c r="D2216" s="7">
        <f t="shared" si="35"/>
        <v>22487293</v>
      </c>
    </row>
    <row r="2217" spans="1:4" ht="18" customHeight="1" x14ac:dyDescent="0.25">
      <c r="A2217" s="2" t="s">
        <v>2668</v>
      </c>
      <c r="B2217" s="7">
        <v>48334413</v>
      </c>
      <c r="C2217" s="7">
        <v>114000</v>
      </c>
      <c r="D2217" s="7">
        <f t="shared" si="35"/>
        <v>48220413</v>
      </c>
    </row>
    <row r="2218" spans="1:4" ht="18" customHeight="1" x14ac:dyDescent="0.25">
      <c r="A2218" s="2" t="s">
        <v>5695</v>
      </c>
      <c r="B2218" s="7">
        <v>1487477</v>
      </c>
      <c r="C2218" s="7">
        <v>4200000</v>
      </c>
      <c r="D2218" s="7">
        <f t="shared" si="35"/>
        <v>-2712523</v>
      </c>
    </row>
    <row r="2219" spans="1:4" ht="18" customHeight="1" x14ac:dyDescent="0.25">
      <c r="A2219" s="2" t="s">
        <v>3381</v>
      </c>
      <c r="B2219" s="7">
        <v>32279955</v>
      </c>
      <c r="C2219" s="7">
        <v>8500000</v>
      </c>
      <c r="D2219" s="7">
        <f t="shared" si="35"/>
        <v>23779955</v>
      </c>
    </row>
    <row r="2220" spans="1:4" ht="18" customHeight="1" x14ac:dyDescent="0.25">
      <c r="A2220" s="2" t="s">
        <v>1991</v>
      </c>
      <c r="B2220" s="7">
        <v>48334413</v>
      </c>
      <c r="C2220" s="7">
        <v>5000000</v>
      </c>
      <c r="D2220" s="7">
        <f t="shared" si="35"/>
        <v>43334413</v>
      </c>
    </row>
    <row r="2221" spans="1:4" ht="18" customHeight="1" x14ac:dyDescent="0.25">
      <c r="A2221" s="2" t="s">
        <v>1370</v>
      </c>
      <c r="B2221" s="7">
        <v>48334413</v>
      </c>
      <c r="C2221" s="7">
        <v>39751583.5</v>
      </c>
      <c r="D2221" s="7">
        <f t="shared" si="35"/>
        <v>8582829.5</v>
      </c>
    </row>
    <row r="2222" spans="1:4" ht="18" customHeight="1" x14ac:dyDescent="0.25">
      <c r="A2222" s="2" t="s">
        <v>2757</v>
      </c>
      <c r="B2222" s="7">
        <v>48006503</v>
      </c>
      <c r="C2222" s="7">
        <v>37000000</v>
      </c>
      <c r="D2222" s="7">
        <f t="shared" si="35"/>
        <v>11006503</v>
      </c>
    </row>
    <row r="2223" spans="1:4" ht="18" customHeight="1" x14ac:dyDescent="0.25">
      <c r="A2223" s="2" t="s">
        <v>2268</v>
      </c>
      <c r="B2223" s="7">
        <v>48334413</v>
      </c>
      <c r="C2223" s="7">
        <v>2000000</v>
      </c>
      <c r="D2223" s="7">
        <f t="shared" si="35"/>
        <v>46334413</v>
      </c>
    </row>
    <row r="2224" spans="1:4" ht="18" customHeight="1" x14ac:dyDescent="0.25">
      <c r="A2224" s="2" t="s">
        <v>5746</v>
      </c>
      <c r="B2224" s="7">
        <v>1221261</v>
      </c>
      <c r="C2224" s="7">
        <v>1500000</v>
      </c>
      <c r="D2224" s="7">
        <f t="shared" si="35"/>
        <v>-278739</v>
      </c>
    </row>
    <row r="2225" spans="1:4" ht="18" customHeight="1" x14ac:dyDescent="0.25">
      <c r="A2225" s="2" t="s">
        <v>4028</v>
      </c>
      <c r="B2225" s="7">
        <v>19673424</v>
      </c>
      <c r="C2225" s="7">
        <v>80000000</v>
      </c>
      <c r="D2225" s="7">
        <f t="shared" si="35"/>
        <v>-60326576</v>
      </c>
    </row>
    <row r="2226" spans="1:4" ht="18" customHeight="1" x14ac:dyDescent="0.25">
      <c r="A2226" s="2" t="s">
        <v>3098</v>
      </c>
      <c r="B2226" s="7">
        <v>38105077</v>
      </c>
      <c r="C2226" s="7">
        <v>40000000</v>
      </c>
      <c r="D2226" s="7">
        <f t="shared" si="35"/>
        <v>-1894923</v>
      </c>
    </row>
    <row r="2227" spans="1:4" ht="18" customHeight="1" x14ac:dyDescent="0.25">
      <c r="A2227" s="2" t="s">
        <v>4469</v>
      </c>
      <c r="B2227" s="7">
        <v>13560960</v>
      </c>
      <c r="C2227" s="7">
        <v>50000000</v>
      </c>
      <c r="D2227" s="7">
        <f t="shared" si="35"/>
        <v>-36439040</v>
      </c>
    </row>
    <row r="2228" spans="1:4" ht="18" customHeight="1" x14ac:dyDescent="0.25">
      <c r="A2228" s="2" t="s">
        <v>543</v>
      </c>
      <c r="B2228" s="7">
        <v>74273505</v>
      </c>
      <c r="C2228" s="7">
        <v>25000000</v>
      </c>
      <c r="D2228" s="7">
        <f t="shared" si="35"/>
        <v>49273505</v>
      </c>
    </row>
    <row r="2229" spans="1:4" ht="18" customHeight="1" x14ac:dyDescent="0.25">
      <c r="A2229" s="2" t="s">
        <v>5702</v>
      </c>
      <c r="B2229" s="7">
        <v>1430185</v>
      </c>
      <c r="C2229" s="7">
        <v>2000000</v>
      </c>
      <c r="D2229" s="7">
        <f t="shared" si="35"/>
        <v>-569815</v>
      </c>
    </row>
    <row r="2230" spans="1:4" ht="18" customHeight="1" x14ac:dyDescent="0.25">
      <c r="A2230" s="2" t="s">
        <v>3616</v>
      </c>
      <c r="B2230" s="7">
        <v>27285953</v>
      </c>
      <c r="C2230" s="7">
        <v>5000000</v>
      </c>
      <c r="D2230" s="7">
        <f t="shared" si="35"/>
        <v>22285953</v>
      </c>
    </row>
    <row r="2231" spans="1:4" ht="18" customHeight="1" x14ac:dyDescent="0.25">
      <c r="A2231" s="2" t="s">
        <v>1052</v>
      </c>
      <c r="B2231" s="7">
        <v>52543632</v>
      </c>
      <c r="C2231" s="7">
        <v>13200000</v>
      </c>
      <c r="D2231" s="7">
        <f t="shared" si="35"/>
        <v>39343632</v>
      </c>
    </row>
    <row r="2232" spans="1:4" ht="18" customHeight="1" x14ac:dyDescent="0.25">
      <c r="A2232" s="2" t="s">
        <v>2275</v>
      </c>
      <c r="B2232" s="7">
        <v>48334413</v>
      </c>
      <c r="C2232" s="7">
        <v>2000000</v>
      </c>
      <c r="D2232" s="7">
        <f t="shared" si="35"/>
        <v>46334413</v>
      </c>
    </row>
    <row r="2233" spans="1:4" ht="18" customHeight="1" x14ac:dyDescent="0.25">
      <c r="A2233" s="2" t="s">
        <v>2908</v>
      </c>
      <c r="B2233" s="7">
        <v>43097652</v>
      </c>
      <c r="C2233" s="7">
        <v>28000000</v>
      </c>
      <c r="D2233" s="7">
        <f t="shared" si="35"/>
        <v>15097652</v>
      </c>
    </row>
    <row r="2234" spans="1:4" ht="18" customHeight="1" x14ac:dyDescent="0.25">
      <c r="A2234" s="2" t="s">
        <v>608</v>
      </c>
      <c r="B2234" s="7">
        <v>70625986</v>
      </c>
      <c r="C2234" s="7">
        <v>25000000</v>
      </c>
      <c r="D2234" s="7">
        <f t="shared" si="35"/>
        <v>45625986</v>
      </c>
    </row>
    <row r="2235" spans="1:4" ht="18" customHeight="1" x14ac:dyDescent="0.25">
      <c r="A2235" s="2" t="s">
        <v>2083</v>
      </c>
      <c r="B2235" s="7">
        <v>48334413</v>
      </c>
      <c r="C2235" s="7">
        <v>4000000</v>
      </c>
      <c r="D2235" s="7">
        <f t="shared" si="35"/>
        <v>44334413</v>
      </c>
    </row>
    <row r="2236" spans="1:4" ht="18" customHeight="1" x14ac:dyDescent="0.25">
      <c r="A2236" s="2" t="s">
        <v>6432</v>
      </c>
      <c r="B2236" s="7">
        <v>77231</v>
      </c>
      <c r="C2236" s="7">
        <v>25000000</v>
      </c>
      <c r="D2236" s="7">
        <f t="shared" si="35"/>
        <v>-24922769</v>
      </c>
    </row>
    <row r="2237" spans="1:4" ht="18" customHeight="1" x14ac:dyDescent="0.25">
      <c r="A2237" s="2" t="s">
        <v>255</v>
      </c>
      <c r="B2237" s="7">
        <v>91439400</v>
      </c>
      <c r="C2237" s="7">
        <v>50000000</v>
      </c>
      <c r="D2237" s="7">
        <f t="shared" si="35"/>
        <v>41439400</v>
      </c>
    </row>
    <row r="2238" spans="1:4" ht="18" customHeight="1" x14ac:dyDescent="0.25">
      <c r="A2238" s="2" t="s">
        <v>4109</v>
      </c>
      <c r="B2238" s="7">
        <v>18324242</v>
      </c>
      <c r="C2238" s="7">
        <v>35000000</v>
      </c>
      <c r="D2238" s="7">
        <f t="shared" si="35"/>
        <v>-16675758</v>
      </c>
    </row>
    <row r="2239" spans="1:4" ht="18" customHeight="1" x14ac:dyDescent="0.25">
      <c r="A2239" s="2" t="s">
        <v>5707</v>
      </c>
      <c r="B2239" s="7">
        <v>1420578</v>
      </c>
      <c r="C2239" s="7">
        <v>1900000</v>
      </c>
      <c r="D2239" s="7">
        <f t="shared" si="35"/>
        <v>-479422</v>
      </c>
    </row>
    <row r="2240" spans="1:4" ht="18" customHeight="1" x14ac:dyDescent="0.25">
      <c r="A2240" s="2" t="s">
        <v>3109</v>
      </c>
      <c r="B2240" s="7">
        <v>37882551</v>
      </c>
      <c r="C2240" s="7">
        <v>16000000</v>
      </c>
      <c r="D2240" s="7">
        <f t="shared" si="35"/>
        <v>21882551</v>
      </c>
    </row>
    <row r="2241" spans="1:4" ht="18" customHeight="1" x14ac:dyDescent="0.25">
      <c r="A2241" s="2" t="s">
        <v>6533</v>
      </c>
      <c r="B2241" s="7">
        <v>35688</v>
      </c>
      <c r="C2241" s="7">
        <v>600000</v>
      </c>
      <c r="D2241" s="7">
        <f t="shared" si="35"/>
        <v>-564312</v>
      </c>
    </row>
    <row r="2242" spans="1:4" ht="18" customHeight="1" x14ac:dyDescent="0.25">
      <c r="A2242" s="2" t="s">
        <v>4680</v>
      </c>
      <c r="B2242" s="7">
        <v>10572742</v>
      </c>
      <c r="C2242" s="7">
        <v>8000000</v>
      </c>
      <c r="D2242" s="7">
        <f t="shared" si="35"/>
        <v>2572742</v>
      </c>
    </row>
    <row r="2243" spans="1:4" ht="18" customHeight="1" x14ac:dyDescent="0.25">
      <c r="A2243" s="2" t="s">
        <v>4162</v>
      </c>
      <c r="B2243" s="7">
        <v>17508670</v>
      </c>
      <c r="C2243" s="7">
        <v>15000000</v>
      </c>
      <c r="D2243" s="7">
        <f t="shared" si="35"/>
        <v>2508670</v>
      </c>
    </row>
    <row r="2244" spans="1:4" ht="18" customHeight="1" x14ac:dyDescent="0.25">
      <c r="A2244" s="2" t="s">
        <v>6648</v>
      </c>
      <c r="B2244" s="7">
        <v>12438</v>
      </c>
      <c r="C2244" s="7">
        <v>160000</v>
      </c>
      <c r="D2244" s="7">
        <f t="shared" si="35"/>
        <v>-147562</v>
      </c>
    </row>
    <row r="2245" spans="1:4" ht="18" customHeight="1" x14ac:dyDescent="0.25">
      <c r="A2245" s="2" t="s">
        <v>2870</v>
      </c>
      <c r="B2245" s="7">
        <v>44455658</v>
      </c>
      <c r="C2245" s="7">
        <v>25000000</v>
      </c>
      <c r="D2245" s="7">
        <f t="shared" ref="D2245:D2308" si="36">B2245-C2245</f>
        <v>19455658</v>
      </c>
    </row>
    <row r="2246" spans="1:4" ht="18" customHeight="1" x14ac:dyDescent="0.25">
      <c r="A2246" s="2" t="s">
        <v>1416</v>
      </c>
      <c r="B2246" s="7">
        <v>48334413</v>
      </c>
      <c r="C2246" s="7">
        <v>39751583.5</v>
      </c>
      <c r="D2246" s="7">
        <f t="shared" si="36"/>
        <v>8582829.5</v>
      </c>
    </row>
    <row r="2247" spans="1:4" ht="18" customHeight="1" x14ac:dyDescent="0.25">
      <c r="A2247" s="2" t="s">
        <v>6237</v>
      </c>
      <c r="B2247" s="7">
        <v>191309</v>
      </c>
      <c r="C2247" s="7">
        <v>150000</v>
      </c>
      <c r="D2247" s="7">
        <f t="shared" si="36"/>
        <v>41309</v>
      </c>
    </row>
    <row r="2248" spans="1:4" ht="18" customHeight="1" x14ac:dyDescent="0.25">
      <c r="A2248" s="2" t="s">
        <v>5616</v>
      </c>
      <c r="B2248" s="7">
        <v>2025238</v>
      </c>
      <c r="C2248" s="7">
        <v>6000000</v>
      </c>
      <c r="D2248" s="7">
        <f t="shared" si="36"/>
        <v>-3974762</v>
      </c>
    </row>
    <row r="2249" spans="1:4" ht="18" customHeight="1" x14ac:dyDescent="0.25">
      <c r="A2249" s="2" t="s">
        <v>1519</v>
      </c>
      <c r="B2249" s="7">
        <v>48334413</v>
      </c>
      <c r="C2249" s="7">
        <v>39751583.5</v>
      </c>
      <c r="D2249" s="7">
        <f t="shared" si="36"/>
        <v>8582829.5</v>
      </c>
    </row>
    <row r="2250" spans="1:4" ht="18" customHeight="1" x14ac:dyDescent="0.25">
      <c r="A2250" s="2" t="s">
        <v>730</v>
      </c>
      <c r="B2250" s="7">
        <v>64685359</v>
      </c>
      <c r="C2250" s="7">
        <v>90000000</v>
      </c>
      <c r="D2250" s="7">
        <f t="shared" si="36"/>
        <v>-25314641</v>
      </c>
    </row>
    <row r="2251" spans="1:4" ht="18" customHeight="1" x14ac:dyDescent="0.25">
      <c r="A2251" s="2" t="s">
        <v>5701</v>
      </c>
      <c r="B2251" s="7">
        <v>1445366</v>
      </c>
      <c r="C2251" s="7">
        <v>39751583.5</v>
      </c>
      <c r="D2251" s="7">
        <f t="shared" si="36"/>
        <v>-38306217.5</v>
      </c>
    </row>
    <row r="2252" spans="1:4" ht="18" customHeight="1" x14ac:dyDescent="0.25">
      <c r="A2252" s="2" t="s">
        <v>5054</v>
      </c>
      <c r="B2252" s="7">
        <v>6173485</v>
      </c>
      <c r="C2252" s="7">
        <v>7000000</v>
      </c>
      <c r="D2252" s="7">
        <f t="shared" si="36"/>
        <v>-826515</v>
      </c>
    </row>
    <row r="2253" spans="1:4" ht="18" customHeight="1" x14ac:dyDescent="0.25">
      <c r="A2253" s="2" t="s">
        <v>3894</v>
      </c>
      <c r="B2253" s="7">
        <v>22189039</v>
      </c>
      <c r="C2253" s="7">
        <v>15000000</v>
      </c>
      <c r="D2253" s="7">
        <f t="shared" si="36"/>
        <v>7189039</v>
      </c>
    </row>
    <row r="2254" spans="1:4" ht="18" customHeight="1" x14ac:dyDescent="0.25">
      <c r="A2254" s="2" t="s">
        <v>5523</v>
      </c>
      <c r="B2254" s="7">
        <v>2592808</v>
      </c>
      <c r="C2254" s="7">
        <v>39751583.5</v>
      </c>
      <c r="D2254" s="7">
        <f t="shared" si="36"/>
        <v>-37158775.5</v>
      </c>
    </row>
    <row r="2255" spans="1:4" ht="18" customHeight="1" x14ac:dyDescent="0.25">
      <c r="A2255" s="2" t="s">
        <v>1849</v>
      </c>
      <c r="B2255" s="7">
        <v>48334413</v>
      </c>
      <c r="C2255" s="7">
        <v>10000000</v>
      </c>
      <c r="D2255" s="7">
        <f t="shared" si="36"/>
        <v>38334413</v>
      </c>
    </row>
    <row r="2256" spans="1:4" ht="18" customHeight="1" x14ac:dyDescent="0.25">
      <c r="A2256" s="2" t="s">
        <v>3746</v>
      </c>
      <c r="B2256" s="7">
        <v>25167270</v>
      </c>
      <c r="C2256" s="7">
        <v>24000000</v>
      </c>
      <c r="D2256" s="7">
        <f t="shared" si="36"/>
        <v>1167270</v>
      </c>
    </row>
    <row r="2257" spans="1:4" ht="18" customHeight="1" x14ac:dyDescent="0.25">
      <c r="A2257" s="2" t="s">
        <v>2830</v>
      </c>
      <c r="B2257" s="7">
        <v>45506619</v>
      </c>
      <c r="C2257" s="7">
        <v>26000000</v>
      </c>
      <c r="D2257" s="7">
        <f t="shared" si="36"/>
        <v>19506619</v>
      </c>
    </row>
    <row r="2258" spans="1:4" ht="18" customHeight="1" x14ac:dyDescent="0.25">
      <c r="A2258" s="2" t="s">
        <v>4274</v>
      </c>
      <c r="B2258" s="7">
        <v>16017403</v>
      </c>
      <c r="C2258" s="7">
        <v>5000000</v>
      </c>
      <c r="D2258" s="7">
        <f t="shared" si="36"/>
        <v>11017403</v>
      </c>
    </row>
    <row r="2259" spans="1:4" ht="18" customHeight="1" x14ac:dyDescent="0.25">
      <c r="A2259" s="2" t="s">
        <v>1616</v>
      </c>
      <c r="B2259" s="7">
        <v>48334413</v>
      </c>
      <c r="C2259" s="7">
        <v>29500000</v>
      </c>
      <c r="D2259" s="7">
        <f t="shared" si="36"/>
        <v>18834413</v>
      </c>
    </row>
    <row r="2260" spans="1:4" ht="18" customHeight="1" x14ac:dyDescent="0.25">
      <c r="A2260" s="2" t="s">
        <v>3808</v>
      </c>
      <c r="B2260" s="7">
        <v>23993605</v>
      </c>
      <c r="C2260" s="7">
        <v>18000000</v>
      </c>
      <c r="D2260" s="7">
        <f t="shared" si="36"/>
        <v>5993605</v>
      </c>
    </row>
    <row r="2261" spans="1:4" ht="18" customHeight="1" x14ac:dyDescent="0.25">
      <c r="A2261" s="2" t="s">
        <v>5426</v>
      </c>
      <c r="B2261" s="7">
        <v>3122616</v>
      </c>
      <c r="C2261" s="7">
        <v>39751583.5</v>
      </c>
      <c r="D2261" s="7">
        <f t="shared" si="36"/>
        <v>-36628967.5</v>
      </c>
    </row>
    <row r="2262" spans="1:4" ht="18" customHeight="1" x14ac:dyDescent="0.25">
      <c r="A2262" s="2" t="s">
        <v>4041</v>
      </c>
      <c r="B2262" s="7">
        <v>19406406</v>
      </c>
      <c r="C2262" s="7">
        <v>40000000</v>
      </c>
      <c r="D2262" s="7">
        <f t="shared" si="36"/>
        <v>-20593594</v>
      </c>
    </row>
    <row r="2263" spans="1:4" ht="18" customHeight="1" x14ac:dyDescent="0.25">
      <c r="A2263" s="2" t="s">
        <v>5148</v>
      </c>
      <c r="B2263" s="7">
        <v>5355847</v>
      </c>
      <c r="C2263" s="7">
        <v>39751583.5</v>
      </c>
      <c r="D2263" s="7">
        <f t="shared" si="36"/>
        <v>-34395736.5</v>
      </c>
    </row>
    <row r="2264" spans="1:4" ht="18" customHeight="1" x14ac:dyDescent="0.25">
      <c r="A2264" s="2" t="s">
        <v>662</v>
      </c>
      <c r="B2264" s="7">
        <v>67900000</v>
      </c>
      <c r="C2264" s="7">
        <v>27500000</v>
      </c>
      <c r="D2264" s="7">
        <f t="shared" si="36"/>
        <v>40400000</v>
      </c>
    </row>
    <row r="2265" spans="1:4" ht="18" customHeight="1" x14ac:dyDescent="0.25">
      <c r="A2265" s="2" t="s">
        <v>3598</v>
      </c>
      <c r="B2265" s="7">
        <v>27689474</v>
      </c>
      <c r="C2265" s="7">
        <v>5000000</v>
      </c>
      <c r="D2265" s="7">
        <f t="shared" si="36"/>
        <v>22689474</v>
      </c>
    </row>
    <row r="2266" spans="1:4" ht="18" customHeight="1" x14ac:dyDescent="0.25">
      <c r="A2266" s="2" t="s">
        <v>5331</v>
      </c>
      <c r="B2266" s="7">
        <v>3950029</v>
      </c>
      <c r="C2266" s="7">
        <v>4000000</v>
      </c>
      <c r="D2266" s="7">
        <f t="shared" si="36"/>
        <v>-49971</v>
      </c>
    </row>
    <row r="2267" spans="1:4" ht="18" customHeight="1" x14ac:dyDescent="0.25">
      <c r="A2267" s="2" t="s">
        <v>6652</v>
      </c>
      <c r="B2267" s="7">
        <v>11835</v>
      </c>
      <c r="C2267" s="7">
        <v>10000000</v>
      </c>
      <c r="D2267" s="7">
        <f t="shared" si="36"/>
        <v>-9988165</v>
      </c>
    </row>
    <row r="2268" spans="1:4" ht="18" customHeight="1" x14ac:dyDescent="0.25">
      <c r="A2268" s="2" t="s">
        <v>4666</v>
      </c>
      <c r="B2268" s="7">
        <v>10824921</v>
      </c>
      <c r="C2268" s="7">
        <v>10000000</v>
      </c>
      <c r="D2268" s="7">
        <f t="shared" si="36"/>
        <v>824921</v>
      </c>
    </row>
    <row r="2269" spans="1:4" ht="18" customHeight="1" x14ac:dyDescent="0.25">
      <c r="A2269" s="2" t="s">
        <v>1178</v>
      </c>
      <c r="B2269" s="7">
        <v>49474048</v>
      </c>
      <c r="C2269" s="7">
        <v>35000000</v>
      </c>
      <c r="D2269" s="7">
        <f t="shared" si="36"/>
        <v>14474048</v>
      </c>
    </row>
    <row r="2270" spans="1:4" ht="18" customHeight="1" x14ac:dyDescent="0.25">
      <c r="A2270" s="2" t="s">
        <v>6164</v>
      </c>
      <c r="B2270" s="7">
        <v>255352</v>
      </c>
      <c r="C2270" s="7">
        <v>300000</v>
      </c>
      <c r="D2270" s="7">
        <f t="shared" si="36"/>
        <v>-44648</v>
      </c>
    </row>
    <row r="2271" spans="1:4" ht="18" customHeight="1" x14ac:dyDescent="0.25">
      <c r="A2271" s="2" t="s">
        <v>536</v>
      </c>
      <c r="B2271" s="7">
        <v>74608545</v>
      </c>
      <c r="C2271" s="7">
        <v>24000000</v>
      </c>
      <c r="D2271" s="7">
        <f t="shared" si="36"/>
        <v>50608545</v>
      </c>
    </row>
    <row r="2272" spans="1:4" ht="18" customHeight="1" x14ac:dyDescent="0.25">
      <c r="A2272" s="2" t="s">
        <v>5592</v>
      </c>
      <c r="B2272" s="7">
        <v>2181290</v>
      </c>
      <c r="C2272" s="7">
        <v>3000000</v>
      </c>
      <c r="D2272" s="7">
        <f t="shared" si="36"/>
        <v>-818710</v>
      </c>
    </row>
    <row r="2273" spans="1:4" ht="18" customHeight="1" x14ac:dyDescent="0.25">
      <c r="A2273" s="2" t="s">
        <v>5625</v>
      </c>
      <c r="B2273" s="7">
        <v>1987287</v>
      </c>
      <c r="C2273" s="7">
        <v>50000000</v>
      </c>
      <c r="D2273" s="7">
        <f t="shared" si="36"/>
        <v>-48012713</v>
      </c>
    </row>
    <row r="2274" spans="1:4" ht="18" customHeight="1" x14ac:dyDescent="0.25">
      <c r="A2274" s="2" t="s">
        <v>4215</v>
      </c>
      <c r="B2274" s="7">
        <v>16800000</v>
      </c>
      <c r="C2274" s="7">
        <v>10000000</v>
      </c>
      <c r="D2274" s="7">
        <f t="shared" si="36"/>
        <v>6800000</v>
      </c>
    </row>
    <row r="2275" spans="1:4" ht="18" customHeight="1" x14ac:dyDescent="0.25">
      <c r="A2275" s="2" t="s">
        <v>186</v>
      </c>
      <c r="B2275" s="7">
        <v>98895417</v>
      </c>
      <c r="C2275" s="7">
        <v>70000000</v>
      </c>
      <c r="D2275" s="7">
        <f t="shared" si="36"/>
        <v>28895417</v>
      </c>
    </row>
    <row r="2276" spans="1:4" ht="18" customHeight="1" x14ac:dyDescent="0.25">
      <c r="A2276" s="2" t="s">
        <v>3073</v>
      </c>
      <c r="B2276" s="7">
        <v>38590500</v>
      </c>
      <c r="C2276" s="7">
        <v>50000000</v>
      </c>
      <c r="D2276" s="7">
        <f t="shared" si="36"/>
        <v>-11409500</v>
      </c>
    </row>
    <row r="2277" spans="1:4" ht="18" customHeight="1" x14ac:dyDescent="0.25">
      <c r="A2277" s="2" t="s">
        <v>3856</v>
      </c>
      <c r="B2277" s="7">
        <v>22800000</v>
      </c>
      <c r="C2277" s="7">
        <v>7000000</v>
      </c>
      <c r="D2277" s="7">
        <f t="shared" si="36"/>
        <v>15800000</v>
      </c>
    </row>
    <row r="2278" spans="1:4" ht="18" customHeight="1" x14ac:dyDescent="0.25">
      <c r="A2278" s="2" t="s">
        <v>1580</v>
      </c>
      <c r="B2278" s="7">
        <v>48334413</v>
      </c>
      <c r="C2278" s="7">
        <v>39751583.5</v>
      </c>
      <c r="D2278" s="7">
        <f t="shared" si="36"/>
        <v>8582829.5</v>
      </c>
    </row>
    <row r="2279" spans="1:4" ht="18" customHeight="1" x14ac:dyDescent="0.25">
      <c r="A2279" s="2" t="s">
        <v>5260</v>
      </c>
      <c r="B2279" s="7">
        <v>4356743</v>
      </c>
      <c r="C2279" s="7">
        <v>16000000</v>
      </c>
      <c r="D2279" s="7">
        <f t="shared" si="36"/>
        <v>-11643257</v>
      </c>
    </row>
    <row r="2280" spans="1:4" ht="18" customHeight="1" x14ac:dyDescent="0.25">
      <c r="A2280" s="2" t="s">
        <v>1537</v>
      </c>
      <c r="B2280" s="7">
        <v>48334413</v>
      </c>
      <c r="C2280" s="7">
        <v>39751583.5</v>
      </c>
      <c r="D2280" s="7">
        <f t="shared" si="36"/>
        <v>8582829.5</v>
      </c>
    </row>
    <row r="2281" spans="1:4" ht="18" customHeight="1" x14ac:dyDescent="0.25">
      <c r="A2281" s="2" t="s">
        <v>5899</v>
      </c>
      <c r="B2281" s="7">
        <v>717753</v>
      </c>
      <c r="C2281" s="7">
        <v>25000000</v>
      </c>
      <c r="D2281" s="7">
        <f t="shared" si="36"/>
        <v>-24282247</v>
      </c>
    </row>
    <row r="2282" spans="1:4" ht="18" customHeight="1" x14ac:dyDescent="0.25">
      <c r="A2282" s="2" t="s">
        <v>4767</v>
      </c>
      <c r="B2282" s="7">
        <v>9600000</v>
      </c>
      <c r="C2282" s="7">
        <v>910000</v>
      </c>
      <c r="D2282" s="7">
        <f t="shared" si="36"/>
        <v>8690000</v>
      </c>
    </row>
    <row r="2283" spans="1:4" ht="18" customHeight="1" x14ac:dyDescent="0.25">
      <c r="A2283" s="2" t="s">
        <v>6292</v>
      </c>
      <c r="B2283" s="7">
        <v>144431</v>
      </c>
      <c r="C2283" s="7">
        <v>1000000</v>
      </c>
      <c r="D2283" s="7">
        <f t="shared" si="36"/>
        <v>-855569</v>
      </c>
    </row>
    <row r="2284" spans="1:4" ht="18" customHeight="1" x14ac:dyDescent="0.25">
      <c r="A2284" s="2" t="s">
        <v>5158</v>
      </c>
      <c r="B2284" s="7">
        <v>5300000</v>
      </c>
      <c r="C2284" s="7">
        <v>30000000</v>
      </c>
      <c r="D2284" s="7">
        <f t="shared" si="36"/>
        <v>-24700000</v>
      </c>
    </row>
    <row r="2285" spans="1:4" ht="18" customHeight="1" x14ac:dyDescent="0.25">
      <c r="A2285" s="2" t="s">
        <v>952</v>
      </c>
      <c r="B2285" s="7">
        <v>55845943</v>
      </c>
      <c r="C2285" s="7">
        <v>29000000</v>
      </c>
      <c r="D2285" s="7">
        <f t="shared" si="36"/>
        <v>26845943</v>
      </c>
    </row>
    <row r="2286" spans="1:4" ht="18" customHeight="1" x14ac:dyDescent="0.25">
      <c r="A2286" s="2" t="s">
        <v>2350</v>
      </c>
      <c r="B2286" s="7">
        <v>48334413</v>
      </c>
      <c r="C2286" s="7">
        <v>1500000</v>
      </c>
      <c r="D2286" s="7">
        <f t="shared" si="36"/>
        <v>46834413</v>
      </c>
    </row>
    <row r="2287" spans="1:4" ht="18" customHeight="1" x14ac:dyDescent="0.25">
      <c r="A2287" s="2" t="s">
        <v>1997</v>
      </c>
      <c r="B2287" s="7">
        <v>48334413</v>
      </c>
      <c r="C2287" s="7">
        <v>5000000</v>
      </c>
      <c r="D2287" s="7">
        <f t="shared" si="36"/>
        <v>43334413</v>
      </c>
    </row>
    <row r="2288" spans="1:4" ht="18" customHeight="1" x14ac:dyDescent="0.25">
      <c r="A2288" s="2" t="s">
        <v>4775</v>
      </c>
      <c r="B2288" s="7">
        <v>9437933</v>
      </c>
      <c r="C2288" s="7">
        <v>180000</v>
      </c>
      <c r="D2288" s="7">
        <f t="shared" si="36"/>
        <v>9257933</v>
      </c>
    </row>
    <row r="2289" spans="1:4" ht="18" customHeight="1" x14ac:dyDescent="0.25">
      <c r="A2289" s="2" t="s">
        <v>5975</v>
      </c>
      <c r="B2289" s="7">
        <v>548934</v>
      </c>
      <c r="C2289" s="7">
        <v>12000000</v>
      </c>
      <c r="D2289" s="7">
        <f t="shared" si="36"/>
        <v>-11451066</v>
      </c>
    </row>
    <row r="2290" spans="1:4" ht="18" customHeight="1" x14ac:dyDescent="0.25">
      <c r="A2290" s="2" t="s">
        <v>4450</v>
      </c>
      <c r="B2290" s="7">
        <v>13766014</v>
      </c>
      <c r="C2290" s="7">
        <v>15000000</v>
      </c>
      <c r="D2290" s="7">
        <f t="shared" si="36"/>
        <v>-1233986</v>
      </c>
    </row>
    <row r="2291" spans="1:4" ht="18" customHeight="1" x14ac:dyDescent="0.25">
      <c r="A2291" s="2" t="s">
        <v>3547</v>
      </c>
      <c r="B2291" s="7">
        <v>28873374</v>
      </c>
      <c r="C2291" s="7">
        <v>10000000</v>
      </c>
      <c r="D2291" s="7">
        <f t="shared" si="36"/>
        <v>18873374</v>
      </c>
    </row>
    <row r="2292" spans="1:4" ht="18" customHeight="1" x14ac:dyDescent="0.25">
      <c r="A2292" s="2" t="s">
        <v>3664</v>
      </c>
      <c r="B2292" s="7">
        <v>26404753</v>
      </c>
      <c r="C2292" s="7">
        <v>40000000</v>
      </c>
      <c r="D2292" s="7">
        <f t="shared" si="36"/>
        <v>-13595247</v>
      </c>
    </row>
    <row r="2293" spans="1:4" ht="18" customHeight="1" x14ac:dyDescent="0.25">
      <c r="A2293" s="2" t="s">
        <v>3423</v>
      </c>
      <c r="B2293" s="7">
        <v>31597131</v>
      </c>
      <c r="C2293" s="7">
        <v>12000000</v>
      </c>
      <c r="D2293" s="7">
        <f t="shared" si="36"/>
        <v>19597131</v>
      </c>
    </row>
    <row r="2294" spans="1:4" ht="18" customHeight="1" x14ac:dyDescent="0.25">
      <c r="A2294" s="2" t="s">
        <v>6193</v>
      </c>
      <c r="B2294" s="7">
        <v>229311</v>
      </c>
      <c r="C2294" s="7">
        <v>11350000</v>
      </c>
      <c r="D2294" s="7">
        <f t="shared" si="36"/>
        <v>-11120689</v>
      </c>
    </row>
    <row r="2295" spans="1:4" ht="18" customHeight="1" x14ac:dyDescent="0.25">
      <c r="A2295" s="2" t="s">
        <v>3635</v>
      </c>
      <c r="B2295" s="7">
        <v>26876529</v>
      </c>
      <c r="C2295" s="7">
        <v>27000000</v>
      </c>
      <c r="D2295" s="7">
        <f t="shared" si="36"/>
        <v>-123471</v>
      </c>
    </row>
    <row r="2296" spans="1:4" ht="18" customHeight="1" x14ac:dyDescent="0.25">
      <c r="A2296" s="2" t="s">
        <v>4480</v>
      </c>
      <c r="B2296" s="7">
        <v>13391174</v>
      </c>
      <c r="C2296" s="7">
        <v>20000000</v>
      </c>
      <c r="D2296" s="7">
        <f t="shared" si="36"/>
        <v>-6608826</v>
      </c>
    </row>
    <row r="2297" spans="1:4" ht="18" customHeight="1" x14ac:dyDescent="0.25">
      <c r="A2297" s="2" t="s">
        <v>6606</v>
      </c>
      <c r="B2297" s="7">
        <v>18435</v>
      </c>
      <c r="C2297" s="7">
        <v>1400000</v>
      </c>
      <c r="D2297" s="7">
        <f t="shared" si="36"/>
        <v>-1381565</v>
      </c>
    </row>
    <row r="2298" spans="1:4" ht="18" customHeight="1" x14ac:dyDescent="0.25">
      <c r="A2298" s="2" t="s">
        <v>3831</v>
      </c>
      <c r="B2298" s="7">
        <v>23209440</v>
      </c>
      <c r="C2298" s="7">
        <v>30000000</v>
      </c>
      <c r="D2298" s="7">
        <f t="shared" si="36"/>
        <v>-6790560</v>
      </c>
    </row>
    <row r="2299" spans="1:4" ht="18" customHeight="1" x14ac:dyDescent="0.25">
      <c r="A2299" s="2" t="s">
        <v>5884</v>
      </c>
      <c r="B2299" s="7">
        <v>778565</v>
      </c>
      <c r="C2299" s="7">
        <v>4800000</v>
      </c>
      <c r="D2299" s="7">
        <f t="shared" si="36"/>
        <v>-4021435</v>
      </c>
    </row>
    <row r="2300" spans="1:4" ht="18" customHeight="1" x14ac:dyDescent="0.25">
      <c r="A2300" s="2" t="s">
        <v>5408</v>
      </c>
      <c r="B2300" s="7">
        <v>3273588</v>
      </c>
      <c r="C2300" s="7">
        <v>6000000</v>
      </c>
      <c r="D2300" s="7">
        <f t="shared" si="36"/>
        <v>-2726412</v>
      </c>
    </row>
    <row r="2301" spans="1:4" ht="18" customHeight="1" x14ac:dyDescent="0.25">
      <c r="A2301" s="2" t="s">
        <v>6633</v>
      </c>
      <c r="B2301" s="7">
        <v>13751</v>
      </c>
      <c r="C2301" s="7">
        <v>11400000</v>
      </c>
      <c r="D2301" s="7">
        <f t="shared" si="36"/>
        <v>-11386249</v>
      </c>
    </row>
    <row r="2302" spans="1:4" ht="18" customHeight="1" x14ac:dyDescent="0.25">
      <c r="A2302" s="2" t="s">
        <v>874</v>
      </c>
      <c r="B2302" s="7">
        <v>58328680</v>
      </c>
      <c r="C2302" s="7">
        <v>22000000</v>
      </c>
      <c r="D2302" s="7">
        <f t="shared" si="36"/>
        <v>36328680</v>
      </c>
    </row>
    <row r="2303" spans="1:4" ht="18" customHeight="1" x14ac:dyDescent="0.25">
      <c r="A2303" s="2" t="s">
        <v>2165</v>
      </c>
      <c r="B2303" s="7">
        <v>48334413</v>
      </c>
      <c r="C2303" s="7">
        <v>3000000</v>
      </c>
      <c r="D2303" s="7">
        <f t="shared" si="36"/>
        <v>45334413</v>
      </c>
    </row>
    <row r="2304" spans="1:4" ht="18" customHeight="1" x14ac:dyDescent="0.25">
      <c r="A2304" s="2" t="s">
        <v>339</v>
      </c>
      <c r="B2304" s="7">
        <v>84303558</v>
      </c>
      <c r="C2304" s="7">
        <v>85000000</v>
      </c>
      <c r="D2304" s="7">
        <f t="shared" si="36"/>
        <v>-696442</v>
      </c>
    </row>
    <row r="2305" spans="1:4" ht="18" customHeight="1" x14ac:dyDescent="0.25">
      <c r="A2305" s="2" t="s">
        <v>1559</v>
      </c>
      <c r="B2305" s="7">
        <v>48334413</v>
      </c>
      <c r="C2305" s="7">
        <v>39751583.5</v>
      </c>
      <c r="D2305" s="7">
        <f t="shared" si="36"/>
        <v>8582829.5</v>
      </c>
    </row>
    <row r="2306" spans="1:4" ht="18" customHeight="1" x14ac:dyDescent="0.25">
      <c r="A2306" s="2" t="s">
        <v>3476</v>
      </c>
      <c r="B2306" s="7">
        <v>30500882</v>
      </c>
      <c r="C2306" s="7">
        <v>500000</v>
      </c>
      <c r="D2306" s="7">
        <f t="shared" si="36"/>
        <v>30000882</v>
      </c>
    </row>
    <row r="2307" spans="1:4" ht="18" customHeight="1" x14ac:dyDescent="0.25">
      <c r="A2307" s="2" t="s">
        <v>6544</v>
      </c>
      <c r="B2307" s="7">
        <v>31662</v>
      </c>
      <c r="C2307" s="7">
        <v>12620000</v>
      </c>
      <c r="D2307" s="7">
        <f t="shared" si="36"/>
        <v>-12588338</v>
      </c>
    </row>
    <row r="2308" spans="1:4" ht="18" customHeight="1" x14ac:dyDescent="0.25">
      <c r="A2308" s="2" t="s">
        <v>1551</v>
      </c>
      <c r="B2308" s="7">
        <v>48334413</v>
      </c>
      <c r="C2308" s="7">
        <v>39751583.5</v>
      </c>
      <c r="D2308" s="7">
        <f t="shared" si="36"/>
        <v>8582829.5</v>
      </c>
    </row>
    <row r="2309" spans="1:4" ht="18" customHeight="1" x14ac:dyDescent="0.25">
      <c r="A2309" s="2" t="s">
        <v>981</v>
      </c>
      <c r="B2309" s="7">
        <v>54800000</v>
      </c>
      <c r="C2309" s="7">
        <v>6000000</v>
      </c>
      <c r="D2309" s="7">
        <f t="shared" ref="D2309:D2372" si="37">B2309-C2309</f>
        <v>48800000</v>
      </c>
    </row>
    <row r="2310" spans="1:4" ht="18" customHeight="1" x14ac:dyDescent="0.25">
      <c r="A2310" s="2" t="s">
        <v>5958</v>
      </c>
      <c r="B2310" s="7">
        <v>582024</v>
      </c>
      <c r="C2310" s="7">
        <v>1000000</v>
      </c>
      <c r="D2310" s="7">
        <f t="shared" si="37"/>
        <v>-417976</v>
      </c>
    </row>
    <row r="2311" spans="1:4" ht="18" customHeight="1" x14ac:dyDescent="0.25">
      <c r="A2311" s="2" t="s">
        <v>4249</v>
      </c>
      <c r="B2311" s="7">
        <v>16252765</v>
      </c>
      <c r="C2311" s="7">
        <v>42000000</v>
      </c>
      <c r="D2311" s="7">
        <f t="shared" si="37"/>
        <v>-25747235</v>
      </c>
    </row>
    <row r="2312" spans="1:4" ht="18" customHeight="1" x14ac:dyDescent="0.25">
      <c r="A2312" s="2" t="s">
        <v>2967</v>
      </c>
      <c r="B2312" s="7">
        <v>41573740</v>
      </c>
      <c r="C2312" s="7">
        <v>39751583.5</v>
      </c>
      <c r="D2312" s="7">
        <f t="shared" si="37"/>
        <v>1822156.5</v>
      </c>
    </row>
    <row r="2313" spans="1:4" ht="18" customHeight="1" x14ac:dyDescent="0.25">
      <c r="A2313" s="2" t="s">
        <v>5774</v>
      </c>
      <c r="B2313" s="7">
        <v>1127331</v>
      </c>
      <c r="C2313" s="7">
        <v>46000</v>
      </c>
      <c r="D2313" s="7">
        <f t="shared" si="37"/>
        <v>1081331</v>
      </c>
    </row>
    <row r="2314" spans="1:4" ht="18" customHeight="1" x14ac:dyDescent="0.25">
      <c r="A2314" s="2" t="s">
        <v>5692</v>
      </c>
      <c r="B2314" s="7">
        <v>1508689</v>
      </c>
      <c r="C2314" s="7">
        <v>16000000</v>
      </c>
      <c r="D2314" s="7">
        <f t="shared" si="37"/>
        <v>-14491311</v>
      </c>
    </row>
    <row r="2315" spans="1:4" ht="18" customHeight="1" x14ac:dyDescent="0.25">
      <c r="A2315" s="2" t="s">
        <v>4464</v>
      </c>
      <c r="B2315" s="7">
        <v>13596911</v>
      </c>
      <c r="C2315" s="7">
        <v>70000000</v>
      </c>
      <c r="D2315" s="7">
        <f t="shared" si="37"/>
        <v>-56403089</v>
      </c>
    </row>
    <row r="2316" spans="1:4" ht="18" customHeight="1" x14ac:dyDescent="0.25">
      <c r="A2316" s="2" t="s">
        <v>1122</v>
      </c>
      <c r="B2316" s="7">
        <v>50820940</v>
      </c>
      <c r="C2316" s="7">
        <v>5000000</v>
      </c>
      <c r="D2316" s="7">
        <f t="shared" si="37"/>
        <v>45820940</v>
      </c>
    </row>
    <row r="2317" spans="1:4" ht="18" customHeight="1" x14ac:dyDescent="0.25">
      <c r="A2317" s="2" t="s">
        <v>4967</v>
      </c>
      <c r="B2317" s="7">
        <v>6998324</v>
      </c>
      <c r="C2317" s="7">
        <v>28000000</v>
      </c>
      <c r="D2317" s="7">
        <f t="shared" si="37"/>
        <v>-21001676</v>
      </c>
    </row>
    <row r="2318" spans="1:4" ht="18" customHeight="1" x14ac:dyDescent="0.25">
      <c r="A2318" s="2" t="s">
        <v>4003</v>
      </c>
      <c r="B2318" s="7">
        <v>20246959</v>
      </c>
      <c r="C2318" s="7">
        <v>14000000</v>
      </c>
      <c r="D2318" s="7">
        <f t="shared" si="37"/>
        <v>6246959</v>
      </c>
    </row>
    <row r="2319" spans="1:4" ht="18" customHeight="1" x14ac:dyDescent="0.25">
      <c r="A2319" s="2" t="s">
        <v>3769</v>
      </c>
      <c r="B2319" s="7">
        <v>24809547</v>
      </c>
      <c r="C2319" s="7">
        <v>5000000</v>
      </c>
      <c r="D2319" s="7">
        <f t="shared" si="37"/>
        <v>19809547</v>
      </c>
    </row>
    <row r="2320" spans="1:4" ht="18" customHeight="1" x14ac:dyDescent="0.25">
      <c r="A2320" s="2" t="s">
        <v>5429</v>
      </c>
      <c r="B2320" s="7">
        <v>3108216</v>
      </c>
      <c r="C2320" s="7">
        <v>39751583.5</v>
      </c>
      <c r="D2320" s="7">
        <f t="shared" si="37"/>
        <v>-36643367.5</v>
      </c>
    </row>
    <row r="2321" spans="1:4" ht="18" customHeight="1" x14ac:dyDescent="0.25">
      <c r="A2321" s="2" t="s">
        <v>4438</v>
      </c>
      <c r="B2321" s="7">
        <v>13903262</v>
      </c>
      <c r="C2321" s="7">
        <v>11000000</v>
      </c>
      <c r="D2321" s="7">
        <f t="shared" si="37"/>
        <v>2903262</v>
      </c>
    </row>
    <row r="2322" spans="1:4" ht="18" customHeight="1" x14ac:dyDescent="0.25">
      <c r="A2322" s="2" t="s">
        <v>313</v>
      </c>
      <c r="B2322" s="7">
        <v>87100000</v>
      </c>
      <c r="C2322" s="7">
        <v>31000000</v>
      </c>
      <c r="D2322" s="7">
        <f t="shared" si="37"/>
        <v>56100000</v>
      </c>
    </row>
    <row r="2323" spans="1:4" ht="18" customHeight="1" x14ac:dyDescent="0.25">
      <c r="A2323" s="2" t="s">
        <v>1302</v>
      </c>
      <c r="B2323" s="7">
        <v>48334413</v>
      </c>
      <c r="C2323" s="7">
        <v>39751583.5</v>
      </c>
      <c r="D2323" s="7">
        <f t="shared" si="37"/>
        <v>8582829.5</v>
      </c>
    </row>
    <row r="2324" spans="1:4" ht="18" customHeight="1" x14ac:dyDescent="0.25">
      <c r="A2324" s="2" t="s">
        <v>3148</v>
      </c>
      <c r="B2324" s="7">
        <v>37339525</v>
      </c>
      <c r="C2324" s="7">
        <v>48000000</v>
      </c>
      <c r="D2324" s="7">
        <f t="shared" si="37"/>
        <v>-10660475</v>
      </c>
    </row>
    <row r="2325" spans="1:4" ht="18" customHeight="1" x14ac:dyDescent="0.25">
      <c r="A2325" s="2" t="s">
        <v>2239</v>
      </c>
      <c r="B2325" s="7">
        <v>48335141</v>
      </c>
      <c r="C2325" s="7">
        <v>41951583.5</v>
      </c>
      <c r="D2325" s="7">
        <f t="shared" si="37"/>
        <v>6383557.5</v>
      </c>
    </row>
    <row r="2326" spans="1:4" ht="18" customHeight="1" x14ac:dyDescent="0.25">
      <c r="A2326" s="2" t="s">
        <v>1478</v>
      </c>
      <c r="B2326" s="7">
        <v>48334413</v>
      </c>
      <c r="C2326" s="7">
        <v>39751583.5</v>
      </c>
      <c r="D2326" s="7">
        <f t="shared" si="37"/>
        <v>8582829.5</v>
      </c>
    </row>
    <row r="2327" spans="1:4" ht="18" customHeight="1" x14ac:dyDescent="0.25">
      <c r="A2327" s="2" t="s">
        <v>4638</v>
      </c>
      <c r="B2327" s="7">
        <v>11326836</v>
      </c>
      <c r="C2327" s="7">
        <v>22000000</v>
      </c>
      <c r="D2327" s="7">
        <f t="shared" si="37"/>
        <v>-10673164</v>
      </c>
    </row>
    <row r="2328" spans="1:4" ht="18" customHeight="1" x14ac:dyDescent="0.25">
      <c r="A2328" s="2" t="s">
        <v>2991</v>
      </c>
      <c r="B2328" s="7">
        <v>40905277</v>
      </c>
      <c r="C2328" s="7">
        <v>50000000</v>
      </c>
      <c r="D2328" s="7">
        <f t="shared" si="37"/>
        <v>-9094723</v>
      </c>
    </row>
    <row r="2329" spans="1:4" ht="18" customHeight="1" x14ac:dyDescent="0.25">
      <c r="A2329" s="2" t="s">
        <v>664</v>
      </c>
      <c r="B2329" s="7">
        <v>67823573</v>
      </c>
      <c r="C2329" s="7">
        <v>50000000</v>
      </c>
      <c r="D2329" s="7">
        <f t="shared" si="37"/>
        <v>17823573</v>
      </c>
    </row>
    <row r="2330" spans="1:4" ht="18" customHeight="1" x14ac:dyDescent="0.25">
      <c r="A2330" s="2" t="s">
        <v>1256</v>
      </c>
      <c r="B2330" s="7">
        <v>48334413</v>
      </c>
      <c r="C2330" s="7">
        <v>39751583.5</v>
      </c>
      <c r="D2330" s="7">
        <f t="shared" si="37"/>
        <v>8582829.5</v>
      </c>
    </row>
    <row r="2331" spans="1:4" ht="18" customHeight="1" x14ac:dyDescent="0.25">
      <c r="A2331" s="2" t="s">
        <v>1930</v>
      </c>
      <c r="B2331" s="7">
        <v>48334413</v>
      </c>
      <c r="C2331" s="7">
        <v>7500000</v>
      </c>
      <c r="D2331" s="7">
        <f t="shared" si="37"/>
        <v>40834413</v>
      </c>
    </row>
    <row r="2332" spans="1:4" ht="18" customHeight="1" x14ac:dyDescent="0.25">
      <c r="A2332" s="2" t="s">
        <v>4936</v>
      </c>
      <c r="B2332" s="7">
        <v>7292175</v>
      </c>
      <c r="C2332" s="7">
        <v>7000000</v>
      </c>
      <c r="D2332" s="7">
        <f t="shared" si="37"/>
        <v>292175</v>
      </c>
    </row>
    <row r="2333" spans="1:4" ht="18" customHeight="1" x14ac:dyDescent="0.25">
      <c r="A2333" s="2" t="s">
        <v>4911</v>
      </c>
      <c r="B2333" s="7">
        <v>7563670</v>
      </c>
      <c r="C2333" s="7">
        <v>10000000</v>
      </c>
      <c r="D2333" s="7">
        <f t="shared" si="37"/>
        <v>-2436330</v>
      </c>
    </row>
    <row r="2334" spans="1:4" ht="18" customHeight="1" x14ac:dyDescent="0.25">
      <c r="A2334" s="2" t="s">
        <v>5465</v>
      </c>
      <c r="B2334" s="7">
        <v>3000000</v>
      </c>
      <c r="C2334" s="7">
        <v>100000</v>
      </c>
      <c r="D2334" s="7">
        <f t="shared" si="37"/>
        <v>2900000</v>
      </c>
    </row>
    <row r="2335" spans="1:4" ht="18" customHeight="1" x14ac:dyDescent="0.25">
      <c r="A2335" s="2" t="s">
        <v>5818</v>
      </c>
      <c r="B2335" s="7">
        <v>1011054</v>
      </c>
      <c r="C2335" s="7">
        <v>10000000</v>
      </c>
      <c r="D2335" s="7">
        <f t="shared" si="37"/>
        <v>-8988946</v>
      </c>
    </row>
    <row r="2336" spans="1:4" ht="18" customHeight="1" x14ac:dyDescent="0.25">
      <c r="A2336" s="2" t="s">
        <v>1025</v>
      </c>
      <c r="B2336" s="7">
        <v>53680848</v>
      </c>
      <c r="C2336" s="7">
        <v>30000000</v>
      </c>
      <c r="D2336" s="7">
        <f t="shared" si="37"/>
        <v>23680848</v>
      </c>
    </row>
    <row r="2337" spans="1:4" ht="18" customHeight="1" x14ac:dyDescent="0.25">
      <c r="A2337" s="2" t="s">
        <v>494</v>
      </c>
      <c r="B2337" s="7">
        <v>76137505</v>
      </c>
      <c r="C2337" s="7">
        <v>55000000</v>
      </c>
      <c r="D2337" s="7">
        <f t="shared" si="37"/>
        <v>21137505</v>
      </c>
    </row>
    <row r="2338" spans="1:4" ht="18" customHeight="1" x14ac:dyDescent="0.25">
      <c r="A2338" s="2" t="s">
        <v>1174</v>
      </c>
      <c r="B2338" s="7">
        <v>49874933</v>
      </c>
      <c r="C2338" s="7">
        <v>26000000</v>
      </c>
      <c r="D2338" s="7">
        <f t="shared" si="37"/>
        <v>23874933</v>
      </c>
    </row>
    <row r="2339" spans="1:4" ht="18" customHeight="1" x14ac:dyDescent="0.25">
      <c r="A2339" s="2" t="s">
        <v>1673</v>
      </c>
      <c r="B2339" s="7">
        <v>48334413</v>
      </c>
      <c r="C2339" s="7">
        <v>20000000</v>
      </c>
      <c r="D2339" s="7">
        <f t="shared" si="37"/>
        <v>28334413</v>
      </c>
    </row>
    <row r="2340" spans="1:4" ht="18" customHeight="1" x14ac:dyDescent="0.25">
      <c r="A2340" s="2" t="s">
        <v>2974</v>
      </c>
      <c r="B2340" s="7">
        <v>41400000</v>
      </c>
      <c r="C2340" s="7">
        <v>6900000</v>
      </c>
      <c r="D2340" s="7">
        <f t="shared" si="37"/>
        <v>34500000</v>
      </c>
    </row>
    <row r="2341" spans="1:4" ht="18" customHeight="1" x14ac:dyDescent="0.25">
      <c r="A2341" s="2" t="s">
        <v>5897</v>
      </c>
      <c r="B2341" s="7">
        <v>750100</v>
      </c>
      <c r="C2341" s="7">
        <v>39751583.5</v>
      </c>
      <c r="D2341" s="7">
        <f t="shared" si="37"/>
        <v>-39001483.5</v>
      </c>
    </row>
    <row r="2342" spans="1:4" ht="18" customHeight="1" x14ac:dyDescent="0.25">
      <c r="A2342" s="2" t="s">
        <v>1744</v>
      </c>
      <c r="B2342" s="7">
        <v>48334413</v>
      </c>
      <c r="C2342" s="7">
        <v>15000000</v>
      </c>
      <c r="D2342" s="7">
        <f t="shared" si="37"/>
        <v>33334413</v>
      </c>
    </row>
    <row r="2343" spans="1:4" ht="18" customHeight="1" x14ac:dyDescent="0.25">
      <c r="A2343" s="2" t="s">
        <v>6667</v>
      </c>
      <c r="B2343" s="7">
        <v>9950</v>
      </c>
      <c r="C2343" s="7">
        <v>39751583.5</v>
      </c>
      <c r="D2343" s="7">
        <f t="shared" si="37"/>
        <v>-39741633.5</v>
      </c>
    </row>
    <row r="2344" spans="1:4" ht="18" customHeight="1" x14ac:dyDescent="0.25">
      <c r="A2344" s="2" t="s">
        <v>4707</v>
      </c>
      <c r="B2344" s="7">
        <v>10326062</v>
      </c>
      <c r="C2344" s="7">
        <v>33000000</v>
      </c>
      <c r="D2344" s="7">
        <f t="shared" si="37"/>
        <v>-22673938</v>
      </c>
    </row>
    <row r="2345" spans="1:4" ht="18" customHeight="1" x14ac:dyDescent="0.25">
      <c r="A2345" s="2" t="s">
        <v>204</v>
      </c>
      <c r="B2345" s="7">
        <v>95308367</v>
      </c>
      <c r="C2345" s="7">
        <v>48000000</v>
      </c>
      <c r="D2345" s="7">
        <f t="shared" si="37"/>
        <v>47308367</v>
      </c>
    </row>
    <row r="2346" spans="1:4" ht="18" customHeight="1" x14ac:dyDescent="0.25">
      <c r="A2346" s="2" t="s">
        <v>3129</v>
      </c>
      <c r="B2346" s="7">
        <v>37623143</v>
      </c>
      <c r="C2346" s="7">
        <v>13500000</v>
      </c>
      <c r="D2346" s="7">
        <f t="shared" si="37"/>
        <v>24123143</v>
      </c>
    </row>
    <row r="2347" spans="1:4" ht="18" customHeight="1" x14ac:dyDescent="0.25">
      <c r="A2347" s="2" t="s">
        <v>4293</v>
      </c>
      <c r="B2347" s="7">
        <v>15712072</v>
      </c>
      <c r="C2347" s="7">
        <v>20000000</v>
      </c>
      <c r="D2347" s="7">
        <f t="shared" si="37"/>
        <v>-4287928</v>
      </c>
    </row>
    <row r="2348" spans="1:4" ht="18" customHeight="1" x14ac:dyDescent="0.25">
      <c r="A2348" s="2" t="s">
        <v>3401</v>
      </c>
      <c r="B2348" s="7">
        <v>31990064</v>
      </c>
      <c r="C2348" s="7">
        <v>12000000</v>
      </c>
      <c r="D2348" s="7">
        <f t="shared" si="37"/>
        <v>19990064</v>
      </c>
    </row>
    <row r="2349" spans="1:4" ht="18" customHeight="1" x14ac:dyDescent="0.25">
      <c r="A2349" s="2" t="s">
        <v>335</v>
      </c>
      <c r="B2349" s="7">
        <v>84749884</v>
      </c>
      <c r="C2349" s="7">
        <v>3000000</v>
      </c>
      <c r="D2349" s="7">
        <f t="shared" si="37"/>
        <v>81749884</v>
      </c>
    </row>
    <row r="2350" spans="1:4" ht="18" customHeight="1" x14ac:dyDescent="0.25">
      <c r="A2350" s="2" t="s">
        <v>114</v>
      </c>
      <c r="B2350" s="7">
        <v>104007828</v>
      </c>
      <c r="C2350" s="7">
        <v>5000000</v>
      </c>
      <c r="D2350" s="7">
        <f t="shared" si="37"/>
        <v>99007828</v>
      </c>
    </row>
    <row r="2351" spans="1:4" ht="18" customHeight="1" x14ac:dyDescent="0.25">
      <c r="A2351" s="2" t="s">
        <v>1016</v>
      </c>
      <c r="B2351" s="7">
        <v>53884821</v>
      </c>
      <c r="C2351" s="7">
        <v>5000000</v>
      </c>
      <c r="D2351" s="7">
        <f t="shared" si="37"/>
        <v>48884821</v>
      </c>
    </row>
    <row r="2352" spans="1:4" ht="18" customHeight="1" x14ac:dyDescent="0.25">
      <c r="A2352" s="2" t="s">
        <v>3371</v>
      </c>
      <c r="B2352" s="7">
        <v>32453345</v>
      </c>
      <c r="C2352" s="7">
        <v>5000000</v>
      </c>
      <c r="D2352" s="7">
        <f t="shared" si="37"/>
        <v>27453345</v>
      </c>
    </row>
    <row r="2353" spans="1:4" ht="18" customHeight="1" x14ac:dyDescent="0.25">
      <c r="A2353" s="2" t="s">
        <v>66</v>
      </c>
      <c r="B2353" s="7">
        <v>107917283</v>
      </c>
      <c r="C2353" s="7">
        <v>15000</v>
      </c>
      <c r="D2353" s="7">
        <f t="shared" si="37"/>
        <v>107902283</v>
      </c>
    </row>
    <row r="2354" spans="1:4" ht="18" customHeight="1" x14ac:dyDescent="0.25">
      <c r="A2354" s="2" t="s">
        <v>945</v>
      </c>
      <c r="B2354" s="7">
        <v>55994557</v>
      </c>
      <c r="C2354" s="7">
        <v>60000000</v>
      </c>
      <c r="D2354" s="7">
        <f t="shared" si="37"/>
        <v>-4005443</v>
      </c>
    </row>
    <row r="2355" spans="1:4" ht="18" customHeight="1" x14ac:dyDescent="0.25">
      <c r="A2355" s="2" t="s">
        <v>476</v>
      </c>
      <c r="B2355" s="7">
        <v>77264926</v>
      </c>
      <c r="C2355" s="7">
        <v>25000000</v>
      </c>
      <c r="D2355" s="7">
        <f t="shared" si="37"/>
        <v>52264926</v>
      </c>
    </row>
    <row r="2356" spans="1:4" ht="18" customHeight="1" x14ac:dyDescent="0.25">
      <c r="A2356" s="2" t="s">
        <v>5202</v>
      </c>
      <c r="B2356" s="7">
        <v>4857376</v>
      </c>
      <c r="C2356" s="7">
        <v>13000000</v>
      </c>
      <c r="D2356" s="7">
        <f t="shared" si="37"/>
        <v>-8142624</v>
      </c>
    </row>
    <row r="2357" spans="1:4" ht="18" customHeight="1" x14ac:dyDescent="0.25">
      <c r="A2357" s="2" t="s">
        <v>4150</v>
      </c>
      <c r="B2357" s="7">
        <v>17609982</v>
      </c>
      <c r="C2357" s="7">
        <v>35000000</v>
      </c>
      <c r="D2357" s="7">
        <f t="shared" si="37"/>
        <v>-17390018</v>
      </c>
    </row>
    <row r="2358" spans="1:4" ht="18" customHeight="1" x14ac:dyDescent="0.25">
      <c r="A2358" s="2" t="s">
        <v>1845</v>
      </c>
      <c r="B2358" s="7">
        <v>48334413</v>
      </c>
      <c r="C2358" s="7">
        <v>10000000</v>
      </c>
      <c r="D2358" s="7">
        <f t="shared" si="37"/>
        <v>38334413</v>
      </c>
    </row>
    <row r="2359" spans="1:4" ht="18" customHeight="1" x14ac:dyDescent="0.25">
      <c r="A2359" s="2" t="s">
        <v>6141</v>
      </c>
      <c r="B2359" s="7">
        <v>296665</v>
      </c>
      <c r="C2359" s="7">
        <v>5000000</v>
      </c>
      <c r="D2359" s="7">
        <f t="shared" si="37"/>
        <v>-4703335</v>
      </c>
    </row>
    <row r="2360" spans="1:4" ht="18" customHeight="1" x14ac:dyDescent="0.25">
      <c r="A2360" s="2" t="s">
        <v>1677</v>
      </c>
      <c r="B2360" s="7">
        <v>48334413</v>
      </c>
      <c r="C2360" s="7">
        <v>20000000</v>
      </c>
      <c r="D2360" s="7">
        <f t="shared" si="37"/>
        <v>28334413</v>
      </c>
    </row>
    <row r="2361" spans="1:4" ht="18" customHeight="1" x14ac:dyDescent="0.25">
      <c r="A2361" s="2" t="s">
        <v>2035</v>
      </c>
      <c r="B2361" s="7">
        <v>48334413</v>
      </c>
      <c r="C2361" s="7">
        <v>4638783</v>
      </c>
      <c r="D2361" s="7">
        <f t="shared" si="37"/>
        <v>43695630</v>
      </c>
    </row>
    <row r="2362" spans="1:4" ht="18" customHeight="1" x14ac:dyDescent="0.25">
      <c r="A2362" s="2" t="s">
        <v>6367</v>
      </c>
      <c r="B2362" s="7">
        <v>108662</v>
      </c>
      <c r="C2362" s="7">
        <v>8000000</v>
      </c>
      <c r="D2362" s="7">
        <f t="shared" si="37"/>
        <v>-7891338</v>
      </c>
    </row>
    <row r="2363" spans="1:4" ht="18" customHeight="1" x14ac:dyDescent="0.25">
      <c r="A2363" s="2" t="s">
        <v>366</v>
      </c>
      <c r="B2363" s="7">
        <v>83287363</v>
      </c>
      <c r="C2363" s="7">
        <v>45000000</v>
      </c>
      <c r="D2363" s="7">
        <f t="shared" si="37"/>
        <v>38287363</v>
      </c>
    </row>
    <row r="2364" spans="1:4" ht="18" customHeight="1" x14ac:dyDescent="0.25">
      <c r="A2364" s="2" t="s">
        <v>1775</v>
      </c>
      <c r="B2364" s="7">
        <v>48334413</v>
      </c>
      <c r="C2364" s="7">
        <v>12000000</v>
      </c>
      <c r="D2364" s="7">
        <f t="shared" si="37"/>
        <v>36334413</v>
      </c>
    </row>
    <row r="2365" spans="1:4" ht="18" customHeight="1" x14ac:dyDescent="0.25">
      <c r="A2365" s="2" t="s">
        <v>603</v>
      </c>
      <c r="B2365" s="7">
        <v>71038190</v>
      </c>
      <c r="C2365" s="7">
        <v>30000000</v>
      </c>
      <c r="D2365" s="7">
        <f t="shared" si="37"/>
        <v>41038190</v>
      </c>
    </row>
    <row r="2366" spans="1:4" ht="18" customHeight="1" x14ac:dyDescent="0.25">
      <c r="A2366" s="2" t="s">
        <v>3962</v>
      </c>
      <c r="B2366" s="7">
        <v>20819129</v>
      </c>
      <c r="C2366" s="7">
        <v>26000000</v>
      </c>
      <c r="D2366" s="7">
        <f t="shared" si="37"/>
        <v>-5180871</v>
      </c>
    </row>
    <row r="2367" spans="1:4" ht="18" customHeight="1" x14ac:dyDescent="0.25">
      <c r="A2367" s="2" t="s">
        <v>3147</v>
      </c>
      <c r="B2367" s="7">
        <v>37371385</v>
      </c>
      <c r="C2367" s="7">
        <v>40000000</v>
      </c>
      <c r="D2367" s="7">
        <f t="shared" si="37"/>
        <v>-2628615</v>
      </c>
    </row>
    <row r="2368" spans="1:4" ht="18" customHeight="1" x14ac:dyDescent="0.25">
      <c r="A2368" s="2" t="s">
        <v>3317</v>
      </c>
      <c r="B2368" s="7">
        <v>33508922</v>
      </c>
      <c r="C2368" s="7">
        <v>40000000</v>
      </c>
      <c r="D2368" s="7">
        <f t="shared" si="37"/>
        <v>-6491078</v>
      </c>
    </row>
    <row r="2369" spans="1:4" ht="18" customHeight="1" x14ac:dyDescent="0.25">
      <c r="A2369" s="2" t="s">
        <v>400</v>
      </c>
      <c r="B2369" s="7">
        <v>81517441</v>
      </c>
      <c r="C2369" s="7">
        <v>50000000</v>
      </c>
      <c r="D2369" s="7">
        <f t="shared" si="37"/>
        <v>31517441</v>
      </c>
    </row>
    <row r="2370" spans="1:4" ht="18" customHeight="1" x14ac:dyDescent="0.25">
      <c r="A2370" s="2" t="s">
        <v>1021</v>
      </c>
      <c r="B2370" s="7">
        <v>53789313</v>
      </c>
      <c r="C2370" s="7">
        <v>60000000</v>
      </c>
      <c r="D2370" s="7">
        <f t="shared" si="37"/>
        <v>-6210687</v>
      </c>
    </row>
    <row r="2371" spans="1:4" ht="18" customHeight="1" x14ac:dyDescent="0.25">
      <c r="A2371" s="2" t="s">
        <v>5262</v>
      </c>
      <c r="B2371" s="7">
        <v>4350774</v>
      </c>
      <c r="C2371" s="7">
        <v>8000000</v>
      </c>
      <c r="D2371" s="7">
        <f t="shared" si="37"/>
        <v>-3649226</v>
      </c>
    </row>
    <row r="2372" spans="1:4" ht="18" customHeight="1" x14ac:dyDescent="0.25">
      <c r="A2372" s="2" t="s">
        <v>2693</v>
      </c>
      <c r="B2372" s="7">
        <v>48334413</v>
      </c>
      <c r="C2372" s="7">
        <v>70000</v>
      </c>
      <c r="D2372" s="7">
        <f t="shared" si="37"/>
        <v>48264413</v>
      </c>
    </row>
    <row r="2373" spans="1:4" ht="18" customHeight="1" x14ac:dyDescent="0.25">
      <c r="A2373" s="2" t="s">
        <v>5801</v>
      </c>
      <c r="B2373" s="7">
        <v>1055654</v>
      </c>
      <c r="C2373" s="7">
        <v>10000000</v>
      </c>
      <c r="D2373" s="7">
        <f t="shared" ref="D2373:D2436" si="38">B2373-C2373</f>
        <v>-8944346</v>
      </c>
    </row>
    <row r="2374" spans="1:4" ht="18" customHeight="1" x14ac:dyDescent="0.25">
      <c r="A2374" s="2" t="s">
        <v>4793</v>
      </c>
      <c r="B2374" s="7">
        <v>9123834</v>
      </c>
      <c r="C2374" s="7">
        <v>15000000</v>
      </c>
      <c r="D2374" s="7">
        <f t="shared" si="38"/>
        <v>-5876166</v>
      </c>
    </row>
    <row r="2375" spans="1:4" ht="18" customHeight="1" x14ac:dyDescent="0.25">
      <c r="A2375" s="2" t="s">
        <v>2975</v>
      </c>
      <c r="B2375" s="7">
        <v>41382841</v>
      </c>
      <c r="C2375" s="7">
        <v>18000000</v>
      </c>
      <c r="D2375" s="7">
        <f t="shared" si="38"/>
        <v>23382841</v>
      </c>
    </row>
    <row r="2376" spans="1:4" ht="18" customHeight="1" x14ac:dyDescent="0.25">
      <c r="A2376" s="2" t="s">
        <v>2679</v>
      </c>
      <c r="B2376" s="7">
        <v>48334413</v>
      </c>
      <c r="C2376" s="7">
        <v>100000</v>
      </c>
      <c r="D2376" s="7">
        <f t="shared" si="38"/>
        <v>48234413</v>
      </c>
    </row>
    <row r="2377" spans="1:4" ht="18" customHeight="1" x14ac:dyDescent="0.25">
      <c r="A2377" s="2" t="s">
        <v>6336</v>
      </c>
      <c r="B2377" s="7">
        <v>121972</v>
      </c>
      <c r="C2377" s="7">
        <v>22000000</v>
      </c>
      <c r="D2377" s="7">
        <f t="shared" si="38"/>
        <v>-21878028</v>
      </c>
    </row>
    <row r="2378" spans="1:4" ht="18" customHeight="1" x14ac:dyDescent="0.25">
      <c r="A2378" s="2" t="s">
        <v>1292</v>
      </c>
      <c r="B2378" s="7">
        <v>48334413</v>
      </c>
      <c r="C2378" s="7">
        <v>39751583.5</v>
      </c>
      <c r="D2378" s="7">
        <f t="shared" si="38"/>
        <v>8582829.5</v>
      </c>
    </row>
    <row r="2379" spans="1:4" ht="18" customHeight="1" x14ac:dyDescent="0.25">
      <c r="A2379" s="2" t="s">
        <v>653</v>
      </c>
      <c r="B2379" s="7">
        <v>68558662</v>
      </c>
      <c r="C2379" s="7">
        <v>90000000</v>
      </c>
      <c r="D2379" s="7">
        <f t="shared" si="38"/>
        <v>-21441338</v>
      </c>
    </row>
    <row r="2380" spans="1:4" ht="18" customHeight="1" x14ac:dyDescent="0.25">
      <c r="A2380" s="2" t="s">
        <v>2640</v>
      </c>
      <c r="B2380" s="7">
        <v>48334413</v>
      </c>
      <c r="C2380" s="7">
        <v>200000</v>
      </c>
      <c r="D2380" s="7">
        <f t="shared" si="38"/>
        <v>48134413</v>
      </c>
    </row>
    <row r="2381" spans="1:4" ht="18" customHeight="1" x14ac:dyDescent="0.25">
      <c r="A2381" s="2" t="s">
        <v>5583</v>
      </c>
      <c r="B2381" s="7">
        <v>2208939</v>
      </c>
      <c r="C2381" s="7">
        <v>50000000</v>
      </c>
      <c r="D2381" s="7">
        <f t="shared" si="38"/>
        <v>-47791061</v>
      </c>
    </row>
    <row r="2382" spans="1:4" ht="18" customHeight="1" x14ac:dyDescent="0.25">
      <c r="A2382" s="2" t="s">
        <v>6739</v>
      </c>
      <c r="B2382" s="7">
        <v>828</v>
      </c>
      <c r="C2382" s="7">
        <v>39751583.5</v>
      </c>
      <c r="D2382" s="7">
        <f t="shared" si="38"/>
        <v>-39750755.5</v>
      </c>
    </row>
    <row r="2383" spans="1:4" ht="18" customHeight="1" x14ac:dyDescent="0.25">
      <c r="A2383" s="2" t="s">
        <v>5247</v>
      </c>
      <c r="B2383" s="7">
        <v>4443403</v>
      </c>
      <c r="C2383" s="7">
        <v>7300000</v>
      </c>
      <c r="D2383" s="7">
        <f t="shared" si="38"/>
        <v>-2856597</v>
      </c>
    </row>
    <row r="2384" spans="1:4" ht="18" customHeight="1" x14ac:dyDescent="0.25">
      <c r="A2384" s="2" t="s">
        <v>893</v>
      </c>
      <c r="B2384" s="7">
        <v>57469179</v>
      </c>
      <c r="C2384" s="7">
        <v>11500000</v>
      </c>
      <c r="D2384" s="7">
        <f t="shared" si="38"/>
        <v>45969179</v>
      </c>
    </row>
    <row r="2385" spans="1:4" ht="18" customHeight="1" x14ac:dyDescent="0.25">
      <c r="A2385" s="2" t="s">
        <v>1210</v>
      </c>
      <c r="B2385" s="7">
        <v>48334413</v>
      </c>
      <c r="C2385" s="7">
        <v>65000000</v>
      </c>
      <c r="D2385" s="7">
        <f t="shared" si="38"/>
        <v>-16665587</v>
      </c>
    </row>
    <row r="2386" spans="1:4" ht="18" customHeight="1" x14ac:dyDescent="0.25">
      <c r="A2386" s="2" t="s">
        <v>4937</v>
      </c>
      <c r="B2386" s="7">
        <v>7282851</v>
      </c>
      <c r="C2386" s="7">
        <v>3000000</v>
      </c>
      <c r="D2386" s="7">
        <f t="shared" si="38"/>
        <v>4282851</v>
      </c>
    </row>
    <row r="2387" spans="1:4" ht="18" customHeight="1" x14ac:dyDescent="0.25">
      <c r="A2387" s="2" t="s">
        <v>4958</v>
      </c>
      <c r="B2387" s="7">
        <v>7059537</v>
      </c>
      <c r="C2387" s="7">
        <v>3000000</v>
      </c>
      <c r="D2387" s="7">
        <f t="shared" si="38"/>
        <v>4059537</v>
      </c>
    </row>
    <row r="2388" spans="1:4" ht="18" customHeight="1" x14ac:dyDescent="0.25">
      <c r="A2388" s="2" t="s">
        <v>106</v>
      </c>
      <c r="B2388" s="7">
        <v>104632573</v>
      </c>
      <c r="C2388" s="7">
        <v>32000000</v>
      </c>
      <c r="D2388" s="7">
        <f t="shared" si="38"/>
        <v>72632573</v>
      </c>
    </row>
    <row r="2389" spans="1:4" ht="18" customHeight="1" x14ac:dyDescent="0.25">
      <c r="A2389" s="2" t="s">
        <v>475</v>
      </c>
      <c r="B2389" s="7">
        <v>77324422</v>
      </c>
      <c r="C2389" s="7">
        <v>26000000</v>
      </c>
      <c r="D2389" s="7">
        <f t="shared" si="38"/>
        <v>51324422</v>
      </c>
    </row>
    <row r="2390" spans="1:4" ht="18" customHeight="1" x14ac:dyDescent="0.25">
      <c r="A2390" s="2" t="s">
        <v>3125</v>
      </c>
      <c r="B2390" s="7">
        <v>37707719</v>
      </c>
      <c r="C2390" s="7">
        <v>12000000</v>
      </c>
      <c r="D2390" s="7">
        <f t="shared" si="38"/>
        <v>25707719</v>
      </c>
    </row>
    <row r="2391" spans="1:4" ht="18" customHeight="1" x14ac:dyDescent="0.25">
      <c r="A2391" s="2" t="s">
        <v>2805</v>
      </c>
      <c r="B2391" s="7">
        <v>46563158</v>
      </c>
      <c r="C2391" s="7">
        <v>13000000</v>
      </c>
      <c r="D2391" s="7">
        <f t="shared" si="38"/>
        <v>33563158</v>
      </c>
    </row>
    <row r="2392" spans="1:4" ht="18" customHeight="1" x14ac:dyDescent="0.25">
      <c r="A2392" s="2" t="s">
        <v>5415</v>
      </c>
      <c r="B2392" s="7">
        <v>3216970</v>
      </c>
      <c r="C2392" s="7">
        <v>60000</v>
      </c>
      <c r="D2392" s="7">
        <f t="shared" si="38"/>
        <v>3156970</v>
      </c>
    </row>
    <row r="2393" spans="1:4" ht="18" customHeight="1" x14ac:dyDescent="0.25">
      <c r="A2393" s="2" t="s">
        <v>5548</v>
      </c>
      <c r="B2393" s="7">
        <v>2360184</v>
      </c>
      <c r="C2393" s="7">
        <v>300000</v>
      </c>
      <c r="D2393" s="7">
        <f t="shared" si="38"/>
        <v>2060184</v>
      </c>
    </row>
    <row r="2394" spans="1:4" ht="18" customHeight="1" x14ac:dyDescent="0.25">
      <c r="A2394" s="2" t="s">
        <v>2592</v>
      </c>
      <c r="B2394" s="7">
        <v>48334413</v>
      </c>
      <c r="C2394" s="7">
        <v>300000</v>
      </c>
      <c r="D2394" s="7">
        <f t="shared" si="38"/>
        <v>48034413</v>
      </c>
    </row>
    <row r="2395" spans="1:4" ht="18" customHeight="1" x14ac:dyDescent="0.25">
      <c r="A2395" s="2" t="s">
        <v>311</v>
      </c>
      <c r="B2395" s="7">
        <v>87341380</v>
      </c>
      <c r="C2395" s="7">
        <v>27000000</v>
      </c>
      <c r="D2395" s="7">
        <f t="shared" si="38"/>
        <v>60341380</v>
      </c>
    </row>
    <row r="2396" spans="1:4" ht="18" customHeight="1" x14ac:dyDescent="0.25">
      <c r="A2396" s="2" t="s">
        <v>6251</v>
      </c>
      <c r="B2396" s="7">
        <v>180483</v>
      </c>
      <c r="C2396" s="7">
        <v>10000</v>
      </c>
      <c r="D2396" s="7">
        <f t="shared" si="38"/>
        <v>170483</v>
      </c>
    </row>
    <row r="2397" spans="1:4" ht="18" customHeight="1" x14ac:dyDescent="0.25">
      <c r="A2397" s="2" t="s">
        <v>6673</v>
      </c>
      <c r="B2397" s="7">
        <v>8231</v>
      </c>
      <c r="C2397" s="7">
        <v>27000</v>
      </c>
      <c r="D2397" s="7">
        <f t="shared" si="38"/>
        <v>-18769</v>
      </c>
    </row>
    <row r="2398" spans="1:4" ht="18" customHeight="1" x14ac:dyDescent="0.25">
      <c r="A2398" s="2" t="s">
        <v>6562</v>
      </c>
      <c r="B2398" s="7">
        <v>24784</v>
      </c>
      <c r="C2398" s="7">
        <v>1200000</v>
      </c>
      <c r="D2398" s="7">
        <f t="shared" si="38"/>
        <v>-1175216</v>
      </c>
    </row>
    <row r="2399" spans="1:4" ht="18" customHeight="1" x14ac:dyDescent="0.25">
      <c r="A2399" s="2" t="s">
        <v>341</v>
      </c>
      <c r="B2399" s="7">
        <v>84300000</v>
      </c>
      <c r="C2399" s="7">
        <v>2600000</v>
      </c>
      <c r="D2399" s="7">
        <f t="shared" si="38"/>
        <v>81700000</v>
      </c>
    </row>
    <row r="2400" spans="1:4" ht="18" customHeight="1" x14ac:dyDescent="0.25">
      <c r="A2400" s="2" t="s">
        <v>3760</v>
      </c>
      <c r="B2400" s="7">
        <v>25003072</v>
      </c>
      <c r="C2400" s="7">
        <v>24000000</v>
      </c>
      <c r="D2400" s="7">
        <f t="shared" si="38"/>
        <v>1003072</v>
      </c>
    </row>
    <row r="2401" spans="1:4" ht="18" customHeight="1" x14ac:dyDescent="0.25">
      <c r="A2401" s="2" t="s">
        <v>4875</v>
      </c>
      <c r="B2401" s="7">
        <v>7994115</v>
      </c>
      <c r="C2401" s="7">
        <v>39751583.5</v>
      </c>
      <c r="D2401" s="7">
        <f t="shared" si="38"/>
        <v>-31757468.5</v>
      </c>
    </row>
    <row r="2402" spans="1:4" ht="18" customHeight="1" x14ac:dyDescent="0.25">
      <c r="A2402" s="2" t="s">
        <v>3055</v>
      </c>
      <c r="B2402" s="7">
        <v>39235088</v>
      </c>
      <c r="C2402" s="7">
        <v>23000000</v>
      </c>
      <c r="D2402" s="7">
        <f t="shared" si="38"/>
        <v>16235088</v>
      </c>
    </row>
    <row r="2403" spans="1:4" ht="18" customHeight="1" x14ac:dyDescent="0.25">
      <c r="A2403" s="2" t="s">
        <v>727</v>
      </c>
      <c r="B2403" s="7">
        <v>64998368</v>
      </c>
      <c r="C2403" s="7">
        <v>17000000</v>
      </c>
      <c r="D2403" s="7">
        <f t="shared" si="38"/>
        <v>47998368</v>
      </c>
    </row>
    <row r="2404" spans="1:4" ht="18" customHeight="1" x14ac:dyDescent="0.25">
      <c r="A2404" s="2" t="s">
        <v>461</v>
      </c>
      <c r="B2404" s="7">
        <v>78747585</v>
      </c>
      <c r="C2404" s="7">
        <v>88000000</v>
      </c>
      <c r="D2404" s="7">
        <f t="shared" si="38"/>
        <v>-9252415</v>
      </c>
    </row>
    <row r="2405" spans="1:4" ht="18" customHeight="1" x14ac:dyDescent="0.25">
      <c r="A2405" s="2" t="s">
        <v>2944</v>
      </c>
      <c r="B2405" s="7">
        <v>42194060</v>
      </c>
      <c r="C2405" s="7">
        <v>70000000</v>
      </c>
      <c r="D2405" s="7">
        <f t="shared" si="38"/>
        <v>-27805940</v>
      </c>
    </row>
    <row r="2406" spans="1:4" ht="18" customHeight="1" x14ac:dyDescent="0.25">
      <c r="A2406" s="2" t="s">
        <v>1855</v>
      </c>
      <c r="B2406" s="7">
        <v>48334413</v>
      </c>
      <c r="C2406" s="7">
        <v>10000000</v>
      </c>
      <c r="D2406" s="7">
        <f t="shared" si="38"/>
        <v>38334413</v>
      </c>
    </row>
    <row r="2407" spans="1:4" ht="18" customHeight="1" x14ac:dyDescent="0.25">
      <c r="A2407" s="2" t="s">
        <v>4837</v>
      </c>
      <c r="B2407" s="7">
        <v>8427204</v>
      </c>
      <c r="C2407" s="7">
        <v>24000000</v>
      </c>
      <c r="D2407" s="7">
        <f t="shared" si="38"/>
        <v>-15572796</v>
      </c>
    </row>
    <row r="2408" spans="1:4" ht="18" customHeight="1" x14ac:dyDescent="0.25">
      <c r="A2408" s="2" t="s">
        <v>4503</v>
      </c>
      <c r="B2408" s="7">
        <v>13101142</v>
      </c>
      <c r="C2408" s="7">
        <v>35000000</v>
      </c>
      <c r="D2408" s="7">
        <f t="shared" si="38"/>
        <v>-21898858</v>
      </c>
    </row>
    <row r="2409" spans="1:4" ht="18" customHeight="1" x14ac:dyDescent="0.25">
      <c r="A2409" s="2" t="s">
        <v>5314</v>
      </c>
      <c r="B2409" s="7">
        <v>4033268</v>
      </c>
      <c r="C2409" s="7">
        <v>39751583.5</v>
      </c>
      <c r="D2409" s="7">
        <f t="shared" si="38"/>
        <v>-35718315.5</v>
      </c>
    </row>
    <row r="2410" spans="1:4" ht="18" customHeight="1" x14ac:dyDescent="0.25">
      <c r="A2410" s="2" t="s">
        <v>6721</v>
      </c>
      <c r="B2410" s="7">
        <v>2843</v>
      </c>
      <c r="C2410" s="7">
        <v>39751583.5</v>
      </c>
      <c r="D2410" s="7">
        <f t="shared" si="38"/>
        <v>-39748740.5</v>
      </c>
    </row>
    <row r="2411" spans="1:4" ht="18" customHeight="1" x14ac:dyDescent="0.25">
      <c r="A2411" s="2" t="s">
        <v>2193</v>
      </c>
      <c r="B2411" s="7">
        <v>48334413</v>
      </c>
      <c r="C2411" s="7">
        <v>2900000</v>
      </c>
      <c r="D2411" s="7">
        <f t="shared" si="38"/>
        <v>45434413</v>
      </c>
    </row>
    <row r="2412" spans="1:4" ht="18" customHeight="1" x14ac:dyDescent="0.25">
      <c r="A2412" s="2" t="s">
        <v>3605</v>
      </c>
      <c r="B2412" s="7">
        <v>27515786</v>
      </c>
      <c r="C2412" s="7">
        <v>14000000</v>
      </c>
      <c r="D2412" s="7">
        <f t="shared" si="38"/>
        <v>13515786</v>
      </c>
    </row>
    <row r="2413" spans="1:4" ht="18" customHeight="1" x14ac:dyDescent="0.25">
      <c r="A2413" s="2" t="s">
        <v>2170</v>
      </c>
      <c r="B2413" s="7">
        <v>48334413</v>
      </c>
      <c r="C2413" s="7">
        <v>3000000</v>
      </c>
      <c r="D2413" s="7">
        <f t="shared" si="38"/>
        <v>45334413</v>
      </c>
    </row>
    <row r="2414" spans="1:4" ht="18" customHeight="1" x14ac:dyDescent="0.25">
      <c r="A2414" s="2" t="s">
        <v>1732</v>
      </c>
      <c r="B2414" s="7">
        <v>48334413</v>
      </c>
      <c r="C2414" s="7">
        <v>16000000</v>
      </c>
      <c r="D2414" s="7">
        <f t="shared" si="38"/>
        <v>32334413</v>
      </c>
    </row>
    <row r="2415" spans="1:4" ht="18" customHeight="1" x14ac:dyDescent="0.25">
      <c r="A2415" s="2" t="s">
        <v>6325</v>
      </c>
      <c r="B2415" s="7">
        <v>126247</v>
      </c>
      <c r="C2415" s="7">
        <v>6200000</v>
      </c>
      <c r="D2415" s="7">
        <f t="shared" si="38"/>
        <v>-6073753</v>
      </c>
    </row>
    <row r="2416" spans="1:4" ht="18" customHeight="1" x14ac:dyDescent="0.25">
      <c r="A2416" s="2" t="s">
        <v>407</v>
      </c>
      <c r="B2416" s="7">
        <v>81200000</v>
      </c>
      <c r="C2416" s="7">
        <v>4500000</v>
      </c>
      <c r="D2416" s="7">
        <f t="shared" si="38"/>
        <v>76700000</v>
      </c>
    </row>
    <row r="2417" spans="1:4" ht="18" customHeight="1" x14ac:dyDescent="0.25">
      <c r="A2417" s="2" t="s">
        <v>6265</v>
      </c>
      <c r="B2417" s="7">
        <v>171320</v>
      </c>
      <c r="C2417" s="7">
        <v>39751583.5</v>
      </c>
      <c r="D2417" s="7">
        <f t="shared" si="38"/>
        <v>-39580263.5</v>
      </c>
    </row>
    <row r="2418" spans="1:4" ht="18" customHeight="1" x14ac:dyDescent="0.25">
      <c r="A2418" s="2" t="s">
        <v>4823</v>
      </c>
      <c r="B2418" s="7">
        <v>8596914</v>
      </c>
      <c r="C2418" s="7">
        <v>6000000</v>
      </c>
      <c r="D2418" s="7">
        <f t="shared" si="38"/>
        <v>2596914</v>
      </c>
    </row>
    <row r="2419" spans="1:4" ht="18" customHeight="1" x14ac:dyDescent="0.25">
      <c r="A2419" s="2" t="s">
        <v>4416</v>
      </c>
      <c r="B2419" s="7">
        <v>14114488</v>
      </c>
      <c r="C2419" s="7">
        <v>10500000</v>
      </c>
      <c r="D2419" s="7">
        <f t="shared" si="38"/>
        <v>3614488</v>
      </c>
    </row>
    <row r="2420" spans="1:4" ht="18" customHeight="1" x14ac:dyDescent="0.25">
      <c r="A2420" s="2" t="s">
        <v>485</v>
      </c>
      <c r="B2420" s="7">
        <v>153200000</v>
      </c>
      <c r="C2420" s="7">
        <v>21400000</v>
      </c>
      <c r="D2420" s="7">
        <f t="shared" si="38"/>
        <v>131800000</v>
      </c>
    </row>
    <row r="2421" spans="1:4" ht="18" customHeight="1" x14ac:dyDescent="0.25">
      <c r="A2421" s="2" t="s">
        <v>3829</v>
      </c>
      <c r="B2421" s="7">
        <v>23219748</v>
      </c>
      <c r="C2421" s="7">
        <v>80000000</v>
      </c>
      <c r="D2421" s="7">
        <f t="shared" si="38"/>
        <v>-56780252</v>
      </c>
    </row>
    <row r="2422" spans="1:4" ht="18" customHeight="1" x14ac:dyDescent="0.25">
      <c r="A2422" s="2" t="s">
        <v>6715</v>
      </c>
      <c r="B2422" s="7">
        <v>3478</v>
      </c>
      <c r="C2422" s="7">
        <v>1500000</v>
      </c>
      <c r="D2422" s="7">
        <f t="shared" si="38"/>
        <v>-1496522</v>
      </c>
    </row>
    <row r="2423" spans="1:4" ht="18" customHeight="1" x14ac:dyDescent="0.25">
      <c r="A2423" s="2" t="s">
        <v>4342</v>
      </c>
      <c r="B2423" s="7">
        <v>15081783</v>
      </c>
      <c r="C2423" s="7">
        <v>34000000</v>
      </c>
      <c r="D2423" s="7">
        <f t="shared" si="38"/>
        <v>-18918217</v>
      </c>
    </row>
    <row r="2424" spans="1:4" ht="18" customHeight="1" x14ac:dyDescent="0.25">
      <c r="A2424" s="2" t="s">
        <v>4125</v>
      </c>
      <c r="B2424" s="7">
        <v>18081626</v>
      </c>
      <c r="C2424" s="7">
        <v>20000000</v>
      </c>
      <c r="D2424" s="7">
        <f t="shared" si="38"/>
        <v>-1918374</v>
      </c>
    </row>
    <row r="2425" spans="1:4" ht="18" customHeight="1" x14ac:dyDescent="0.25">
      <c r="A2425" s="2" t="s">
        <v>5969</v>
      </c>
      <c r="B2425" s="7">
        <v>562059</v>
      </c>
      <c r="C2425" s="7">
        <v>4000000</v>
      </c>
      <c r="D2425" s="7">
        <f t="shared" si="38"/>
        <v>-3437941</v>
      </c>
    </row>
    <row r="2426" spans="1:4" ht="18" customHeight="1" x14ac:dyDescent="0.25">
      <c r="A2426" s="2" t="s">
        <v>5401</v>
      </c>
      <c r="B2426" s="7">
        <v>3293258</v>
      </c>
      <c r="C2426" s="7">
        <v>3000000</v>
      </c>
      <c r="D2426" s="7">
        <f t="shared" si="38"/>
        <v>293258</v>
      </c>
    </row>
    <row r="2427" spans="1:4" ht="18" customHeight="1" x14ac:dyDescent="0.25">
      <c r="A2427" s="2" t="s">
        <v>97</v>
      </c>
      <c r="B2427" s="7">
        <v>105500000</v>
      </c>
      <c r="C2427" s="7">
        <v>4000000</v>
      </c>
      <c r="D2427" s="7">
        <f t="shared" si="38"/>
        <v>101500000</v>
      </c>
    </row>
    <row r="2428" spans="1:4" ht="18" customHeight="1" x14ac:dyDescent="0.25">
      <c r="A2428" s="2" t="s">
        <v>5038</v>
      </c>
      <c r="B2428" s="7">
        <v>6373693</v>
      </c>
      <c r="C2428" s="7">
        <v>15000000</v>
      </c>
      <c r="D2428" s="7">
        <f t="shared" si="38"/>
        <v>-8626307</v>
      </c>
    </row>
    <row r="2429" spans="1:4" ht="18" customHeight="1" x14ac:dyDescent="0.25">
      <c r="A2429" s="2" t="s">
        <v>6576</v>
      </c>
      <c r="B2429" s="7">
        <v>23000</v>
      </c>
      <c r="C2429" s="7">
        <v>500000</v>
      </c>
      <c r="D2429" s="7">
        <f t="shared" si="38"/>
        <v>-477000</v>
      </c>
    </row>
    <row r="2430" spans="1:4" ht="18" customHeight="1" x14ac:dyDescent="0.25">
      <c r="A2430" s="2" t="s">
        <v>1935</v>
      </c>
      <c r="B2430" s="7">
        <v>48334413</v>
      </c>
      <c r="C2430" s="7">
        <v>7500000</v>
      </c>
      <c r="D2430" s="7">
        <f t="shared" si="38"/>
        <v>40834413</v>
      </c>
    </row>
    <row r="2431" spans="1:4" ht="18" customHeight="1" x14ac:dyDescent="0.25">
      <c r="A2431" s="2" t="s">
        <v>2804</v>
      </c>
      <c r="B2431" s="7">
        <v>46611204</v>
      </c>
      <c r="C2431" s="7">
        <v>48000000</v>
      </c>
      <c r="D2431" s="7">
        <f t="shared" si="38"/>
        <v>-1388796</v>
      </c>
    </row>
    <row r="2432" spans="1:4" ht="18" customHeight="1" x14ac:dyDescent="0.25">
      <c r="A2432" s="2" t="s">
        <v>1363</v>
      </c>
      <c r="B2432" s="7">
        <v>48334413</v>
      </c>
      <c r="C2432" s="7">
        <v>39751583.5</v>
      </c>
      <c r="D2432" s="7">
        <f t="shared" si="38"/>
        <v>8582829.5</v>
      </c>
    </row>
    <row r="2433" spans="1:4" ht="18" customHeight="1" x14ac:dyDescent="0.25">
      <c r="A2433" s="2" t="s">
        <v>2774</v>
      </c>
      <c r="B2433" s="7">
        <v>95073918</v>
      </c>
      <c r="C2433" s="7">
        <v>20000000</v>
      </c>
      <c r="D2433" s="7">
        <f t="shared" si="38"/>
        <v>75073918</v>
      </c>
    </row>
    <row r="2434" spans="1:4" ht="18" customHeight="1" x14ac:dyDescent="0.25">
      <c r="A2434" s="2" t="s">
        <v>3465</v>
      </c>
      <c r="B2434" s="7">
        <v>30669413</v>
      </c>
      <c r="C2434" s="7">
        <v>35000000</v>
      </c>
      <c r="D2434" s="7">
        <f t="shared" si="38"/>
        <v>-4330587</v>
      </c>
    </row>
    <row r="2435" spans="1:4" ht="18" customHeight="1" x14ac:dyDescent="0.25">
      <c r="A2435" s="2" t="s">
        <v>840</v>
      </c>
      <c r="B2435" s="7">
        <v>59735548</v>
      </c>
      <c r="C2435" s="7">
        <v>15000000</v>
      </c>
      <c r="D2435" s="7">
        <f t="shared" si="38"/>
        <v>44735548</v>
      </c>
    </row>
    <row r="2436" spans="1:4" ht="18" customHeight="1" x14ac:dyDescent="0.25">
      <c r="A2436" s="2" t="s">
        <v>1072</v>
      </c>
      <c r="B2436" s="7">
        <v>52000688</v>
      </c>
      <c r="C2436" s="7">
        <v>40000000</v>
      </c>
      <c r="D2436" s="7">
        <f t="shared" si="38"/>
        <v>12000688</v>
      </c>
    </row>
    <row r="2437" spans="1:4" ht="18" customHeight="1" x14ac:dyDescent="0.25">
      <c r="A2437" s="2" t="s">
        <v>5987</v>
      </c>
      <c r="B2437" s="7">
        <v>532190</v>
      </c>
      <c r="C2437" s="7">
        <v>8000000</v>
      </c>
      <c r="D2437" s="7">
        <f t="shared" ref="D2437:D2500" si="39">B2437-C2437</f>
        <v>-7467810</v>
      </c>
    </row>
    <row r="2438" spans="1:4" ht="18" customHeight="1" x14ac:dyDescent="0.25">
      <c r="A2438" s="2" t="s">
        <v>3998</v>
      </c>
      <c r="B2438" s="7">
        <v>20275446</v>
      </c>
      <c r="C2438" s="7">
        <v>35000000</v>
      </c>
      <c r="D2438" s="7">
        <f t="shared" si="39"/>
        <v>-14724554</v>
      </c>
    </row>
    <row r="2439" spans="1:4" ht="18" customHeight="1" x14ac:dyDescent="0.25">
      <c r="A2439" s="2" t="s">
        <v>2762</v>
      </c>
      <c r="B2439" s="7">
        <v>47852604</v>
      </c>
      <c r="C2439" s="7">
        <v>20000000</v>
      </c>
      <c r="D2439" s="7">
        <f t="shared" si="39"/>
        <v>27852604</v>
      </c>
    </row>
    <row r="2440" spans="1:4" ht="18" customHeight="1" x14ac:dyDescent="0.25">
      <c r="A2440" s="2" t="s">
        <v>3082</v>
      </c>
      <c r="B2440" s="7">
        <v>38372662</v>
      </c>
      <c r="C2440" s="7">
        <v>28000000</v>
      </c>
      <c r="D2440" s="7">
        <f t="shared" si="39"/>
        <v>10372662</v>
      </c>
    </row>
    <row r="2441" spans="1:4" ht="18" customHeight="1" x14ac:dyDescent="0.25">
      <c r="A2441" s="2" t="s">
        <v>4294</v>
      </c>
      <c r="B2441" s="7">
        <v>15709385</v>
      </c>
      <c r="C2441" s="7">
        <v>30000000</v>
      </c>
      <c r="D2441" s="7">
        <f t="shared" si="39"/>
        <v>-14290615</v>
      </c>
    </row>
    <row r="2442" spans="1:4" ht="18" customHeight="1" x14ac:dyDescent="0.25">
      <c r="A2442" s="2" t="s">
        <v>4664</v>
      </c>
      <c r="B2442" s="7">
        <v>10907291</v>
      </c>
      <c r="C2442" s="7">
        <v>28000000</v>
      </c>
      <c r="D2442" s="7">
        <f t="shared" si="39"/>
        <v>-17092709</v>
      </c>
    </row>
    <row r="2443" spans="1:4" ht="18" customHeight="1" x14ac:dyDescent="0.25">
      <c r="A2443" s="2" t="s">
        <v>3532</v>
      </c>
      <c r="B2443" s="7">
        <v>29136626</v>
      </c>
      <c r="C2443" s="7">
        <v>60000000</v>
      </c>
      <c r="D2443" s="7">
        <f t="shared" si="39"/>
        <v>-30863374</v>
      </c>
    </row>
    <row r="2444" spans="1:4" ht="18" customHeight="1" x14ac:dyDescent="0.25">
      <c r="A2444" s="2" t="s">
        <v>3067</v>
      </c>
      <c r="B2444" s="7">
        <v>38966057</v>
      </c>
      <c r="C2444" s="7">
        <v>65000000</v>
      </c>
      <c r="D2444" s="7">
        <f t="shared" si="39"/>
        <v>-26033943</v>
      </c>
    </row>
    <row r="2445" spans="1:4" ht="18" customHeight="1" x14ac:dyDescent="0.25">
      <c r="A2445" s="2" t="s">
        <v>6048</v>
      </c>
      <c r="B2445" s="7">
        <v>424760</v>
      </c>
      <c r="C2445" s="7">
        <v>7000</v>
      </c>
      <c r="D2445" s="7">
        <f t="shared" si="39"/>
        <v>417760</v>
      </c>
    </row>
    <row r="2446" spans="1:4" ht="18" customHeight="1" x14ac:dyDescent="0.25">
      <c r="A2446" s="2" t="s">
        <v>5848</v>
      </c>
      <c r="B2446" s="7">
        <v>883887</v>
      </c>
      <c r="C2446" s="7">
        <v>9000000</v>
      </c>
      <c r="D2446" s="7">
        <f t="shared" si="39"/>
        <v>-8116113</v>
      </c>
    </row>
    <row r="2447" spans="1:4" ht="18" customHeight="1" x14ac:dyDescent="0.25">
      <c r="A2447" s="2" t="s">
        <v>6093</v>
      </c>
      <c r="B2447" s="7">
        <v>354704</v>
      </c>
      <c r="C2447" s="7">
        <v>1300000</v>
      </c>
      <c r="D2447" s="7">
        <f t="shared" si="39"/>
        <v>-945296</v>
      </c>
    </row>
    <row r="2448" spans="1:4" ht="18" customHeight="1" x14ac:dyDescent="0.25">
      <c r="A2448" s="2" t="s">
        <v>804</v>
      </c>
      <c r="B2448" s="7">
        <v>60962878</v>
      </c>
      <c r="C2448" s="7">
        <v>46000000</v>
      </c>
      <c r="D2448" s="7">
        <f t="shared" si="39"/>
        <v>14962878</v>
      </c>
    </row>
    <row r="2449" spans="1:4" ht="18" customHeight="1" x14ac:dyDescent="0.25">
      <c r="A2449" s="2" t="s">
        <v>637</v>
      </c>
      <c r="B2449" s="7">
        <v>69800000</v>
      </c>
      <c r="C2449" s="7">
        <v>10000000</v>
      </c>
      <c r="D2449" s="7">
        <f t="shared" si="39"/>
        <v>59800000</v>
      </c>
    </row>
    <row r="2450" spans="1:4" ht="18" customHeight="1" x14ac:dyDescent="0.25">
      <c r="A2450" s="2" t="s">
        <v>3880</v>
      </c>
      <c r="B2450" s="7">
        <v>22331028</v>
      </c>
      <c r="C2450" s="7">
        <v>12000000</v>
      </c>
      <c r="D2450" s="7">
        <f t="shared" si="39"/>
        <v>10331028</v>
      </c>
    </row>
    <row r="2451" spans="1:4" ht="18" customHeight="1" x14ac:dyDescent="0.25">
      <c r="A2451" s="2" t="s">
        <v>985</v>
      </c>
      <c r="B2451" s="7">
        <v>54724272</v>
      </c>
      <c r="C2451" s="7">
        <v>12000000</v>
      </c>
      <c r="D2451" s="7">
        <f t="shared" si="39"/>
        <v>42724272</v>
      </c>
    </row>
    <row r="2452" spans="1:4" ht="18" customHeight="1" x14ac:dyDescent="0.25">
      <c r="A2452" s="2" t="s">
        <v>2888</v>
      </c>
      <c r="B2452" s="7">
        <v>43818159</v>
      </c>
      <c r="C2452" s="7">
        <v>20000000</v>
      </c>
      <c r="D2452" s="7">
        <f t="shared" si="39"/>
        <v>23818159</v>
      </c>
    </row>
    <row r="2453" spans="1:4" ht="18" customHeight="1" x14ac:dyDescent="0.25">
      <c r="A2453" s="2" t="s">
        <v>4737</v>
      </c>
      <c r="B2453" s="7">
        <v>10106233</v>
      </c>
      <c r="C2453" s="7">
        <v>8000000</v>
      </c>
      <c r="D2453" s="7">
        <f t="shared" si="39"/>
        <v>2106233</v>
      </c>
    </row>
    <row r="2454" spans="1:4" ht="18" customHeight="1" x14ac:dyDescent="0.25">
      <c r="A2454" s="2" t="s">
        <v>4915</v>
      </c>
      <c r="B2454" s="7">
        <v>7556708</v>
      </c>
      <c r="C2454" s="7">
        <v>15000000</v>
      </c>
      <c r="D2454" s="7">
        <f t="shared" si="39"/>
        <v>-7443292</v>
      </c>
    </row>
    <row r="2455" spans="1:4" ht="18" customHeight="1" x14ac:dyDescent="0.25">
      <c r="A2455" s="2" t="s">
        <v>3364</v>
      </c>
      <c r="B2455" s="7">
        <v>32598931</v>
      </c>
      <c r="C2455" s="7">
        <v>65000000</v>
      </c>
      <c r="D2455" s="7">
        <f t="shared" si="39"/>
        <v>-32401069</v>
      </c>
    </row>
    <row r="2456" spans="1:4" ht="18" customHeight="1" x14ac:dyDescent="0.25">
      <c r="A2456" s="2" t="s">
        <v>1777</v>
      </c>
      <c r="B2456" s="7">
        <v>48334413</v>
      </c>
      <c r="C2456" s="7">
        <v>12000000</v>
      </c>
      <c r="D2456" s="7">
        <f t="shared" si="39"/>
        <v>36334413</v>
      </c>
    </row>
    <row r="2457" spans="1:4" ht="18" customHeight="1" x14ac:dyDescent="0.25">
      <c r="A2457" s="2" t="s">
        <v>2448</v>
      </c>
      <c r="B2457" s="7">
        <v>48334413</v>
      </c>
      <c r="C2457" s="7">
        <v>1000000</v>
      </c>
      <c r="D2457" s="7">
        <f t="shared" si="39"/>
        <v>47334413</v>
      </c>
    </row>
    <row r="2458" spans="1:4" ht="18" customHeight="1" x14ac:dyDescent="0.25">
      <c r="A2458" s="2" t="s">
        <v>1394</v>
      </c>
      <c r="B2458" s="7">
        <v>48334413</v>
      </c>
      <c r="C2458" s="7">
        <v>39751583.5</v>
      </c>
      <c r="D2458" s="7">
        <f t="shared" si="39"/>
        <v>8582829.5</v>
      </c>
    </row>
    <row r="2459" spans="1:4" ht="18" customHeight="1" x14ac:dyDescent="0.25">
      <c r="A2459" s="2" t="s">
        <v>6160</v>
      </c>
      <c r="B2459" s="7">
        <v>265107</v>
      </c>
      <c r="C2459" s="7">
        <v>1500000</v>
      </c>
      <c r="D2459" s="7">
        <f t="shared" si="39"/>
        <v>-1234893</v>
      </c>
    </row>
    <row r="2460" spans="1:4" ht="18" customHeight="1" x14ac:dyDescent="0.25">
      <c r="A2460" s="2" t="s">
        <v>3399</v>
      </c>
      <c r="B2460" s="7">
        <v>32000000</v>
      </c>
      <c r="C2460" s="7">
        <v>806947</v>
      </c>
      <c r="D2460" s="7">
        <f t="shared" si="39"/>
        <v>31193053</v>
      </c>
    </row>
    <row r="2461" spans="1:4" ht="18" customHeight="1" x14ac:dyDescent="0.25">
      <c r="A2461" s="2" t="s">
        <v>63</v>
      </c>
      <c r="B2461" s="7">
        <v>107930000</v>
      </c>
      <c r="C2461" s="7">
        <v>8000000</v>
      </c>
      <c r="D2461" s="7">
        <f t="shared" si="39"/>
        <v>99930000</v>
      </c>
    </row>
    <row r="2462" spans="1:4" ht="18" customHeight="1" x14ac:dyDescent="0.25">
      <c r="A2462" s="2" t="s">
        <v>4000</v>
      </c>
      <c r="B2462" s="7">
        <v>20259297</v>
      </c>
      <c r="C2462" s="7">
        <v>20000000</v>
      </c>
      <c r="D2462" s="7">
        <f t="shared" si="39"/>
        <v>259297</v>
      </c>
    </row>
    <row r="2463" spans="1:4" ht="18" customHeight="1" x14ac:dyDescent="0.25">
      <c r="A2463" s="2" t="s">
        <v>4136</v>
      </c>
      <c r="B2463" s="7">
        <v>17791031</v>
      </c>
      <c r="C2463" s="7">
        <v>25000000</v>
      </c>
      <c r="D2463" s="7">
        <f t="shared" si="39"/>
        <v>-7208969</v>
      </c>
    </row>
    <row r="2464" spans="1:4" ht="18" customHeight="1" x14ac:dyDescent="0.25">
      <c r="A2464" s="2" t="s">
        <v>4878</v>
      </c>
      <c r="B2464" s="7">
        <v>7948159</v>
      </c>
      <c r="C2464" s="7">
        <v>35000000</v>
      </c>
      <c r="D2464" s="7">
        <f t="shared" si="39"/>
        <v>-27051841</v>
      </c>
    </row>
    <row r="2465" spans="1:4" ht="18" customHeight="1" x14ac:dyDescent="0.25">
      <c r="A2465" s="2" t="s">
        <v>2079</v>
      </c>
      <c r="B2465" s="7">
        <v>48334413</v>
      </c>
      <c r="C2465" s="7">
        <v>4000000</v>
      </c>
      <c r="D2465" s="7">
        <f t="shared" si="39"/>
        <v>44334413</v>
      </c>
    </row>
    <row r="2466" spans="1:4" ht="18" customHeight="1" x14ac:dyDescent="0.25">
      <c r="A2466" s="2" t="s">
        <v>4838</v>
      </c>
      <c r="B2466" s="7">
        <v>8406264</v>
      </c>
      <c r="C2466" s="7">
        <v>38000000</v>
      </c>
      <c r="D2466" s="7">
        <f t="shared" si="39"/>
        <v>-29593736</v>
      </c>
    </row>
    <row r="2467" spans="1:4" ht="18" customHeight="1" x14ac:dyDescent="0.25">
      <c r="A2467" s="2" t="s">
        <v>2358</v>
      </c>
      <c r="B2467" s="7">
        <v>48334413</v>
      </c>
      <c r="C2467" s="7">
        <v>1500000</v>
      </c>
      <c r="D2467" s="7">
        <f t="shared" si="39"/>
        <v>46834413</v>
      </c>
    </row>
    <row r="2468" spans="1:4" ht="18" customHeight="1" x14ac:dyDescent="0.25">
      <c r="A2468" s="2" t="s">
        <v>3414</v>
      </c>
      <c r="B2468" s="7">
        <v>31691811</v>
      </c>
      <c r="C2468" s="7">
        <v>12000000</v>
      </c>
      <c r="D2468" s="7">
        <f t="shared" si="39"/>
        <v>19691811</v>
      </c>
    </row>
    <row r="2469" spans="1:4" ht="18" customHeight="1" x14ac:dyDescent="0.25">
      <c r="A2469" s="2" t="s">
        <v>4106</v>
      </c>
      <c r="B2469" s="7">
        <v>18381787</v>
      </c>
      <c r="C2469" s="7">
        <v>11000000</v>
      </c>
      <c r="D2469" s="7">
        <f t="shared" si="39"/>
        <v>7381787</v>
      </c>
    </row>
    <row r="2470" spans="1:4" ht="18" customHeight="1" x14ac:dyDescent="0.25">
      <c r="A2470" s="2" t="s">
        <v>2689</v>
      </c>
      <c r="B2470" s="7">
        <v>48334413</v>
      </c>
      <c r="C2470" s="7">
        <v>75000</v>
      </c>
      <c r="D2470" s="7">
        <f t="shared" si="39"/>
        <v>48259413</v>
      </c>
    </row>
    <row r="2471" spans="1:4" ht="18" customHeight="1" x14ac:dyDescent="0.25">
      <c r="A2471" s="2" t="s">
        <v>3482</v>
      </c>
      <c r="B2471" s="7">
        <v>30307804</v>
      </c>
      <c r="C2471" s="7">
        <v>35000000</v>
      </c>
      <c r="D2471" s="7">
        <f t="shared" si="39"/>
        <v>-4692196</v>
      </c>
    </row>
    <row r="2472" spans="1:4" ht="18" customHeight="1" x14ac:dyDescent="0.25">
      <c r="A2472" s="2" t="s">
        <v>2366</v>
      </c>
      <c r="B2472" s="7">
        <v>48334413</v>
      </c>
      <c r="C2472" s="7">
        <v>1400000</v>
      </c>
      <c r="D2472" s="7">
        <f t="shared" si="39"/>
        <v>46934413</v>
      </c>
    </row>
    <row r="2473" spans="1:4" ht="18" customHeight="1" x14ac:dyDescent="0.25">
      <c r="A2473" s="2" t="s">
        <v>1767</v>
      </c>
      <c r="B2473" s="7">
        <v>48334413</v>
      </c>
      <c r="C2473" s="7">
        <v>12500000</v>
      </c>
      <c r="D2473" s="7">
        <f t="shared" si="39"/>
        <v>35834413</v>
      </c>
    </row>
    <row r="2474" spans="1:4" ht="18" customHeight="1" x14ac:dyDescent="0.25">
      <c r="A2474" s="2" t="s">
        <v>3928</v>
      </c>
      <c r="B2474" s="7">
        <v>21413105</v>
      </c>
      <c r="C2474" s="7">
        <v>20000000</v>
      </c>
      <c r="D2474" s="7">
        <f t="shared" si="39"/>
        <v>1413105</v>
      </c>
    </row>
    <row r="2475" spans="1:4" ht="18" customHeight="1" x14ac:dyDescent="0.25">
      <c r="A2475" s="2" t="s">
        <v>4956</v>
      </c>
      <c r="B2475" s="7">
        <v>7060876</v>
      </c>
      <c r="C2475" s="7">
        <v>13500000</v>
      </c>
      <c r="D2475" s="7">
        <f t="shared" si="39"/>
        <v>-6439124</v>
      </c>
    </row>
    <row r="2476" spans="1:4" ht="18" customHeight="1" x14ac:dyDescent="0.25">
      <c r="A2476" s="2" t="s">
        <v>5668</v>
      </c>
      <c r="B2476" s="7">
        <v>1689999</v>
      </c>
      <c r="C2476" s="7">
        <v>400000</v>
      </c>
      <c r="D2476" s="7">
        <f t="shared" si="39"/>
        <v>1289999</v>
      </c>
    </row>
    <row r="2477" spans="1:4" ht="18" customHeight="1" x14ac:dyDescent="0.25">
      <c r="A2477" s="2" t="s">
        <v>1927</v>
      </c>
      <c r="B2477" s="7">
        <v>48334413</v>
      </c>
      <c r="C2477" s="7">
        <v>7623000</v>
      </c>
      <c r="D2477" s="7">
        <f t="shared" si="39"/>
        <v>40711413</v>
      </c>
    </row>
    <row r="2478" spans="1:4" ht="18" customHeight="1" x14ac:dyDescent="0.25">
      <c r="A2478" s="2" t="s">
        <v>2050</v>
      </c>
      <c r="B2478" s="7">
        <v>48334413</v>
      </c>
      <c r="C2478" s="7">
        <v>4400000</v>
      </c>
      <c r="D2478" s="7">
        <f t="shared" si="39"/>
        <v>43934413</v>
      </c>
    </row>
    <row r="2479" spans="1:4" ht="18" customHeight="1" x14ac:dyDescent="0.25">
      <c r="A2479" s="2" t="s">
        <v>6578</v>
      </c>
      <c r="B2479" s="7">
        <v>22770</v>
      </c>
      <c r="C2479" s="7">
        <v>5500000</v>
      </c>
      <c r="D2479" s="7">
        <f t="shared" si="39"/>
        <v>-5477230</v>
      </c>
    </row>
    <row r="2480" spans="1:4" ht="18" customHeight="1" x14ac:dyDescent="0.25">
      <c r="A2480" s="2" t="s">
        <v>5580</v>
      </c>
      <c r="B2480" s="7">
        <v>2221809</v>
      </c>
      <c r="C2480" s="7">
        <v>5000000</v>
      </c>
      <c r="D2480" s="7">
        <f t="shared" si="39"/>
        <v>-2778191</v>
      </c>
    </row>
    <row r="2481" spans="1:4" ht="18" customHeight="1" x14ac:dyDescent="0.25">
      <c r="A2481" s="2" t="s">
        <v>5056</v>
      </c>
      <c r="B2481" s="7">
        <v>6165429</v>
      </c>
      <c r="C2481" s="7">
        <v>6000000</v>
      </c>
      <c r="D2481" s="7">
        <f t="shared" si="39"/>
        <v>165429</v>
      </c>
    </row>
    <row r="2482" spans="1:4" ht="18" customHeight="1" x14ac:dyDescent="0.25">
      <c r="A2482" s="2" t="s">
        <v>673</v>
      </c>
      <c r="B2482" s="7">
        <v>67128202</v>
      </c>
      <c r="C2482" s="7">
        <v>65000000</v>
      </c>
      <c r="D2482" s="7">
        <f t="shared" si="39"/>
        <v>2128202</v>
      </c>
    </row>
    <row r="2483" spans="1:4" ht="18" customHeight="1" x14ac:dyDescent="0.25">
      <c r="A2483" s="2" t="s">
        <v>4060</v>
      </c>
      <c r="B2483" s="7">
        <v>19097994</v>
      </c>
      <c r="C2483" s="7">
        <v>39751583.5</v>
      </c>
      <c r="D2483" s="7">
        <f t="shared" si="39"/>
        <v>-20653589.5</v>
      </c>
    </row>
    <row r="2484" spans="1:4" ht="18" customHeight="1" x14ac:dyDescent="0.25">
      <c r="A2484" s="2" t="s">
        <v>4533</v>
      </c>
      <c r="B2484" s="7">
        <v>12796277</v>
      </c>
      <c r="C2484" s="7">
        <v>39751583.5</v>
      </c>
      <c r="D2484" s="7">
        <f t="shared" si="39"/>
        <v>-26955306.5</v>
      </c>
    </row>
    <row r="2485" spans="1:4" ht="18" customHeight="1" x14ac:dyDescent="0.25">
      <c r="A2485" s="2" t="s">
        <v>1181</v>
      </c>
      <c r="B2485" s="7">
        <v>49186871</v>
      </c>
      <c r="C2485" s="7">
        <v>39751583.5</v>
      </c>
      <c r="D2485" s="7">
        <f t="shared" si="39"/>
        <v>9435287.5</v>
      </c>
    </row>
    <row r="2486" spans="1:4" ht="18" customHeight="1" x14ac:dyDescent="0.25">
      <c r="A2486" s="2" t="s">
        <v>4367</v>
      </c>
      <c r="B2486" s="7">
        <v>14792779</v>
      </c>
      <c r="C2486" s="7">
        <v>16000000</v>
      </c>
      <c r="D2486" s="7">
        <f t="shared" si="39"/>
        <v>-1207221</v>
      </c>
    </row>
    <row r="2487" spans="1:4" ht="18" customHeight="1" x14ac:dyDescent="0.25">
      <c r="A2487" s="2" t="s">
        <v>5225</v>
      </c>
      <c r="B2487" s="7">
        <v>4651977</v>
      </c>
      <c r="C2487" s="7">
        <v>35000000</v>
      </c>
      <c r="D2487" s="7">
        <f t="shared" si="39"/>
        <v>-30348023</v>
      </c>
    </row>
    <row r="2488" spans="1:4" ht="18" customHeight="1" x14ac:dyDescent="0.25">
      <c r="A2488" s="2" t="s">
        <v>1064</v>
      </c>
      <c r="B2488" s="7">
        <v>52277485</v>
      </c>
      <c r="C2488" s="7">
        <v>35000000</v>
      </c>
      <c r="D2488" s="7">
        <f t="shared" si="39"/>
        <v>17277485</v>
      </c>
    </row>
    <row r="2489" spans="1:4" ht="18" customHeight="1" x14ac:dyDescent="0.25">
      <c r="A2489" s="2" t="s">
        <v>6510</v>
      </c>
      <c r="B2489" s="7">
        <v>45250</v>
      </c>
      <c r="C2489" s="7">
        <v>18000000</v>
      </c>
      <c r="D2489" s="7">
        <f t="shared" si="39"/>
        <v>-17954750</v>
      </c>
    </row>
    <row r="2490" spans="1:4" ht="18" customHeight="1" x14ac:dyDescent="0.25">
      <c r="A2490" s="2" t="s">
        <v>4966</v>
      </c>
      <c r="B2490" s="7">
        <v>7000000</v>
      </c>
      <c r="C2490" s="7">
        <v>36000000</v>
      </c>
      <c r="D2490" s="7">
        <f t="shared" si="39"/>
        <v>-29000000</v>
      </c>
    </row>
    <row r="2491" spans="1:4" ht="18" customHeight="1" x14ac:dyDescent="0.25">
      <c r="A2491" s="2" t="s">
        <v>4702</v>
      </c>
      <c r="B2491" s="7">
        <v>10411980</v>
      </c>
      <c r="C2491" s="7">
        <v>15000000</v>
      </c>
      <c r="D2491" s="7">
        <f t="shared" si="39"/>
        <v>-4588020</v>
      </c>
    </row>
    <row r="2492" spans="1:4" ht="18" customHeight="1" x14ac:dyDescent="0.25">
      <c r="A2492" s="2" t="s">
        <v>3933</v>
      </c>
      <c r="B2492" s="7">
        <v>21370057</v>
      </c>
      <c r="C2492" s="7">
        <v>12000000</v>
      </c>
      <c r="D2492" s="7">
        <f t="shared" si="39"/>
        <v>9370057</v>
      </c>
    </row>
    <row r="2493" spans="1:4" ht="18" customHeight="1" x14ac:dyDescent="0.25">
      <c r="A2493" s="2" t="s">
        <v>3138</v>
      </c>
      <c r="B2493" s="7">
        <v>37486138</v>
      </c>
      <c r="C2493" s="7">
        <v>50000000</v>
      </c>
      <c r="D2493" s="7">
        <f t="shared" si="39"/>
        <v>-12513862</v>
      </c>
    </row>
    <row r="2494" spans="1:4" ht="18" customHeight="1" x14ac:dyDescent="0.25">
      <c r="A2494" s="2" t="s">
        <v>5606</v>
      </c>
      <c r="B2494" s="7">
        <v>2073984</v>
      </c>
      <c r="C2494" s="7">
        <v>800000</v>
      </c>
      <c r="D2494" s="7">
        <f t="shared" si="39"/>
        <v>1273984</v>
      </c>
    </row>
    <row r="2495" spans="1:4" ht="18" customHeight="1" x14ac:dyDescent="0.25">
      <c r="A2495" s="2" t="s">
        <v>1295</v>
      </c>
      <c r="B2495" s="7">
        <v>48334413</v>
      </c>
      <c r="C2495" s="7">
        <v>39751583.5</v>
      </c>
      <c r="D2495" s="7">
        <f t="shared" si="39"/>
        <v>8582829.5</v>
      </c>
    </row>
    <row r="2496" spans="1:4" ht="18" customHeight="1" x14ac:dyDescent="0.25">
      <c r="A2496" s="2" t="s">
        <v>1023</v>
      </c>
      <c r="B2496" s="7">
        <v>53715611</v>
      </c>
      <c r="C2496" s="7">
        <v>63000000</v>
      </c>
      <c r="D2496" s="7">
        <f t="shared" si="39"/>
        <v>-9284389</v>
      </c>
    </row>
    <row r="2497" spans="1:4" ht="18" customHeight="1" x14ac:dyDescent="0.25">
      <c r="A2497" s="2" t="s">
        <v>3675</v>
      </c>
      <c r="B2497" s="7">
        <v>26161406</v>
      </c>
      <c r="C2497" s="7">
        <v>15000000</v>
      </c>
      <c r="D2497" s="7">
        <f t="shared" si="39"/>
        <v>11161406</v>
      </c>
    </row>
    <row r="2498" spans="1:4" ht="18" customHeight="1" x14ac:dyDescent="0.25">
      <c r="A2498" s="2" t="s">
        <v>1576</v>
      </c>
      <c r="B2498" s="7">
        <v>48334413</v>
      </c>
      <c r="C2498" s="7">
        <v>39751583.5</v>
      </c>
      <c r="D2498" s="7">
        <f t="shared" si="39"/>
        <v>8582829.5</v>
      </c>
    </row>
    <row r="2499" spans="1:4" ht="18" customHeight="1" x14ac:dyDescent="0.25">
      <c r="A2499" s="2" t="s">
        <v>3453</v>
      </c>
      <c r="B2499" s="7">
        <v>31054924</v>
      </c>
      <c r="C2499" s="7">
        <v>64000000</v>
      </c>
      <c r="D2499" s="7">
        <f t="shared" si="39"/>
        <v>-32945076</v>
      </c>
    </row>
    <row r="2500" spans="1:4" ht="18" customHeight="1" x14ac:dyDescent="0.25">
      <c r="A2500" s="2" t="s">
        <v>5589</v>
      </c>
      <c r="B2500" s="7">
        <v>2197331</v>
      </c>
      <c r="C2500" s="7">
        <v>39751583.5</v>
      </c>
      <c r="D2500" s="7">
        <f t="shared" si="39"/>
        <v>-37554252.5</v>
      </c>
    </row>
    <row r="2501" spans="1:4" ht="18" customHeight="1" x14ac:dyDescent="0.25">
      <c r="A2501" s="2" t="s">
        <v>6129</v>
      </c>
      <c r="B2501" s="7">
        <v>305070</v>
      </c>
      <c r="C2501" s="7">
        <v>20000000</v>
      </c>
      <c r="D2501" s="7">
        <f t="shared" ref="D2501:D2564" si="40">B2501-C2501</f>
        <v>-19694930</v>
      </c>
    </row>
    <row r="2502" spans="1:4" ht="18" customHeight="1" x14ac:dyDescent="0.25">
      <c r="A2502" s="2" t="s">
        <v>926</v>
      </c>
      <c r="B2502" s="7">
        <v>56607223</v>
      </c>
      <c r="C2502" s="7">
        <v>48000000</v>
      </c>
      <c r="D2502" s="7">
        <f t="shared" si="40"/>
        <v>8607223</v>
      </c>
    </row>
    <row r="2503" spans="1:4" ht="18" customHeight="1" x14ac:dyDescent="0.25">
      <c r="A2503" s="2" t="s">
        <v>5609</v>
      </c>
      <c r="B2503" s="7">
        <v>2060953</v>
      </c>
      <c r="C2503" s="7">
        <v>12000000</v>
      </c>
      <c r="D2503" s="7">
        <f t="shared" si="40"/>
        <v>-9939047</v>
      </c>
    </row>
    <row r="2504" spans="1:4" ht="18" customHeight="1" x14ac:dyDescent="0.25">
      <c r="A2504" s="2" t="s">
        <v>526</v>
      </c>
      <c r="B2504" s="7">
        <v>75305995</v>
      </c>
      <c r="C2504" s="7">
        <v>40000000</v>
      </c>
      <c r="D2504" s="7">
        <f t="shared" si="40"/>
        <v>35305995</v>
      </c>
    </row>
    <row r="2505" spans="1:4" ht="18" customHeight="1" x14ac:dyDescent="0.25">
      <c r="A2505" s="2" t="s">
        <v>2717</v>
      </c>
      <c r="B2505" s="7">
        <v>48334413</v>
      </c>
      <c r="C2505" s="7">
        <v>40000</v>
      </c>
      <c r="D2505" s="7">
        <f t="shared" si="40"/>
        <v>48294413</v>
      </c>
    </row>
    <row r="2506" spans="1:4" ht="18" customHeight="1" x14ac:dyDescent="0.25">
      <c r="A2506" s="2" t="s">
        <v>4566</v>
      </c>
      <c r="B2506" s="7">
        <v>12372410</v>
      </c>
      <c r="C2506" s="7">
        <v>24000000</v>
      </c>
      <c r="D2506" s="7">
        <f t="shared" si="40"/>
        <v>-11627590</v>
      </c>
    </row>
    <row r="2507" spans="1:4" ht="18" customHeight="1" x14ac:dyDescent="0.25">
      <c r="A2507" s="2" t="s">
        <v>5103</v>
      </c>
      <c r="B2507" s="7">
        <v>5844929</v>
      </c>
      <c r="C2507" s="7">
        <v>3000000</v>
      </c>
      <c r="D2507" s="7">
        <f t="shared" si="40"/>
        <v>2844929</v>
      </c>
    </row>
    <row r="2508" spans="1:4" ht="18" customHeight="1" x14ac:dyDescent="0.25">
      <c r="A2508" s="2" t="s">
        <v>2378</v>
      </c>
      <c r="B2508" s="7">
        <v>48334413</v>
      </c>
      <c r="C2508" s="7">
        <v>1288000</v>
      </c>
      <c r="D2508" s="7">
        <f t="shared" si="40"/>
        <v>47046413</v>
      </c>
    </row>
    <row r="2509" spans="1:4" ht="18" customHeight="1" x14ac:dyDescent="0.25">
      <c r="A2509" s="2" t="s">
        <v>3176</v>
      </c>
      <c r="B2509" s="7">
        <v>36696761</v>
      </c>
      <c r="C2509" s="7">
        <v>23000000</v>
      </c>
      <c r="D2509" s="7">
        <f t="shared" si="40"/>
        <v>13696761</v>
      </c>
    </row>
    <row r="2510" spans="1:4" ht="18" customHeight="1" x14ac:dyDescent="0.25">
      <c r="A2510" s="2" t="s">
        <v>1033</v>
      </c>
      <c r="B2510" s="7">
        <v>53215979</v>
      </c>
      <c r="C2510" s="7">
        <v>84000000</v>
      </c>
      <c r="D2510" s="7">
        <f t="shared" si="40"/>
        <v>-30784021</v>
      </c>
    </row>
    <row r="2511" spans="1:4" ht="18" customHeight="1" x14ac:dyDescent="0.25">
      <c r="A2511" s="2" t="s">
        <v>1725</v>
      </c>
      <c r="B2511" s="7">
        <v>48334413</v>
      </c>
      <c r="C2511" s="7">
        <v>16900000</v>
      </c>
      <c r="D2511" s="7">
        <f t="shared" si="40"/>
        <v>31434413</v>
      </c>
    </row>
    <row r="2512" spans="1:4" ht="18" customHeight="1" x14ac:dyDescent="0.25">
      <c r="A2512" s="2" t="s">
        <v>1890</v>
      </c>
      <c r="B2512" s="7">
        <v>48334413</v>
      </c>
      <c r="C2512" s="7">
        <v>8500000</v>
      </c>
      <c r="D2512" s="7">
        <f t="shared" si="40"/>
        <v>39834413</v>
      </c>
    </row>
    <row r="2513" spans="1:4" ht="18" customHeight="1" x14ac:dyDescent="0.25">
      <c r="A2513" s="2" t="s">
        <v>240</v>
      </c>
      <c r="B2513" s="7">
        <v>92930005</v>
      </c>
      <c r="C2513" s="7">
        <v>78000000</v>
      </c>
      <c r="D2513" s="7">
        <f t="shared" si="40"/>
        <v>14930005</v>
      </c>
    </row>
    <row r="2514" spans="1:4" ht="18" customHeight="1" x14ac:dyDescent="0.25">
      <c r="A2514" s="2" t="s">
        <v>885</v>
      </c>
      <c r="B2514" s="7">
        <v>57859105</v>
      </c>
      <c r="C2514" s="7">
        <v>26000000</v>
      </c>
      <c r="D2514" s="7">
        <f t="shared" si="40"/>
        <v>31859105</v>
      </c>
    </row>
    <row r="2515" spans="1:4" ht="18" customHeight="1" x14ac:dyDescent="0.25">
      <c r="A2515" s="2" t="s">
        <v>1757</v>
      </c>
      <c r="B2515" s="7">
        <v>48334413</v>
      </c>
      <c r="C2515" s="7">
        <v>14000000</v>
      </c>
      <c r="D2515" s="7">
        <f t="shared" si="40"/>
        <v>34334413</v>
      </c>
    </row>
    <row r="2516" spans="1:4" ht="18" customHeight="1" x14ac:dyDescent="0.25">
      <c r="A2516" s="2" t="s">
        <v>4165</v>
      </c>
      <c r="B2516" s="7">
        <v>17473245</v>
      </c>
      <c r="C2516" s="7">
        <v>70000000</v>
      </c>
      <c r="D2516" s="7">
        <f t="shared" si="40"/>
        <v>-52526755</v>
      </c>
    </row>
    <row r="2517" spans="1:4" ht="18" customHeight="1" x14ac:dyDescent="0.25">
      <c r="A2517" s="2" t="s">
        <v>3128</v>
      </c>
      <c r="B2517" s="7">
        <v>37652565</v>
      </c>
      <c r="C2517" s="7">
        <v>42000000</v>
      </c>
      <c r="D2517" s="7">
        <f t="shared" si="40"/>
        <v>-4347435</v>
      </c>
    </row>
    <row r="2518" spans="1:4" ht="18" customHeight="1" x14ac:dyDescent="0.25">
      <c r="A2518" s="2" t="s">
        <v>1356</v>
      </c>
      <c r="B2518" s="7">
        <v>48334413</v>
      </c>
      <c r="C2518" s="7">
        <v>39751583.5</v>
      </c>
      <c r="D2518" s="7">
        <f t="shared" si="40"/>
        <v>8582829.5</v>
      </c>
    </row>
    <row r="2519" spans="1:4" ht="18" customHeight="1" x14ac:dyDescent="0.25">
      <c r="A2519" s="2" t="s">
        <v>2151</v>
      </c>
      <c r="B2519" s="7">
        <v>48334413</v>
      </c>
      <c r="C2519" s="7">
        <v>3000000</v>
      </c>
      <c r="D2519" s="7">
        <f t="shared" si="40"/>
        <v>45334413</v>
      </c>
    </row>
    <row r="2520" spans="1:4" ht="18" customHeight="1" x14ac:dyDescent="0.25">
      <c r="A2520" s="2" t="s">
        <v>1650</v>
      </c>
      <c r="B2520" s="7">
        <v>48334413</v>
      </c>
      <c r="C2520" s="7">
        <v>25000000</v>
      </c>
      <c r="D2520" s="7">
        <f t="shared" si="40"/>
        <v>23334413</v>
      </c>
    </row>
    <row r="2521" spans="1:4" ht="18" customHeight="1" x14ac:dyDescent="0.25">
      <c r="A2521" s="2" t="s">
        <v>1714</v>
      </c>
      <c r="B2521" s="7">
        <v>48334413</v>
      </c>
      <c r="C2521" s="7">
        <v>17900000</v>
      </c>
      <c r="D2521" s="7">
        <f t="shared" si="40"/>
        <v>30434413</v>
      </c>
    </row>
    <row r="2522" spans="1:4" ht="18" customHeight="1" x14ac:dyDescent="0.25">
      <c r="A2522" s="2" t="s">
        <v>2068</v>
      </c>
      <c r="B2522" s="7">
        <v>48334413</v>
      </c>
      <c r="C2522" s="7">
        <v>4000000</v>
      </c>
      <c r="D2522" s="7">
        <f t="shared" si="40"/>
        <v>44334413</v>
      </c>
    </row>
    <row r="2523" spans="1:4" ht="18" customHeight="1" x14ac:dyDescent="0.25">
      <c r="A2523" s="2" t="s">
        <v>1173</v>
      </c>
      <c r="B2523" s="7">
        <v>49875589</v>
      </c>
      <c r="C2523" s="7">
        <v>58000000</v>
      </c>
      <c r="D2523" s="7">
        <f t="shared" si="40"/>
        <v>-8124411</v>
      </c>
    </row>
    <row r="2524" spans="1:4" ht="18" customHeight="1" x14ac:dyDescent="0.25">
      <c r="A2524" s="2" t="s">
        <v>284</v>
      </c>
      <c r="B2524" s="7">
        <v>90356857</v>
      </c>
      <c r="C2524" s="7">
        <v>58000000</v>
      </c>
      <c r="D2524" s="7">
        <f t="shared" si="40"/>
        <v>32356857</v>
      </c>
    </row>
    <row r="2525" spans="1:4" ht="18" customHeight="1" x14ac:dyDescent="0.25">
      <c r="A2525" s="2" t="s">
        <v>6460</v>
      </c>
      <c r="B2525" s="7">
        <v>65087</v>
      </c>
      <c r="C2525" s="7">
        <v>5000000</v>
      </c>
      <c r="D2525" s="7">
        <f t="shared" si="40"/>
        <v>-4934913</v>
      </c>
    </row>
    <row r="2526" spans="1:4" ht="18" customHeight="1" x14ac:dyDescent="0.25">
      <c r="A2526" s="2" t="s">
        <v>5551</v>
      </c>
      <c r="B2526" s="7">
        <v>2344847</v>
      </c>
      <c r="C2526" s="7">
        <v>7000000</v>
      </c>
      <c r="D2526" s="7">
        <f t="shared" si="40"/>
        <v>-4655153</v>
      </c>
    </row>
    <row r="2527" spans="1:4" ht="18" customHeight="1" x14ac:dyDescent="0.25">
      <c r="A2527" s="2" t="s">
        <v>6552</v>
      </c>
      <c r="B2527" s="7">
        <v>27012</v>
      </c>
      <c r="C2527" s="7">
        <v>39751583.5</v>
      </c>
      <c r="D2527" s="7">
        <f t="shared" si="40"/>
        <v>-39724571.5</v>
      </c>
    </row>
    <row r="2528" spans="1:4" ht="18" customHeight="1" x14ac:dyDescent="0.25">
      <c r="A2528" s="2" t="s">
        <v>1592</v>
      </c>
      <c r="B2528" s="7">
        <v>48334413</v>
      </c>
      <c r="C2528" s="7">
        <v>35000000</v>
      </c>
      <c r="D2528" s="7">
        <f t="shared" si="40"/>
        <v>13334413</v>
      </c>
    </row>
    <row r="2529" spans="1:4" ht="18" customHeight="1" x14ac:dyDescent="0.25">
      <c r="A2529" s="2" t="s">
        <v>6483</v>
      </c>
      <c r="B2529" s="7">
        <v>54734</v>
      </c>
      <c r="C2529" s="7">
        <v>39751583.5</v>
      </c>
      <c r="D2529" s="7">
        <f t="shared" si="40"/>
        <v>-39696849.5</v>
      </c>
    </row>
    <row r="2530" spans="1:4" ht="18" customHeight="1" x14ac:dyDescent="0.25">
      <c r="A2530" s="2" t="s">
        <v>1773</v>
      </c>
      <c r="B2530" s="7">
        <v>48334413</v>
      </c>
      <c r="C2530" s="7">
        <v>12000000</v>
      </c>
      <c r="D2530" s="7">
        <f t="shared" si="40"/>
        <v>36334413</v>
      </c>
    </row>
    <row r="2531" spans="1:4" ht="18" customHeight="1" x14ac:dyDescent="0.25">
      <c r="A2531" s="2" t="s">
        <v>2911</v>
      </c>
      <c r="B2531" s="7">
        <v>43060566</v>
      </c>
      <c r="C2531" s="7">
        <v>60000000</v>
      </c>
      <c r="D2531" s="7">
        <f t="shared" si="40"/>
        <v>-16939434</v>
      </c>
    </row>
    <row r="2532" spans="1:4" ht="18" customHeight="1" x14ac:dyDescent="0.25">
      <c r="A2532" s="2" t="s">
        <v>4029</v>
      </c>
      <c r="B2532" s="7">
        <v>19661987</v>
      </c>
      <c r="C2532" s="7">
        <v>20000000</v>
      </c>
      <c r="D2532" s="7">
        <f t="shared" si="40"/>
        <v>-338013</v>
      </c>
    </row>
    <row r="2533" spans="1:4" ht="18" customHeight="1" x14ac:dyDescent="0.25">
      <c r="A2533" s="2" t="s">
        <v>3821</v>
      </c>
      <c r="B2533" s="7">
        <v>23360779</v>
      </c>
      <c r="C2533" s="7">
        <v>34000000</v>
      </c>
      <c r="D2533" s="7">
        <f t="shared" si="40"/>
        <v>-10639221</v>
      </c>
    </row>
    <row r="2534" spans="1:4" ht="18" customHeight="1" x14ac:dyDescent="0.25">
      <c r="A2534" s="2" t="s">
        <v>1867</v>
      </c>
      <c r="B2534" s="7">
        <v>48334413</v>
      </c>
      <c r="C2534" s="7">
        <v>9500000</v>
      </c>
      <c r="D2534" s="7">
        <f t="shared" si="40"/>
        <v>38834413</v>
      </c>
    </row>
    <row r="2535" spans="1:4" ht="18" customHeight="1" x14ac:dyDescent="0.25">
      <c r="A2535" s="2" t="s">
        <v>4519</v>
      </c>
      <c r="B2535" s="7">
        <v>12995673</v>
      </c>
      <c r="C2535" s="7">
        <v>2500000</v>
      </c>
      <c r="D2535" s="7">
        <f t="shared" si="40"/>
        <v>10495673</v>
      </c>
    </row>
    <row r="2536" spans="1:4" ht="18" customHeight="1" x14ac:dyDescent="0.25">
      <c r="A2536" s="2" t="s">
        <v>6205</v>
      </c>
      <c r="B2536" s="7">
        <v>223878</v>
      </c>
      <c r="C2536" s="7">
        <v>5000000</v>
      </c>
      <c r="D2536" s="7">
        <f t="shared" si="40"/>
        <v>-4776122</v>
      </c>
    </row>
    <row r="2537" spans="1:4" ht="18" customHeight="1" x14ac:dyDescent="0.25">
      <c r="A2537" s="2" t="s">
        <v>4067</v>
      </c>
      <c r="B2537" s="7">
        <v>19057024</v>
      </c>
      <c r="C2537" s="7">
        <v>16000000</v>
      </c>
      <c r="D2537" s="7">
        <f t="shared" si="40"/>
        <v>3057024</v>
      </c>
    </row>
    <row r="2538" spans="1:4" ht="18" customHeight="1" x14ac:dyDescent="0.25">
      <c r="A2538" s="2" t="s">
        <v>3791</v>
      </c>
      <c r="B2538" s="7">
        <v>24332324</v>
      </c>
      <c r="C2538" s="7">
        <v>40000000</v>
      </c>
      <c r="D2538" s="7">
        <f t="shared" si="40"/>
        <v>-15667676</v>
      </c>
    </row>
    <row r="2539" spans="1:4" ht="18" customHeight="1" x14ac:dyDescent="0.25">
      <c r="A2539" s="2" t="s">
        <v>6466</v>
      </c>
      <c r="B2539" s="7">
        <v>63260</v>
      </c>
      <c r="C2539" s="7">
        <v>14000000</v>
      </c>
      <c r="D2539" s="7">
        <f t="shared" si="40"/>
        <v>-13936740</v>
      </c>
    </row>
    <row r="2540" spans="1:4" ht="18" customHeight="1" x14ac:dyDescent="0.25">
      <c r="A2540" s="2" t="s">
        <v>4760</v>
      </c>
      <c r="B2540" s="7">
        <v>9664316</v>
      </c>
      <c r="C2540" s="7">
        <v>27500000</v>
      </c>
      <c r="D2540" s="7">
        <f t="shared" si="40"/>
        <v>-17835684</v>
      </c>
    </row>
    <row r="2541" spans="1:4" ht="18" customHeight="1" x14ac:dyDescent="0.25">
      <c r="A2541" s="2" t="s">
        <v>3990</v>
      </c>
      <c r="B2541" s="7">
        <v>20339754</v>
      </c>
      <c r="C2541" s="7">
        <v>10000000</v>
      </c>
      <c r="D2541" s="7">
        <f t="shared" si="40"/>
        <v>10339754</v>
      </c>
    </row>
    <row r="2542" spans="1:4" ht="18" customHeight="1" x14ac:dyDescent="0.25">
      <c r="A2542" s="2" t="s">
        <v>3536</v>
      </c>
      <c r="B2542" s="7">
        <v>29077547</v>
      </c>
      <c r="C2542" s="7">
        <v>40000000</v>
      </c>
      <c r="D2542" s="7">
        <f t="shared" si="40"/>
        <v>-10922453</v>
      </c>
    </row>
    <row r="2543" spans="1:4" ht="18" customHeight="1" x14ac:dyDescent="0.25">
      <c r="A2543" s="2" t="s">
        <v>2336</v>
      </c>
      <c r="B2543" s="7">
        <v>48334413</v>
      </c>
      <c r="C2543" s="7">
        <v>1500000</v>
      </c>
      <c r="D2543" s="7">
        <f t="shared" si="40"/>
        <v>46834413</v>
      </c>
    </row>
    <row r="2544" spans="1:4" ht="18" customHeight="1" x14ac:dyDescent="0.25">
      <c r="A2544" s="2" t="s">
        <v>4452</v>
      </c>
      <c r="B2544" s="7">
        <v>13763130</v>
      </c>
      <c r="C2544" s="7">
        <v>32000000</v>
      </c>
      <c r="D2544" s="7">
        <f t="shared" si="40"/>
        <v>-18236870</v>
      </c>
    </row>
    <row r="2545" spans="1:4" ht="18" customHeight="1" x14ac:dyDescent="0.25">
      <c r="A2545" s="2" t="s">
        <v>6299</v>
      </c>
      <c r="B2545" s="7">
        <v>140244</v>
      </c>
      <c r="C2545" s="7">
        <v>8500000</v>
      </c>
      <c r="D2545" s="7">
        <f t="shared" si="40"/>
        <v>-8359756</v>
      </c>
    </row>
    <row r="2546" spans="1:4" ht="18" customHeight="1" x14ac:dyDescent="0.25">
      <c r="A2546" s="2" t="s">
        <v>5363</v>
      </c>
      <c r="B2546" s="7">
        <v>3609278</v>
      </c>
      <c r="C2546" s="7">
        <v>4500000</v>
      </c>
      <c r="D2546" s="7">
        <f t="shared" si="40"/>
        <v>-890722</v>
      </c>
    </row>
    <row r="2547" spans="1:4" ht="18" customHeight="1" x14ac:dyDescent="0.25">
      <c r="A2547" s="2" t="s">
        <v>5137</v>
      </c>
      <c r="B2547" s="7">
        <v>5484375</v>
      </c>
      <c r="C2547" s="7">
        <v>10000000</v>
      </c>
      <c r="D2547" s="7">
        <f t="shared" si="40"/>
        <v>-4515625</v>
      </c>
    </row>
    <row r="2548" spans="1:4" ht="18" customHeight="1" x14ac:dyDescent="0.25">
      <c r="A2548" s="2" t="s">
        <v>5499</v>
      </c>
      <c r="B2548" s="7">
        <v>2812029</v>
      </c>
      <c r="C2548" s="7">
        <v>1200000</v>
      </c>
      <c r="D2548" s="7">
        <f t="shared" si="40"/>
        <v>1612029</v>
      </c>
    </row>
    <row r="2549" spans="1:4" ht="18" customHeight="1" x14ac:dyDescent="0.25">
      <c r="A2549" s="2" t="s">
        <v>824</v>
      </c>
      <c r="B2549" s="7">
        <v>60128566</v>
      </c>
      <c r="C2549" s="7">
        <v>60000000</v>
      </c>
      <c r="D2549" s="7">
        <f t="shared" si="40"/>
        <v>128566</v>
      </c>
    </row>
    <row r="2550" spans="1:4" ht="18" customHeight="1" x14ac:dyDescent="0.25">
      <c r="A2550" s="2" t="s">
        <v>1133</v>
      </c>
      <c r="B2550" s="7">
        <v>50740078</v>
      </c>
      <c r="C2550" s="7">
        <v>45000000</v>
      </c>
      <c r="D2550" s="7">
        <f t="shared" si="40"/>
        <v>5740078</v>
      </c>
    </row>
    <row r="2551" spans="1:4" ht="18" customHeight="1" x14ac:dyDescent="0.25">
      <c r="A2551" s="2" t="s">
        <v>1140</v>
      </c>
      <c r="B2551" s="7">
        <v>50648679</v>
      </c>
      <c r="C2551" s="7">
        <v>45000000</v>
      </c>
      <c r="D2551" s="7">
        <f t="shared" si="40"/>
        <v>5648679</v>
      </c>
    </row>
    <row r="2552" spans="1:4" ht="18" customHeight="1" x14ac:dyDescent="0.25">
      <c r="A2552" s="2" t="s">
        <v>2939</v>
      </c>
      <c r="B2552" s="7">
        <v>42345531</v>
      </c>
      <c r="C2552" s="7">
        <v>65000000</v>
      </c>
      <c r="D2552" s="7">
        <f t="shared" si="40"/>
        <v>-22654469</v>
      </c>
    </row>
    <row r="2553" spans="1:4" ht="18" customHeight="1" x14ac:dyDescent="0.25">
      <c r="A2553" s="2" t="s">
        <v>3040</v>
      </c>
      <c r="B2553" s="7">
        <v>39532308</v>
      </c>
      <c r="C2553" s="7">
        <v>33000000</v>
      </c>
      <c r="D2553" s="7">
        <f t="shared" si="40"/>
        <v>6532308</v>
      </c>
    </row>
    <row r="2554" spans="1:4" ht="18" customHeight="1" x14ac:dyDescent="0.25">
      <c r="A2554" s="2" t="s">
        <v>1365</v>
      </c>
      <c r="B2554" s="7">
        <v>48334413</v>
      </c>
      <c r="C2554" s="7">
        <v>39751583.5</v>
      </c>
      <c r="D2554" s="7">
        <f t="shared" si="40"/>
        <v>8582829.5</v>
      </c>
    </row>
    <row r="2555" spans="1:4" ht="18" customHeight="1" x14ac:dyDescent="0.25">
      <c r="A2555" s="2" t="s">
        <v>1307</v>
      </c>
      <c r="B2555" s="7">
        <v>48334413</v>
      </c>
      <c r="C2555" s="7">
        <v>39751583.5</v>
      </c>
      <c r="D2555" s="7">
        <f t="shared" si="40"/>
        <v>8582829.5</v>
      </c>
    </row>
    <row r="2556" spans="1:4" ht="18" customHeight="1" x14ac:dyDescent="0.25">
      <c r="A2556" s="2" t="s">
        <v>5419</v>
      </c>
      <c r="B2556" s="7">
        <v>3169424</v>
      </c>
      <c r="C2556" s="7">
        <v>13000000</v>
      </c>
      <c r="D2556" s="7">
        <f t="shared" si="40"/>
        <v>-9830576</v>
      </c>
    </row>
    <row r="2557" spans="1:4" ht="18" customHeight="1" x14ac:dyDescent="0.25">
      <c r="A2557" s="2" t="s">
        <v>2264</v>
      </c>
      <c r="B2557" s="7">
        <v>48334413</v>
      </c>
      <c r="C2557" s="7">
        <v>2000000</v>
      </c>
      <c r="D2557" s="7">
        <f t="shared" si="40"/>
        <v>46334413</v>
      </c>
    </row>
    <row r="2558" spans="1:4" ht="18" customHeight="1" x14ac:dyDescent="0.25">
      <c r="A2558" s="2" t="s">
        <v>3360</v>
      </c>
      <c r="B2558" s="7">
        <v>32662299</v>
      </c>
      <c r="C2558" s="7">
        <v>24000000</v>
      </c>
      <c r="D2558" s="7">
        <f t="shared" si="40"/>
        <v>8662299</v>
      </c>
    </row>
    <row r="2559" spans="1:4" ht="18" customHeight="1" x14ac:dyDescent="0.25">
      <c r="A2559" s="2" t="s">
        <v>1201</v>
      </c>
      <c r="B2559" s="7">
        <v>48423368</v>
      </c>
      <c r="C2559" s="7">
        <v>20000000</v>
      </c>
      <c r="D2559" s="7">
        <f t="shared" si="40"/>
        <v>28423368</v>
      </c>
    </row>
    <row r="2560" spans="1:4" ht="18" customHeight="1" x14ac:dyDescent="0.25">
      <c r="A2560" s="2" t="s">
        <v>1635</v>
      </c>
      <c r="B2560" s="7">
        <v>48334413</v>
      </c>
      <c r="C2560" s="7">
        <v>25000000</v>
      </c>
      <c r="D2560" s="7">
        <f t="shared" si="40"/>
        <v>23334413</v>
      </c>
    </row>
    <row r="2561" spans="1:4" ht="18" customHeight="1" x14ac:dyDescent="0.25">
      <c r="A2561" s="2" t="s">
        <v>5503</v>
      </c>
      <c r="B2561" s="7">
        <v>2807854</v>
      </c>
      <c r="C2561" s="7">
        <v>11000000</v>
      </c>
      <c r="D2561" s="7">
        <f t="shared" si="40"/>
        <v>-8192146</v>
      </c>
    </row>
    <row r="2562" spans="1:4" ht="18" customHeight="1" x14ac:dyDescent="0.25">
      <c r="A2562" s="2" t="s">
        <v>1530</v>
      </c>
      <c r="B2562" s="7">
        <v>48334413</v>
      </c>
      <c r="C2562" s="7">
        <v>39751583.5</v>
      </c>
      <c r="D2562" s="7">
        <f t="shared" si="40"/>
        <v>8582829.5</v>
      </c>
    </row>
    <row r="2563" spans="1:4" ht="18" customHeight="1" x14ac:dyDescent="0.25">
      <c r="A2563" s="2" t="s">
        <v>3852</v>
      </c>
      <c r="B2563" s="7">
        <v>22877808</v>
      </c>
      <c r="C2563" s="7">
        <v>35000000</v>
      </c>
      <c r="D2563" s="7">
        <f t="shared" si="40"/>
        <v>-12122192</v>
      </c>
    </row>
    <row r="2564" spans="1:4" ht="18" customHeight="1" x14ac:dyDescent="0.25">
      <c r="A2564" s="2" t="s">
        <v>3099</v>
      </c>
      <c r="B2564" s="7">
        <v>38087756</v>
      </c>
      <c r="C2564" s="7">
        <v>40000000</v>
      </c>
      <c r="D2564" s="7">
        <f t="shared" si="40"/>
        <v>-1912244</v>
      </c>
    </row>
    <row r="2565" spans="1:4" ht="18" customHeight="1" x14ac:dyDescent="0.25">
      <c r="A2565" s="2" t="s">
        <v>5521</v>
      </c>
      <c r="B2565" s="7">
        <v>2600000</v>
      </c>
      <c r="C2565" s="7">
        <v>6000000</v>
      </c>
      <c r="D2565" s="7">
        <f t="shared" ref="D2565:D2628" si="41">B2565-C2565</f>
        <v>-3400000</v>
      </c>
    </row>
    <row r="2566" spans="1:4" ht="18" customHeight="1" x14ac:dyDescent="0.25">
      <c r="A2566" s="2" t="s">
        <v>2954</v>
      </c>
      <c r="B2566" s="7">
        <v>41997790</v>
      </c>
      <c r="C2566" s="7">
        <v>38000000</v>
      </c>
      <c r="D2566" s="7">
        <f t="shared" si="41"/>
        <v>3997790</v>
      </c>
    </row>
    <row r="2567" spans="1:4" ht="18" customHeight="1" x14ac:dyDescent="0.25">
      <c r="A2567" s="2" t="s">
        <v>266</v>
      </c>
      <c r="B2567" s="7">
        <v>90835030</v>
      </c>
      <c r="C2567" s="7">
        <v>40000000</v>
      </c>
      <c r="D2567" s="7">
        <f t="shared" si="41"/>
        <v>50835030</v>
      </c>
    </row>
    <row r="2568" spans="1:4" ht="18" customHeight="1" x14ac:dyDescent="0.25">
      <c r="A2568" s="2" t="s">
        <v>5930</v>
      </c>
      <c r="B2568" s="7">
        <v>630779</v>
      </c>
      <c r="C2568" s="7">
        <v>35000000</v>
      </c>
      <c r="D2568" s="7">
        <f t="shared" si="41"/>
        <v>-34369221</v>
      </c>
    </row>
    <row r="2569" spans="1:4" ht="18" customHeight="1" x14ac:dyDescent="0.25">
      <c r="A2569" s="2" t="s">
        <v>5569</v>
      </c>
      <c r="B2569" s="7">
        <v>2276368</v>
      </c>
      <c r="C2569" s="7">
        <v>39751583.5</v>
      </c>
      <c r="D2569" s="7">
        <f t="shared" si="41"/>
        <v>-37475215.5</v>
      </c>
    </row>
    <row r="2570" spans="1:4" ht="18" customHeight="1" x14ac:dyDescent="0.25">
      <c r="A2570" s="2" t="s">
        <v>3517</v>
      </c>
      <c r="B2570" s="7">
        <v>29781453</v>
      </c>
      <c r="C2570" s="7">
        <v>48000000</v>
      </c>
      <c r="D2570" s="7">
        <f t="shared" si="41"/>
        <v>-18218547</v>
      </c>
    </row>
    <row r="2571" spans="1:4" ht="18" customHeight="1" x14ac:dyDescent="0.25">
      <c r="A2571" s="2" t="s">
        <v>3016</v>
      </c>
      <c r="B2571" s="7">
        <v>40076438</v>
      </c>
      <c r="C2571" s="7">
        <v>60000000</v>
      </c>
      <c r="D2571" s="7">
        <f t="shared" si="41"/>
        <v>-19923562</v>
      </c>
    </row>
    <row r="2572" spans="1:4" ht="18" customHeight="1" x14ac:dyDescent="0.25">
      <c r="A2572" s="2" t="s">
        <v>1612</v>
      </c>
      <c r="B2572" s="7">
        <v>48334413</v>
      </c>
      <c r="C2572" s="7">
        <v>30000000</v>
      </c>
      <c r="D2572" s="7">
        <f t="shared" si="41"/>
        <v>18334413</v>
      </c>
    </row>
    <row r="2573" spans="1:4" ht="18" customHeight="1" x14ac:dyDescent="0.25">
      <c r="A2573" s="2" t="s">
        <v>2568</v>
      </c>
      <c r="B2573" s="7">
        <v>48334413</v>
      </c>
      <c r="C2573" s="7">
        <v>450000</v>
      </c>
      <c r="D2573" s="7">
        <f t="shared" si="41"/>
        <v>47884413</v>
      </c>
    </row>
    <row r="2574" spans="1:4" ht="18" customHeight="1" x14ac:dyDescent="0.25">
      <c r="A2574" s="2" t="s">
        <v>3170</v>
      </c>
      <c r="B2574" s="7">
        <v>36874745</v>
      </c>
      <c r="C2574" s="7">
        <v>20000000</v>
      </c>
      <c r="D2574" s="7">
        <f t="shared" si="41"/>
        <v>16874745</v>
      </c>
    </row>
    <row r="2575" spans="1:4" ht="18" customHeight="1" x14ac:dyDescent="0.25">
      <c r="A2575" s="2" t="s">
        <v>5229</v>
      </c>
      <c r="B2575" s="7">
        <v>4600000</v>
      </c>
      <c r="C2575" s="7">
        <v>1900000</v>
      </c>
      <c r="D2575" s="7">
        <f t="shared" si="41"/>
        <v>2700000</v>
      </c>
    </row>
    <row r="2576" spans="1:4" ht="18" customHeight="1" x14ac:dyDescent="0.25">
      <c r="A2576" s="2" t="s">
        <v>5405</v>
      </c>
      <c r="B2576" s="7">
        <v>3278611</v>
      </c>
      <c r="C2576" s="7">
        <v>39751583.5</v>
      </c>
      <c r="D2576" s="7">
        <f t="shared" si="41"/>
        <v>-36472972.5</v>
      </c>
    </row>
    <row r="2577" spans="1:4" ht="18" customHeight="1" x14ac:dyDescent="0.25">
      <c r="A2577" s="2" t="s">
        <v>6373</v>
      </c>
      <c r="B2577" s="7">
        <v>105943</v>
      </c>
      <c r="C2577" s="7">
        <v>1500000</v>
      </c>
      <c r="D2577" s="7">
        <f t="shared" si="41"/>
        <v>-1394057</v>
      </c>
    </row>
    <row r="2578" spans="1:4" ht="18" customHeight="1" x14ac:dyDescent="0.25">
      <c r="A2578" s="2" t="s">
        <v>3504</v>
      </c>
      <c r="B2578" s="7">
        <v>30050028</v>
      </c>
      <c r="C2578" s="7">
        <v>17000000</v>
      </c>
      <c r="D2578" s="7">
        <f t="shared" si="41"/>
        <v>13050028</v>
      </c>
    </row>
    <row r="2579" spans="1:4" ht="18" customHeight="1" x14ac:dyDescent="0.25">
      <c r="A2579" s="2" t="s">
        <v>112</v>
      </c>
      <c r="B2579" s="7">
        <v>104054514</v>
      </c>
      <c r="C2579" s="7">
        <v>80000000</v>
      </c>
      <c r="D2579" s="7">
        <f t="shared" si="41"/>
        <v>24054514</v>
      </c>
    </row>
    <row r="2580" spans="1:4" ht="18" customHeight="1" x14ac:dyDescent="0.25">
      <c r="A2580" s="2" t="s">
        <v>654</v>
      </c>
      <c r="B2580" s="7">
        <v>68525609</v>
      </c>
      <c r="C2580" s="7">
        <v>15600000</v>
      </c>
      <c r="D2580" s="7">
        <f t="shared" si="41"/>
        <v>52925609</v>
      </c>
    </row>
    <row r="2581" spans="1:4" ht="18" customHeight="1" x14ac:dyDescent="0.25">
      <c r="A2581" s="2" t="s">
        <v>6482</v>
      </c>
      <c r="B2581" s="7">
        <v>55202</v>
      </c>
      <c r="C2581" s="7">
        <v>39751583.5</v>
      </c>
      <c r="D2581" s="7">
        <f t="shared" si="41"/>
        <v>-39696381.5</v>
      </c>
    </row>
    <row r="2582" spans="1:4" ht="18" customHeight="1" x14ac:dyDescent="0.25">
      <c r="A2582" s="2" t="s">
        <v>1527</v>
      </c>
      <c r="B2582" s="7">
        <v>48334413</v>
      </c>
      <c r="C2582" s="7">
        <v>39751583.5</v>
      </c>
      <c r="D2582" s="7">
        <f t="shared" si="41"/>
        <v>8582829.5</v>
      </c>
    </row>
    <row r="2583" spans="1:4" ht="18" customHeight="1" x14ac:dyDescent="0.25">
      <c r="A2583" s="2" t="s">
        <v>5622</v>
      </c>
      <c r="B2583" s="7">
        <v>2000000</v>
      </c>
      <c r="C2583" s="7">
        <v>17000000</v>
      </c>
      <c r="D2583" s="7">
        <f t="shared" si="41"/>
        <v>-15000000</v>
      </c>
    </row>
    <row r="2584" spans="1:4" ht="18" customHeight="1" x14ac:dyDescent="0.25">
      <c r="A2584" s="2" t="s">
        <v>3420</v>
      </c>
      <c r="B2584" s="7">
        <v>31600000</v>
      </c>
      <c r="C2584" s="7">
        <v>28000000</v>
      </c>
      <c r="D2584" s="7">
        <f t="shared" si="41"/>
        <v>3600000</v>
      </c>
    </row>
    <row r="2585" spans="1:4" ht="18" customHeight="1" x14ac:dyDescent="0.25">
      <c r="A2585" s="2" t="s">
        <v>1994</v>
      </c>
      <c r="B2585" s="7">
        <v>48334413</v>
      </c>
      <c r="C2585" s="7">
        <v>5000000</v>
      </c>
      <c r="D2585" s="7">
        <f t="shared" si="41"/>
        <v>43334413</v>
      </c>
    </row>
    <row r="2586" spans="1:4" ht="18" customHeight="1" x14ac:dyDescent="0.25">
      <c r="A2586" s="2" t="s">
        <v>4674</v>
      </c>
      <c r="B2586" s="7">
        <v>10696210</v>
      </c>
      <c r="C2586" s="7">
        <v>23500000</v>
      </c>
      <c r="D2586" s="7">
        <f t="shared" si="41"/>
        <v>-12803790</v>
      </c>
    </row>
    <row r="2587" spans="1:4" ht="18" customHeight="1" x14ac:dyDescent="0.25">
      <c r="A2587" s="2" t="s">
        <v>5397</v>
      </c>
      <c r="B2587" s="7">
        <v>3325638</v>
      </c>
      <c r="C2587" s="7">
        <v>2500000</v>
      </c>
      <c r="D2587" s="7">
        <f t="shared" si="41"/>
        <v>825638</v>
      </c>
    </row>
    <row r="2588" spans="1:4" ht="18" customHeight="1" x14ac:dyDescent="0.25">
      <c r="A2588" s="2" t="s">
        <v>1428</v>
      </c>
      <c r="B2588" s="7">
        <v>48334413</v>
      </c>
      <c r="C2588" s="7">
        <v>39751583.5</v>
      </c>
      <c r="D2588" s="7">
        <f t="shared" si="41"/>
        <v>8582829.5</v>
      </c>
    </row>
    <row r="2589" spans="1:4" ht="18" customHeight="1" x14ac:dyDescent="0.25">
      <c r="A2589" s="2" t="s">
        <v>3078</v>
      </c>
      <c r="B2589" s="7">
        <v>38509342</v>
      </c>
      <c r="C2589" s="7">
        <v>75000000</v>
      </c>
      <c r="D2589" s="7">
        <f t="shared" si="41"/>
        <v>-36490658</v>
      </c>
    </row>
    <row r="2590" spans="1:4" ht="18" customHeight="1" x14ac:dyDescent="0.25">
      <c r="A2590" s="2" t="s">
        <v>4202</v>
      </c>
      <c r="B2590" s="7">
        <v>16991902</v>
      </c>
      <c r="C2590" s="7">
        <v>57000000</v>
      </c>
      <c r="D2590" s="7">
        <f t="shared" si="41"/>
        <v>-40008098</v>
      </c>
    </row>
    <row r="2591" spans="1:4" ht="18" customHeight="1" x14ac:dyDescent="0.25">
      <c r="A2591" s="2" t="s">
        <v>2273</v>
      </c>
      <c r="B2591" s="7">
        <v>48334413</v>
      </c>
      <c r="C2591" s="7">
        <v>2000000</v>
      </c>
      <c r="D2591" s="7">
        <f t="shared" si="41"/>
        <v>46334413</v>
      </c>
    </row>
    <row r="2592" spans="1:4" ht="18" customHeight="1" x14ac:dyDescent="0.25">
      <c r="A2592" s="2" t="s">
        <v>1492</v>
      </c>
      <c r="B2592" s="7">
        <v>48334413</v>
      </c>
      <c r="C2592" s="7">
        <v>39751583.5</v>
      </c>
      <c r="D2592" s="7">
        <f t="shared" si="41"/>
        <v>8582829.5</v>
      </c>
    </row>
    <row r="2593" spans="1:4" ht="18" customHeight="1" x14ac:dyDescent="0.25">
      <c r="A2593" s="2" t="s">
        <v>5118</v>
      </c>
      <c r="B2593" s="7">
        <v>5694401</v>
      </c>
      <c r="C2593" s="7">
        <v>18000000</v>
      </c>
      <c r="D2593" s="7">
        <f t="shared" si="41"/>
        <v>-12305599</v>
      </c>
    </row>
    <row r="2594" spans="1:4" ht="18" customHeight="1" x14ac:dyDescent="0.25">
      <c r="A2594" s="2" t="s">
        <v>618</v>
      </c>
      <c r="B2594" s="7">
        <v>70269171</v>
      </c>
      <c r="C2594" s="7">
        <v>24000000</v>
      </c>
      <c r="D2594" s="7">
        <f t="shared" si="41"/>
        <v>46269171</v>
      </c>
    </row>
    <row r="2595" spans="1:4" ht="18" customHeight="1" x14ac:dyDescent="0.25">
      <c r="A2595" s="2" t="s">
        <v>2552</v>
      </c>
      <c r="B2595" s="7">
        <v>48334413</v>
      </c>
      <c r="C2595" s="7">
        <v>500000</v>
      </c>
      <c r="D2595" s="7">
        <f t="shared" si="41"/>
        <v>47834413</v>
      </c>
    </row>
    <row r="2596" spans="1:4" ht="18" customHeight="1" x14ac:dyDescent="0.25">
      <c r="A2596" s="2" t="s">
        <v>4999</v>
      </c>
      <c r="B2596" s="7">
        <v>6706368</v>
      </c>
      <c r="C2596" s="7">
        <v>160000</v>
      </c>
      <c r="D2596" s="7">
        <f t="shared" si="41"/>
        <v>6546368</v>
      </c>
    </row>
    <row r="2597" spans="1:4" ht="18" customHeight="1" x14ac:dyDescent="0.25">
      <c r="A2597" s="2" t="s">
        <v>1288</v>
      </c>
      <c r="B2597" s="7">
        <v>48334413</v>
      </c>
      <c r="C2597" s="7">
        <v>39751583.5</v>
      </c>
      <c r="D2597" s="7">
        <f t="shared" si="41"/>
        <v>8582829.5</v>
      </c>
    </row>
    <row r="2598" spans="1:4" ht="18" customHeight="1" x14ac:dyDescent="0.25">
      <c r="A2598" s="2" t="s">
        <v>669</v>
      </c>
      <c r="B2598" s="7">
        <v>67266300</v>
      </c>
      <c r="C2598" s="7">
        <v>28000000</v>
      </c>
      <c r="D2598" s="7">
        <f t="shared" si="41"/>
        <v>39266300</v>
      </c>
    </row>
    <row r="2599" spans="1:4" ht="18" customHeight="1" x14ac:dyDescent="0.25">
      <c r="A2599" s="2" t="s">
        <v>4172</v>
      </c>
      <c r="B2599" s="7">
        <v>17378977</v>
      </c>
      <c r="C2599" s="7">
        <v>39751583.5</v>
      </c>
      <c r="D2599" s="7">
        <f t="shared" si="41"/>
        <v>-22372606.5</v>
      </c>
    </row>
    <row r="2600" spans="1:4" ht="18" customHeight="1" x14ac:dyDescent="0.25">
      <c r="A2600" s="2" t="s">
        <v>4070</v>
      </c>
      <c r="B2600" s="7">
        <v>18990542</v>
      </c>
      <c r="C2600" s="7">
        <v>70000000</v>
      </c>
      <c r="D2600" s="7">
        <f t="shared" si="41"/>
        <v>-51009458</v>
      </c>
    </row>
    <row r="2601" spans="1:4" ht="18" customHeight="1" x14ac:dyDescent="0.25">
      <c r="A2601" s="2" t="s">
        <v>5979</v>
      </c>
      <c r="B2601" s="7">
        <v>540085</v>
      </c>
      <c r="C2601" s="7">
        <v>39751583.5</v>
      </c>
      <c r="D2601" s="7">
        <f t="shared" si="41"/>
        <v>-39211498.5</v>
      </c>
    </row>
    <row r="2602" spans="1:4" ht="18" customHeight="1" x14ac:dyDescent="0.25">
      <c r="A2602" s="2" t="s">
        <v>2662</v>
      </c>
      <c r="B2602" s="7">
        <v>48334413</v>
      </c>
      <c r="C2602" s="7">
        <v>125000</v>
      </c>
      <c r="D2602" s="7">
        <f t="shared" si="41"/>
        <v>48209413</v>
      </c>
    </row>
    <row r="2603" spans="1:4" ht="18" customHeight="1" x14ac:dyDescent="0.25">
      <c r="A2603" s="2" t="s">
        <v>2810</v>
      </c>
      <c r="B2603" s="7">
        <v>46338728</v>
      </c>
      <c r="C2603" s="7">
        <v>14500000</v>
      </c>
      <c r="D2603" s="7">
        <f t="shared" si="41"/>
        <v>31838728</v>
      </c>
    </row>
    <row r="2604" spans="1:4" ht="18" customHeight="1" x14ac:dyDescent="0.25">
      <c r="A2604" s="2" t="s">
        <v>5407</v>
      </c>
      <c r="B2604" s="7">
        <v>3275585</v>
      </c>
      <c r="C2604" s="7">
        <v>11500000</v>
      </c>
      <c r="D2604" s="7">
        <f t="shared" si="41"/>
        <v>-8224415</v>
      </c>
    </row>
    <row r="2605" spans="1:4" ht="18" customHeight="1" x14ac:dyDescent="0.25">
      <c r="A2605" s="2" t="s">
        <v>947</v>
      </c>
      <c r="B2605" s="7">
        <v>55973336</v>
      </c>
      <c r="C2605" s="7">
        <v>25000000</v>
      </c>
      <c r="D2605" s="7">
        <f t="shared" si="41"/>
        <v>30973336</v>
      </c>
    </row>
    <row r="2606" spans="1:4" ht="18" customHeight="1" x14ac:dyDescent="0.25">
      <c r="A2606" s="2" t="s">
        <v>2964</v>
      </c>
      <c r="B2606" s="7">
        <v>41609593</v>
      </c>
      <c r="C2606" s="7">
        <v>55000000</v>
      </c>
      <c r="D2606" s="7">
        <f t="shared" si="41"/>
        <v>-13390407</v>
      </c>
    </row>
    <row r="2607" spans="1:4" ht="18" customHeight="1" x14ac:dyDescent="0.25">
      <c r="A2607" s="2" t="s">
        <v>4369</v>
      </c>
      <c r="B2607" s="7">
        <v>14677654</v>
      </c>
      <c r="C2607" s="7">
        <v>13000000</v>
      </c>
      <c r="D2607" s="7">
        <f t="shared" si="41"/>
        <v>1677654</v>
      </c>
    </row>
    <row r="2608" spans="1:4" ht="18" customHeight="1" x14ac:dyDescent="0.25">
      <c r="A2608" s="2" t="s">
        <v>2234</v>
      </c>
      <c r="B2608" s="7">
        <v>48334413</v>
      </c>
      <c r="C2608" s="7">
        <v>2300000</v>
      </c>
      <c r="D2608" s="7">
        <f t="shared" si="41"/>
        <v>46034413</v>
      </c>
    </row>
    <row r="2609" spans="1:4" ht="18" customHeight="1" x14ac:dyDescent="0.25">
      <c r="A2609" s="2" t="s">
        <v>5437</v>
      </c>
      <c r="B2609" s="7">
        <v>3093491</v>
      </c>
      <c r="C2609" s="7">
        <v>5000000</v>
      </c>
      <c r="D2609" s="7">
        <f t="shared" si="41"/>
        <v>-1906509</v>
      </c>
    </row>
    <row r="2610" spans="1:4" ht="18" customHeight="1" x14ac:dyDescent="0.25">
      <c r="A2610" s="2" t="s">
        <v>2584</v>
      </c>
      <c r="B2610" s="7">
        <v>48334413</v>
      </c>
      <c r="C2610" s="7">
        <v>350000</v>
      </c>
      <c r="D2610" s="7">
        <f t="shared" si="41"/>
        <v>47984413</v>
      </c>
    </row>
    <row r="2611" spans="1:4" ht="18" customHeight="1" x14ac:dyDescent="0.25">
      <c r="A2611" s="2" t="s">
        <v>3851</v>
      </c>
      <c r="B2611" s="7">
        <v>22905674</v>
      </c>
      <c r="C2611" s="7">
        <v>12000000</v>
      </c>
      <c r="D2611" s="7">
        <f t="shared" si="41"/>
        <v>10905674</v>
      </c>
    </row>
    <row r="2612" spans="1:4" ht="18" customHeight="1" x14ac:dyDescent="0.25">
      <c r="A2612" s="2" t="s">
        <v>2587</v>
      </c>
      <c r="B2612" s="7">
        <v>48334413</v>
      </c>
      <c r="C2612" s="7">
        <v>350000</v>
      </c>
      <c r="D2612" s="7">
        <f t="shared" si="41"/>
        <v>47984413</v>
      </c>
    </row>
    <row r="2613" spans="1:4" ht="18" customHeight="1" x14ac:dyDescent="0.25">
      <c r="A2613" s="2" t="s">
        <v>6401</v>
      </c>
      <c r="B2613" s="7">
        <v>98017</v>
      </c>
      <c r="C2613" s="7">
        <v>500000</v>
      </c>
      <c r="D2613" s="7">
        <f t="shared" si="41"/>
        <v>-401983</v>
      </c>
    </row>
    <row r="2614" spans="1:4" ht="18" customHeight="1" x14ac:dyDescent="0.25">
      <c r="A2614" s="2" t="s">
        <v>5821</v>
      </c>
      <c r="B2614" s="7">
        <v>1001437</v>
      </c>
      <c r="C2614" s="7">
        <v>800000</v>
      </c>
      <c r="D2614" s="7">
        <f t="shared" si="41"/>
        <v>201437</v>
      </c>
    </row>
    <row r="2615" spans="1:4" ht="18" customHeight="1" x14ac:dyDescent="0.25">
      <c r="A2615" s="2" t="s">
        <v>6527</v>
      </c>
      <c r="B2615" s="7">
        <v>37440</v>
      </c>
      <c r="C2615" s="7">
        <v>5000000</v>
      </c>
      <c r="D2615" s="7">
        <f t="shared" si="41"/>
        <v>-4962560</v>
      </c>
    </row>
    <row r="2616" spans="1:4" ht="18" customHeight="1" x14ac:dyDescent="0.25">
      <c r="A2616" s="2" t="s">
        <v>3048</v>
      </c>
      <c r="B2616" s="7">
        <v>39399750</v>
      </c>
      <c r="C2616" s="7">
        <v>25000000</v>
      </c>
      <c r="D2616" s="7">
        <f t="shared" si="41"/>
        <v>14399750</v>
      </c>
    </row>
    <row r="2617" spans="1:4" ht="18" customHeight="1" x14ac:dyDescent="0.25">
      <c r="A2617" s="2" t="s">
        <v>487</v>
      </c>
      <c r="B2617" s="7">
        <v>76501438</v>
      </c>
      <c r="C2617" s="7">
        <v>30000000</v>
      </c>
      <c r="D2617" s="7">
        <f t="shared" si="41"/>
        <v>46501438</v>
      </c>
    </row>
    <row r="2618" spans="1:4" ht="18" customHeight="1" x14ac:dyDescent="0.25">
      <c r="A2618" s="2" t="s">
        <v>1248</v>
      </c>
      <c r="B2618" s="7">
        <v>48334413</v>
      </c>
      <c r="C2618" s="7">
        <v>39751583.5</v>
      </c>
      <c r="D2618" s="7">
        <f t="shared" si="41"/>
        <v>8582829.5</v>
      </c>
    </row>
    <row r="2619" spans="1:4" ht="18" customHeight="1" x14ac:dyDescent="0.25">
      <c r="A2619" s="2" t="s">
        <v>3379</v>
      </c>
      <c r="B2619" s="7">
        <v>32333860</v>
      </c>
      <c r="C2619" s="7">
        <v>7500000</v>
      </c>
      <c r="D2619" s="7">
        <f t="shared" si="41"/>
        <v>24833860</v>
      </c>
    </row>
    <row r="2620" spans="1:4" ht="18" customHeight="1" x14ac:dyDescent="0.25">
      <c r="A2620" s="2" t="s">
        <v>3660</v>
      </c>
      <c r="B2620" s="7">
        <v>26442251</v>
      </c>
      <c r="C2620" s="7">
        <v>50000000</v>
      </c>
      <c r="D2620" s="7">
        <f t="shared" si="41"/>
        <v>-23557749</v>
      </c>
    </row>
    <row r="2621" spans="1:4" ht="18" customHeight="1" x14ac:dyDescent="0.25">
      <c r="A2621" s="2" t="s">
        <v>4939</v>
      </c>
      <c r="B2621" s="7">
        <v>7267324</v>
      </c>
      <c r="C2621" s="7">
        <v>3500000</v>
      </c>
      <c r="D2621" s="7">
        <f t="shared" si="41"/>
        <v>3767324</v>
      </c>
    </row>
    <row r="2622" spans="1:4" ht="18" customHeight="1" x14ac:dyDescent="0.25">
      <c r="A2622" s="2" t="s">
        <v>5083</v>
      </c>
      <c r="B2622" s="7">
        <v>5998971</v>
      </c>
      <c r="C2622" s="7">
        <v>39751583.5</v>
      </c>
      <c r="D2622" s="7">
        <f t="shared" si="41"/>
        <v>-33752612.5</v>
      </c>
    </row>
    <row r="2623" spans="1:4" ht="18" customHeight="1" x14ac:dyDescent="0.25">
      <c r="A2623" s="2" t="s">
        <v>2711</v>
      </c>
      <c r="B2623" s="7">
        <v>48334413</v>
      </c>
      <c r="C2623" s="7">
        <v>50000</v>
      </c>
      <c r="D2623" s="7">
        <f t="shared" si="41"/>
        <v>48284413</v>
      </c>
    </row>
    <row r="2624" spans="1:4" ht="18" customHeight="1" x14ac:dyDescent="0.25">
      <c r="A2624" s="2" t="s">
        <v>4046</v>
      </c>
      <c r="B2624" s="7">
        <v>19316646</v>
      </c>
      <c r="C2624" s="7">
        <v>30000000</v>
      </c>
      <c r="D2624" s="7">
        <f t="shared" si="41"/>
        <v>-10683354</v>
      </c>
    </row>
    <row r="2625" spans="1:4" ht="18" customHeight="1" x14ac:dyDescent="0.25">
      <c r="A2625" s="2" t="s">
        <v>2018</v>
      </c>
      <c r="B2625" s="7">
        <v>48334413</v>
      </c>
      <c r="C2625" s="7">
        <v>5000000</v>
      </c>
      <c r="D2625" s="7">
        <f t="shared" si="41"/>
        <v>43334413</v>
      </c>
    </row>
    <row r="2626" spans="1:4" ht="18" customHeight="1" x14ac:dyDescent="0.25">
      <c r="A2626" s="2" t="s">
        <v>4977</v>
      </c>
      <c r="B2626" s="7">
        <v>6855137</v>
      </c>
      <c r="C2626" s="7">
        <v>17000000</v>
      </c>
      <c r="D2626" s="7">
        <f t="shared" si="41"/>
        <v>-10144863</v>
      </c>
    </row>
    <row r="2627" spans="1:4" ht="18" customHeight="1" x14ac:dyDescent="0.25">
      <c r="A2627" s="2" t="s">
        <v>4990</v>
      </c>
      <c r="B2627" s="7">
        <v>6754898</v>
      </c>
      <c r="C2627" s="7">
        <v>12000000</v>
      </c>
      <c r="D2627" s="7">
        <f t="shared" si="41"/>
        <v>-5245102</v>
      </c>
    </row>
    <row r="2628" spans="1:4" ht="18" customHeight="1" x14ac:dyDescent="0.25">
      <c r="A2628" s="2" t="s">
        <v>1263</v>
      </c>
      <c r="B2628" s="7">
        <v>48334413</v>
      </c>
      <c r="C2628" s="7">
        <v>39751583.5</v>
      </c>
      <c r="D2628" s="7">
        <f t="shared" si="41"/>
        <v>8582829.5</v>
      </c>
    </row>
    <row r="2629" spans="1:4" ht="18" customHeight="1" x14ac:dyDescent="0.25">
      <c r="A2629" s="2" t="s">
        <v>3632</v>
      </c>
      <c r="B2629" s="7">
        <v>26903709</v>
      </c>
      <c r="C2629" s="7">
        <v>38000000</v>
      </c>
      <c r="D2629" s="7">
        <f t="shared" ref="D2629:D2692" si="42">B2629-C2629</f>
        <v>-11096291</v>
      </c>
    </row>
    <row r="2630" spans="1:4" ht="18" customHeight="1" x14ac:dyDescent="0.25">
      <c r="A2630" s="2" t="s">
        <v>4194</v>
      </c>
      <c r="B2630" s="7">
        <v>17096053</v>
      </c>
      <c r="C2630" s="7">
        <v>9000000</v>
      </c>
      <c r="D2630" s="7">
        <f t="shared" si="42"/>
        <v>8096053</v>
      </c>
    </row>
    <row r="2631" spans="1:4" ht="18" customHeight="1" x14ac:dyDescent="0.25">
      <c r="A2631" s="2" t="s">
        <v>2608</v>
      </c>
      <c r="B2631" s="7">
        <v>48334413</v>
      </c>
      <c r="C2631" s="7">
        <v>250000</v>
      </c>
      <c r="D2631" s="7">
        <f t="shared" si="42"/>
        <v>48084413</v>
      </c>
    </row>
    <row r="2632" spans="1:4" ht="18" customHeight="1" x14ac:dyDescent="0.25">
      <c r="A2632" s="2" t="s">
        <v>4692</v>
      </c>
      <c r="B2632" s="7">
        <v>20999936</v>
      </c>
      <c r="C2632" s="7">
        <v>70000000</v>
      </c>
      <c r="D2632" s="7">
        <f t="shared" si="42"/>
        <v>-49000064</v>
      </c>
    </row>
    <row r="2633" spans="1:4" ht="18" customHeight="1" x14ac:dyDescent="0.25">
      <c r="A2633" s="2" t="s">
        <v>2137</v>
      </c>
      <c r="B2633" s="7">
        <v>48334413</v>
      </c>
      <c r="C2633" s="7">
        <v>3000000</v>
      </c>
      <c r="D2633" s="7">
        <f t="shared" si="42"/>
        <v>45334413</v>
      </c>
    </row>
    <row r="2634" spans="1:4" ht="18" customHeight="1" x14ac:dyDescent="0.25">
      <c r="A2634" s="2" t="s">
        <v>596</v>
      </c>
      <c r="B2634" s="7">
        <v>71346930</v>
      </c>
      <c r="C2634" s="7">
        <v>28000000</v>
      </c>
      <c r="D2634" s="7">
        <f t="shared" si="42"/>
        <v>43346930</v>
      </c>
    </row>
    <row r="2635" spans="1:4" ht="18" customHeight="1" x14ac:dyDescent="0.25">
      <c r="A2635" s="2" t="s">
        <v>6585</v>
      </c>
      <c r="B2635" s="7">
        <v>21210</v>
      </c>
      <c r="C2635" s="7">
        <v>1000000</v>
      </c>
      <c r="D2635" s="7">
        <f t="shared" si="42"/>
        <v>-978790</v>
      </c>
    </row>
    <row r="2636" spans="1:4" ht="18" customHeight="1" x14ac:dyDescent="0.25">
      <c r="A2636" s="2" t="s">
        <v>4188</v>
      </c>
      <c r="B2636" s="7">
        <v>17120019</v>
      </c>
      <c r="C2636" s="7">
        <v>30000000</v>
      </c>
      <c r="D2636" s="7">
        <f t="shared" si="42"/>
        <v>-12879981</v>
      </c>
    </row>
    <row r="2637" spans="1:4" ht="18" customHeight="1" x14ac:dyDescent="0.25">
      <c r="A2637" s="2" t="s">
        <v>5318</v>
      </c>
      <c r="B2637" s="7">
        <v>4007792</v>
      </c>
      <c r="C2637" s="7">
        <v>750000</v>
      </c>
      <c r="D2637" s="7">
        <f t="shared" si="42"/>
        <v>3257792</v>
      </c>
    </row>
    <row r="2638" spans="1:4" ht="18" customHeight="1" x14ac:dyDescent="0.25">
      <c r="A2638" s="2" t="s">
        <v>6385</v>
      </c>
      <c r="B2638" s="7">
        <v>100669</v>
      </c>
      <c r="C2638" s="7">
        <v>3800000</v>
      </c>
      <c r="D2638" s="7">
        <f t="shared" si="42"/>
        <v>-3699331</v>
      </c>
    </row>
    <row r="2639" spans="1:4" ht="18" customHeight="1" x14ac:dyDescent="0.25">
      <c r="A2639" s="2" t="s">
        <v>5881</v>
      </c>
      <c r="B2639" s="7">
        <v>795126</v>
      </c>
      <c r="C2639" s="7">
        <v>6000000</v>
      </c>
      <c r="D2639" s="7">
        <f t="shared" si="42"/>
        <v>-5204874</v>
      </c>
    </row>
    <row r="2640" spans="1:4" ht="18" customHeight="1" x14ac:dyDescent="0.25">
      <c r="A2640" s="2" t="s">
        <v>5723</v>
      </c>
      <c r="B2640" s="7">
        <v>1310270</v>
      </c>
      <c r="C2640" s="7">
        <v>780000</v>
      </c>
      <c r="D2640" s="7">
        <f t="shared" si="42"/>
        <v>530270</v>
      </c>
    </row>
    <row r="2641" spans="1:4" ht="18" customHeight="1" x14ac:dyDescent="0.25">
      <c r="A2641" s="2" t="s">
        <v>2041</v>
      </c>
      <c r="B2641" s="7">
        <v>48334413</v>
      </c>
      <c r="C2641" s="7">
        <v>4500000</v>
      </c>
      <c r="D2641" s="7">
        <f t="shared" si="42"/>
        <v>43834413</v>
      </c>
    </row>
    <row r="2642" spans="1:4" ht="18" customHeight="1" x14ac:dyDescent="0.25">
      <c r="A2642" s="2" t="s">
        <v>6550</v>
      </c>
      <c r="B2642" s="7">
        <v>27445</v>
      </c>
      <c r="C2642" s="7">
        <v>9000000</v>
      </c>
      <c r="D2642" s="7">
        <f t="shared" si="42"/>
        <v>-8972555</v>
      </c>
    </row>
    <row r="2643" spans="1:4" ht="18" customHeight="1" x14ac:dyDescent="0.25">
      <c r="A2643" s="2" t="s">
        <v>5520</v>
      </c>
      <c r="B2643" s="7">
        <v>2601847</v>
      </c>
      <c r="C2643" s="7">
        <v>4000000</v>
      </c>
      <c r="D2643" s="7">
        <f t="shared" si="42"/>
        <v>-1398153</v>
      </c>
    </row>
    <row r="2644" spans="1:4" ht="18" customHeight="1" x14ac:dyDescent="0.25">
      <c r="A2644" s="2" t="s">
        <v>2642</v>
      </c>
      <c r="B2644" s="7">
        <v>48334413</v>
      </c>
      <c r="C2644" s="7">
        <v>200000</v>
      </c>
      <c r="D2644" s="7">
        <f t="shared" si="42"/>
        <v>48134413</v>
      </c>
    </row>
    <row r="2645" spans="1:4" ht="18" customHeight="1" x14ac:dyDescent="0.25">
      <c r="A2645" s="2" t="s">
        <v>3840</v>
      </c>
      <c r="B2645" s="7">
        <v>23070045</v>
      </c>
      <c r="C2645" s="7">
        <v>30000000</v>
      </c>
      <c r="D2645" s="7">
        <f t="shared" si="42"/>
        <v>-6929955</v>
      </c>
    </row>
    <row r="2646" spans="1:4" ht="18" customHeight="1" x14ac:dyDescent="0.25">
      <c r="A2646" s="2" t="s">
        <v>2425</v>
      </c>
      <c r="B2646" s="7">
        <v>48334413</v>
      </c>
      <c r="C2646" s="7">
        <v>1000000</v>
      </c>
      <c r="D2646" s="7">
        <f t="shared" si="42"/>
        <v>47334413</v>
      </c>
    </row>
    <row r="2647" spans="1:4" ht="18" customHeight="1" x14ac:dyDescent="0.25">
      <c r="A2647" s="2" t="s">
        <v>4903</v>
      </c>
      <c r="B2647" s="7">
        <v>7691700</v>
      </c>
      <c r="C2647" s="7">
        <v>10000000</v>
      </c>
      <c r="D2647" s="7">
        <f t="shared" si="42"/>
        <v>-2308300</v>
      </c>
    </row>
    <row r="2648" spans="1:4" ht="18" customHeight="1" x14ac:dyDescent="0.25">
      <c r="A2648" s="2" t="s">
        <v>2188</v>
      </c>
      <c r="B2648" s="7">
        <v>48334413</v>
      </c>
      <c r="C2648" s="7">
        <v>3000000</v>
      </c>
      <c r="D2648" s="7">
        <f t="shared" si="42"/>
        <v>45334413</v>
      </c>
    </row>
    <row r="2649" spans="1:4" ht="18" customHeight="1" x14ac:dyDescent="0.25">
      <c r="A2649" s="2" t="s">
        <v>1696</v>
      </c>
      <c r="B2649" s="7">
        <v>48334413</v>
      </c>
      <c r="C2649" s="7">
        <v>19000000</v>
      </c>
      <c r="D2649" s="7">
        <f t="shared" si="42"/>
        <v>29334413</v>
      </c>
    </row>
    <row r="2650" spans="1:4" ht="18" customHeight="1" x14ac:dyDescent="0.25">
      <c r="A2650" s="2" t="s">
        <v>6042</v>
      </c>
      <c r="B2650" s="7">
        <v>434417</v>
      </c>
      <c r="C2650" s="7">
        <v>4600000</v>
      </c>
      <c r="D2650" s="7">
        <f t="shared" si="42"/>
        <v>-4165583</v>
      </c>
    </row>
    <row r="2651" spans="1:4" ht="18" customHeight="1" x14ac:dyDescent="0.25">
      <c r="A2651" s="2" t="s">
        <v>2779</v>
      </c>
      <c r="B2651" s="7">
        <v>47307550</v>
      </c>
      <c r="C2651" s="7">
        <v>45000000</v>
      </c>
      <c r="D2651" s="7">
        <f t="shared" si="42"/>
        <v>2307550</v>
      </c>
    </row>
    <row r="2652" spans="1:4" ht="18" customHeight="1" x14ac:dyDescent="0.25">
      <c r="A2652" s="2" t="s">
        <v>263</v>
      </c>
      <c r="B2652" s="7">
        <v>91038276</v>
      </c>
      <c r="C2652" s="7">
        <v>13000000</v>
      </c>
      <c r="D2652" s="7">
        <f t="shared" si="42"/>
        <v>78038276</v>
      </c>
    </row>
    <row r="2653" spans="1:4" ht="18" customHeight="1" x14ac:dyDescent="0.25">
      <c r="A2653" s="2" t="s">
        <v>4816</v>
      </c>
      <c r="B2653" s="7">
        <v>8786715</v>
      </c>
      <c r="C2653" s="7">
        <v>5000000</v>
      </c>
      <c r="D2653" s="7">
        <f t="shared" si="42"/>
        <v>3786715</v>
      </c>
    </row>
    <row r="2654" spans="1:4" ht="18" customHeight="1" x14ac:dyDescent="0.25">
      <c r="A2654" s="2" t="s">
        <v>5759</v>
      </c>
      <c r="B2654" s="7">
        <v>1186323</v>
      </c>
      <c r="C2654" s="7">
        <v>39751583.5</v>
      </c>
      <c r="D2654" s="7">
        <f t="shared" si="42"/>
        <v>-38565260.5</v>
      </c>
    </row>
    <row r="2655" spans="1:4" ht="18" customHeight="1" x14ac:dyDescent="0.25">
      <c r="A2655" s="2" t="s">
        <v>1389</v>
      </c>
      <c r="B2655" s="7">
        <v>48334413</v>
      </c>
      <c r="C2655" s="7">
        <v>39751583.5</v>
      </c>
      <c r="D2655" s="7">
        <f t="shared" si="42"/>
        <v>8582829.5</v>
      </c>
    </row>
    <row r="2656" spans="1:4" ht="18" customHeight="1" x14ac:dyDescent="0.25">
      <c r="A2656" s="2" t="s">
        <v>364</v>
      </c>
      <c r="B2656" s="7">
        <v>83299761</v>
      </c>
      <c r="C2656" s="7">
        <v>35000000</v>
      </c>
      <c r="D2656" s="7">
        <f t="shared" si="42"/>
        <v>48299761</v>
      </c>
    </row>
    <row r="2657" spans="1:4" ht="18" customHeight="1" x14ac:dyDescent="0.25">
      <c r="A2657" s="2" t="s">
        <v>5711</v>
      </c>
      <c r="B2657" s="7">
        <v>1391770</v>
      </c>
      <c r="C2657" s="7">
        <v>39751583.5</v>
      </c>
      <c r="D2657" s="7">
        <f t="shared" si="42"/>
        <v>-38359813.5</v>
      </c>
    </row>
    <row r="2658" spans="1:4" ht="18" customHeight="1" x14ac:dyDescent="0.25">
      <c r="A2658" s="2" t="s">
        <v>4045</v>
      </c>
      <c r="B2658" s="7">
        <v>19351569</v>
      </c>
      <c r="C2658" s="7">
        <v>22000000</v>
      </c>
      <c r="D2658" s="7">
        <f t="shared" si="42"/>
        <v>-2648431</v>
      </c>
    </row>
    <row r="2659" spans="1:4" ht="18" customHeight="1" x14ac:dyDescent="0.25">
      <c r="A2659" s="2" t="s">
        <v>2824</v>
      </c>
      <c r="B2659" s="7">
        <v>45670855</v>
      </c>
      <c r="C2659" s="7">
        <v>20000000</v>
      </c>
      <c r="D2659" s="7">
        <f t="shared" si="42"/>
        <v>25670855</v>
      </c>
    </row>
    <row r="2660" spans="1:4" ht="18" customHeight="1" x14ac:dyDescent="0.25">
      <c r="A2660" s="2" t="s">
        <v>315</v>
      </c>
      <c r="B2660" s="7">
        <v>87025093</v>
      </c>
      <c r="C2660" s="7">
        <v>4000000</v>
      </c>
      <c r="D2660" s="7">
        <f t="shared" si="42"/>
        <v>83025093</v>
      </c>
    </row>
    <row r="2661" spans="1:4" ht="18" customHeight="1" x14ac:dyDescent="0.25">
      <c r="A2661" s="2" t="s">
        <v>427</v>
      </c>
      <c r="B2661" s="7">
        <v>80150343</v>
      </c>
      <c r="C2661" s="7">
        <v>10000000</v>
      </c>
      <c r="D2661" s="7">
        <f t="shared" si="42"/>
        <v>70150343</v>
      </c>
    </row>
    <row r="2662" spans="1:4" ht="18" customHeight="1" x14ac:dyDescent="0.25">
      <c r="A2662" s="2" t="s">
        <v>763</v>
      </c>
      <c r="B2662" s="7">
        <v>63270259</v>
      </c>
      <c r="C2662" s="7">
        <v>10000000</v>
      </c>
      <c r="D2662" s="7">
        <f t="shared" si="42"/>
        <v>53270259</v>
      </c>
    </row>
    <row r="2663" spans="1:4" ht="18" customHeight="1" x14ac:dyDescent="0.25">
      <c r="A2663" s="2" t="s">
        <v>912</v>
      </c>
      <c r="B2663" s="7">
        <v>56729973</v>
      </c>
      <c r="C2663" s="7">
        <v>10800000</v>
      </c>
      <c r="D2663" s="7">
        <f t="shared" si="42"/>
        <v>45929973</v>
      </c>
    </row>
    <row r="2664" spans="1:4" ht="18" customHeight="1" x14ac:dyDescent="0.25">
      <c r="A2664" s="2" t="s">
        <v>3599</v>
      </c>
      <c r="B2664" s="7">
        <v>27669413</v>
      </c>
      <c r="C2664" s="7">
        <v>11000000</v>
      </c>
      <c r="D2664" s="7">
        <f t="shared" si="42"/>
        <v>16669413</v>
      </c>
    </row>
    <row r="2665" spans="1:4" ht="18" customHeight="1" x14ac:dyDescent="0.25">
      <c r="A2665" s="2" t="s">
        <v>974</v>
      </c>
      <c r="B2665" s="7">
        <v>55153403</v>
      </c>
      <c r="C2665" s="7">
        <v>1200000</v>
      </c>
      <c r="D2665" s="7">
        <f t="shared" si="42"/>
        <v>53953403</v>
      </c>
    </row>
    <row r="2666" spans="1:4" ht="18" customHeight="1" x14ac:dyDescent="0.25">
      <c r="A2666" s="2" t="s">
        <v>5134</v>
      </c>
      <c r="B2666" s="7">
        <v>5516708</v>
      </c>
      <c r="C2666" s="7">
        <v>25000000</v>
      </c>
      <c r="D2666" s="7">
        <f t="shared" si="42"/>
        <v>-19483292</v>
      </c>
    </row>
    <row r="2667" spans="1:4" ht="18" customHeight="1" x14ac:dyDescent="0.25">
      <c r="A2667" s="2" t="s">
        <v>2856</v>
      </c>
      <c r="B2667" s="7">
        <v>44700000</v>
      </c>
      <c r="C2667" s="7">
        <v>25000000</v>
      </c>
      <c r="D2667" s="7">
        <f t="shared" si="42"/>
        <v>19700000</v>
      </c>
    </row>
    <row r="2668" spans="1:4" ht="18" customHeight="1" x14ac:dyDescent="0.25">
      <c r="A2668" s="2" t="s">
        <v>599</v>
      </c>
      <c r="B2668" s="7">
        <v>71277420</v>
      </c>
      <c r="C2668" s="7">
        <v>45000000</v>
      </c>
      <c r="D2668" s="7">
        <f t="shared" si="42"/>
        <v>26277420</v>
      </c>
    </row>
    <row r="2669" spans="1:4" ht="18" customHeight="1" x14ac:dyDescent="0.25">
      <c r="A2669" s="2" t="s">
        <v>30</v>
      </c>
      <c r="B2669" s="7">
        <v>110000082</v>
      </c>
      <c r="C2669" s="7">
        <v>48000000</v>
      </c>
      <c r="D2669" s="7">
        <f t="shared" si="42"/>
        <v>62000082</v>
      </c>
    </row>
    <row r="2670" spans="1:4" ht="18" customHeight="1" x14ac:dyDescent="0.25">
      <c r="A2670" s="2" t="s">
        <v>269</v>
      </c>
      <c r="B2670" s="7">
        <v>90703745</v>
      </c>
      <c r="C2670" s="7">
        <v>45000000</v>
      </c>
      <c r="D2670" s="7">
        <f t="shared" si="42"/>
        <v>45703745</v>
      </c>
    </row>
    <row r="2671" spans="1:4" ht="18" customHeight="1" x14ac:dyDescent="0.25">
      <c r="A2671" s="2" t="s">
        <v>3396</v>
      </c>
      <c r="B2671" s="7">
        <v>32014289</v>
      </c>
      <c r="C2671" s="7">
        <v>20000000</v>
      </c>
      <c r="D2671" s="7">
        <f t="shared" si="42"/>
        <v>12014289</v>
      </c>
    </row>
    <row r="2672" spans="1:4" ht="18" customHeight="1" x14ac:dyDescent="0.25">
      <c r="A2672" s="2" t="s">
        <v>197</v>
      </c>
      <c r="B2672" s="7">
        <v>96067179</v>
      </c>
      <c r="C2672" s="7">
        <v>22000000</v>
      </c>
      <c r="D2672" s="7">
        <f t="shared" si="42"/>
        <v>74067179</v>
      </c>
    </row>
    <row r="2673" spans="1:4" ht="18" customHeight="1" x14ac:dyDescent="0.25">
      <c r="A2673" s="2" t="s">
        <v>4380</v>
      </c>
      <c r="B2673" s="7">
        <v>14545844</v>
      </c>
      <c r="C2673" s="7">
        <v>6500000</v>
      </c>
      <c r="D2673" s="7">
        <f t="shared" si="42"/>
        <v>8045844</v>
      </c>
    </row>
    <row r="2674" spans="1:4" ht="18" customHeight="1" x14ac:dyDescent="0.25">
      <c r="A2674" s="2" t="s">
        <v>4133</v>
      </c>
      <c r="B2674" s="7">
        <v>17803796</v>
      </c>
      <c r="C2674" s="7">
        <v>20000000</v>
      </c>
      <c r="D2674" s="7">
        <f t="shared" si="42"/>
        <v>-2196204</v>
      </c>
    </row>
    <row r="2675" spans="1:4" ht="18" customHeight="1" x14ac:dyDescent="0.25">
      <c r="A2675" s="2" t="s">
        <v>404</v>
      </c>
      <c r="B2675" s="7">
        <v>81257845</v>
      </c>
      <c r="C2675" s="7">
        <v>35000000</v>
      </c>
      <c r="D2675" s="7">
        <f t="shared" si="42"/>
        <v>46257845</v>
      </c>
    </row>
    <row r="2676" spans="1:4" ht="18" customHeight="1" x14ac:dyDescent="0.25">
      <c r="A2676" s="2" t="s">
        <v>346</v>
      </c>
      <c r="B2676" s="7">
        <v>84185387</v>
      </c>
      <c r="C2676" s="7">
        <v>80000000</v>
      </c>
      <c r="D2676" s="7">
        <f t="shared" si="42"/>
        <v>4185387</v>
      </c>
    </row>
    <row r="2677" spans="1:4" ht="18" customHeight="1" x14ac:dyDescent="0.25">
      <c r="A2677" s="2" t="s">
        <v>4691</v>
      </c>
      <c r="B2677" s="7">
        <v>10515579</v>
      </c>
      <c r="C2677" s="7">
        <v>4000000</v>
      </c>
      <c r="D2677" s="7">
        <f t="shared" si="42"/>
        <v>6515579</v>
      </c>
    </row>
    <row r="2678" spans="1:4" ht="18" customHeight="1" x14ac:dyDescent="0.25">
      <c r="A2678" s="2" t="s">
        <v>3436</v>
      </c>
      <c r="B2678" s="7">
        <v>31494270</v>
      </c>
      <c r="C2678" s="7">
        <v>60000000</v>
      </c>
      <c r="D2678" s="7">
        <f t="shared" si="42"/>
        <v>-28505730</v>
      </c>
    </row>
    <row r="2679" spans="1:4" ht="18" customHeight="1" x14ac:dyDescent="0.25">
      <c r="A2679" s="2" t="s">
        <v>2539</v>
      </c>
      <c r="B2679" s="7">
        <v>48334413</v>
      </c>
      <c r="C2679" s="7">
        <v>500000</v>
      </c>
      <c r="D2679" s="7">
        <f t="shared" si="42"/>
        <v>47834413</v>
      </c>
    </row>
    <row r="2680" spans="1:4" ht="18" customHeight="1" x14ac:dyDescent="0.25">
      <c r="A2680" s="2" t="s">
        <v>151</v>
      </c>
      <c r="B2680" s="7">
        <v>101334374</v>
      </c>
      <c r="C2680" s="7">
        <v>24000000</v>
      </c>
      <c r="D2680" s="7">
        <f t="shared" si="42"/>
        <v>77334374</v>
      </c>
    </row>
    <row r="2681" spans="1:4" ht="18" customHeight="1" x14ac:dyDescent="0.25">
      <c r="A2681" s="2" t="s">
        <v>296</v>
      </c>
      <c r="B2681" s="7">
        <v>89138076</v>
      </c>
      <c r="C2681" s="7">
        <v>40000000</v>
      </c>
      <c r="D2681" s="7">
        <f t="shared" si="42"/>
        <v>49138076</v>
      </c>
    </row>
    <row r="2682" spans="1:4" ht="18" customHeight="1" x14ac:dyDescent="0.25">
      <c r="A2682" s="2" t="s">
        <v>3091</v>
      </c>
      <c r="B2682" s="7">
        <v>38176892</v>
      </c>
      <c r="C2682" s="7">
        <v>40000000</v>
      </c>
      <c r="D2682" s="7">
        <f t="shared" si="42"/>
        <v>-1823108</v>
      </c>
    </row>
    <row r="2683" spans="1:4" ht="18" customHeight="1" x14ac:dyDescent="0.25">
      <c r="A2683" s="2" t="s">
        <v>1309</v>
      </c>
      <c r="B2683" s="7">
        <v>48334413</v>
      </c>
      <c r="C2683" s="7">
        <v>39751583.5</v>
      </c>
      <c r="D2683" s="7">
        <f t="shared" si="42"/>
        <v>8582829.5</v>
      </c>
    </row>
    <row r="2684" spans="1:4" ht="18" customHeight="1" x14ac:dyDescent="0.25">
      <c r="A2684" s="2" t="s">
        <v>122</v>
      </c>
      <c r="B2684" s="7">
        <v>103001286</v>
      </c>
      <c r="C2684" s="7">
        <v>15000000</v>
      </c>
      <c r="D2684" s="7">
        <f t="shared" si="42"/>
        <v>88001286</v>
      </c>
    </row>
    <row r="2685" spans="1:4" ht="18" customHeight="1" x14ac:dyDescent="0.25">
      <c r="A2685" s="2" t="s">
        <v>4969</v>
      </c>
      <c r="B2685" s="7">
        <v>6982680</v>
      </c>
      <c r="C2685" s="7">
        <v>10000000</v>
      </c>
      <c r="D2685" s="7">
        <f t="shared" si="42"/>
        <v>-3017320</v>
      </c>
    </row>
    <row r="2686" spans="1:4" ht="18" customHeight="1" x14ac:dyDescent="0.25">
      <c r="A2686" s="2" t="s">
        <v>819</v>
      </c>
      <c r="B2686" s="7">
        <v>60328558</v>
      </c>
      <c r="C2686" s="7">
        <v>32000000</v>
      </c>
      <c r="D2686" s="7">
        <f t="shared" si="42"/>
        <v>28328558</v>
      </c>
    </row>
    <row r="2687" spans="1:4" ht="18" customHeight="1" x14ac:dyDescent="0.25">
      <c r="A2687" s="2" t="s">
        <v>180</v>
      </c>
      <c r="B2687" s="7">
        <v>100125340</v>
      </c>
      <c r="C2687" s="7">
        <v>33000000</v>
      </c>
      <c r="D2687" s="7">
        <f t="shared" si="42"/>
        <v>67125340</v>
      </c>
    </row>
    <row r="2688" spans="1:4" ht="18" customHeight="1" x14ac:dyDescent="0.25">
      <c r="A2688" s="2" t="s">
        <v>868</v>
      </c>
      <c r="B2688" s="7">
        <v>58571513</v>
      </c>
      <c r="C2688" s="7">
        <v>19000000</v>
      </c>
      <c r="D2688" s="7">
        <f t="shared" si="42"/>
        <v>39571513</v>
      </c>
    </row>
    <row r="2689" spans="1:4" ht="18" customHeight="1" x14ac:dyDescent="0.25">
      <c r="A2689" s="2" t="s">
        <v>5303</v>
      </c>
      <c r="B2689" s="7">
        <v>4074023</v>
      </c>
      <c r="C2689" s="7">
        <v>5000000</v>
      </c>
      <c r="D2689" s="7">
        <f t="shared" si="42"/>
        <v>-925977</v>
      </c>
    </row>
    <row r="2690" spans="1:4" ht="18" customHeight="1" x14ac:dyDescent="0.25">
      <c r="A2690" s="2" t="s">
        <v>2973</v>
      </c>
      <c r="B2690" s="7">
        <v>41407470</v>
      </c>
      <c r="C2690" s="7">
        <v>30000000</v>
      </c>
      <c r="D2690" s="7">
        <f t="shared" si="42"/>
        <v>11407470</v>
      </c>
    </row>
    <row r="2691" spans="1:4" ht="18" customHeight="1" x14ac:dyDescent="0.25">
      <c r="A2691" s="2" t="s">
        <v>1692</v>
      </c>
      <c r="B2691" s="7">
        <v>48334413</v>
      </c>
      <c r="C2691" s="7">
        <v>19500000</v>
      </c>
      <c r="D2691" s="7">
        <f t="shared" si="42"/>
        <v>28834413</v>
      </c>
    </row>
    <row r="2692" spans="1:4" ht="18" customHeight="1" x14ac:dyDescent="0.25">
      <c r="A2692" s="2" t="s">
        <v>2766</v>
      </c>
      <c r="B2692" s="7">
        <v>47781388</v>
      </c>
      <c r="C2692" s="7">
        <v>40000000</v>
      </c>
      <c r="D2692" s="7">
        <f t="shared" si="42"/>
        <v>7781388</v>
      </c>
    </row>
    <row r="2693" spans="1:4" ht="18" customHeight="1" x14ac:dyDescent="0.25">
      <c r="A2693" s="2" t="s">
        <v>841</v>
      </c>
      <c r="B2693" s="7">
        <v>59699513</v>
      </c>
      <c r="C2693" s="7">
        <v>35000000</v>
      </c>
      <c r="D2693" s="7">
        <f t="shared" ref="D2693:D2756" si="43">B2693-C2693</f>
        <v>24699513</v>
      </c>
    </row>
    <row r="2694" spans="1:4" ht="18" customHeight="1" x14ac:dyDescent="0.25">
      <c r="A2694" s="2" t="s">
        <v>5311</v>
      </c>
      <c r="B2694" s="7">
        <v>4046737</v>
      </c>
      <c r="C2694" s="7">
        <v>4000000</v>
      </c>
      <c r="D2694" s="7">
        <f t="shared" si="43"/>
        <v>46737</v>
      </c>
    </row>
    <row r="2695" spans="1:4" ht="18" customHeight="1" x14ac:dyDescent="0.25">
      <c r="A2695" s="2" t="s">
        <v>1404</v>
      </c>
      <c r="B2695" s="7">
        <v>48334413</v>
      </c>
      <c r="C2695" s="7">
        <v>39751583.5</v>
      </c>
      <c r="D2695" s="7">
        <f t="shared" si="43"/>
        <v>8582829.5</v>
      </c>
    </row>
    <row r="2696" spans="1:4" ht="18" customHeight="1" x14ac:dyDescent="0.25">
      <c r="A2696" s="2" t="s">
        <v>3329</v>
      </c>
      <c r="B2696" s="7">
        <v>33357476</v>
      </c>
      <c r="C2696" s="7">
        <v>35000000</v>
      </c>
      <c r="D2696" s="7">
        <f t="shared" si="43"/>
        <v>-1642524</v>
      </c>
    </row>
    <row r="2697" spans="1:4" ht="18" customHeight="1" x14ac:dyDescent="0.25">
      <c r="A2697" s="2" t="s">
        <v>4197</v>
      </c>
      <c r="B2697" s="7">
        <v>17016190</v>
      </c>
      <c r="C2697" s="7">
        <v>12000000</v>
      </c>
      <c r="D2697" s="7">
        <f t="shared" si="43"/>
        <v>5016190</v>
      </c>
    </row>
    <row r="2698" spans="1:4" ht="18" customHeight="1" x14ac:dyDescent="0.25">
      <c r="A2698" s="2" t="s">
        <v>5003</v>
      </c>
      <c r="B2698" s="7">
        <v>6619173</v>
      </c>
      <c r="C2698" s="7">
        <v>10000000</v>
      </c>
      <c r="D2698" s="7">
        <f t="shared" si="43"/>
        <v>-3380827</v>
      </c>
    </row>
    <row r="2699" spans="1:4" ht="18" customHeight="1" x14ac:dyDescent="0.25">
      <c r="A2699" s="2" t="s">
        <v>3226</v>
      </c>
      <c r="B2699" s="7">
        <v>35422828</v>
      </c>
      <c r="C2699" s="7">
        <v>20000000</v>
      </c>
      <c r="D2699" s="7">
        <f t="shared" si="43"/>
        <v>15422828</v>
      </c>
    </row>
    <row r="2700" spans="1:4" ht="18" customHeight="1" x14ac:dyDescent="0.25">
      <c r="A2700" s="2" t="s">
        <v>4570</v>
      </c>
      <c r="B2700" s="7">
        <v>12276810</v>
      </c>
      <c r="C2700" s="7">
        <v>26000000</v>
      </c>
      <c r="D2700" s="7">
        <f t="shared" si="43"/>
        <v>-13723190</v>
      </c>
    </row>
    <row r="2701" spans="1:4" ht="18" customHeight="1" x14ac:dyDescent="0.25">
      <c r="A2701" s="2" t="s">
        <v>1068</v>
      </c>
      <c r="B2701" s="7">
        <v>52066000</v>
      </c>
      <c r="C2701" s="7">
        <v>20000000</v>
      </c>
      <c r="D2701" s="7">
        <f t="shared" si="43"/>
        <v>32066000</v>
      </c>
    </row>
    <row r="2702" spans="1:4" ht="18" customHeight="1" x14ac:dyDescent="0.25">
      <c r="A2702" s="2" t="s">
        <v>3319</v>
      </c>
      <c r="B2702" s="7">
        <v>33472850</v>
      </c>
      <c r="C2702" s="7">
        <v>55000000</v>
      </c>
      <c r="D2702" s="7">
        <f t="shared" si="43"/>
        <v>-21527150</v>
      </c>
    </row>
    <row r="2703" spans="1:4" ht="18" customHeight="1" x14ac:dyDescent="0.25">
      <c r="A2703" s="2" t="s">
        <v>2916</v>
      </c>
      <c r="B2703" s="7">
        <v>42700000</v>
      </c>
      <c r="C2703" s="7">
        <v>16500000</v>
      </c>
      <c r="D2703" s="7">
        <f t="shared" si="43"/>
        <v>26200000</v>
      </c>
    </row>
    <row r="2704" spans="1:4" ht="18" customHeight="1" x14ac:dyDescent="0.25">
      <c r="A2704" s="2" t="s">
        <v>5795</v>
      </c>
      <c r="B2704" s="7">
        <v>1066555</v>
      </c>
      <c r="C2704" s="7">
        <v>11000000</v>
      </c>
      <c r="D2704" s="7">
        <f t="shared" si="43"/>
        <v>-9933445</v>
      </c>
    </row>
    <row r="2705" spans="1:4" ht="18" customHeight="1" x14ac:dyDescent="0.25">
      <c r="A2705" s="2" t="s">
        <v>1171</v>
      </c>
      <c r="B2705" s="7">
        <v>49968653</v>
      </c>
      <c r="C2705" s="7">
        <v>28000000</v>
      </c>
      <c r="D2705" s="7">
        <f t="shared" si="43"/>
        <v>21968653</v>
      </c>
    </row>
    <row r="2706" spans="1:4" ht="18" customHeight="1" x14ac:dyDescent="0.25">
      <c r="A2706" s="2" t="s">
        <v>3736</v>
      </c>
      <c r="B2706" s="7">
        <v>25335935</v>
      </c>
      <c r="C2706" s="7">
        <v>40000000</v>
      </c>
      <c r="D2706" s="7">
        <f t="shared" si="43"/>
        <v>-14664065</v>
      </c>
    </row>
    <row r="2707" spans="1:4" ht="18" customHeight="1" x14ac:dyDescent="0.25">
      <c r="A2707" s="2" t="s">
        <v>4885</v>
      </c>
      <c r="B2707" s="7">
        <v>7881335</v>
      </c>
      <c r="C2707" s="7">
        <v>13000000</v>
      </c>
      <c r="D2707" s="7">
        <f t="shared" si="43"/>
        <v>-5118665</v>
      </c>
    </row>
    <row r="2708" spans="1:4" ht="18" customHeight="1" x14ac:dyDescent="0.25">
      <c r="A2708" s="2" t="s">
        <v>4210</v>
      </c>
      <c r="B2708" s="7">
        <v>16930185</v>
      </c>
      <c r="C2708" s="7">
        <v>29000000</v>
      </c>
      <c r="D2708" s="7">
        <f t="shared" si="43"/>
        <v>-12069815</v>
      </c>
    </row>
    <row r="2709" spans="1:4" ht="18" customHeight="1" x14ac:dyDescent="0.25">
      <c r="A2709" s="2" t="s">
        <v>6086</v>
      </c>
      <c r="B2709" s="7">
        <v>373967</v>
      </c>
      <c r="C2709" s="7">
        <v>1500000</v>
      </c>
      <c r="D2709" s="7">
        <f t="shared" si="43"/>
        <v>-1126033</v>
      </c>
    </row>
    <row r="2710" spans="1:4" ht="18" customHeight="1" x14ac:dyDescent="0.25">
      <c r="A2710" s="2" t="s">
        <v>3197</v>
      </c>
      <c r="B2710" s="7">
        <v>36049108</v>
      </c>
      <c r="C2710" s="7">
        <v>9000000</v>
      </c>
      <c r="D2710" s="7">
        <f t="shared" si="43"/>
        <v>27049108</v>
      </c>
    </row>
    <row r="2711" spans="1:4" ht="18" customHeight="1" x14ac:dyDescent="0.25">
      <c r="A2711" s="2" t="s">
        <v>635</v>
      </c>
      <c r="B2711" s="7">
        <v>69951824</v>
      </c>
      <c r="C2711" s="7">
        <v>55000000</v>
      </c>
      <c r="D2711" s="7">
        <f t="shared" si="43"/>
        <v>14951824</v>
      </c>
    </row>
    <row r="2712" spans="1:4" ht="18" customHeight="1" x14ac:dyDescent="0.25">
      <c r="A2712" s="2" t="s">
        <v>4353</v>
      </c>
      <c r="B2712" s="7">
        <v>14989761</v>
      </c>
      <c r="C2712" s="7">
        <v>15000000</v>
      </c>
      <c r="D2712" s="7">
        <f t="shared" si="43"/>
        <v>-10239</v>
      </c>
    </row>
    <row r="2713" spans="1:4" ht="18" customHeight="1" x14ac:dyDescent="0.25">
      <c r="A2713" s="2" t="s">
        <v>6157</v>
      </c>
      <c r="B2713" s="7">
        <v>269061</v>
      </c>
      <c r="C2713" s="7">
        <v>2000000</v>
      </c>
      <c r="D2713" s="7">
        <f t="shared" si="43"/>
        <v>-1730939</v>
      </c>
    </row>
    <row r="2714" spans="1:4" ht="18" customHeight="1" x14ac:dyDescent="0.25">
      <c r="A2714" s="2" t="s">
        <v>3106</v>
      </c>
      <c r="B2714" s="7">
        <v>37901509</v>
      </c>
      <c r="C2714" s="7">
        <v>70000000</v>
      </c>
      <c r="D2714" s="7">
        <f t="shared" si="43"/>
        <v>-32098491</v>
      </c>
    </row>
    <row r="2715" spans="1:4" ht="18" customHeight="1" x14ac:dyDescent="0.25">
      <c r="A2715" s="2" t="s">
        <v>6302</v>
      </c>
      <c r="B2715" s="7">
        <v>136432</v>
      </c>
      <c r="C2715" s="7">
        <v>5000000</v>
      </c>
      <c r="D2715" s="7">
        <f t="shared" si="43"/>
        <v>-4863568</v>
      </c>
    </row>
    <row r="2716" spans="1:4" ht="18" customHeight="1" x14ac:dyDescent="0.25">
      <c r="A2716" s="2" t="s">
        <v>1250</v>
      </c>
      <c r="B2716" s="7">
        <v>48334413</v>
      </c>
      <c r="C2716" s="7">
        <v>39751583.5</v>
      </c>
      <c r="D2716" s="7">
        <f t="shared" si="43"/>
        <v>8582829.5</v>
      </c>
    </row>
    <row r="2717" spans="1:4" ht="18" customHeight="1" x14ac:dyDescent="0.25">
      <c r="A2717" s="2" t="s">
        <v>4839</v>
      </c>
      <c r="B2717" s="7">
        <v>8396942</v>
      </c>
      <c r="C2717" s="7">
        <v>19000000</v>
      </c>
      <c r="D2717" s="7">
        <f t="shared" si="43"/>
        <v>-10603058</v>
      </c>
    </row>
    <row r="2718" spans="1:4" ht="18" customHeight="1" x14ac:dyDescent="0.25">
      <c r="A2718" s="2" t="s">
        <v>3075</v>
      </c>
      <c r="B2718" s="7">
        <v>38543473</v>
      </c>
      <c r="C2718" s="7">
        <v>40000000</v>
      </c>
      <c r="D2718" s="7">
        <f t="shared" si="43"/>
        <v>-1456527</v>
      </c>
    </row>
    <row r="2719" spans="1:4" ht="18" customHeight="1" x14ac:dyDescent="0.25">
      <c r="A2719" s="2" t="s">
        <v>6169</v>
      </c>
      <c r="B2719" s="7">
        <v>247740</v>
      </c>
      <c r="C2719" s="7">
        <v>39751583.5</v>
      </c>
      <c r="D2719" s="7">
        <f t="shared" si="43"/>
        <v>-39503843.5</v>
      </c>
    </row>
    <row r="2720" spans="1:4" ht="18" customHeight="1" x14ac:dyDescent="0.25">
      <c r="A2720" s="2" t="s">
        <v>3773</v>
      </c>
      <c r="B2720" s="7">
        <v>24741700</v>
      </c>
      <c r="C2720" s="7">
        <v>1200000</v>
      </c>
      <c r="D2720" s="7">
        <f t="shared" si="43"/>
        <v>23541700</v>
      </c>
    </row>
    <row r="2721" spans="1:4" ht="18" customHeight="1" x14ac:dyDescent="0.25">
      <c r="A2721" s="2" t="s">
        <v>4971</v>
      </c>
      <c r="B2721" s="7">
        <v>6940281</v>
      </c>
      <c r="C2721" s="7">
        <v>39751583.5</v>
      </c>
      <c r="D2721" s="7">
        <f t="shared" si="43"/>
        <v>-32811302.5</v>
      </c>
    </row>
    <row r="2722" spans="1:4" ht="18" customHeight="1" x14ac:dyDescent="0.25">
      <c r="A2722" s="2" t="s">
        <v>3477</v>
      </c>
      <c r="B2722" s="7">
        <v>30400000</v>
      </c>
      <c r="C2722" s="7">
        <v>39000000</v>
      </c>
      <c r="D2722" s="7">
        <f t="shared" si="43"/>
        <v>-8600000</v>
      </c>
    </row>
    <row r="2723" spans="1:4" ht="18" customHeight="1" x14ac:dyDescent="0.25">
      <c r="A2723" s="2" t="s">
        <v>6658</v>
      </c>
      <c r="B2723" s="7">
        <v>10696</v>
      </c>
      <c r="C2723" s="7">
        <v>6800000</v>
      </c>
      <c r="D2723" s="7">
        <f t="shared" si="43"/>
        <v>-6789304</v>
      </c>
    </row>
    <row r="2724" spans="1:4" ht="18" customHeight="1" x14ac:dyDescent="0.25">
      <c r="A2724" s="2" t="s">
        <v>5594</v>
      </c>
      <c r="B2724" s="7">
        <v>2154540</v>
      </c>
      <c r="C2724" s="7">
        <v>45000000</v>
      </c>
      <c r="D2724" s="7">
        <f t="shared" si="43"/>
        <v>-42845460</v>
      </c>
    </row>
    <row r="2725" spans="1:4" ht="18" customHeight="1" x14ac:dyDescent="0.25">
      <c r="A2725" s="2" t="s">
        <v>4845</v>
      </c>
      <c r="B2725" s="7">
        <v>8279017</v>
      </c>
      <c r="C2725" s="7">
        <v>8000000</v>
      </c>
      <c r="D2725" s="7">
        <f t="shared" si="43"/>
        <v>279017</v>
      </c>
    </row>
    <row r="2726" spans="1:4" ht="18" customHeight="1" x14ac:dyDescent="0.25">
      <c r="A2726" s="2" t="s">
        <v>3697</v>
      </c>
      <c r="B2726" s="7">
        <v>25842000</v>
      </c>
      <c r="C2726" s="7">
        <v>22000000</v>
      </c>
      <c r="D2726" s="7">
        <f t="shared" si="43"/>
        <v>3842000</v>
      </c>
    </row>
    <row r="2727" spans="1:4" ht="18" customHeight="1" x14ac:dyDescent="0.25">
      <c r="A2727" s="2" t="s">
        <v>617</v>
      </c>
      <c r="B2727" s="7">
        <v>70327868</v>
      </c>
      <c r="C2727" s="7">
        <v>46000000</v>
      </c>
      <c r="D2727" s="7">
        <f t="shared" si="43"/>
        <v>24327868</v>
      </c>
    </row>
    <row r="2728" spans="1:4" ht="18" customHeight="1" x14ac:dyDescent="0.25">
      <c r="A2728" s="2" t="s">
        <v>178</v>
      </c>
      <c r="B2728" s="7">
        <v>100241322</v>
      </c>
      <c r="C2728" s="7">
        <v>25000000</v>
      </c>
      <c r="D2728" s="7">
        <f t="shared" si="43"/>
        <v>75241322</v>
      </c>
    </row>
    <row r="2729" spans="1:4" ht="18" customHeight="1" x14ac:dyDescent="0.25">
      <c r="A2729" s="2" t="s">
        <v>2360</v>
      </c>
      <c r="B2729" s="7">
        <v>48334413</v>
      </c>
      <c r="C2729" s="7">
        <v>1455000</v>
      </c>
      <c r="D2729" s="7">
        <f t="shared" si="43"/>
        <v>46879413</v>
      </c>
    </row>
    <row r="2730" spans="1:4" ht="18" customHeight="1" x14ac:dyDescent="0.25">
      <c r="A2730" s="2" t="s">
        <v>884</v>
      </c>
      <c r="B2730" s="7">
        <v>57887882</v>
      </c>
      <c r="C2730" s="7">
        <v>50000000</v>
      </c>
      <c r="D2730" s="7">
        <f t="shared" si="43"/>
        <v>7887882</v>
      </c>
    </row>
    <row r="2731" spans="1:4" ht="18" customHeight="1" x14ac:dyDescent="0.25">
      <c r="A2731" s="2" t="s">
        <v>607</v>
      </c>
      <c r="B2731" s="7">
        <v>70836296</v>
      </c>
      <c r="C2731" s="7">
        <v>40000000</v>
      </c>
      <c r="D2731" s="7">
        <f t="shared" si="43"/>
        <v>30836296</v>
      </c>
    </row>
    <row r="2732" spans="1:4" ht="18" customHeight="1" x14ac:dyDescent="0.25">
      <c r="A2732" s="2" t="s">
        <v>5324</v>
      </c>
      <c r="B2732" s="7">
        <v>4000304</v>
      </c>
      <c r="C2732" s="7">
        <v>6500000</v>
      </c>
      <c r="D2732" s="7">
        <f t="shared" si="43"/>
        <v>-2499696</v>
      </c>
    </row>
    <row r="2733" spans="1:4" ht="18" customHeight="1" x14ac:dyDescent="0.25">
      <c r="A2733" s="2" t="s">
        <v>6662</v>
      </c>
      <c r="B2733" s="7">
        <v>10443</v>
      </c>
      <c r="C2733" s="7">
        <v>39751583.5</v>
      </c>
      <c r="D2733" s="7">
        <f t="shared" si="43"/>
        <v>-39741140.5</v>
      </c>
    </row>
    <row r="2734" spans="1:4" ht="18" customHeight="1" x14ac:dyDescent="0.25">
      <c r="A2734" s="2" t="s">
        <v>814</v>
      </c>
      <c r="B2734" s="7">
        <v>60470220</v>
      </c>
      <c r="C2734" s="7">
        <v>50000000</v>
      </c>
      <c r="D2734" s="7">
        <f t="shared" si="43"/>
        <v>10470220</v>
      </c>
    </row>
    <row r="2735" spans="1:4" ht="18" customHeight="1" x14ac:dyDescent="0.25">
      <c r="A2735" s="2" t="s">
        <v>906</v>
      </c>
      <c r="B2735" s="7">
        <v>56932305</v>
      </c>
      <c r="C2735" s="7">
        <v>55000000</v>
      </c>
      <c r="D2735" s="7">
        <f t="shared" si="43"/>
        <v>1932305</v>
      </c>
    </row>
    <row r="2736" spans="1:4" ht="18" customHeight="1" x14ac:dyDescent="0.25">
      <c r="A2736" s="2" t="s">
        <v>5559</v>
      </c>
      <c r="B2736" s="7">
        <v>2315683</v>
      </c>
      <c r="C2736" s="7">
        <v>17000000</v>
      </c>
      <c r="D2736" s="7">
        <f t="shared" si="43"/>
        <v>-14684317</v>
      </c>
    </row>
    <row r="2737" spans="1:4" ht="18" customHeight="1" x14ac:dyDescent="0.25">
      <c r="A2737" s="2" t="s">
        <v>6010</v>
      </c>
      <c r="B2737" s="7">
        <v>488872</v>
      </c>
      <c r="C2737" s="7">
        <v>10000000</v>
      </c>
      <c r="D2737" s="7">
        <f t="shared" si="43"/>
        <v>-9511128</v>
      </c>
    </row>
    <row r="2738" spans="1:4" ht="18" customHeight="1" x14ac:dyDescent="0.25">
      <c r="A2738" s="2" t="s">
        <v>2289</v>
      </c>
      <c r="B2738" s="7">
        <v>48334413</v>
      </c>
      <c r="C2738" s="7">
        <v>2000000</v>
      </c>
      <c r="D2738" s="7">
        <f t="shared" si="43"/>
        <v>46334413</v>
      </c>
    </row>
    <row r="2739" spans="1:4" ht="18" customHeight="1" x14ac:dyDescent="0.25">
      <c r="A2739" s="2" t="s">
        <v>4075</v>
      </c>
      <c r="B2739" s="7">
        <v>18860403</v>
      </c>
      <c r="C2739" s="7">
        <v>25000000</v>
      </c>
      <c r="D2739" s="7">
        <f t="shared" si="43"/>
        <v>-6139597</v>
      </c>
    </row>
    <row r="2740" spans="1:4" ht="18" customHeight="1" x14ac:dyDescent="0.25">
      <c r="A2740" s="2" t="s">
        <v>2415</v>
      </c>
      <c r="B2740" s="7">
        <v>48334413</v>
      </c>
      <c r="C2740" s="7">
        <v>1000000</v>
      </c>
      <c r="D2740" s="7">
        <f t="shared" si="43"/>
        <v>47334413</v>
      </c>
    </row>
    <row r="2741" spans="1:4" ht="18" customHeight="1" x14ac:dyDescent="0.25">
      <c r="A2741" s="2" t="s">
        <v>2247</v>
      </c>
      <c r="B2741" s="7">
        <v>48334413</v>
      </c>
      <c r="C2741" s="7">
        <v>2100000</v>
      </c>
      <c r="D2741" s="7">
        <f t="shared" si="43"/>
        <v>46234413</v>
      </c>
    </row>
    <row r="2742" spans="1:4" ht="18" customHeight="1" x14ac:dyDescent="0.25">
      <c r="A2742" s="2" t="s">
        <v>5584</v>
      </c>
      <c r="B2742" s="7">
        <v>2207975</v>
      </c>
      <c r="C2742" s="7">
        <v>6000000</v>
      </c>
      <c r="D2742" s="7">
        <f t="shared" si="43"/>
        <v>-3792025</v>
      </c>
    </row>
    <row r="2743" spans="1:4" ht="18" customHeight="1" x14ac:dyDescent="0.25">
      <c r="A2743" s="2" t="s">
        <v>1679</v>
      </c>
      <c r="B2743" s="7">
        <v>48334413</v>
      </c>
      <c r="C2743" s="7">
        <v>20000000</v>
      </c>
      <c r="D2743" s="7">
        <f t="shared" si="43"/>
        <v>28334413</v>
      </c>
    </row>
    <row r="2744" spans="1:4" ht="18" customHeight="1" x14ac:dyDescent="0.25">
      <c r="A2744" s="2" t="s">
        <v>4475</v>
      </c>
      <c r="B2744" s="7">
        <v>13464388</v>
      </c>
      <c r="C2744" s="7">
        <v>4000000</v>
      </c>
      <c r="D2744" s="7">
        <f t="shared" si="43"/>
        <v>9464388</v>
      </c>
    </row>
    <row r="2745" spans="1:4" ht="18" customHeight="1" x14ac:dyDescent="0.25">
      <c r="A2745" s="2" t="s">
        <v>1284</v>
      </c>
      <c r="B2745" s="7">
        <v>48334413</v>
      </c>
      <c r="C2745" s="7">
        <v>39751583.5</v>
      </c>
      <c r="D2745" s="7">
        <f t="shared" si="43"/>
        <v>8582829.5</v>
      </c>
    </row>
    <row r="2746" spans="1:4" ht="18" customHeight="1" x14ac:dyDescent="0.25">
      <c r="A2746" s="2" t="s">
        <v>2629</v>
      </c>
      <c r="B2746" s="7">
        <v>48334413</v>
      </c>
      <c r="C2746" s="7">
        <v>200000</v>
      </c>
      <c r="D2746" s="7">
        <f t="shared" si="43"/>
        <v>48134413</v>
      </c>
    </row>
    <row r="2747" spans="1:4" ht="18" customHeight="1" x14ac:dyDescent="0.25">
      <c r="A2747" s="2" t="s">
        <v>2325</v>
      </c>
      <c r="B2747" s="7">
        <v>48334413</v>
      </c>
      <c r="C2747" s="7">
        <v>1600000</v>
      </c>
      <c r="D2747" s="7">
        <f t="shared" si="43"/>
        <v>46734413</v>
      </c>
    </row>
    <row r="2748" spans="1:4" ht="18" customHeight="1" x14ac:dyDescent="0.25">
      <c r="A2748" s="2" t="s">
        <v>1638</v>
      </c>
      <c r="B2748" s="7">
        <v>48334413</v>
      </c>
      <c r="C2748" s="7">
        <v>25000000</v>
      </c>
      <c r="D2748" s="7">
        <f t="shared" si="43"/>
        <v>23334413</v>
      </c>
    </row>
    <row r="2749" spans="1:4" ht="18" customHeight="1" x14ac:dyDescent="0.25">
      <c r="A2749" s="2" t="s">
        <v>6230</v>
      </c>
      <c r="B2749" s="7">
        <v>198407</v>
      </c>
      <c r="C2749" s="7">
        <v>2000000</v>
      </c>
      <c r="D2749" s="7">
        <f t="shared" si="43"/>
        <v>-1801593</v>
      </c>
    </row>
    <row r="2750" spans="1:4" ht="18" customHeight="1" x14ac:dyDescent="0.25">
      <c r="A2750" s="2" t="s">
        <v>762</v>
      </c>
      <c r="B2750" s="7">
        <v>63319509</v>
      </c>
      <c r="C2750" s="7">
        <v>10000000</v>
      </c>
      <c r="D2750" s="7">
        <f t="shared" si="43"/>
        <v>53319509</v>
      </c>
    </row>
    <row r="2751" spans="1:4" ht="18" customHeight="1" x14ac:dyDescent="0.25">
      <c r="A2751" s="2" t="s">
        <v>4948</v>
      </c>
      <c r="B2751" s="7">
        <v>7137502</v>
      </c>
      <c r="C2751" s="7">
        <v>175000</v>
      </c>
      <c r="D2751" s="7">
        <f t="shared" si="43"/>
        <v>6962502</v>
      </c>
    </row>
    <row r="2752" spans="1:4" ht="18" customHeight="1" x14ac:dyDescent="0.25">
      <c r="A2752" s="2" t="s">
        <v>3427</v>
      </c>
      <c r="B2752" s="7">
        <v>31584722</v>
      </c>
      <c r="C2752" s="7">
        <v>20000000</v>
      </c>
      <c r="D2752" s="7">
        <f t="shared" si="43"/>
        <v>11584722</v>
      </c>
    </row>
    <row r="2753" spans="1:4" ht="18" customHeight="1" x14ac:dyDescent="0.25">
      <c r="A2753" s="2" t="s">
        <v>3304</v>
      </c>
      <c r="B2753" s="7">
        <v>33687630</v>
      </c>
      <c r="C2753" s="7">
        <v>20000000</v>
      </c>
      <c r="D2753" s="7">
        <f t="shared" si="43"/>
        <v>13687630</v>
      </c>
    </row>
    <row r="2754" spans="1:4" ht="18" customHeight="1" x14ac:dyDescent="0.25">
      <c r="A2754" s="2" t="s">
        <v>4774</v>
      </c>
      <c r="B2754" s="7">
        <v>9449219</v>
      </c>
      <c r="C2754" s="7">
        <v>3500000</v>
      </c>
      <c r="D2754" s="7">
        <f t="shared" si="43"/>
        <v>5949219</v>
      </c>
    </row>
    <row r="2755" spans="1:4" ht="18" customHeight="1" x14ac:dyDescent="0.25">
      <c r="A2755" s="2" t="s">
        <v>5149</v>
      </c>
      <c r="B2755" s="7">
        <v>5355376</v>
      </c>
      <c r="C2755" s="7">
        <v>39751583.5</v>
      </c>
      <c r="D2755" s="7">
        <f t="shared" si="43"/>
        <v>-34396207.5</v>
      </c>
    </row>
    <row r="2756" spans="1:4" ht="18" customHeight="1" x14ac:dyDescent="0.25">
      <c r="A2756" s="2" t="s">
        <v>3212</v>
      </c>
      <c r="B2756" s="7">
        <v>35811509</v>
      </c>
      <c r="C2756" s="7">
        <v>5500000</v>
      </c>
      <c r="D2756" s="7">
        <f t="shared" si="43"/>
        <v>30311509</v>
      </c>
    </row>
    <row r="2757" spans="1:4" ht="18" customHeight="1" x14ac:dyDescent="0.25">
      <c r="A2757" s="2" t="s">
        <v>1742</v>
      </c>
      <c r="B2757" s="7">
        <v>48334413</v>
      </c>
      <c r="C2757" s="7">
        <v>15000000</v>
      </c>
      <c r="D2757" s="7">
        <f t="shared" ref="D2757:D2820" si="44">B2757-C2757</f>
        <v>33334413</v>
      </c>
    </row>
    <row r="2758" spans="1:4" ht="18" customHeight="1" x14ac:dyDescent="0.25">
      <c r="A2758" s="2" t="s">
        <v>1212</v>
      </c>
      <c r="B2758" s="7">
        <v>48334413</v>
      </c>
      <c r="C2758" s="7">
        <v>60000000</v>
      </c>
      <c r="D2758" s="7">
        <f t="shared" si="44"/>
        <v>-11665587</v>
      </c>
    </row>
    <row r="2759" spans="1:4" ht="18" customHeight="1" x14ac:dyDescent="0.25">
      <c r="A2759" s="2" t="s">
        <v>5841</v>
      </c>
      <c r="B2759" s="7">
        <v>906666</v>
      </c>
      <c r="C2759" s="7">
        <v>500000</v>
      </c>
      <c r="D2759" s="7">
        <f t="shared" si="44"/>
        <v>406666</v>
      </c>
    </row>
    <row r="2760" spans="1:4" ht="18" customHeight="1" x14ac:dyDescent="0.25">
      <c r="A2760" s="2" t="s">
        <v>2793</v>
      </c>
      <c r="B2760" s="7">
        <v>46975183</v>
      </c>
      <c r="C2760" s="7">
        <v>61000000</v>
      </c>
      <c r="D2760" s="7">
        <f t="shared" si="44"/>
        <v>-14024817</v>
      </c>
    </row>
    <row r="2761" spans="1:4" ht="18" customHeight="1" x14ac:dyDescent="0.25">
      <c r="A2761" s="2" t="s">
        <v>6136</v>
      </c>
      <c r="B2761" s="7">
        <v>302204</v>
      </c>
      <c r="C2761" s="7">
        <v>3000000</v>
      </c>
      <c r="D2761" s="7">
        <f t="shared" si="44"/>
        <v>-2697796</v>
      </c>
    </row>
    <row r="2762" spans="1:4" ht="18" customHeight="1" x14ac:dyDescent="0.25">
      <c r="A2762" s="2" t="s">
        <v>2623</v>
      </c>
      <c r="B2762" s="7">
        <v>48334413</v>
      </c>
      <c r="C2762" s="7">
        <v>250000</v>
      </c>
      <c r="D2762" s="7">
        <f t="shared" si="44"/>
        <v>48084413</v>
      </c>
    </row>
    <row r="2763" spans="1:4" ht="18" customHeight="1" x14ac:dyDescent="0.25">
      <c r="A2763" s="2" t="s">
        <v>4714</v>
      </c>
      <c r="B2763" s="7">
        <v>10281585</v>
      </c>
      <c r="C2763" s="7">
        <v>39751583.5</v>
      </c>
      <c r="D2763" s="7">
        <f t="shared" si="44"/>
        <v>-29469998.5</v>
      </c>
    </row>
    <row r="2764" spans="1:4" ht="18" customHeight="1" x14ac:dyDescent="0.25">
      <c r="A2764" s="2" t="s">
        <v>6075</v>
      </c>
      <c r="B2764" s="7">
        <v>381225</v>
      </c>
      <c r="C2764" s="7">
        <v>200000</v>
      </c>
      <c r="D2764" s="7">
        <f t="shared" si="44"/>
        <v>181225</v>
      </c>
    </row>
    <row r="2765" spans="1:4" ht="18" customHeight="1" x14ac:dyDescent="0.25">
      <c r="A2765" s="2" t="s">
        <v>5627</v>
      </c>
      <c r="B2765" s="7">
        <v>1984378</v>
      </c>
      <c r="C2765" s="7">
        <v>2000000</v>
      </c>
      <c r="D2765" s="7">
        <f t="shared" si="44"/>
        <v>-15622</v>
      </c>
    </row>
    <row r="2766" spans="1:4" ht="18" customHeight="1" x14ac:dyDescent="0.25">
      <c r="A2766" s="2" t="s">
        <v>3959</v>
      </c>
      <c r="B2766" s="7">
        <v>20916309</v>
      </c>
      <c r="C2766" s="7">
        <v>40000000</v>
      </c>
      <c r="D2766" s="7">
        <f t="shared" si="44"/>
        <v>-19083691</v>
      </c>
    </row>
    <row r="2767" spans="1:4" ht="18" customHeight="1" x14ac:dyDescent="0.25">
      <c r="A2767" s="2" t="s">
        <v>6509</v>
      </c>
      <c r="B2767" s="7">
        <v>45661</v>
      </c>
      <c r="C2767" s="7">
        <v>39751583.5</v>
      </c>
      <c r="D2767" s="7">
        <f t="shared" si="44"/>
        <v>-39705922.5</v>
      </c>
    </row>
    <row r="2768" spans="1:4" ht="18" customHeight="1" x14ac:dyDescent="0.25">
      <c r="A2768" s="2" t="s">
        <v>2016</v>
      </c>
      <c r="B2768" s="7">
        <v>48334413</v>
      </c>
      <c r="C2768" s="7">
        <v>5000000</v>
      </c>
      <c r="D2768" s="7">
        <f t="shared" si="44"/>
        <v>43334413</v>
      </c>
    </row>
    <row r="2769" spans="1:4" ht="18" customHeight="1" x14ac:dyDescent="0.25">
      <c r="A2769" s="2" t="s">
        <v>2237</v>
      </c>
      <c r="B2769" s="7">
        <v>48334413</v>
      </c>
      <c r="C2769" s="7">
        <v>2295429</v>
      </c>
      <c r="D2769" s="7">
        <f t="shared" si="44"/>
        <v>46038984</v>
      </c>
    </row>
    <row r="2770" spans="1:4" ht="18" customHeight="1" x14ac:dyDescent="0.25">
      <c r="A2770" s="2" t="s">
        <v>2488</v>
      </c>
      <c r="B2770" s="7">
        <v>48334413</v>
      </c>
      <c r="C2770" s="7">
        <v>900000</v>
      </c>
      <c r="D2770" s="7">
        <f t="shared" si="44"/>
        <v>47434413</v>
      </c>
    </row>
    <row r="2771" spans="1:4" ht="18" customHeight="1" x14ac:dyDescent="0.25">
      <c r="A2771" s="2" t="s">
        <v>5570</v>
      </c>
      <c r="B2771" s="7">
        <v>2275557</v>
      </c>
      <c r="C2771" s="7">
        <v>8000000</v>
      </c>
      <c r="D2771" s="7">
        <f t="shared" si="44"/>
        <v>-5724443</v>
      </c>
    </row>
    <row r="2772" spans="1:4" ht="18" customHeight="1" x14ac:dyDescent="0.25">
      <c r="A2772" s="2" t="s">
        <v>3994</v>
      </c>
      <c r="B2772" s="7">
        <v>20302961</v>
      </c>
      <c r="C2772" s="7">
        <v>45000000</v>
      </c>
      <c r="D2772" s="7">
        <f t="shared" si="44"/>
        <v>-24697039</v>
      </c>
    </row>
    <row r="2773" spans="1:4" ht="18" customHeight="1" x14ac:dyDescent="0.25">
      <c r="A2773" s="2" t="s">
        <v>3690</v>
      </c>
      <c r="B2773" s="7">
        <v>25926543</v>
      </c>
      <c r="C2773" s="7">
        <v>8000000</v>
      </c>
      <c r="D2773" s="7">
        <f t="shared" si="44"/>
        <v>17926543</v>
      </c>
    </row>
    <row r="2774" spans="1:4" ht="18" customHeight="1" x14ac:dyDescent="0.25">
      <c r="A2774" s="2" t="s">
        <v>2794</v>
      </c>
      <c r="B2774" s="7">
        <v>46875468</v>
      </c>
      <c r="C2774" s="7">
        <v>30000000</v>
      </c>
      <c r="D2774" s="7">
        <f t="shared" si="44"/>
        <v>16875468</v>
      </c>
    </row>
    <row r="2775" spans="1:4" ht="18" customHeight="1" x14ac:dyDescent="0.25">
      <c r="A2775" s="2" t="s">
        <v>3777</v>
      </c>
      <c r="B2775" s="7">
        <v>24530513</v>
      </c>
      <c r="C2775" s="7">
        <v>9000000</v>
      </c>
      <c r="D2775" s="7">
        <f t="shared" si="44"/>
        <v>15530513</v>
      </c>
    </row>
    <row r="2776" spans="1:4" ht="18" customHeight="1" x14ac:dyDescent="0.25">
      <c r="A2776" s="2" t="s">
        <v>3387</v>
      </c>
      <c r="B2776" s="7">
        <v>64308820</v>
      </c>
      <c r="C2776" s="7">
        <v>60000000</v>
      </c>
      <c r="D2776" s="7">
        <f t="shared" si="44"/>
        <v>4308820</v>
      </c>
    </row>
    <row r="2777" spans="1:4" ht="18" customHeight="1" x14ac:dyDescent="0.25">
      <c r="A2777" s="2" t="s">
        <v>590</v>
      </c>
      <c r="B2777" s="7">
        <v>71502303</v>
      </c>
      <c r="C2777" s="7">
        <v>12000000</v>
      </c>
      <c r="D2777" s="7">
        <f t="shared" si="44"/>
        <v>59502303</v>
      </c>
    </row>
    <row r="2778" spans="1:4" ht="18" customHeight="1" x14ac:dyDescent="0.25">
      <c r="A2778" s="2" t="s">
        <v>1584</v>
      </c>
      <c r="B2778" s="7">
        <v>48334413</v>
      </c>
      <c r="C2778" s="7">
        <v>39751583.5</v>
      </c>
      <c r="D2778" s="7">
        <f t="shared" si="44"/>
        <v>8582829.5</v>
      </c>
    </row>
    <row r="2779" spans="1:4" ht="18" customHeight="1" x14ac:dyDescent="0.25">
      <c r="A2779" s="2" t="s">
        <v>4158</v>
      </c>
      <c r="B2779" s="7">
        <v>17529157</v>
      </c>
      <c r="C2779" s="7">
        <v>20000000</v>
      </c>
      <c r="D2779" s="7">
        <f t="shared" si="44"/>
        <v>-2470843</v>
      </c>
    </row>
    <row r="2780" spans="1:4" ht="18" customHeight="1" x14ac:dyDescent="0.25">
      <c r="A2780" s="2" t="s">
        <v>2792</v>
      </c>
      <c r="B2780" s="7">
        <v>46982632</v>
      </c>
      <c r="C2780" s="7">
        <v>50000000</v>
      </c>
      <c r="D2780" s="7">
        <f t="shared" si="44"/>
        <v>-3017368</v>
      </c>
    </row>
    <row r="2781" spans="1:4" ht="18" customHeight="1" x14ac:dyDescent="0.25">
      <c r="A2781" s="2" t="s">
        <v>4556</v>
      </c>
      <c r="B2781" s="7">
        <v>12555230</v>
      </c>
      <c r="C2781" s="7">
        <v>2000000</v>
      </c>
      <c r="D2781" s="7">
        <f t="shared" si="44"/>
        <v>10555230</v>
      </c>
    </row>
    <row r="2782" spans="1:4" ht="18" customHeight="1" x14ac:dyDescent="0.25">
      <c r="A2782" s="2" t="s">
        <v>2051</v>
      </c>
      <c r="B2782" s="7">
        <v>48334413</v>
      </c>
      <c r="C2782" s="7">
        <v>4400000</v>
      </c>
      <c r="D2782" s="7">
        <f t="shared" si="44"/>
        <v>43934413</v>
      </c>
    </row>
    <row r="2783" spans="1:4" ht="18" customHeight="1" x14ac:dyDescent="0.25">
      <c r="A2783" s="2" t="s">
        <v>2419</v>
      </c>
      <c r="B2783" s="7">
        <v>48334413</v>
      </c>
      <c r="C2783" s="7">
        <v>1000000</v>
      </c>
      <c r="D2783" s="7">
        <f t="shared" si="44"/>
        <v>47334413</v>
      </c>
    </row>
    <row r="2784" spans="1:4" ht="18" customHeight="1" x14ac:dyDescent="0.25">
      <c r="A2784" s="2" t="s">
        <v>1872</v>
      </c>
      <c r="B2784" s="7">
        <v>48334413</v>
      </c>
      <c r="C2784" s="7">
        <v>9000000</v>
      </c>
      <c r="D2784" s="7">
        <f t="shared" si="44"/>
        <v>39334413</v>
      </c>
    </row>
    <row r="2785" spans="1:4" ht="18" customHeight="1" x14ac:dyDescent="0.25">
      <c r="A2785" s="2" t="s">
        <v>1903</v>
      </c>
      <c r="B2785" s="7">
        <v>48334413</v>
      </c>
      <c r="C2785" s="7">
        <v>8000000</v>
      </c>
      <c r="D2785" s="7">
        <f t="shared" si="44"/>
        <v>40334413</v>
      </c>
    </row>
    <row r="2786" spans="1:4" ht="18" customHeight="1" x14ac:dyDescent="0.25">
      <c r="A2786" s="2" t="s">
        <v>1749</v>
      </c>
      <c r="B2786" s="7">
        <v>48334413</v>
      </c>
      <c r="C2786" s="7">
        <v>15000000</v>
      </c>
      <c r="D2786" s="7">
        <f t="shared" si="44"/>
        <v>33334413</v>
      </c>
    </row>
    <row r="2787" spans="1:4" ht="18" customHeight="1" x14ac:dyDescent="0.25">
      <c r="A2787" s="2" t="s">
        <v>3339</v>
      </c>
      <c r="B2787" s="7">
        <v>33200000</v>
      </c>
      <c r="C2787" s="7">
        <v>26000000</v>
      </c>
      <c r="D2787" s="7">
        <f t="shared" si="44"/>
        <v>7200000</v>
      </c>
    </row>
    <row r="2788" spans="1:4" ht="18" customHeight="1" x14ac:dyDescent="0.25">
      <c r="A2788" s="2" t="s">
        <v>4117</v>
      </c>
      <c r="B2788" s="7">
        <v>18252684</v>
      </c>
      <c r="C2788" s="7">
        <v>30000000</v>
      </c>
      <c r="D2788" s="7">
        <f t="shared" si="44"/>
        <v>-11747316</v>
      </c>
    </row>
    <row r="2789" spans="1:4" ht="18" customHeight="1" x14ac:dyDescent="0.25">
      <c r="A2789" s="2" t="s">
        <v>5257</v>
      </c>
      <c r="B2789" s="7">
        <v>4394936</v>
      </c>
      <c r="C2789" s="7">
        <v>6000000</v>
      </c>
      <c r="D2789" s="7">
        <f t="shared" si="44"/>
        <v>-1605064</v>
      </c>
    </row>
    <row r="2790" spans="1:4" ht="18" customHeight="1" x14ac:dyDescent="0.25">
      <c r="A2790" s="2" t="s">
        <v>4454</v>
      </c>
      <c r="B2790" s="7">
        <v>13750556</v>
      </c>
      <c r="C2790" s="7">
        <v>65000000</v>
      </c>
      <c r="D2790" s="7">
        <f t="shared" si="44"/>
        <v>-51249444</v>
      </c>
    </row>
    <row r="2791" spans="1:4" ht="18" customHeight="1" x14ac:dyDescent="0.25">
      <c r="A2791" s="2" t="s">
        <v>546</v>
      </c>
      <c r="B2791" s="7">
        <v>74098862</v>
      </c>
      <c r="C2791" s="7">
        <v>40000000</v>
      </c>
      <c r="D2791" s="7">
        <f t="shared" si="44"/>
        <v>34098862</v>
      </c>
    </row>
    <row r="2792" spans="1:4" ht="18" customHeight="1" x14ac:dyDescent="0.25">
      <c r="A2792" s="2" t="s">
        <v>3669</v>
      </c>
      <c r="B2792" s="7">
        <v>26288320</v>
      </c>
      <c r="C2792" s="7">
        <v>60000000</v>
      </c>
      <c r="D2792" s="7">
        <f t="shared" si="44"/>
        <v>-33711680</v>
      </c>
    </row>
    <row r="2793" spans="1:4" ht="18" customHeight="1" x14ac:dyDescent="0.25">
      <c r="A2793" s="2" t="s">
        <v>2206</v>
      </c>
      <c r="B2793" s="7">
        <v>48334413</v>
      </c>
      <c r="C2793" s="7">
        <v>2540800</v>
      </c>
      <c r="D2793" s="7">
        <f t="shared" si="44"/>
        <v>45793613</v>
      </c>
    </row>
    <row r="2794" spans="1:4" ht="18" customHeight="1" x14ac:dyDescent="0.25">
      <c r="A2794" s="2" t="s">
        <v>3597</v>
      </c>
      <c r="B2794" s="7">
        <v>27736779</v>
      </c>
      <c r="C2794" s="7">
        <v>10000000</v>
      </c>
      <c r="D2794" s="7">
        <f t="shared" si="44"/>
        <v>17736779</v>
      </c>
    </row>
    <row r="2795" spans="1:4" ht="18" customHeight="1" x14ac:dyDescent="0.25">
      <c r="A2795" s="2" t="s">
        <v>2753</v>
      </c>
      <c r="B2795" s="7">
        <v>48056940</v>
      </c>
      <c r="C2795" s="7">
        <v>3000000</v>
      </c>
      <c r="D2795" s="7">
        <f t="shared" si="44"/>
        <v>45056940</v>
      </c>
    </row>
    <row r="2796" spans="1:4" ht="18" customHeight="1" x14ac:dyDescent="0.25">
      <c r="A2796" s="2" t="s">
        <v>6540</v>
      </c>
      <c r="B2796" s="7">
        <v>32631</v>
      </c>
      <c r="C2796" s="7">
        <v>39751583.5</v>
      </c>
      <c r="D2796" s="7">
        <f t="shared" si="44"/>
        <v>-39718952.5</v>
      </c>
    </row>
    <row r="2797" spans="1:4" ht="18" customHeight="1" x14ac:dyDescent="0.25">
      <c r="A2797" s="2" t="s">
        <v>541</v>
      </c>
      <c r="B2797" s="7">
        <v>74329966</v>
      </c>
      <c r="C2797" s="7">
        <v>70000000</v>
      </c>
      <c r="D2797" s="7">
        <f t="shared" si="44"/>
        <v>4329966</v>
      </c>
    </row>
    <row r="2798" spans="1:4" ht="18" customHeight="1" x14ac:dyDescent="0.25">
      <c r="A2798" s="2" t="s">
        <v>6331</v>
      </c>
      <c r="B2798" s="7">
        <v>124494</v>
      </c>
      <c r="C2798" s="7">
        <v>2000000</v>
      </c>
      <c r="D2798" s="7">
        <f t="shared" si="44"/>
        <v>-1875506</v>
      </c>
    </row>
    <row r="2799" spans="1:4" ht="18" customHeight="1" x14ac:dyDescent="0.25">
      <c r="A2799" s="2" t="s">
        <v>6745</v>
      </c>
      <c r="B2799" s="7">
        <v>162</v>
      </c>
      <c r="C2799" s="7">
        <v>9000000</v>
      </c>
      <c r="D2799" s="7">
        <f t="shared" si="44"/>
        <v>-8999838</v>
      </c>
    </row>
    <row r="2800" spans="1:4" ht="18" customHeight="1" x14ac:dyDescent="0.25">
      <c r="A2800" s="2" t="s">
        <v>3118</v>
      </c>
      <c r="B2800" s="7">
        <v>37760080</v>
      </c>
      <c r="C2800" s="7">
        <v>70000000</v>
      </c>
      <c r="D2800" s="7">
        <f t="shared" si="44"/>
        <v>-32239920</v>
      </c>
    </row>
    <row r="2801" spans="1:4" ht="18" customHeight="1" x14ac:dyDescent="0.25">
      <c r="A2801" s="2" t="s">
        <v>749</v>
      </c>
      <c r="B2801" s="7">
        <v>63939454</v>
      </c>
      <c r="C2801" s="7">
        <v>35000000</v>
      </c>
      <c r="D2801" s="7">
        <f t="shared" si="44"/>
        <v>28939454</v>
      </c>
    </row>
    <row r="2802" spans="1:4" ht="18" customHeight="1" x14ac:dyDescent="0.25">
      <c r="A2802" s="2" t="s">
        <v>3932</v>
      </c>
      <c r="B2802" s="7">
        <v>21371425</v>
      </c>
      <c r="C2802" s="7">
        <v>10000000</v>
      </c>
      <c r="D2802" s="7">
        <f t="shared" si="44"/>
        <v>11371425</v>
      </c>
    </row>
    <row r="2803" spans="1:4" ht="18" customHeight="1" x14ac:dyDescent="0.25">
      <c r="A2803" s="2" t="s">
        <v>2283</v>
      </c>
      <c r="B2803" s="7">
        <v>48334413</v>
      </c>
      <c r="C2803" s="7">
        <v>2000000</v>
      </c>
      <c r="D2803" s="7">
        <f t="shared" si="44"/>
        <v>46334413</v>
      </c>
    </row>
    <row r="2804" spans="1:4" ht="18" customHeight="1" x14ac:dyDescent="0.25">
      <c r="A2804" s="2" t="s">
        <v>5742</v>
      </c>
      <c r="B2804" s="7">
        <v>1227508</v>
      </c>
      <c r="C2804" s="7">
        <v>23000</v>
      </c>
      <c r="D2804" s="7">
        <f t="shared" si="44"/>
        <v>1204508</v>
      </c>
    </row>
    <row r="2805" spans="1:4" ht="18" customHeight="1" x14ac:dyDescent="0.25">
      <c r="A2805" s="2" t="s">
        <v>5208</v>
      </c>
      <c r="B2805" s="7">
        <v>4814244</v>
      </c>
      <c r="C2805" s="7">
        <v>11000000</v>
      </c>
      <c r="D2805" s="7">
        <f t="shared" si="44"/>
        <v>-6185756</v>
      </c>
    </row>
    <row r="2806" spans="1:4" ht="18" customHeight="1" x14ac:dyDescent="0.25">
      <c r="A2806" s="2" t="s">
        <v>5829</v>
      </c>
      <c r="B2806" s="7">
        <v>982214</v>
      </c>
      <c r="C2806" s="7">
        <v>1000000</v>
      </c>
      <c r="D2806" s="7">
        <f t="shared" si="44"/>
        <v>-17786</v>
      </c>
    </row>
    <row r="2807" spans="1:4" ht="18" customHeight="1" x14ac:dyDescent="0.25">
      <c r="A2807" s="2" t="s">
        <v>6437</v>
      </c>
      <c r="B2807" s="7">
        <v>75727</v>
      </c>
      <c r="C2807" s="7">
        <v>2500000</v>
      </c>
      <c r="D2807" s="7">
        <f t="shared" si="44"/>
        <v>-2424273</v>
      </c>
    </row>
    <row r="2808" spans="1:4" ht="18" customHeight="1" x14ac:dyDescent="0.25">
      <c r="A2808" s="2" t="s">
        <v>2006</v>
      </c>
      <c r="B2808" s="7">
        <v>48334413</v>
      </c>
      <c r="C2808" s="7">
        <v>5000000</v>
      </c>
      <c r="D2808" s="7">
        <f t="shared" si="44"/>
        <v>43334413</v>
      </c>
    </row>
    <row r="2809" spans="1:4" ht="18" customHeight="1" x14ac:dyDescent="0.25">
      <c r="A2809" s="2" t="s">
        <v>2253</v>
      </c>
      <c r="B2809" s="7">
        <v>48334413</v>
      </c>
      <c r="C2809" s="7">
        <v>2000000</v>
      </c>
      <c r="D2809" s="7">
        <f t="shared" si="44"/>
        <v>46334413</v>
      </c>
    </row>
    <row r="2810" spans="1:4" ht="18" customHeight="1" x14ac:dyDescent="0.25">
      <c r="A2810" s="2" t="s">
        <v>1030</v>
      </c>
      <c r="B2810" s="7">
        <v>53300852</v>
      </c>
      <c r="C2810" s="7">
        <v>44000000</v>
      </c>
      <c r="D2810" s="7">
        <f t="shared" si="44"/>
        <v>9300852</v>
      </c>
    </row>
    <row r="2811" spans="1:4" ht="18" customHeight="1" x14ac:dyDescent="0.25">
      <c r="A2811" s="2" t="s">
        <v>4860</v>
      </c>
      <c r="B2811" s="7">
        <v>8070311</v>
      </c>
      <c r="C2811" s="7">
        <v>10000000</v>
      </c>
      <c r="D2811" s="7">
        <f t="shared" si="44"/>
        <v>-1929689</v>
      </c>
    </row>
    <row r="2812" spans="1:4" ht="18" customHeight="1" x14ac:dyDescent="0.25">
      <c r="A2812" s="2" t="s">
        <v>1245</v>
      </c>
      <c r="B2812" s="7">
        <v>48334413</v>
      </c>
      <c r="C2812" s="7">
        <v>39751583.5</v>
      </c>
      <c r="D2812" s="7">
        <f t="shared" si="44"/>
        <v>8582829.5</v>
      </c>
    </row>
    <row r="2813" spans="1:4" ht="18" customHeight="1" x14ac:dyDescent="0.25">
      <c r="A2813" s="2" t="s">
        <v>4591</v>
      </c>
      <c r="B2813" s="7">
        <v>11883495</v>
      </c>
      <c r="C2813" s="7">
        <v>9000000</v>
      </c>
      <c r="D2813" s="7">
        <f t="shared" si="44"/>
        <v>2883495</v>
      </c>
    </row>
    <row r="2814" spans="1:4" ht="18" customHeight="1" x14ac:dyDescent="0.25">
      <c r="A2814" s="2" t="s">
        <v>3780</v>
      </c>
      <c r="B2814" s="7">
        <v>24475416</v>
      </c>
      <c r="C2814" s="7">
        <v>890000</v>
      </c>
      <c r="D2814" s="7">
        <f t="shared" si="44"/>
        <v>23585416</v>
      </c>
    </row>
    <row r="2815" spans="1:4" ht="18" customHeight="1" x14ac:dyDescent="0.25">
      <c r="A2815" s="2" t="s">
        <v>4893</v>
      </c>
      <c r="B2815" s="7">
        <v>7774730</v>
      </c>
      <c r="C2815" s="7">
        <v>15500000</v>
      </c>
      <c r="D2815" s="7">
        <f t="shared" si="44"/>
        <v>-7725270</v>
      </c>
    </row>
    <row r="2816" spans="1:4" ht="18" customHeight="1" x14ac:dyDescent="0.25">
      <c r="A2816" s="2" t="s">
        <v>5764</v>
      </c>
      <c r="B2816" s="7">
        <v>1181197</v>
      </c>
      <c r="C2816" s="7">
        <v>15500000</v>
      </c>
      <c r="D2816" s="7">
        <f t="shared" si="44"/>
        <v>-14318803</v>
      </c>
    </row>
    <row r="2817" spans="1:4" ht="18" customHeight="1" x14ac:dyDescent="0.25">
      <c r="A2817" s="2" t="s">
        <v>6195</v>
      </c>
      <c r="B2817" s="7">
        <v>229094</v>
      </c>
      <c r="C2817" s="7">
        <v>39751583.5</v>
      </c>
      <c r="D2817" s="7">
        <f t="shared" si="44"/>
        <v>-39522489.5</v>
      </c>
    </row>
    <row r="2818" spans="1:4" ht="18" customHeight="1" x14ac:dyDescent="0.25">
      <c r="A2818" s="2" t="s">
        <v>5139</v>
      </c>
      <c r="B2818" s="7">
        <v>5480318</v>
      </c>
      <c r="C2818" s="7">
        <v>5000000</v>
      </c>
      <c r="D2818" s="7">
        <f t="shared" si="44"/>
        <v>480318</v>
      </c>
    </row>
    <row r="2819" spans="1:4" ht="18" customHeight="1" x14ac:dyDescent="0.25">
      <c r="A2819" s="2" t="s">
        <v>2277</v>
      </c>
      <c r="B2819" s="7">
        <v>48334413</v>
      </c>
      <c r="C2819" s="7">
        <v>2000000</v>
      </c>
      <c r="D2819" s="7">
        <f t="shared" si="44"/>
        <v>46334413</v>
      </c>
    </row>
    <row r="2820" spans="1:4" ht="18" customHeight="1" x14ac:dyDescent="0.25">
      <c r="A2820" s="2" t="s">
        <v>1015</v>
      </c>
      <c r="B2820" s="7">
        <v>53955614</v>
      </c>
      <c r="C2820" s="7">
        <v>40000000</v>
      </c>
      <c r="D2820" s="7">
        <f t="shared" si="44"/>
        <v>13955614</v>
      </c>
    </row>
    <row r="2821" spans="1:4" ht="18" customHeight="1" x14ac:dyDescent="0.25">
      <c r="A2821" s="2" t="s">
        <v>4195</v>
      </c>
      <c r="B2821" s="7">
        <v>17071230</v>
      </c>
      <c r="C2821" s="7">
        <v>18000000</v>
      </c>
      <c r="D2821" s="7">
        <f t="shared" ref="D2821:D2884" si="45">B2821-C2821</f>
        <v>-928770</v>
      </c>
    </row>
    <row r="2822" spans="1:4" ht="18" customHeight="1" x14ac:dyDescent="0.25">
      <c r="A2822" s="2" t="s">
        <v>6150</v>
      </c>
      <c r="B2822" s="7">
        <v>277233</v>
      </c>
      <c r="C2822" s="7">
        <v>40000</v>
      </c>
      <c r="D2822" s="7">
        <f t="shared" si="45"/>
        <v>237233</v>
      </c>
    </row>
    <row r="2823" spans="1:4" ht="18" customHeight="1" x14ac:dyDescent="0.25">
      <c r="A2823" s="2" t="s">
        <v>5579</v>
      </c>
      <c r="B2823" s="7">
        <v>2221994</v>
      </c>
      <c r="C2823" s="7">
        <v>35000000</v>
      </c>
      <c r="D2823" s="7">
        <f t="shared" si="45"/>
        <v>-32778006</v>
      </c>
    </row>
    <row r="2824" spans="1:4" ht="18" customHeight="1" x14ac:dyDescent="0.25">
      <c r="A2824" s="2" t="s">
        <v>4995</v>
      </c>
      <c r="B2824" s="7">
        <v>6719300</v>
      </c>
      <c r="C2824" s="7">
        <v>2000000</v>
      </c>
      <c r="D2824" s="7">
        <f t="shared" si="45"/>
        <v>4719300</v>
      </c>
    </row>
    <row r="2825" spans="1:4" ht="18" customHeight="1" x14ac:dyDescent="0.25">
      <c r="A2825" s="2" t="s">
        <v>3217</v>
      </c>
      <c r="B2825" s="7">
        <v>35635046</v>
      </c>
      <c r="C2825" s="7">
        <v>17000000</v>
      </c>
      <c r="D2825" s="7">
        <f t="shared" si="45"/>
        <v>18635046</v>
      </c>
    </row>
    <row r="2826" spans="1:4" ht="18" customHeight="1" x14ac:dyDescent="0.25">
      <c r="A2826" s="2" t="s">
        <v>962</v>
      </c>
      <c r="B2826" s="7">
        <v>55585389</v>
      </c>
      <c r="C2826" s="7">
        <v>69000000</v>
      </c>
      <c r="D2826" s="7">
        <f t="shared" si="45"/>
        <v>-13414611</v>
      </c>
    </row>
    <row r="2827" spans="1:4" ht="18" customHeight="1" x14ac:dyDescent="0.25">
      <c r="A2827" s="2" t="s">
        <v>3294</v>
      </c>
      <c r="B2827" s="7">
        <v>68028796</v>
      </c>
      <c r="C2827" s="7">
        <v>66000000</v>
      </c>
      <c r="D2827" s="7">
        <f t="shared" si="45"/>
        <v>2028796</v>
      </c>
    </row>
    <row r="2828" spans="1:4" ht="18" customHeight="1" x14ac:dyDescent="0.25">
      <c r="A2828" s="2" t="s">
        <v>3499</v>
      </c>
      <c r="B2828" s="7">
        <v>30093107</v>
      </c>
      <c r="C2828" s="7">
        <v>6000000</v>
      </c>
      <c r="D2828" s="7">
        <f t="shared" si="45"/>
        <v>24093107</v>
      </c>
    </row>
    <row r="2829" spans="1:4" ht="18" customHeight="1" x14ac:dyDescent="0.25">
      <c r="A2829" s="2" t="s">
        <v>2914</v>
      </c>
      <c r="B2829" s="7">
        <v>85838192</v>
      </c>
      <c r="C2829" s="7">
        <v>30000000</v>
      </c>
      <c r="D2829" s="7">
        <f t="shared" si="45"/>
        <v>55838192</v>
      </c>
    </row>
    <row r="2830" spans="1:4" ht="18" customHeight="1" x14ac:dyDescent="0.25">
      <c r="A2830" s="2" t="s">
        <v>6059</v>
      </c>
      <c r="B2830" s="7">
        <v>402820</v>
      </c>
      <c r="C2830" s="7">
        <v>39751583.5</v>
      </c>
      <c r="D2830" s="7">
        <f t="shared" si="45"/>
        <v>-39348763.5</v>
      </c>
    </row>
    <row r="2831" spans="1:4" ht="18" customHeight="1" x14ac:dyDescent="0.25">
      <c r="A2831" s="2" t="s">
        <v>833</v>
      </c>
      <c r="B2831" s="7">
        <v>60008303</v>
      </c>
      <c r="C2831" s="7">
        <v>13000000</v>
      </c>
      <c r="D2831" s="7">
        <f t="shared" si="45"/>
        <v>47008303</v>
      </c>
    </row>
    <row r="2832" spans="1:4" ht="18" customHeight="1" x14ac:dyDescent="0.25">
      <c r="A2832" s="2" t="s">
        <v>409</v>
      </c>
      <c r="B2832" s="7">
        <v>81150692</v>
      </c>
      <c r="C2832" s="7">
        <v>35000000</v>
      </c>
      <c r="D2832" s="7">
        <f t="shared" si="45"/>
        <v>46150692</v>
      </c>
    </row>
    <row r="2833" spans="1:4" ht="18" customHeight="1" x14ac:dyDescent="0.25">
      <c r="A2833" s="2" t="s">
        <v>4387</v>
      </c>
      <c r="B2833" s="7">
        <v>14378353</v>
      </c>
      <c r="C2833" s="7">
        <v>36000000</v>
      </c>
      <c r="D2833" s="7">
        <f t="shared" si="45"/>
        <v>-21621647</v>
      </c>
    </row>
    <row r="2834" spans="1:4" ht="18" customHeight="1" x14ac:dyDescent="0.25">
      <c r="A2834" s="2" t="s">
        <v>5713</v>
      </c>
      <c r="B2834" s="7">
        <v>1346503</v>
      </c>
      <c r="C2834" s="7">
        <v>6000000</v>
      </c>
      <c r="D2834" s="7">
        <f t="shared" si="45"/>
        <v>-4653497</v>
      </c>
    </row>
    <row r="2835" spans="1:4" ht="18" customHeight="1" x14ac:dyDescent="0.25">
      <c r="A2835" s="2" t="s">
        <v>1949</v>
      </c>
      <c r="B2835" s="7">
        <v>48334413</v>
      </c>
      <c r="C2835" s="7">
        <v>7000000</v>
      </c>
      <c r="D2835" s="7">
        <f t="shared" si="45"/>
        <v>41334413</v>
      </c>
    </row>
    <row r="2836" spans="1:4" ht="18" customHeight="1" x14ac:dyDescent="0.25">
      <c r="A2836" s="2" t="s">
        <v>2452</v>
      </c>
      <c r="B2836" s="7">
        <v>48334413</v>
      </c>
      <c r="C2836" s="7">
        <v>1000000</v>
      </c>
      <c r="D2836" s="7">
        <f t="shared" si="45"/>
        <v>47334413</v>
      </c>
    </row>
    <row r="2837" spans="1:4" ht="18" customHeight="1" x14ac:dyDescent="0.25">
      <c r="A2837" s="2" t="s">
        <v>1628</v>
      </c>
      <c r="B2837" s="7">
        <v>48334413</v>
      </c>
      <c r="C2837" s="7">
        <v>26000000</v>
      </c>
      <c r="D2837" s="7">
        <f t="shared" si="45"/>
        <v>22334413</v>
      </c>
    </row>
    <row r="2838" spans="1:4" ht="18" customHeight="1" x14ac:dyDescent="0.25">
      <c r="A2838" s="2" t="s">
        <v>5235</v>
      </c>
      <c r="B2838" s="7">
        <v>4563029</v>
      </c>
      <c r="C2838" s="7">
        <v>39200000</v>
      </c>
      <c r="D2838" s="7">
        <f t="shared" si="45"/>
        <v>-34636971</v>
      </c>
    </row>
    <row r="2839" spans="1:4" ht="18" customHeight="1" x14ac:dyDescent="0.25">
      <c r="A2839" s="2" t="s">
        <v>2412</v>
      </c>
      <c r="B2839" s="7">
        <v>48334413</v>
      </c>
      <c r="C2839" s="7">
        <v>1000000</v>
      </c>
      <c r="D2839" s="7">
        <f t="shared" si="45"/>
        <v>47334413</v>
      </c>
    </row>
    <row r="2840" spans="1:4" ht="18" customHeight="1" x14ac:dyDescent="0.25">
      <c r="A2840" s="2" t="s">
        <v>4377</v>
      </c>
      <c r="B2840" s="7">
        <v>14567883</v>
      </c>
      <c r="C2840" s="7">
        <v>75000000</v>
      </c>
      <c r="D2840" s="7">
        <f t="shared" si="45"/>
        <v>-60432117</v>
      </c>
    </row>
    <row r="2841" spans="1:4" ht="18" customHeight="1" x14ac:dyDescent="0.25">
      <c r="A2841" s="2" t="s">
        <v>5258</v>
      </c>
      <c r="B2841" s="7">
        <v>4360548</v>
      </c>
      <c r="C2841" s="7">
        <v>15000000</v>
      </c>
      <c r="D2841" s="7">
        <f t="shared" si="45"/>
        <v>-10639452</v>
      </c>
    </row>
    <row r="2842" spans="1:4" ht="18" customHeight="1" x14ac:dyDescent="0.25">
      <c r="A2842" s="2" t="s">
        <v>1549</v>
      </c>
      <c r="B2842" s="7">
        <v>48334413</v>
      </c>
      <c r="C2842" s="7">
        <v>39751583.5</v>
      </c>
      <c r="D2842" s="7">
        <f t="shared" si="45"/>
        <v>8582829.5</v>
      </c>
    </row>
    <row r="2843" spans="1:4" ht="18" customHeight="1" x14ac:dyDescent="0.25">
      <c r="A2843" s="2" t="s">
        <v>1993</v>
      </c>
      <c r="B2843" s="7">
        <v>48334413</v>
      </c>
      <c r="C2843" s="7">
        <v>5000000</v>
      </c>
      <c r="D2843" s="7">
        <f t="shared" si="45"/>
        <v>43334413</v>
      </c>
    </row>
    <row r="2844" spans="1:4" ht="18" customHeight="1" x14ac:dyDescent="0.25">
      <c r="A2844" s="2" t="s">
        <v>2598</v>
      </c>
      <c r="B2844" s="7">
        <v>48334413</v>
      </c>
      <c r="C2844" s="7">
        <v>300000</v>
      </c>
      <c r="D2844" s="7">
        <f t="shared" si="45"/>
        <v>48034413</v>
      </c>
    </row>
    <row r="2845" spans="1:4" ht="18" customHeight="1" x14ac:dyDescent="0.25">
      <c r="A2845" s="2" t="s">
        <v>3763</v>
      </c>
      <c r="B2845" s="7">
        <v>25000000</v>
      </c>
      <c r="C2845" s="7">
        <v>2883848</v>
      </c>
      <c r="D2845" s="7">
        <f t="shared" si="45"/>
        <v>22116152</v>
      </c>
    </row>
    <row r="2846" spans="1:4" ht="18" customHeight="1" x14ac:dyDescent="0.25">
      <c r="A2846" s="2" t="s">
        <v>3614</v>
      </c>
      <c r="B2846" s="7">
        <v>27338033</v>
      </c>
      <c r="C2846" s="7">
        <v>23000000</v>
      </c>
      <c r="D2846" s="7">
        <f t="shared" si="45"/>
        <v>4338033</v>
      </c>
    </row>
    <row r="2847" spans="1:4" ht="18" customHeight="1" x14ac:dyDescent="0.25">
      <c r="A2847" s="2" t="s">
        <v>3063</v>
      </c>
      <c r="B2847" s="7">
        <v>39026186</v>
      </c>
      <c r="C2847" s="7">
        <v>35000000</v>
      </c>
      <c r="D2847" s="7">
        <f t="shared" si="45"/>
        <v>4026186</v>
      </c>
    </row>
    <row r="2848" spans="1:4" ht="18" customHeight="1" x14ac:dyDescent="0.25">
      <c r="A2848" s="2" t="s">
        <v>2174</v>
      </c>
      <c r="B2848" s="7">
        <v>48334413</v>
      </c>
      <c r="C2848" s="7">
        <v>3000000</v>
      </c>
      <c r="D2848" s="7">
        <f t="shared" si="45"/>
        <v>45334413</v>
      </c>
    </row>
    <row r="2849" spans="1:4" ht="18" customHeight="1" x14ac:dyDescent="0.25">
      <c r="A2849" s="2" t="s">
        <v>1978</v>
      </c>
      <c r="B2849" s="7">
        <v>48334413</v>
      </c>
      <c r="C2849" s="7">
        <v>5100000</v>
      </c>
      <c r="D2849" s="7">
        <f t="shared" si="45"/>
        <v>43234413</v>
      </c>
    </row>
    <row r="2850" spans="1:4" ht="18" customHeight="1" x14ac:dyDescent="0.25">
      <c r="A2850" s="2" t="s">
        <v>5655</v>
      </c>
      <c r="B2850" s="7">
        <v>1768416</v>
      </c>
      <c r="C2850" s="7">
        <v>7000000</v>
      </c>
      <c r="D2850" s="7">
        <f t="shared" si="45"/>
        <v>-5231584</v>
      </c>
    </row>
    <row r="2851" spans="1:4" ht="18" customHeight="1" x14ac:dyDescent="0.25">
      <c r="A2851" s="2" t="s">
        <v>843</v>
      </c>
      <c r="B2851" s="7">
        <v>59696176</v>
      </c>
      <c r="C2851" s="7">
        <v>22000000</v>
      </c>
      <c r="D2851" s="7">
        <f t="shared" si="45"/>
        <v>37696176</v>
      </c>
    </row>
    <row r="2852" spans="1:4" ht="18" customHeight="1" x14ac:dyDescent="0.25">
      <c r="A2852" s="2" t="s">
        <v>4198</v>
      </c>
      <c r="B2852" s="7">
        <v>17010646</v>
      </c>
      <c r="C2852" s="7">
        <v>84000000</v>
      </c>
      <c r="D2852" s="7">
        <f t="shared" si="45"/>
        <v>-66989354</v>
      </c>
    </row>
    <row r="2853" spans="1:4" ht="18" customHeight="1" x14ac:dyDescent="0.25">
      <c r="A2853" s="2" t="s">
        <v>6594</v>
      </c>
      <c r="B2853" s="7">
        <v>20200</v>
      </c>
      <c r="C2853" s="7">
        <v>6000000</v>
      </c>
      <c r="D2853" s="7">
        <f t="shared" si="45"/>
        <v>-5979800</v>
      </c>
    </row>
    <row r="2854" spans="1:4" ht="18" customHeight="1" x14ac:dyDescent="0.25">
      <c r="A2854" s="2" t="s">
        <v>5449</v>
      </c>
      <c r="B2854" s="7">
        <v>3050934</v>
      </c>
      <c r="C2854" s="7">
        <v>1800000</v>
      </c>
      <c r="D2854" s="7">
        <f t="shared" si="45"/>
        <v>1250934</v>
      </c>
    </row>
    <row r="2855" spans="1:4" ht="18" customHeight="1" x14ac:dyDescent="0.25">
      <c r="A2855" s="2" t="s">
        <v>1414</v>
      </c>
      <c r="B2855" s="7">
        <v>48334413</v>
      </c>
      <c r="C2855" s="7">
        <v>39751583.5</v>
      </c>
      <c r="D2855" s="7">
        <f t="shared" si="45"/>
        <v>8582829.5</v>
      </c>
    </row>
    <row r="2856" spans="1:4" ht="18" customHeight="1" x14ac:dyDescent="0.25">
      <c r="A2856" s="2" t="s">
        <v>1771</v>
      </c>
      <c r="B2856" s="7">
        <v>48334413</v>
      </c>
      <c r="C2856" s="7">
        <v>12000000</v>
      </c>
      <c r="D2856" s="7">
        <f t="shared" si="45"/>
        <v>36334413</v>
      </c>
    </row>
    <row r="2857" spans="1:4" ht="18" customHeight="1" x14ac:dyDescent="0.25">
      <c r="A2857" s="2" t="s">
        <v>4723</v>
      </c>
      <c r="B2857" s="7">
        <v>10198766</v>
      </c>
      <c r="C2857" s="7">
        <v>12000000</v>
      </c>
      <c r="D2857" s="7">
        <f t="shared" si="45"/>
        <v>-1801234</v>
      </c>
    </row>
    <row r="2858" spans="1:4" ht="18" customHeight="1" x14ac:dyDescent="0.25">
      <c r="A2858" s="2" t="s">
        <v>4589</v>
      </c>
      <c r="B2858" s="7">
        <v>11956207</v>
      </c>
      <c r="C2858" s="7">
        <v>16000000</v>
      </c>
      <c r="D2858" s="7">
        <f t="shared" si="45"/>
        <v>-4043793</v>
      </c>
    </row>
    <row r="2859" spans="1:4" ht="18" customHeight="1" x14ac:dyDescent="0.25">
      <c r="A2859" s="2" t="s">
        <v>2901</v>
      </c>
      <c r="B2859" s="7">
        <v>43490057</v>
      </c>
      <c r="C2859" s="7">
        <v>7500000</v>
      </c>
      <c r="D2859" s="7">
        <f t="shared" si="45"/>
        <v>35990057</v>
      </c>
    </row>
    <row r="2860" spans="1:4" ht="18" customHeight="1" x14ac:dyDescent="0.25">
      <c r="A2860" s="2" t="s">
        <v>6154</v>
      </c>
      <c r="B2860" s="7">
        <v>274385</v>
      </c>
      <c r="C2860" s="7">
        <v>4000000</v>
      </c>
      <c r="D2860" s="7">
        <f t="shared" si="45"/>
        <v>-3725615</v>
      </c>
    </row>
    <row r="2861" spans="1:4" ht="18" customHeight="1" x14ac:dyDescent="0.25">
      <c r="A2861" s="2" t="s">
        <v>4581</v>
      </c>
      <c r="B2861" s="7">
        <v>12081447</v>
      </c>
      <c r="C2861" s="7">
        <v>39751583.5</v>
      </c>
      <c r="D2861" s="7">
        <f t="shared" si="45"/>
        <v>-27670136.5</v>
      </c>
    </row>
    <row r="2862" spans="1:4" ht="18" customHeight="1" x14ac:dyDescent="0.25">
      <c r="A2862" s="2" t="s">
        <v>4435</v>
      </c>
      <c r="B2862" s="7">
        <v>13922211</v>
      </c>
      <c r="C2862" s="7">
        <v>16000000</v>
      </c>
      <c r="D2862" s="7">
        <f t="shared" si="45"/>
        <v>-2077789</v>
      </c>
    </row>
    <row r="2863" spans="1:4" ht="18" customHeight="1" x14ac:dyDescent="0.25">
      <c r="A2863" s="2" t="s">
        <v>2885</v>
      </c>
      <c r="B2863" s="7">
        <v>43853424</v>
      </c>
      <c r="C2863" s="7">
        <v>18000000</v>
      </c>
      <c r="D2863" s="7">
        <f t="shared" si="45"/>
        <v>25853424</v>
      </c>
    </row>
    <row r="2864" spans="1:4" ht="18" customHeight="1" x14ac:dyDescent="0.25">
      <c r="A2864" s="2" t="s">
        <v>5434</v>
      </c>
      <c r="B2864" s="7">
        <v>3100650</v>
      </c>
      <c r="C2864" s="7">
        <v>14000000</v>
      </c>
      <c r="D2864" s="7">
        <f t="shared" si="45"/>
        <v>-10899350</v>
      </c>
    </row>
    <row r="2865" spans="1:4" ht="18" customHeight="1" x14ac:dyDescent="0.25">
      <c r="A2865" s="2" t="s">
        <v>6055</v>
      </c>
      <c r="B2865" s="7">
        <v>405614</v>
      </c>
      <c r="C2865" s="7">
        <v>39751583.5</v>
      </c>
      <c r="D2865" s="7">
        <f t="shared" si="45"/>
        <v>-39345969.5</v>
      </c>
    </row>
    <row r="2866" spans="1:4" ht="18" customHeight="1" x14ac:dyDescent="0.25">
      <c r="A2866" s="2" t="s">
        <v>987</v>
      </c>
      <c r="B2866" s="7">
        <v>54696902</v>
      </c>
      <c r="C2866" s="7">
        <v>32000000</v>
      </c>
      <c r="D2866" s="7">
        <f t="shared" si="45"/>
        <v>22696902</v>
      </c>
    </row>
    <row r="2867" spans="1:4" ht="18" customHeight="1" x14ac:dyDescent="0.25">
      <c r="A2867" s="2" t="s">
        <v>1070</v>
      </c>
      <c r="B2867" s="7">
        <v>52008288</v>
      </c>
      <c r="C2867" s="7">
        <v>21000000</v>
      </c>
      <c r="D2867" s="7">
        <f t="shared" si="45"/>
        <v>31008288</v>
      </c>
    </row>
    <row r="2868" spans="1:4" ht="18" customHeight="1" x14ac:dyDescent="0.25">
      <c r="A2868" s="2" t="s">
        <v>6155</v>
      </c>
      <c r="B2868" s="7">
        <v>273420</v>
      </c>
      <c r="C2868" s="7">
        <v>17000000</v>
      </c>
      <c r="D2868" s="7">
        <f t="shared" si="45"/>
        <v>-16726580</v>
      </c>
    </row>
    <row r="2869" spans="1:4" ht="18" customHeight="1" x14ac:dyDescent="0.25">
      <c r="A2869" s="2" t="s">
        <v>1055</v>
      </c>
      <c r="B2869" s="7">
        <v>52418902</v>
      </c>
      <c r="C2869" s="7">
        <v>30000000</v>
      </c>
      <c r="D2869" s="7">
        <f t="shared" si="45"/>
        <v>22418902</v>
      </c>
    </row>
    <row r="2870" spans="1:4" ht="18" customHeight="1" x14ac:dyDescent="0.25">
      <c r="A2870" s="2" t="s">
        <v>1784</v>
      </c>
      <c r="B2870" s="7">
        <v>48334413</v>
      </c>
      <c r="C2870" s="7">
        <v>12000000</v>
      </c>
      <c r="D2870" s="7">
        <f t="shared" si="45"/>
        <v>36334413</v>
      </c>
    </row>
    <row r="2871" spans="1:4" ht="18" customHeight="1" x14ac:dyDescent="0.25">
      <c r="A2871" s="2" t="s">
        <v>3496</v>
      </c>
      <c r="B2871" s="7">
        <v>30105968</v>
      </c>
      <c r="C2871" s="7">
        <v>37000000</v>
      </c>
      <c r="D2871" s="7">
        <f t="shared" si="45"/>
        <v>-6894032</v>
      </c>
    </row>
    <row r="2872" spans="1:4" ht="18" customHeight="1" x14ac:dyDescent="0.25">
      <c r="A2872" s="2" t="s">
        <v>278</v>
      </c>
      <c r="B2872" s="7">
        <v>90454043</v>
      </c>
      <c r="C2872" s="7">
        <v>65000000</v>
      </c>
      <c r="D2872" s="7">
        <f t="shared" si="45"/>
        <v>25454043</v>
      </c>
    </row>
    <row r="2873" spans="1:4" ht="18" customHeight="1" x14ac:dyDescent="0.25">
      <c r="A2873" s="2" t="s">
        <v>1644</v>
      </c>
      <c r="B2873" s="7">
        <v>48334413</v>
      </c>
      <c r="C2873" s="7">
        <v>25000000</v>
      </c>
      <c r="D2873" s="7">
        <f t="shared" si="45"/>
        <v>23334413</v>
      </c>
    </row>
    <row r="2874" spans="1:4" ht="18" customHeight="1" x14ac:dyDescent="0.25">
      <c r="A2874" s="2" t="s">
        <v>280</v>
      </c>
      <c r="B2874" s="7">
        <v>90443603</v>
      </c>
      <c r="C2874" s="7">
        <v>80000000</v>
      </c>
      <c r="D2874" s="7">
        <f t="shared" si="45"/>
        <v>10443603</v>
      </c>
    </row>
    <row r="2875" spans="1:4" ht="18" customHeight="1" x14ac:dyDescent="0.25">
      <c r="A2875" s="2" t="s">
        <v>2030</v>
      </c>
      <c r="B2875" s="7">
        <v>48334413</v>
      </c>
      <c r="C2875" s="7">
        <v>5000000</v>
      </c>
      <c r="D2875" s="7">
        <f t="shared" si="45"/>
        <v>43334413</v>
      </c>
    </row>
    <row r="2876" spans="1:4" ht="18" customHeight="1" x14ac:dyDescent="0.25">
      <c r="A2876" s="2" t="s">
        <v>3097</v>
      </c>
      <c r="B2876" s="7">
        <v>38119483</v>
      </c>
      <c r="C2876" s="7">
        <v>22700000</v>
      </c>
      <c r="D2876" s="7">
        <f t="shared" si="45"/>
        <v>15419483</v>
      </c>
    </row>
    <row r="2877" spans="1:4" ht="18" customHeight="1" x14ac:dyDescent="0.25">
      <c r="A2877" s="2" t="s">
        <v>4317</v>
      </c>
      <c r="B2877" s="7">
        <v>15369573</v>
      </c>
      <c r="C2877" s="7">
        <v>3000000</v>
      </c>
      <c r="D2877" s="7">
        <f t="shared" si="45"/>
        <v>12369573</v>
      </c>
    </row>
    <row r="2878" spans="1:4" ht="18" customHeight="1" x14ac:dyDescent="0.25">
      <c r="A2878" s="2" t="s">
        <v>2949</v>
      </c>
      <c r="B2878" s="7">
        <v>42044321</v>
      </c>
      <c r="C2878" s="7">
        <v>80000000</v>
      </c>
      <c r="D2878" s="7">
        <f t="shared" si="45"/>
        <v>-37955679</v>
      </c>
    </row>
    <row r="2879" spans="1:4" ht="18" customHeight="1" x14ac:dyDescent="0.25">
      <c r="A2879" s="2" t="s">
        <v>3785</v>
      </c>
      <c r="B2879" s="7">
        <v>24397469</v>
      </c>
      <c r="C2879" s="7">
        <v>17000000</v>
      </c>
      <c r="D2879" s="7">
        <f t="shared" si="45"/>
        <v>7397469</v>
      </c>
    </row>
    <row r="2880" spans="1:4" ht="18" customHeight="1" x14ac:dyDescent="0.25">
      <c r="A2880" s="2" t="s">
        <v>6692</v>
      </c>
      <c r="B2880" s="7">
        <v>5494</v>
      </c>
      <c r="C2880" s="7">
        <v>39751583.5</v>
      </c>
      <c r="D2880" s="7">
        <f t="shared" si="45"/>
        <v>-39746089.5</v>
      </c>
    </row>
    <row r="2881" spans="1:4" ht="18" customHeight="1" x14ac:dyDescent="0.25">
      <c r="A2881" s="2" t="s">
        <v>1337</v>
      </c>
      <c r="B2881" s="7">
        <v>48334413</v>
      </c>
      <c r="C2881" s="7">
        <v>39751583.5</v>
      </c>
      <c r="D2881" s="7">
        <f t="shared" si="45"/>
        <v>8582829.5</v>
      </c>
    </row>
    <row r="2882" spans="1:4" ht="18" customHeight="1" x14ac:dyDescent="0.25">
      <c r="A2882" s="2" t="s">
        <v>978</v>
      </c>
      <c r="B2882" s="7">
        <v>54967359</v>
      </c>
      <c r="C2882" s="7">
        <v>40000000</v>
      </c>
      <c r="D2882" s="7">
        <f t="shared" si="45"/>
        <v>14967359</v>
      </c>
    </row>
    <row r="2883" spans="1:4" ht="18" customHeight="1" x14ac:dyDescent="0.25">
      <c r="A2883" s="2" t="s">
        <v>6685</v>
      </c>
      <c r="B2883" s="7">
        <v>6387</v>
      </c>
      <c r="C2883" s="7">
        <v>1000000</v>
      </c>
      <c r="D2883" s="7">
        <f t="shared" si="45"/>
        <v>-993613</v>
      </c>
    </row>
    <row r="2884" spans="1:4" ht="18" customHeight="1" x14ac:dyDescent="0.25">
      <c r="A2884" s="2" t="s">
        <v>829</v>
      </c>
      <c r="B2884" s="7">
        <v>60054449</v>
      </c>
      <c r="C2884" s="7">
        <v>35000000</v>
      </c>
      <c r="D2884" s="7">
        <f t="shared" si="45"/>
        <v>25054449</v>
      </c>
    </row>
    <row r="2885" spans="1:4" ht="18" customHeight="1" x14ac:dyDescent="0.25">
      <c r="A2885" s="2" t="s">
        <v>2428</v>
      </c>
      <c r="B2885" s="7">
        <v>48334413</v>
      </c>
      <c r="C2885" s="7">
        <v>1000000</v>
      </c>
      <c r="D2885" s="7">
        <f t="shared" ref="D2885:D2948" si="46">B2885-C2885</f>
        <v>47334413</v>
      </c>
    </row>
    <row r="2886" spans="1:4" ht="18" customHeight="1" x14ac:dyDescent="0.25">
      <c r="A2886" s="2" t="s">
        <v>2320</v>
      </c>
      <c r="B2886" s="7">
        <v>48334413</v>
      </c>
      <c r="C2886" s="7">
        <v>1696377</v>
      </c>
      <c r="D2886" s="7">
        <f t="shared" si="46"/>
        <v>46638036</v>
      </c>
    </row>
    <row r="2887" spans="1:4" ht="18" customHeight="1" x14ac:dyDescent="0.25">
      <c r="A2887" s="2" t="s">
        <v>3165</v>
      </c>
      <c r="B2887" s="7">
        <v>36976367</v>
      </c>
      <c r="C2887" s="7">
        <v>75000000</v>
      </c>
      <c r="D2887" s="7">
        <f t="shared" si="46"/>
        <v>-38023633</v>
      </c>
    </row>
    <row r="2888" spans="1:4" ht="18" customHeight="1" x14ac:dyDescent="0.25">
      <c r="A2888" s="2" t="s">
        <v>5875</v>
      </c>
      <c r="B2888" s="7">
        <v>800000</v>
      </c>
      <c r="C2888" s="7">
        <v>14000000</v>
      </c>
      <c r="D2888" s="7">
        <f t="shared" si="46"/>
        <v>-13200000</v>
      </c>
    </row>
    <row r="2889" spans="1:4" ht="18" customHeight="1" x14ac:dyDescent="0.25">
      <c r="A2889" s="2" t="s">
        <v>3529</v>
      </c>
      <c r="B2889" s="7">
        <v>29247405</v>
      </c>
      <c r="C2889" s="7">
        <v>25000000</v>
      </c>
      <c r="D2889" s="7">
        <f t="shared" si="46"/>
        <v>4247405</v>
      </c>
    </row>
    <row r="2890" spans="1:4" ht="18" customHeight="1" x14ac:dyDescent="0.25">
      <c r="A2890" s="2" t="s">
        <v>5680</v>
      </c>
      <c r="B2890" s="7">
        <v>1641788</v>
      </c>
      <c r="C2890" s="7">
        <v>8000000</v>
      </c>
      <c r="D2890" s="7">
        <f t="shared" si="46"/>
        <v>-6358212</v>
      </c>
    </row>
    <row r="2891" spans="1:4" ht="18" customHeight="1" x14ac:dyDescent="0.25">
      <c r="A2891" s="2" t="s">
        <v>557</v>
      </c>
      <c r="B2891" s="7">
        <v>73215310</v>
      </c>
      <c r="C2891" s="7">
        <v>80000000</v>
      </c>
      <c r="D2891" s="7">
        <f t="shared" si="46"/>
        <v>-6784690</v>
      </c>
    </row>
    <row r="2892" spans="1:4" ht="18" customHeight="1" x14ac:dyDescent="0.25">
      <c r="A2892" s="2" t="s">
        <v>4746</v>
      </c>
      <c r="B2892" s="7">
        <v>10049886</v>
      </c>
      <c r="C2892" s="7">
        <v>19000000</v>
      </c>
      <c r="D2892" s="7">
        <f t="shared" si="46"/>
        <v>-8950114</v>
      </c>
    </row>
    <row r="2893" spans="1:4" ht="18" customHeight="1" x14ac:dyDescent="0.25">
      <c r="A2893" s="2" t="s">
        <v>639</v>
      </c>
      <c r="B2893" s="7">
        <v>69800000</v>
      </c>
      <c r="C2893" s="7">
        <v>8000000</v>
      </c>
      <c r="D2893" s="7">
        <f t="shared" si="46"/>
        <v>61800000</v>
      </c>
    </row>
    <row r="2894" spans="1:4" ht="18" customHeight="1" x14ac:dyDescent="0.25">
      <c r="A2894" s="2" t="s">
        <v>4201</v>
      </c>
      <c r="B2894" s="7">
        <v>16999046</v>
      </c>
      <c r="C2894" s="7">
        <v>26000000</v>
      </c>
      <c r="D2894" s="7">
        <f t="shared" si="46"/>
        <v>-9000954</v>
      </c>
    </row>
    <row r="2895" spans="1:4" ht="18" customHeight="1" x14ac:dyDescent="0.25">
      <c r="A2895" s="2" t="s">
        <v>5142</v>
      </c>
      <c r="B2895" s="7">
        <v>5430822</v>
      </c>
      <c r="C2895" s="7">
        <v>7000000</v>
      </c>
      <c r="D2895" s="7">
        <f t="shared" si="46"/>
        <v>-1569178</v>
      </c>
    </row>
    <row r="2896" spans="1:4" ht="18" customHeight="1" x14ac:dyDescent="0.25">
      <c r="A2896" s="2" t="s">
        <v>2844</v>
      </c>
      <c r="B2896" s="7">
        <v>44988180</v>
      </c>
      <c r="C2896" s="7">
        <v>20000000</v>
      </c>
      <c r="D2896" s="7">
        <f t="shared" si="46"/>
        <v>24988180</v>
      </c>
    </row>
    <row r="2897" spans="1:4" ht="18" customHeight="1" x14ac:dyDescent="0.25">
      <c r="A2897" s="2" t="s">
        <v>4414</v>
      </c>
      <c r="B2897" s="7">
        <v>14123773</v>
      </c>
      <c r="C2897" s="7">
        <v>5000000</v>
      </c>
      <c r="D2897" s="7">
        <f t="shared" si="46"/>
        <v>9123773</v>
      </c>
    </row>
    <row r="2898" spans="1:4" ht="18" customHeight="1" x14ac:dyDescent="0.25">
      <c r="A2898" s="2" t="s">
        <v>6052</v>
      </c>
      <c r="B2898" s="7">
        <v>410241</v>
      </c>
      <c r="C2898" s="7">
        <v>2000000</v>
      </c>
      <c r="D2898" s="7">
        <f t="shared" si="46"/>
        <v>-1589759</v>
      </c>
    </row>
    <row r="2899" spans="1:4" ht="18" customHeight="1" x14ac:dyDescent="0.25">
      <c r="A2899" s="2" t="s">
        <v>3631</v>
      </c>
      <c r="B2899" s="7">
        <v>26906039</v>
      </c>
      <c r="C2899" s="7">
        <v>18000000</v>
      </c>
      <c r="D2899" s="7">
        <f t="shared" si="46"/>
        <v>8906039</v>
      </c>
    </row>
    <row r="2900" spans="1:4" ht="18" customHeight="1" x14ac:dyDescent="0.25">
      <c r="A2900" s="2" t="s">
        <v>328</v>
      </c>
      <c r="B2900" s="7">
        <v>85570368</v>
      </c>
      <c r="C2900" s="7">
        <v>38000000</v>
      </c>
      <c r="D2900" s="7">
        <f t="shared" si="46"/>
        <v>47570368</v>
      </c>
    </row>
    <row r="2901" spans="1:4" ht="18" customHeight="1" x14ac:dyDescent="0.25">
      <c r="A2901" s="2" t="s">
        <v>3077</v>
      </c>
      <c r="B2901" s="7">
        <v>38536376</v>
      </c>
      <c r="C2901" s="7">
        <v>27000000</v>
      </c>
      <c r="D2901" s="7">
        <f t="shared" si="46"/>
        <v>11536376</v>
      </c>
    </row>
    <row r="2902" spans="1:4" ht="18" customHeight="1" x14ac:dyDescent="0.25">
      <c r="A2902" s="2" t="s">
        <v>1764</v>
      </c>
      <c r="B2902" s="7">
        <v>48334413</v>
      </c>
      <c r="C2902" s="7">
        <v>13500000</v>
      </c>
      <c r="D2902" s="7">
        <f t="shared" si="46"/>
        <v>34834413</v>
      </c>
    </row>
    <row r="2903" spans="1:4" ht="18" customHeight="1" x14ac:dyDescent="0.25">
      <c r="A2903" s="2" t="s">
        <v>2875</v>
      </c>
      <c r="B2903" s="7">
        <v>44134898</v>
      </c>
      <c r="C2903" s="7">
        <v>13000000</v>
      </c>
      <c r="D2903" s="7">
        <f t="shared" si="46"/>
        <v>31134898</v>
      </c>
    </row>
    <row r="2904" spans="1:4" ht="18" customHeight="1" x14ac:dyDescent="0.25">
      <c r="A2904" s="2" t="s">
        <v>6604</v>
      </c>
      <c r="B2904" s="7">
        <v>18469</v>
      </c>
      <c r="C2904" s="7">
        <v>650000</v>
      </c>
      <c r="D2904" s="7">
        <f t="shared" si="46"/>
        <v>-631531</v>
      </c>
    </row>
    <row r="2905" spans="1:4" ht="18" customHeight="1" x14ac:dyDescent="0.25">
      <c r="A2905" s="2" t="s">
        <v>1327</v>
      </c>
      <c r="B2905" s="7">
        <v>48334413</v>
      </c>
      <c r="C2905" s="7">
        <v>39751583.5</v>
      </c>
      <c r="D2905" s="7">
        <f t="shared" si="46"/>
        <v>8582829.5</v>
      </c>
    </row>
    <row r="2906" spans="1:4" ht="18" customHeight="1" x14ac:dyDescent="0.25">
      <c r="A2906" s="2" t="s">
        <v>1062</v>
      </c>
      <c r="B2906" s="7">
        <v>52287414</v>
      </c>
      <c r="C2906" s="7">
        <v>8000000</v>
      </c>
      <c r="D2906" s="7">
        <f t="shared" si="46"/>
        <v>44287414</v>
      </c>
    </row>
    <row r="2907" spans="1:4" ht="18" customHeight="1" x14ac:dyDescent="0.25">
      <c r="A2907" s="2" t="s">
        <v>6197</v>
      </c>
      <c r="B2907" s="7">
        <v>228830</v>
      </c>
      <c r="C2907" s="7">
        <v>39751583.5</v>
      </c>
      <c r="D2907" s="7">
        <f t="shared" si="46"/>
        <v>-39522753.5</v>
      </c>
    </row>
    <row r="2908" spans="1:4" ht="18" customHeight="1" x14ac:dyDescent="0.25">
      <c r="A2908" s="2" t="s">
        <v>5988</v>
      </c>
      <c r="B2908" s="7">
        <v>531806</v>
      </c>
      <c r="C2908" s="7">
        <v>39751583.5</v>
      </c>
      <c r="D2908" s="7">
        <f t="shared" si="46"/>
        <v>-39219777.5</v>
      </c>
    </row>
    <row r="2909" spans="1:4" ht="18" customHeight="1" x14ac:dyDescent="0.25">
      <c r="A2909" s="2" t="s">
        <v>455</v>
      </c>
      <c r="B2909" s="7">
        <v>78900000</v>
      </c>
      <c r="C2909" s="7">
        <v>11000000</v>
      </c>
      <c r="D2909" s="7">
        <f t="shared" si="46"/>
        <v>67900000</v>
      </c>
    </row>
    <row r="2910" spans="1:4" ht="18" customHeight="1" x14ac:dyDescent="0.25">
      <c r="A2910" s="2" t="s">
        <v>488</v>
      </c>
      <c r="B2910" s="7">
        <v>76400000</v>
      </c>
      <c r="C2910" s="7">
        <v>17000000</v>
      </c>
      <c r="D2910" s="7">
        <f t="shared" si="46"/>
        <v>59400000</v>
      </c>
    </row>
    <row r="2911" spans="1:4" ht="18" customHeight="1" x14ac:dyDescent="0.25">
      <c r="A2911" s="2" t="s">
        <v>36</v>
      </c>
      <c r="B2911" s="7">
        <v>109713132</v>
      </c>
      <c r="C2911" s="7">
        <v>25000000</v>
      </c>
      <c r="D2911" s="7">
        <f t="shared" si="46"/>
        <v>84713132</v>
      </c>
    </row>
    <row r="2912" spans="1:4" ht="18" customHeight="1" x14ac:dyDescent="0.25">
      <c r="A2912" s="2" t="s">
        <v>972</v>
      </c>
      <c r="B2912" s="7">
        <v>55210049</v>
      </c>
      <c r="C2912" s="7">
        <v>27800000</v>
      </c>
      <c r="D2912" s="7">
        <f t="shared" si="46"/>
        <v>27410049</v>
      </c>
    </row>
    <row r="2913" spans="1:4" ht="18" customHeight="1" x14ac:dyDescent="0.25">
      <c r="A2913" s="2" t="s">
        <v>533</v>
      </c>
      <c r="B2913" s="7">
        <v>74888996</v>
      </c>
      <c r="C2913" s="7">
        <v>30000000</v>
      </c>
      <c r="D2913" s="7">
        <f t="shared" si="46"/>
        <v>44888996</v>
      </c>
    </row>
    <row r="2914" spans="1:4" ht="18" customHeight="1" x14ac:dyDescent="0.25">
      <c r="A2914" s="2" t="s">
        <v>247</v>
      </c>
      <c r="B2914" s="7">
        <v>92001027</v>
      </c>
      <c r="C2914" s="7">
        <v>45000000</v>
      </c>
      <c r="D2914" s="7">
        <f t="shared" si="46"/>
        <v>47001027</v>
      </c>
    </row>
    <row r="2915" spans="1:4" ht="18" customHeight="1" x14ac:dyDescent="0.25">
      <c r="A2915" s="2" t="s">
        <v>504</v>
      </c>
      <c r="B2915" s="7">
        <v>75668868</v>
      </c>
      <c r="C2915" s="7">
        <v>35000000</v>
      </c>
      <c r="D2915" s="7">
        <f t="shared" si="46"/>
        <v>40668868</v>
      </c>
    </row>
    <row r="2916" spans="1:4" ht="18" customHeight="1" x14ac:dyDescent="0.25">
      <c r="A2916" s="2" t="s">
        <v>625</v>
      </c>
      <c r="B2916" s="7">
        <v>70117571</v>
      </c>
      <c r="C2916" s="7">
        <v>58000000</v>
      </c>
      <c r="D2916" s="7">
        <f t="shared" si="46"/>
        <v>12117571</v>
      </c>
    </row>
    <row r="2917" spans="1:4" ht="18" customHeight="1" x14ac:dyDescent="0.25">
      <c r="A2917" s="2" t="s">
        <v>2906</v>
      </c>
      <c r="B2917" s="7">
        <v>43119879</v>
      </c>
      <c r="C2917" s="7">
        <v>60000000</v>
      </c>
      <c r="D2917" s="7">
        <f t="shared" si="46"/>
        <v>-16880121</v>
      </c>
    </row>
    <row r="2918" spans="1:4" ht="18" customHeight="1" x14ac:dyDescent="0.25">
      <c r="A2918" s="2" t="s">
        <v>389</v>
      </c>
      <c r="B2918" s="7">
        <v>82300000</v>
      </c>
      <c r="C2918" s="7">
        <v>35000000</v>
      </c>
      <c r="D2918" s="7">
        <f t="shared" si="46"/>
        <v>47300000</v>
      </c>
    </row>
    <row r="2919" spans="1:4" ht="18" customHeight="1" x14ac:dyDescent="0.25">
      <c r="A2919" s="2" t="s">
        <v>1220</v>
      </c>
      <c r="B2919" s="7">
        <v>48334413</v>
      </c>
      <c r="C2919" s="7">
        <v>39751583.5</v>
      </c>
      <c r="D2919" s="7">
        <f t="shared" si="46"/>
        <v>8582829.5</v>
      </c>
    </row>
    <row r="2920" spans="1:4" ht="18" customHeight="1" x14ac:dyDescent="0.25">
      <c r="A2920" s="2" t="s">
        <v>1359</v>
      </c>
      <c r="B2920" s="7">
        <v>48334413</v>
      </c>
      <c r="C2920" s="7">
        <v>39751583.5</v>
      </c>
      <c r="D2920" s="7">
        <f t="shared" si="46"/>
        <v>8582829.5</v>
      </c>
    </row>
    <row r="2921" spans="1:4" ht="18" customHeight="1" x14ac:dyDescent="0.25">
      <c r="A2921" s="2" t="s">
        <v>3084</v>
      </c>
      <c r="B2921" s="7">
        <v>38345403</v>
      </c>
      <c r="C2921" s="7">
        <v>70000000</v>
      </c>
      <c r="D2921" s="7">
        <f t="shared" si="46"/>
        <v>-31654597</v>
      </c>
    </row>
    <row r="2922" spans="1:4" ht="18" customHeight="1" x14ac:dyDescent="0.25">
      <c r="A2922" s="2" t="s">
        <v>2362</v>
      </c>
      <c r="B2922" s="7">
        <v>48334413</v>
      </c>
      <c r="C2922" s="7">
        <v>1400000</v>
      </c>
      <c r="D2922" s="7">
        <f t="shared" si="46"/>
        <v>46934413</v>
      </c>
    </row>
    <row r="2923" spans="1:4" ht="18" customHeight="1" x14ac:dyDescent="0.25">
      <c r="A2923" s="2" t="s">
        <v>1373</v>
      </c>
      <c r="B2923" s="7">
        <v>48334413</v>
      </c>
      <c r="C2923" s="7">
        <v>39751583.5</v>
      </c>
      <c r="D2923" s="7">
        <f t="shared" si="46"/>
        <v>8582829.5</v>
      </c>
    </row>
    <row r="2924" spans="1:4" ht="18" customHeight="1" x14ac:dyDescent="0.25">
      <c r="A2924" s="2" t="s">
        <v>304</v>
      </c>
      <c r="B2924" s="7">
        <v>88200225</v>
      </c>
      <c r="C2924" s="7">
        <v>60000000</v>
      </c>
      <c r="D2924" s="7">
        <f t="shared" si="46"/>
        <v>28200225</v>
      </c>
    </row>
    <row r="2925" spans="1:4" ht="18" customHeight="1" x14ac:dyDescent="0.25">
      <c r="A2925" s="2" t="s">
        <v>2570</v>
      </c>
      <c r="B2925" s="7">
        <v>48334413</v>
      </c>
      <c r="C2925" s="7">
        <v>400000</v>
      </c>
      <c r="D2925" s="7">
        <f t="shared" si="46"/>
        <v>47934413</v>
      </c>
    </row>
    <row r="2926" spans="1:4" ht="18" customHeight="1" x14ac:dyDescent="0.25">
      <c r="A2926" s="2" t="s">
        <v>1406</v>
      </c>
      <c r="B2926" s="7">
        <v>48334413</v>
      </c>
      <c r="C2926" s="7">
        <v>39751583.5</v>
      </c>
      <c r="D2926" s="7">
        <f t="shared" si="46"/>
        <v>8582829.5</v>
      </c>
    </row>
    <row r="2927" spans="1:4" ht="18" customHeight="1" x14ac:dyDescent="0.25">
      <c r="A2927" s="2" t="s">
        <v>3167</v>
      </c>
      <c r="B2927" s="7">
        <v>36965395</v>
      </c>
      <c r="C2927" s="7">
        <v>39751583.5</v>
      </c>
      <c r="D2927" s="7">
        <f t="shared" si="46"/>
        <v>-2786188.5</v>
      </c>
    </row>
    <row r="2928" spans="1:4" ht="18" customHeight="1" x14ac:dyDescent="0.25">
      <c r="A2928" s="2" t="s">
        <v>3838</v>
      </c>
      <c r="B2928" s="7">
        <v>23078294</v>
      </c>
      <c r="C2928" s="7">
        <v>9000000</v>
      </c>
      <c r="D2928" s="7">
        <f t="shared" si="46"/>
        <v>14078294</v>
      </c>
    </row>
    <row r="2929" spans="1:4" ht="18" customHeight="1" x14ac:dyDescent="0.25">
      <c r="A2929" s="2" t="s">
        <v>4431</v>
      </c>
      <c r="B2929" s="7">
        <v>13973532</v>
      </c>
      <c r="C2929" s="7">
        <v>25000000</v>
      </c>
      <c r="D2929" s="7">
        <f t="shared" si="46"/>
        <v>-11026468</v>
      </c>
    </row>
    <row r="2930" spans="1:4" ht="18" customHeight="1" x14ac:dyDescent="0.25">
      <c r="A2930" s="2" t="s">
        <v>5670</v>
      </c>
      <c r="B2930" s="7">
        <v>1686429</v>
      </c>
      <c r="C2930" s="7">
        <v>16000000</v>
      </c>
      <c r="D2930" s="7">
        <f t="shared" si="46"/>
        <v>-14313571</v>
      </c>
    </row>
    <row r="2931" spans="1:4" ht="18" customHeight="1" x14ac:dyDescent="0.25">
      <c r="A2931" s="2" t="s">
        <v>169</v>
      </c>
      <c r="B2931" s="7">
        <v>100468793</v>
      </c>
      <c r="C2931" s="7">
        <v>65000000</v>
      </c>
      <c r="D2931" s="7">
        <f t="shared" si="46"/>
        <v>35468793</v>
      </c>
    </row>
    <row r="2932" spans="1:4" ht="18" customHeight="1" x14ac:dyDescent="0.25">
      <c r="A2932" s="2" t="s">
        <v>881</v>
      </c>
      <c r="B2932" s="7">
        <v>58006147</v>
      </c>
      <c r="C2932" s="7">
        <v>23000000</v>
      </c>
      <c r="D2932" s="7">
        <f t="shared" si="46"/>
        <v>35006147</v>
      </c>
    </row>
    <row r="2933" spans="1:4" ht="18" customHeight="1" x14ac:dyDescent="0.25">
      <c r="A2933" s="2" t="s">
        <v>2936</v>
      </c>
      <c r="B2933" s="7">
        <v>42385520</v>
      </c>
      <c r="C2933" s="7">
        <v>30000000</v>
      </c>
      <c r="D2933" s="7">
        <f t="shared" si="46"/>
        <v>12385520</v>
      </c>
    </row>
    <row r="2934" spans="1:4" ht="18" customHeight="1" x14ac:dyDescent="0.25">
      <c r="A2934" s="2" t="s">
        <v>3246</v>
      </c>
      <c r="B2934" s="7">
        <v>35057332</v>
      </c>
      <c r="C2934" s="7">
        <v>33000000</v>
      </c>
      <c r="D2934" s="7">
        <f t="shared" si="46"/>
        <v>2057332</v>
      </c>
    </row>
    <row r="2935" spans="1:4" ht="18" customHeight="1" x14ac:dyDescent="0.25">
      <c r="A2935" s="2" t="s">
        <v>720</v>
      </c>
      <c r="B2935" s="7">
        <v>65269010</v>
      </c>
      <c r="C2935" s="7">
        <v>12000000</v>
      </c>
      <c r="D2935" s="7">
        <f t="shared" si="46"/>
        <v>53269010</v>
      </c>
    </row>
    <row r="2936" spans="1:4" ht="18" customHeight="1" x14ac:dyDescent="0.25">
      <c r="A2936" s="2" t="s">
        <v>265</v>
      </c>
      <c r="B2936" s="7">
        <v>91030827</v>
      </c>
      <c r="C2936" s="7">
        <v>50000000</v>
      </c>
      <c r="D2936" s="7">
        <f t="shared" si="46"/>
        <v>41030827</v>
      </c>
    </row>
    <row r="2937" spans="1:4" ht="18" customHeight="1" x14ac:dyDescent="0.25">
      <c r="A2937" s="2" t="s">
        <v>2456</v>
      </c>
      <c r="B2937" s="7">
        <v>48334413</v>
      </c>
      <c r="C2937" s="7">
        <v>1000000</v>
      </c>
      <c r="D2937" s="7">
        <f t="shared" si="46"/>
        <v>47334413</v>
      </c>
    </row>
    <row r="2938" spans="1:4" ht="18" customHeight="1" x14ac:dyDescent="0.25">
      <c r="A2938" s="2" t="s">
        <v>4140</v>
      </c>
      <c r="B2938" s="7">
        <v>17750583</v>
      </c>
      <c r="C2938" s="7">
        <v>30000000</v>
      </c>
      <c r="D2938" s="7">
        <f t="shared" si="46"/>
        <v>-12249417</v>
      </c>
    </row>
    <row r="2939" spans="1:4" ht="18" customHeight="1" x14ac:dyDescent="0.25">
      <c r="A2939" s="2" t="s">
        <v>3637</v>
      </c>
      <c r="B2939" s="7">
        <v>26870825</v>
      </c>
      <c r="C2939" s="7">
        <v>39751583.5</v>
      </c>
      <c r="D2939" s="7">
        <f t="shared" si="46"/>
        <v>-12880758.5</v>
      </c>
    </row>
    <row r="2940" spans="1:4" ht="18" customHeight="1" x14ac:dyDescent="0.25">
      <c r="A2940" s="2" t="s">
        <v>6455</v>
      </c>
      <c r="B2940" s="7">
        <v>69582</v>
      </c>
      <c r="C2940" s="7">
        <v>39751583.5</v>
      </c>
      <c r="D2940" s="7">
        <f t="shared" si="46"/>
        <v>-39682001.5</v>
      </c>
    </row>
    <row r="2941" spans="1:4" ht="18" customHeight="1" x14ac:dyDescent="0.25">
      <c r="A2941" s="2" t="s">
        <v>1161</v>
      </c>
      <c r="B2941" s="7">
        <v>50041732</v>
      </c>
      <c r="C2941" s="7">
        <v>29000000</v>
      </c>
      <c r="D2941" s="7">
        <f t="shared" si="46"/>
        <v>21041732</v>
      </c>
    </row>
    <row r="2942" spans="1:4" ht="18" customHeight="1" x14ac:dyDescent="0.25">
      <c r="A2942" s="2" t="s">
        <v>4084</v>
      </c>
      <c r="B2942" s="7">
        <v>18656400</v>
      </c>
      <c r="C2942" s="7">
        <v>5000000</v>
      </c>
      <c r="D2942" s="7">
        <f t="shared" si="46"/>
        <v>13656400</v>
      </c>
    </row>
    <row r="2943" spans="1:4" ht="18" customHeight="1" x14ac:dyDescent="0.25">
      <c r="A2943" s="2" t="s">
        <v>3943</v>
      </c>
      <c r="B2943" s="7">
        <v>21133087</v>
      </c>
      <c r="C2943" s="7">
        <v>12000000</v>
      </c>
      <c r="D2943" s="7">
        <f t="shared" si="46"/>
        <v>9133087</v>
      </c>
    </row>
    <row r="2944" spans="1:4" ht="18" customHeight="1" x14ac:dyDescent="0.25">
      <c r="A2944" s="2" t="s">
        <v>1464</v>
      </c>
      <c r="B2944" s="7">
        <v>48334413</v>
      </c>
      <c r="C2944" s="7">
        <v>39751583.5</v>
      </c>
      <c r="D2944" s="7">
        <f t="shared" si="46"/>
        <v>8582829.5</v>
      </c>
    </row>
    <row r="2945" spans="1:4" ht="18" customHeight="1" x14ac:dyDescent="0.25">
      <c r="A2945" s="2" t="s">
        <v>5666</v>
      </c>
      <c r="B2945" s="7">
        <v>1702277</v>
      </c>
      <c r="C2945" s="7">
        <v>12000000</v>
      </c>
      <c r="D2945" s="7">
        <f t="shared" si="46"/>
        <v>-10297723</v>
      </c>
    </row>
    <row r="2946" spans="1:4" ht="18" customHeight="1" x14ac:dyDescent="0.25">
      <c r="A2946" s="2" t="s">
        <v>6341</v>
      </c>
      <c r="B2946" s="7">
        <v>119841</v>
      </c>
      <c r="C2946" s="7">
        <v>1500000</v>
      </c>
      <c r="D2946" s="7">
        <f t="shared" si="46"/>
        <v>-1380159</v>
      </c>
    </row>
    <row r="2947" spans="1:4" ht="18" customHeight="1" x14ac:dyDescent="0.25">
      <c r="A2947" s="2" t="s">
        <v>6246</v>
      </c>
      <c r="B2947" s="7">
        <v>183125</v>
      </c>
      <c r="C2947" s="7">
        <v>35000000</v>
      </c>
      <c r="D2947" s="7">
        <f t="shared" si="46"/>
        <v>-34816875</v>
      </c>
    </row>
    <row r="2948" spans="1:4" ht="18" customHeight="1" x14ac:dyDescent="0.25">
      <c r="A2948" s="2" t="s">
        <v>796</v>
      </c>
      <c r="B2948" s="7">
        <v>61356221</v>
      </c>
      <c r="C2948" s="7">
        <v>14000000</v>
      </c>
      <c r="D2948" s="7">
        <f t="shared" si="46"/>
        <v>47356221</v>
      </c>
    </row>
    <row r="2949" spans="1:4" ht="18" customHeight="1" x14ac:dyDescent="0.25">
      <c r="A2949" s="2" t="s">
        <v>4781</v>
      </c>
      <c r="B2949" s="7">
        <v>9286314</v>
      </c>
      <c r="C2949" s="7">
        <v>17000000</v>
      </c>
      <c r="D2949" s="7">
        <f t="shared" ref="D2949:D3012" si="47">B2949-C2949</f>
        <v>-7713686</v>
      </c>
    </row>
    <row r="2950" spans="1:4" ht="18" customHeight="1" x14ac:dyDescent="0.25">
      <c r="A2950" s="2" t="s">
        <v>5651</v>
      </c>
      <c r="B2950" s="7">
        <v>1796024</v>
      </c>
      <c r="C2950" s="7">
        <v>22000000</v>
      </c>
      <c r="D2950" s="7">
        <f t="shared" si="47"/>
        <v>-20203976</v>
      </c>
    </row>
    <row r="2951" spans="1:4" ht="18" customHeight="1" x14ac:dyDescent="0.25">
      <c r="A2951" s="2" t="s">
        <v>6241</v>
      </c>
      <c r="B2951" s="7">
        <v>186354</v>
      </c>
      <c r="C2951" s="7">
        <v>13500000</v>
      </c>
      <c r="D2951" s="7">
        <f t="shared" si="47"/>
        <v>-13313646</v>
      </c>
    </row>
    <row r="2952" spans="1:4" ht="18" customHeight="1" x14ac:dyDescent="0.25">
      <c r="A2952" s="2" t="s">
        <v>4663</v>
      </c>
      <c r="B2952" s="7">
        <v>10911750</v>
      </c>
      <c r="C2952" s="7">
        <v>25000000</v>
      </c>
      <c r="D2952" s="7">
        <f t="shared" si="47"/>
        <v>-14088250</v>
      </c>
    </row>
    <row r="2953" spans="1:4" ht="18" customHeight="1" x14ac:dyDescent="0.25">
      <c r="A2953" s="2" t="s">
        <v>2733</v>
      </c>
      <c r="B2953" s="7">
        <v>48334413</v>
      </c>
      <c r="C2953" s="7">
        <v>15000</v>
      </c>
      <c r="D2953" s="7">
        <f t="shared" si="47"/>
        <v>48319413</v>
      </c>
    </row>
    <row r="2954" spans="1:4" ht="18" customHeight="1" x14ac:dyDescent="0.25">
      <c r="A2954" s="2" t="s">
        <v>2280</v>
      </c>
      <c r="B2954" s="7">
        <v>48334413</v>
      </c>
      <c r="C2954" s="7">
        <v>2000000</v>
      </c>
      <c r="D2954" s="7">
        <f t="shared" si="47"/>
        <v>46334413</v>
      </c>
    </row>
    <row r="2955" spans="1:4" ht="18" customHeight="1" x14ac:dyDescent="0.25">
      <c r="A2955" s="2" t="s">
        <v>5508</v>
      </c>
      <c r="B2955" s="7">
        <v>2712293</v>
      </c>
      <c r="C2955" s="7">
        <v>450000</v>
      </c>
      <c r="D2955" s="7">
        <f t="shared" si="47"/>
        <v>2262293</v>
      </c>
    </row>
    <row r="2956" spans="1:4" ht="18" customHeight="1" x14ac:dyDescent="0.25">
      <c r="A2956" s="2" t="s">
        <v>5013</v>
      </c>
      <c r="B2956" s="7">
        <v>6563357</v>
      </c>
      <c r="C2956" s="7">
        <v>20000000</v>
      </c>
      <c r="D2956" s="7">
        <f t="shared" si="47"/>
        <v>-13436643</v>
      </c>
    </row>
    <row r="2957" spans="1:4" ht="18" customHeight="1" x14ac:dyDescent="0.25">
      <c r="A2957" s="2" t="s">
        <v>3014</v>
      </c>
      <c r="B2957" s="7">
        <v>40137776</v>
      </c>
      <c r="C2957" s="7">
        <v>38000000</v>
      </c>
      <c r="D2957" s="7">
        <f t="shared" si="47"/>
        <v>2137776</v>
      </c>
    </row>
    <row r="2958" spans="1:4" ht="18" customHeight="1" x14ac:dyDescent="0.25">
      <c r="A2958" s="2" t="s">
        <v>1833</v>
      </c>
      <c r="B2958" s="7">
        <v>48334413</v>
      </c>
      <c r="C2958" s="7">
        <v>10000000</v>
      </c>
      <c r="D2958" s="7">
        <f t="shared" si="47"/>
        <v>38334413</v>
      </c>
    </row>
    <row r="2959" spans="1:4" ht="18" customHeight="1" x14ac:dyDescent="0.25">
      <c r="A2959" s="2" t="s">
        <v>1450</v>
      </c>
      <c r="B2959" s="7">
        <v>48334413</v>
      </c>
      <c r="C2959" s="7">
        <v>39751583.5</v>
      </c>
      <c r="D2959" s="7">
        <f t="shared" si="47"/>
        <v>8582829.5</v>
      </c>
    </row>
    <row r="2960" spans="1:4" ht="18" customHeight="1" x14ac:dyDescent="0.25">
      <c r="A2960" s="2" t="s">
        <v>4708</v>
      </c>
      <c r="B2960" s="7">
        <v>10324441</v>
      </c>
      <c r="C2960" s="7">
        <v>25000000</v>
      </c>
      <c r="D2960" s="7">
        <f t="shared" si="47"/>
        <v>-14675559</v>
      </c>
    </row>
    <row r="2961" spans="1:4" ht="18" customHeight="1" x14ac:dyDescent="0.25">
      <c r="A2961" s="2" t="s">
        <v>4817</v>
      </c>
      <c r="B2961" s="7">
        <v>8742261</v>
      </c>
      <c r="C2961" s="7">
        <v>18000000</v>
      </c>
      <c r="D2961" s="7">
        <f t="shared" si="47"/>
        <v>-9257739</v>
      </c>
    </row>
    <row r="2962" spans="1:4" ht="18" customHeight="1" x14ac:dyDescent="0.25">
      <c r="A2962" s="2" t="s">
        <v>3322</v>
      </c>
      <c r="B2962" s="7">
        <v>33423521</v>
      </c>
      <c r="C2962" s="7">
        <v>35000000</v>
      </c>
      <c r="D2962" s="7">
        <f t="shared" si="47"/>
        <v>-1576479</v>
      </c>
    </row>
    <row r="2963" spans="1:4" ht="18" customHeight="1" x14ac:dyDescent="0.25">
      <c r="A2963" s="2" t="s">
        <v>3663</v>
      </c>
      <c r="B2963" s="7">
        <v>26415649</v>
      </c>
      <c r="C2963" s="7">
        <v>20000000</v>
      </c>
      <c r="D2963" s="7">
        <f t="shared" si="47"/>
        <v>6415649</v>
      </c>
    </row>
    <row r="2964" spans="1:4" ht="18" customHeight="1" x14ac:dyDescent="0.25">
      <c r="A2964" s="2" t="s">
        <v>331</v>
      </c>
      <c r="B2964" s="7">
        <v>85300000</v>
      </c>
      <c r="C2964" s="7">
        <v>10000000</v>
      </c>
      <c r="D2964" s="7">
        <f t="shared" si="47"/>
        <v>75300000</v>
      </c>
    </row>
    <row r="2965" spans="1:4" ht="18" customHeight="1" x14ac:dyDescent="0.25">
      <c r="A2965" s="2" t="s">
        <v>3351</v>
      </c>
      <c r="B2965" s="7">
        <v>32800000</v>
      </c>
      <c r="C2965" s="7">
        <v>40000000</v>
      </c>
      <c r="D2965" s="7">
        <f t="shared" si="47"/>
        <v>-7200000</v>
      </c>
    </row>
    <row r="2966" spans="1:4" ht="18" customHeight="1" x14ac:dyDescent="0.25">
      <c r="A2966" s="2" t="s">
        <v>3301</v>
      </c>
      <c r="B2966" s="7">
        <v>33828318</v>
      </c>
      <c r="C2966" s="7">
        <v>55000000</v>
      </c>
      <c r="D2966" s="7">
        <f t="shared" si="47"/>
        <v>-21171682</v>
      </c>
    </row>
    <row r="2967" spans="1:4" ht="18" customHeight="1" x14ac:dyDescent="0.25">
      <c r="A2967" s="2" t="s">
        <v>2219</v>
      </c>
      <c r="B2967" s="7">
        <v>48334413</v>
      </c>
      <c r="C2967" s="7">
        <v>2500000</v>
      </c>
      <c r="D2967" s="7">
        <f t="shared" si="47"/>
        <v>45834413</v>
      </c>
    </row>
    <row r="2968" spans="1:4" ht="18" customHeight="1" x14ac:dyDescent="0.25">
      <c r="A2968" s="2" t="s">
        <v>1523</v>
      </c>
      <c r="B2968" s="7">
        <v>48334413</v>
      </c>
      <c r="C2968" s="7">
        <v>39751583.5</v>
      </c>
      <c r="D2968" s="7">
        <f t="shared" si="47"/>
        <v>8582829.5</v>
      </c>
    </row>
    <row r="2969" spans="1:4" ht="18" customHeight="1" x14ac:dyDescent="0.25">
      <c r="A2969" s="2" t="s">
        <v>2308</v>
      </c>
      <c r="B2969" s="7">
        <v>48334413</v>
      </c>
      <c r="C2969" s="7">
        <v>1800000</v>
      </c>
      <c r="D2969" s="7">
        <f t="shared" si="47"/>
        <v>46534413</v>
      </c>
    </row>
    <row r="2970" spans="1:4" ht="18" customHeight="1" x14ac:dyDescent="0.25">
      <c r="A2970" s="2" t="s">
        <v>6021</v>
      </c>
      <c r="B2970" s="7">
        <v>466702</v>
      </c>
      <c r="C2970" s="7">
        <v>39751583.5</v>
      </c>
      <c r="D2970" s="7">
        <f t="shared" si="47"/>
        <v>-39284881.5</v>
      </c>
    </row>
    <row r="2971" spans="1:4" ht="18" customHeight="1" x14ac:dyDescent="0.25">
      <c r="A2971" s="2" t="s">
        <v>1721</v>
      </c>
      <c r="B2971" s="7">
        <v>48334413</v>
      </c>
      <c r="C2971" s="7">
        <v>17000000</v>
      </c>
      <c r="D2971" s="7">
        <f t="shared" si="47"/>
        <v>31334413</v>
      </c>
    </row>
    <row r="2972" spans="1:4" ht="18" customHeight="1" x14ac:dyDescent="0.25">
      <c r="A2972" s="2" t="s">
        <v>3185</v>
      </c>
      <c r="B2972" s="7">
        <v>36381716</v>
      </c>
      <c r="C2972" s="7">
        <v>82000000</v>
      </c>
      <c r="D2972" s="7">
        <f t="shared" si="47"/>
        <v>-45618284</v>
      </c>
    </row>
    <row r="2973" spans="1:4" ht="18" customHeight="1" x14ac:dyDescent="0.25">
      <c r="A2973" s="2" t="s">
        <v>4115</v>
      </c>
      <c r="B2973" s="7">
        <v>18272447</v>
      </c>
      <c r="C2973" s="7">
        <v>10000000</v>
      </c>
      <c r="D2973" s="7">
        <f t="shared" si="47"/>
        <v>8272447</v>
      </c>
    </row>
    <row r="2974" spans="1:4" ht="18" customHeight="1" x14ac:dyDescent="0.25">
      <c r="A2974" s="2" t="s">
        <v>6254</v>
      </c>
      <c r="B2974" s="7">
        <v>177840</v>
      </c>
      <c r="C2974" s="7">
        <v>250000</v>
      </c>
      <c r="D2974" s="7">
        <f t="shared" si="47"/>
        <v>-72160</v>
      </c>
    </row>
    <row r="2975" spans="1:4" ht="18" customHeight="1" x14ac:dyDescent="0.25">
      <c r="A2975" s="2" t="s">
        <v>4025</v>
      </c>
      <c r="B2975" s="7">
        <v>19693891</v>
      </c>
      <c r="C2975" s="7">
        <v>34000000</v>
      </c>
      <c r="D2975" s="7">
        <f t="shared" si="47"/>
        <v>-14306109</v>
      </c>
    </row>
    <row r="2976" spans="1:4" ht="18" customHeight="1" x14ac:dyDescent="0.25">
      <c r="A2976" s="2" t="s">
        <v>4048</v>
      </c>
      <c r="B2976" s="7">
        <v>19283782</v>
      </c>
      <c r="C2976" s="7">
        <v>22000000</v>
      </c>
      <c r="D2976" s="7">
        <f t="shared" si="47"/>
        <v>-2716218</v>
      </c>
    </row>
    <row r="2977" spans="1:4" ht="18" customHeight="1" x14ac:dyDescent="0.25">
      <c r="A2977" s="2" t="s">
        <v>6407</v>
      </c>
      <c r="B2977" s="7">
        <v>95016</v>
      </c>
      <c r="C2977" s="7">
        <v>2700000</v>
      </c>
      <c r="D2977" s="7">
        <f t="shared" si="47"/>
        <v>-2604984</v>
      </c>
    </row>
    <row r="2978" spans="1:4" ht="18" customHeight="1" x14ac:dyDescent="0.25">
      <c r="A2978" s="2" t="s">
        <v>1541</v>
      </c>
      <c r="B2978" s="7">
        <v>48334413</v>
      </c>
      <c r="C2978" s="7">
        <v>39751583.5</v>
      </c>
      <c r="D2978" s="7">
        <f t="shared" si="47"/>
        <v>8582829.5</v>
      </c>
    </row>
    <row r="2979" spans="1:4" ht="18" customHeight="1" x14ac:dyDescent="0.25">
      <c r="A2979" s="2" t="s">
        <v>4584</v>
      </c>
      <c r="B2979" s="7">
        <v>12055108</v>
      </c>
      <c r="C2979" s="7">
        <v>8000000</v>
      </c>
      <c r="D2979" s="7">
        <f t="shared" si="47"/>
        <v>4055108</v>
      </c>
    </row>
    <row r="2980" spans="1:4" ht="18" customHeight="1" x14ac:dyDescent="0.25">
      <c r="A2980" s="2" t="s">
        <v>5445</v>
      </c>
      <c r="B2980" s="7">
        <v>3064356</v>
      </c>
      <c r="C2980" s="7">
        <v>5600000</v>
      </c>
      <c r="D2980" s="7">
        <f t="shared" si="47"/>
        <v>-2535644</v>
      </c>
    </row>
    <row r="2981" spans="1:4" ht="18" customHeight="1" x14ac:dyDescent="0.25">
      <c r="A2981" s="2" t="s">
        <v>5358</v>
      </c>
      <c r="B2981" s="7">
        <v>3675072</v>
      </c>
      <c r="C2981" s="7">
        <v>26000000</v>
      </c>
      <c r="D2981" s="7">
        <f t="shared" si="47"/>
        <v>-22324928</v>
      </c>
    </row>
    <row r="2982" spans="1:4" ht="18" customHeight="1" x14ac:dyDescent="0.25">
      <c r="A2982" s="2" t="s">
        <v>1766</v>
      </c>
      <c r="B2982" s="7">
        <v>48334413</v>
      </c>
      <c r="C2982" s="7">
        <v>13000000</v>
      </c>
      <c r="D2982" s="7">
        <f t="shared" si="47"/>
        <v>35334413</v>
      </c>
    </row>
    <row r="2983" spans="1:4" ht="18" customHeight="1" x14ac:dyDescent="0.25">
      <c r="A2983" s="2" t="s">
        <v>3961</v>
      </c>
      <c r="B2983" s="7">
        <v>20915465</v>
      </c>
      <c r="C2983" s="7">
        <v>42000000</v>
      </c>
      <c r="D2983" s="7">
        <f t="shared" si="47"/>
        <v>-21084535</v>
      </c>
    </row>
    <row r="2984" spans="1:4" ht="18" customHeight="1" x14ac:dyDescent="0.25">
      <c r="A2984" s="2" t="s">
        <v>4628</v>
      </c>
      <c r="B2984" s="7">
        <v>11529368</v>
      </c>
      <c r="C2984" s="7">
        <v>65000</v>
      </c>
      <c r="D2984" s="7">
        <f t="shared" si="47"/>
        <v>11464368</v>
      </c>
    </row>
    <row r="2985" spans="1:4" ht="18" customHeight="1" x14ac:dyDescent="0.25">
      <c r="A2985" s="2" t="s">
        <v>4100</v>
      </c>
      <c r="B2985" s="7">
        <v>18488314</v>
      </c>
      <c r="C2985" s="7">
        <v>1200000</v>
      </c>
      <c r="D2985" s="7">
        <f t="shared" si="47"/>
        <v>17288314</v>
      </c>
    </row>
    <row r="2986" spans="1:4" ht="18" customHeight="1" x14ac:dyDescent="0.25">
      <c r="A2986" s="2" t="s">
        <v>6117</v>
      </c>
      <c r="B2986" s="7">
        <v>322157</v>
      </c>
      <c r="C2986" s="7">
        <v>2500000</v>
      </c>
      <c r="D2986" s="7">
        <f t="shared" si="47"/>
        <v>-2177843</v>
      </c>
    </row>
    <row r="2987" spans="1:4" ht="18" customHeight="1" x14ac:dyDescent="0.25">
      <c r="A2987" s="2" t="s">
        <v>4794</v>
      </c>
      <c r="B2987" s="7">
        <v>9109322</v>
      </c>
      <c r="C2987" s="7">
        <v>20000000</v>
      </c>
      <c r="D2987" s="7">
        <f t="shared" si="47"/>
        <v>-10890678</v>
      </c>
    </row>
    <row r="2988" spans="1:4" ht="18" customHeight="1" x14ac:dyDescent="0.25">
      <c r="A2988" s="2" t="s">
        <v>6637</v>
      </c>
      <c r="B2988" s="7">
        <v>13220</v>
      </c>
      <c r="C2988" s="7">
        <v>39751583.5</v>
      </c>
      <c r="D2988" s="7">
        <f t="shared" si="47"/>
        <v>-39738363.5</v>
      </c>
    </row>
    <row r="2989" spans="1:4" ht="18" customHeight="1" x14ac:dyDescent="0.25">
      <c r="A2989" s="2" t="s">
        <v>5432</v>
      </c>
      <c r="B2989" s="7">
        <v>3101301</v>
      </c>
      <c r="C2989" s="7">
        <v>39751583.5</v>
      </c>
      <c r="D2989" s="7">
        <f t="shared" si="47"/>
        <v>-36650282.5</v>
      </c>
    </row>
    <row r="2990" spans="1:4" ht="18" customHeight="1" x14ac:dyDescent="0.25">
      <c r="A2990" s="2" t="s">
        <v>3693</v>
      </c>
      <c r="B2990" s="7">
        <v>25871834</v>
      </c>
      <c r="C2990" s="7">
        <v>35000000</v>
      </c>
      <c r="D2990" s="7">
        <f t="shared" si="47"/>
        <v>-9128166</v>
      </c>
    </row>
    <row r="2991" spans="1:4" ht="18" customHeight="1" x14ac:dyDescent="0.25">
      <c r="A2991" s="2" t="s">
        <v>58</v>
      </c>
      <c r="B2991" s="7">
        <v>108200000</v>
      </c>
      <c r="C2991" s="7">
        <v>54000000</v>
      </c>
      <c r="D2991" s="7">
        <f t="shared" si="47"/>
        <v>54200000</v>
      </c>
    </row>
    <row r="2992" spans="1:4" ht="18" customHeight="1" x14ac:dyDescent="0.25">
      <c r="A2992" s="2" t="s">
        <v>834</v>
      </c>
      <c r="B2992" s="7">
        <v>60000000</v>
      </c>
      <c r="C2992" s="7">
        <v>39000000</v>
      </c>
      <c r="D2992" s="7">
        <f t="shared" si="47"/>
        <v>21000000</v>
      </c>
    </row>
    <row r="2993" spans="1:4" ht="18" customHeight="1" x14ac:dyDescent="0.25">
      <c r="A2993" s="2" t="s">
        <v>4297</v>
      </c>
      <c r="B2993" s="7">
        <v>15681020</v>
      </c>
      <c r="C2993" s="7">
        <v>17000000</v>
      </c>
      <c r="D2993" s="7">
        <f t="shared" si="47"/>
        <v>-1318980</v>
      </c>
    </row>
    <row r="2994" spans="1:4" ht="18" customHeight="1" x14ac:dyDescent="0.25">
      <c r="A2994" s="2" t="s">
        <v>4410</v>
      </c>
      <c r="B2994" s="7">
        <v>14218868</v>
      </c>
      <c r="C2994" s="7">
        <v>65000000</v>
      </c>
      <c r="D2994" s="7">
        <f t="shared" si="47"/>
        <v>-50781132</v>
      </c>
    </row>
    <row r="2995" spans="1:4" ht="18" customHeight="1" x14ac:dyDescent="0.25">
      <c r="A2995" s="2" t="s">
        <v>3470</v>
      </c>
      <c r="B2995" s="7">
        <v>30628981</v>
      </c>
      <c r="C2995" s="7">
        <v>14000000</v>
      </c>
      <c r="D2995" s="7">
        <f t="shared" si="47"/>
        <v>16628981</v>
      </c>
    </row>
    <row r="2996" spans="1:4" ht="18" customHeight="1" x14ac:dyDescent="0.25">
      <c r="A2996" s="2" t="s">
        <v>1563</v>
      </c>
      <c r="B2996" s="7">
        <v>48334413</v>
      </c>
      <c r="C2996" s="7">
        <v>39751583.5</v>
      </c>
      <c r="D2996" s="7">
        <f t="shared" si="47"/>
        <v>8582829.5</v>
      </c>
    </row>
    <row r="2997" spans="1:4" ht="18" customHeight="1" x14ac:dyDescent="0.25">
      <c r="A2997" s="2" t="s">
        <v>2133</v>
      </c>
      <c r="B2997" s="7">
        <v>48334413</v>
      </c>
      <c r="C2997" s="7">
        <v>3200000</v>
      </c>
      <c r="D2997" s="7">
        <f t="shared" si="47"/>
        <v>45134413</v>
      </c>
    </row>
    <row r="2998" spans="1:4" ht="18" customHeight="1" x14ac:dyDescent="0.25">
      <c r="A2998" s="2" t="s">
        <v>6531</v>
      </c>
      <c r="B2998" s="7">
        <v>36497</v>
      </c>
      <c r="C2998" s="7">
        <v>6000000</v>
      </c>
      <c r="D2998" s="7">
        <f t="shared" si="47"/>
        <v>-5963503</v>
      </c>
    </row>
    <row r="2999" spans="1:4" ht="18" customHeight="1" x14ac:dyDescent="0.25">
      <c r="A2999" s="2" t="s">
        <v>3076</v>
      </c>
      <c r="B2999" s="7">
        <v>38542418</v>
      </c>
      <c r="C2999" s="7">
        <v>80000000</v>
      </c>
      <c r="D2999" s="7">
        <f t="shared" si="47"/>
        <v>-41457582</v>
      </c>
    </row>
    <row r="3000" spans="1:4" ht="18" customHeight="1" x14ac:dyDescent="0.25">
      <c r="A3000" s="2" t="s">
        <v>6381</v>
      </c>
      <c r="B3000" s="7">
        <v>101055</v>
      </c>
      <c r="C3000" s="7">
        <v>4000000</v>
      </c>
      <c r="D3000" s="7">
        <f t="shared" si="47"/>
        <v>-3898945</v>
      </c>
    </row>
    <row r="3001" spans="1:4" ht="18" customHeight="1" x14ac:dyDescent="0.25">
      <c r="A3001" s="2" t="s">
        <v>1688</v>
      </c>
      <c r="B3001" s="7">
        <v>48334413</v>
      </c>
      <c r="C3001" s="7">
        <v>20000000</v>
      </c>
      <c r="D3001" s="7">
        <f t="shared" si="47"/>
        <v>28334413</v>
      </c>
    </row>
    <row r="3002" spans="1:4" ht="18" customHeight="1" x14ac:dyDescent="0.25">
      <c r="A3002" s="2" t="s">
        <v>4820</v>
      </c>
      <c r="B3002" s="7">
        <v>8712564</v>
      </c>
      <c r="C3002" s="7">
        <v>27000000</v>
      </c>
      <c r="D3002" s="7">
        <f t="shared" si="47"/>
        <v>-18287436</v>
      </c>
    </row>
    <row r="3003" spans="1:4" ht="18" customHeight="1" x14ac:dyDescent="0.25">
      <c r="A3003" s="2" t="s">
        <v>1675</v>
      </c>
      <c r="B3003" s="7">
        <v>48334413</v>
      </c>
      <c r="C3003" s="7">
        <v>20000000</v>
      </c>
      <c r="D3003" s="7">
        <f t="shared" si="47"/>
        <v>28334413</v>
      </c>
    </row>
    <row r="3004" spans="1:4" ht="18" customHeight="1" x14ac:dyDescent="0.25">
      <c r="A3004" s="2" t="s">
        <v>3745</v>
      </c>
      <c r="B3004" s="7">
        <v>25178165</v>
      </c>
      <c r="C3004" s="7">
        <v>40000000</v>
      </c>
      <c r="D3004" s="7">
        <f t="shared" si="47"/>
        <v>-14821835</v>
      </c>
    </row>
    <row r="3005" spans="1:4" ht="18" customHeight="1" x14ac:dyDescent="0.25">
      <c r="A3005" s="2" t="s">
        <v>4326</v>
      </c>
      <c r="B3005" s="7">
        <v>15180000</v>
      </c>
      <c r="C3005" s="7">
        <v>500000</v>
      </c>
      <c r="D3005" s="7">
        <f t="shared" si="47"/>
        <v>14680000</v>
      </c>
    </row>
    <row r="3006" spans="1:4" ht="18" customHeight="1" x14ac:dyDescent="0.25">
      <c r="A3006" s="2" t="s">
        <v>1914</v>
      </c>
      <c r="B3006" s="7">
        <v>48334413</v>
      </c>
      <c r="C3006" s="7">
        <v>8000000</v>
      </c>
      <c r="D3006" s="7">
        <f t="shared" si="47"/>
        <v>40334413</v>
      </c>
    </row>
    <row r="3007" spans="1:4" ht="18" customHeight="1" x14ac:dyDescent="0.25">
      <c r="A3007" s="2" t="s">
        <v>5953</v>
      </c>
      <c r="B3007" s="7">
        <v>598645</v>
      </c>
      <c r="C3007" s="7">
        <v>10000000</v>
      </c>
      <c r="D3007" s="7">
        <f t="shared" si="47"/>
        <v>-9401355</v>
      </c>
    </row>
    <row r="3008" spans="1:4" ht="18" customHeight="1" x14ac:dyDescent="0.25">
      <c r="A3008" s="2" t="s">
        <v>3559</v>
      </c>
      <c r="B3008" s="7">
        <v>28563926</v>
      </c>
      <c r="C3008" s="7">
        <v>8500000</v>
      </c>
      <c r="D3008" s="7">
        <f t="shared" si="47"/>
        <v>20063926</v>
      </c>
    </row>
    <row r="3009" spans="1:4" ht="18" customHeight="1" x14ac:dyDescent="0.25">
      <c r="A3009" s="2" t="s">
        <v>4739</v>
      </c>
      <c r="B3009" s="7">
        <v>10105505</v>
      </c>
      <c r="C3009" s="7">
        <v>39751583.5</v>
      </c>
      <c r="D3009" s="7">
        <f t="shared" si="47"/>
        <v>-29646078.5</v>
      </c>
    </row>
    <row r="3010" spans="1:4" ht="18" customHeight="1" x14ac:dyDescent="0.25">
      <c r="A3010" s="2" t="s">
        <v>4246</v>
      </c>
      <c r="B3010" s="7">
        <v>16284360</v>
      </c>
      <c r="C3010" s="7">
        <v>21000000</v>
      </c>
      <c r="D3010" s="7">
        <f t="shared" si="47"/>
        <v>-4715640</v>
      </c>
    </row>
    <row r="3011" spans="1:4" ht="18" customHeight="1" x14ac:dyDescent="0.25">
      <c r="A3011" s="2" t="s">
        <v>5240</v>
      </c>
      <c r="B3011" s="7">
        <v>4505922</v>
      </c>
      <c r="C3011" s="7">
        <v>200000</v>
      </c>
      <c r="D3011" s="7">
        <f t="shared" si="47"/>
        <v>4305922</v>
      </c>
    </row>
    <row r="3012" spans="1:4" ht="18" customHeight="1" x14ac:dyDescent="0.25">
      <c r="A3012" s="2" t="s">
        <v>5028</v>
      </c>
      <c r="B3012" s="7">
        <v>6482195</v>
      </c>
      <c r="C3012" s="7">
        <v>37000000</v>
      </c>
      <c r="D3012" s="7">
        <f t="shared" si="47"/>
        <v>-30517805</v>
      </c>
    </row>
    <row r="3013" spans="1:4" ht="18" customHeight="1" x14ac:dyDescent="0.25">
      <c r="A3013" s="2" t="s">
        <v>640</v>
      </c>
      <c r="B3013" s="7">
        <v>69772969</v>
      </c>
      <c r="C3013" s="7">
        <v>80000000</v>
      </c>
      <c r="D3013" s="7">
        <f t="shared" ref="D3013:D3076" si="48">B3013-C3013</f>
        <v>-10227031</v>
      </c>
    </row>
    <row r="3014" spans="1:4" ht="18" customHeight="1" x14ac:dyDescent="0.25">
      <c r="A3014" s="2" t="s">
        <v>4606</v>
      </c>
      <c r="B3014" s="7">
        <v>11702090</v>
      </c>
      <c r="C3014" s="7">
        <v>16500000</v>
      </c>
      <c r="D3014" s="7">
        <f t="shared" si="48"/>
        <v>-4797910</v>
      </c>
    </row>
    <row r="3015" spans="1:4" ht="18" customHeight="1" x14ac:dyDescent="0.25">
      <c r="A3015" s="2" t="s">
        <v>5439</v>
      </c>
      <c r="B3015" s="7">
        <v>3081925</v>
      </c>
      <c r="C3015" s="7">
        <v>21000000</v>
      </c>
      <c r="D3015" s="7">
        <f t="shared" si="48"/>
        <v>-17918075</v>
      </c>
    </row>
    <row r="3016" spans="1:4" ht="18" customHeight="1" x14ac:dyDescent="0.25">
      <c r="A3016" s="2" t="s">
        <v>1126</v>
      </c>
      <c r="B3016" s="7">
        <v>101630576</v>
      </c>
      <c r="C3016" s="7">
        <v>100000000</v>
      </c>
      <c r="D3016" s="7">
        <f t="shared" si="48"/>
        <v>1630576</v>
      </c>
    </row>
    <row r="3017" spans="1:4" ht="18" customHeight="1" x14ac:dyDescent="0.25">
      <c r="A3017" s="2" t="s">
        <v>5854</v>
      </c>
      <c r="B3017" s="7">
        <v>872643</v>
      </c>
      <c r="C3017" s="7">
        <v>6000000</v>
      </c>
      <c r="D3017" s="7">
        <f t="shared" si="48"/>
        <v>-5127357</v>
      </c>
    </row>
    <row r="3018" spans="1:4" ht="18" customHeight="1" x14ac:dyDescent="0.25">
      <c r="A3018" s="2" t="s">
        <v>5484</v>
      </c>
      <c r="B3018" s="7">
        <v>2882062</v>
      </c>
      <c r="C3018" s="7">
        <v>150000</v>
      </c>
      <c r="D3018" s="7">
        <f t="shared" si="48"/>
        <v>2732062</v>
      </c>
    </row>
    <row r="3019" spans="1:4" ht="18" customHeight="1" x14ac:dyDescent="0.25">
      <c r="A3019" s="2" t="s">
        <v>5781</v>
      </c>
      <c r="B3019" s="7">
        <v>1110186</v>
      </c>
      <c r="C3019" s="7">
        <v>12800000</v>
      </c>
      <c r="D3019" s="7">
        <f t="shared" si="48"/>
        <v>-11689814</v>
      </c>
    </row>
    <row r="3020" spans="1:4" ht="18" customHeight="1" x14ac:dyDescent="0.25">
      <c r="A3020" s="2" t="s">
        <v>4973</v>
      </c>
      <c r="B3020" s="7">
        <v>6923891</v>
      </c>
      <c r="C3020" s="7">
        <v>23000000</v>
      </c>
      <c r="D3020" s="7">
        <f t="shared" si="48"/>
        <v>-16076109</v>
      </c>
    </row>
    <row r="3021" spans="1:4" ht="18" customHeight="1" x14ac:dyDescent="0.25">
      <c r="A3021" s="2" t="s">
        <v>5662</v>
      </c>
      <c r="B3021" s="7">
        <v>1729969</v>
      </c>
      <c r="C3021" s="7">
        <v>5000000</v>
      </c>
      <c r="D3021" s="7">
        <f t="shared" si="48"/>
        <v>-3270031</v>
      </c>
    </row>
    <row r="3022" spans="1:4" ht="18" customHeight="1" x14ac:dyDescent="0.25">
      <c r="A3022" s="2" t="s">
        <v>3264</v>
      </c>
      <c r="B3022" s="7">
        <v>34703228</v>
      </c>
      <c r="C3022" s="7">
        <v>30000000</v>
      </c>
      <c r="D3022" s="7">
        <f t="shared" si="48"/>
        <v>4703228</v>
      </c>
    </row>
    <row r="3023" spans="1:4" ht="18" customHeight="1" x14ac:dyDescent="0.25">
      <c r="A3023" s="2" t="s">
        <v>294</v>
      </c>
      <c r="B3023" s="7">
        <v>89253340</v>
      </c>
      <c r="C3023" s="7">
        <v>48000000</v>
      </c>
      <c r="D3023" s="7">
        <f t="shared" si="48"/>
        <v>41253340</v>
      </c>
    </row>
    <row r="3024" spans="1:4" ht="18" customHeight="1" x14ac:dyDescent="0.25">
      <c r="A3024" s="2" t="s">
        <v>889</v>
      </c>
      <c r="B3024" s="7">
        <v>57744720</v>
      </c>
      <c r="C3024" s="7">
        <v>20000000</v>
      </c>
      <c r="D3024" s="7">
        <f t="shared" si="48"/>
        <v>37744720</v>
      </c>
    </row>
    <row r="3025" spans="1:4" ht="18" customHeight="1" x14ac:dyDescent="0.25">
      <c r="A3025" s="2" t="s">
        <v>4926</v>
      </c>
      <c r="B3025" s="7">
        <v>7443007</v>
      </c>
      <c r="C3025" s="7">
        <v>30000000</v>
      </c>
      <c r="D3025" s="7">
        <f t="shared" si="48"/>
        <v>-22556993</v>
      </c>
    </row>
    <row r="3026" spans="1:4" ht="18" customHeight="1" x14ac:dyDescent="0.25">
      <c r="A3026" s="2" t="s">
        <v>3946</v>
      </c>
      <c r="B3026" s="7">
        <v>21088568</v>
      </c>
      <c r="C3026" s="7">
        <v>13000000</v>
      </c>
      <c r="D3026" s="7">
        <f t="shared" si="48"/>
        <v>8088568</v>
      </c>
    </row>
    <row r="3027" spans="1:4" ht="18" customHeight="1" x14ac:dyDescent="0.25">
      <c r="A3027" s="2" t="s">
        <v>4600</v>
      </c>
      <c r="B3027" s="7">
        <v>11797927</v>
      </c>
      <c r="C3027" s="7">
        <v>6000000</v>
      </c>
      <c r="D3027" s="7">
        <f t="shared" si="48"/>
        <v>5797927</v>
      </c>
    </row>
    <row r="3028" spans="1:4" ht="18" customHeight="1" x14ac:dyDescent="0.25">
      <c r="A3028" s="2" t="s">
        <v>5380</v>
      </c>
      <c r="B3028" s="7">
        <v>3468572</v>
      </c>
      <c r="C3028" s="7">
        <v>4000000</v>
      </c>
      <c r="D3028" s="7">
        <f t="shared" si="48"/>
        <v>-531428</v>
      </c>
    </row>
    <row r="3029" spans="1:4" ht="18" customHeight="1" x14ac:dyDescent="0.25">
      <c r="A3029" s="2" t="s">
        <v>337</v>
      </c>
      <c r="B3029" s="7">
        <v>84518155</v>
      </c>
      <c r="C3029" s="7">
        <v>20000000</v>
      </c>
      <c r="D3029" s="7">
        <f t="shared" si="48"/>
        <v>64518155</v>
      </c>
    </row>
    <row r="3030" spans="1:4" ht="18" customHeight="1" x14ac:dyDescent="0.25">
      <c r="A3030" s="2" t="s">
        <v>760</v>
      </c>
      <c r="B3030" s="7">
        <v>63408614</v>
      </c>
      <c r="C3030" s="7">
        <v>55000000</v>
      </c>
      <c r="D3030" s="7">
        <f t="shared" si="48"/>
        <v>8408614</v>
      </c>
    </row>
    <row r="3031" spans="1:4" ht="18" customHeight="1" x14ac:dyDescent="0.25">
      <c r="A3031" s="2" t="s">
        <v>5306</v>
      </c>
      <c r="B3031" s="7">
        <v>4064333</v>
      </c>
      <c r="C3031" s="7">
        <v>25000000</v>
      </c>
      <c r="D3031" s="7">
        <f t="shared" si="48"/>
        <v>-20935667</v>
      </c>
    </row>
    <row r="3032" spans="1:4" ht="18" customHeight="1" x14ac:dyDescent="0.25">
      <c r="A3032" s="2" t="s">
        <v>6696</v>
      </c>
      <c r="B3032" s="7">
        <v>5005</v>
      </c>
      <c r="C3032" s="7">
        <v>3000000</v>
      </c>
      <c r="D3032" s="7">
        <f t="shared" si="48"/>
        <v>-2994995</v>
      </c>
    </row>
    <row r="3033" spans="1:4" ht="18" customHeight="1" x14ac:dyDescent="0.25">
      <c r="A3033" s="2" t="s">
        <v>5957</v>
      </c>
      <c r="B3033" s="7">
        <v>592014</v>
      </c>
      <c r="C3033" s="7">
        <v>218</v>
      </c>
      <c r="D3033" s="7">
        <f t="shared" si="48"/>
        <v>591796</v>
      </c>
    </row>
    <row r="3034" spans="1:4" ht="18" customHeight="1" x14ac:dyDescent="0.25">
      <c r="A3034" s="2" t="s">
        <v>2377</v>
      </c>
      <c r="B3034" s="7">
        <v>48334413</v>
      </c>
      <c r="C3034" s="7">
        <v>1300000</v>
      </c>
      <c r="D3034" s="7">
        <f t="shared" si="48"/>
        <v>47034413</v>
      </c>
    </row>
    <row r="3035" spans="1:4" ht="18" customHeight="1" x14ac:dyDescent="0.25">
      <c r="A3035" s="2" t="s">
        <v>6152</v>
      </c>
      <c r="B3035" s="7">
        <v>274661</v>
      </c>
      <c r="C3035" s="7">
        <v>1000000</v>
      </c>
      <c r="D3035" s="7">
        <f t="shared" si="48"/>
        <v>-725339</v>
      </c>
    </row>
    <row r="3036" spans="1:4" ht="18" customHeight="1" x14ac:dyDescent="0.25">
      <c r="A3036" s="2" t="s">
        <v>2417</v>
      </c>
      <c r="B3036" s="7">
        <v>48334413</v>
      </c>
      <c r="C3036" s="7">
        <v>1000000</v>
      </c>
      <c r="D3036" s="7">
        <f t="shared" si="48"/>
        <v>47334413</v>
      </c>
    </row>
    <row r="3037" spans="1:4" ht="18" customHeight="1" x14ac:dyDescent="0.25">
      <c r="A3037" s="2" t="s">
        <v>4395</v>
      </c>
      <c r="B3037" s="7">
        <v>14348123</v>
      </c>
      <c r="C3037" s="7">
        <v>12000000</v>
      </c>
      <c r="D3037" s="7">
        <f t="shared" si="48"/>
        <v>2348123</v>
      </c>
    </row>
    <row r="3038" spans="1:4" ht="18" customHeight="1" x14ac:dyDescent="0.25">
      <c r="A3038" s="2" t="s">
        <v>5026</v>
      </c>
      <c r="B3038" s="7">
        <v>6491350</v>
      </c>
      <c r="C3038" s="7">
        <v>10000000</v>
      </c>
      <c r="D3038" s="7">
        <f t="shared" si="48"/>
        <v>-3508650</v>
      </c>
    </row>
    <row r="3039" spans="1:4" ht="18" customHeight="1" x14ac:dyDescent="0.25">
      <c r="A3039" s="2" t="s">
        <v>3352</v>
      </c>
      <c r="B3039" s="7">
        <v>32774834</v>
      </c>
      <c r="C3039" s="7">
        <v>30000000</v>
      </c>
      <c r="D3039" s="7">
        <f t="shared" si="48"/>
        <v>2774834</v>
      </c>
    </row>
    <row r="3040" spans="1:4" ht="18" customHeight="1" x14ac:dyDescent="0.25">
      <c r="A3040" s="2" t="s">
        <v>2902</v>
      </c>
      <c r="B3040" s="7">
        <v>43426961</v>
      </c>
      <c r="C3040" s="7">
        <v>70000000</v>
      </c>
      <c r="D3040" s="7">
        <f t="shared" si="48"/>
        <v>-26573039</v>
      </c>
    </row>
    <row r="3041" spans="1:4" ht="18" customHeight="1" x14ac:dyDescent="0.25">
      <c r="A3041" s="2" t="s">
        <v>406</v>
      </c>
      <c r="B3041" s="7">
        <v>81257500</v>
      </c>
      <c r="C3041" s="7">
        <v>68000000</v>
      </c>
      <c r="D3041" s="7">
        <f t="shared" si="48"/>
        <v>13257500</v>
      </c>
    </row>
    <row r="3042" spans="1:4" ht="18" customHeight="1" x14ac:dyDescent="0.25">
      <c r="A3042" s="2" t="s">
        <v>4883</v>
      </c>
      <c r="B3042" s="7">
        <v>7888703</v>
      </c>
      <c r="C3042" s="7">
        <v>3000000</v>
      </c>
      <c r="D3042" s="7">
        <f t="shared" si="48"/>
        <v>4888703</v>
      </c>
    </row>
    <row r="3043" spans="1:4" ht="18" customHeight="1" x14ac:dyDescent="0.25">
      <c r="A3043" s="2" t="s">
        <v>464</v>
      </c>
      <c r="B3043" s="7">
        <v>78656813</v>
      </c>
      <c r="C3043" s="7">
        <v>25000000</v>
      </c>
      <c r="D3043" s="7">
        <f t="shared" si="48"/>
        <v>53656813</v>
      </c>
    </row>
    <row r="3044" spans="1:4" ht="18" customHeight="1" x14ac:dyDescent="0.25">
      <c r="A3044" s="2" t="s">
        <v>2920</v>
      </c>
      <c r="B3044" s="7">
        <v>42660000</v>
      </c>
      <c r="C3044" s="7">
        <v>17000000</v>
      </c>
      <c r="D3044" s="7">
        <f t="shared" si="48"/>
        <v>25660000</v>
      </c>
    </row>
    <row r="3045" spans="1:4" ht="18" customHeight="1" x14ac:dyDescent="0.25">
      <c r="A3045" s="2" t="s">
        <v>2602</v>
      </c>
      <c r="B3045" s="7">
        <v>48334413</v>
      </c>
      <c r="C3045" s="7">
        <v>300000</v>
      </c>
      <c r="D3045" s="7">
        <f t="shared" si="48"/>
        <v>48034413</v>
      </c>
    </row>
    <row r="3046" spans="1:4" ht="18" customHeight="1" x14ac:dyDescent="0.25">
      <c r="A3046" s="2" t="s">
        <v>6102</v>
      </c>
      <c r="B3046" s="7">
        <v>347578</v>
      </c>
      <c r="C3046" s="7">
        <v>39751583.5</v>
      </c>
      <c r="D3046" s="7">
        <f t="shared" si="48"/>
        <v>-39404005.5</v>
      </c>
    </row>
    <row r="3047" spans="1:4" ht="18" customHeight="1" x14ac:dyDescent="0.25">
      <c r="A3047" s="2" t="s">
        <v>3281</v>
      </c>
      <c r="B3047" s="7">
        <v>34334256</v>
      </c>
      <c r="C3047" s="7">
        <v>11000000</v>
      </c>
      <c r="D3047" s="7">
        <f t="shared" si="48"/>
        <v>23334256</v>
      </c>
    </row>
    <row r="3048" spans="1:4" ht="18" customHeight="1" x14ac:dyDescent="0.25">
      <c r="A3048" s="2" t="s">
        <v>5931</v>
      </c>
      <c r="B3048" s="7">
        <v>623374</v>
      </c>
      <c r="C3048" s="7">
        <v>38000000</v>
      </c>
      <c r="D3048" s="7">
        <f t="shared" si="48"/>
        <v>-37376626</v>
      </c>
    </row>
    <row r="3049" spans="1:4" ht="18" customHeight="1" x14ac:dyDescent="0.25">
      <c r="A3049" s="2" t="s">
        <v>3771</v>
      </c>
      <c r="B3049" s="7">
        <v>24792061</v>
      </c>
      <c r="C3049" s="7">
        <v>6500000</v>
      </c>
      <c r="D3049" s="7">
        <f t="shared" si="48"/>
        <v>18292061</v>
      </c>
    </row>
    <row r="3050" spans="1:4" ht="18" customHeight="1" x14ac:dyDescent="0.25">
      <c r="A3050" s="2" t="s">
        <v>3680</v>
      </c>
      <c r="B3050" s="7">
        <v>26049082</v>
      </c>
      <c r="C3050" s="7">
        <v>8000000</v>
      </c>
      <c r="D3050" s="7">
        <f t="shared" si="48"/>
        <v>18049082</v>
      </c>
    </row>
    <row r="3051" spans="1:4" ht="18" customHeight="1" x14ac:dyDescent="0.25">
      <c r="A3051" s="2" t="s">
        <v>3698</v>
      </c>
      <c r="B3051" s="7">
        <v>25809813</v>
      </c>
      <c r="C3051" s="7">
        <v>26000000</v>
      </c>
      <c r="D3051" s="7">
        <f t="shared" si="48"/>
        <v>-190187</v>
      </c>
    </row>
    <row r="3052" spans="1:4" ht="18" customHeight="1" x14ac:dyDescent="0.25">
      <c r="A3052" s="2" t="s">
        <v>3168</v>
      </c>
      <c r="B3052" s="7">
        <v>36931089</v>
      </c>
      <c r="C3052" s="7">
        <v>70000000</v>
      </c>
      <c r="D3052" s="7">
        <f t="shared" si="48"/>
        <v>-33068911</v>
      </c>
    </row>
    <row r="3053" spans="1:4" ht="18" customHeight="1" x14ac:dyDescent="0.25">
      <c r="A3053" s="2" t="s">
        <v>3358</v>
      </c>
      <c r="B3053" s="7">
        <v>32694788</v>
      </c>
      <c r="C3053" s="7">
        <v>85000000</v>
      </c>
      <c r="D3053" s="7">
        <f t="shared" si="48"/>
        <v>-52305212</v>
      </c>
    </row>
    <row r="3054" spans="1:4" ht="18" customHeight="1" x14ac:dyDescent="0.25">
      <c r="A3054" s="2" t="s">
        <v>4577</v>
      </c>
      <c r="B3054" s="7">
        <v>12188642</v>
      </c>
      <c r="C3054" s="7">
        <v>26000000</v>
      </c>
      <c r="D3054" s="7">
        <f t="shared" si="48"/>
        <v>-13811358</v>
      </c>
    </row>
    <row r="3055" spans="1:4" ht="18" customHeight="1" x14ac:dyDescent="0.25">
      <c r="A3055" s="2" t="s">
        <v>47</v>
      </c>
      <c r="B3055" s="7">
        <v>109243478</v>
      </c>
      <c r="C3055" s="7">
        <v>26000000</v>
      </c>
      <c r="D3055" s="7">
        <f t="shared" si="48"/>
        <v>83243478</v>
      </c>
    </row>
    <row r="3056" spans="1:4" ht="18" customHeight="1" x14ac:dyDescent="0.25">
      <c r="A3056" s="2" t="s">
        <v>2372</v>
      </c>
      <c r="B3056" s="7">
        <v>48334413</v>
      </c>
      <c r="C3056" s="7">
        <v>1300000</v>
      </c>
      <c r="D3056" s="7">
        <f t="shared" si="48"/>
        <v>47034413</v>
      </c>
    </row>
    <row r="3057" spans="1:4" ht="18" customHeight="1" x14ac:dyDescent="0.25">
      <c r="A3057" s="2" t="s">
        <v>6064</v>
      </c>
      <c r="B3057" s="7">
        <v>399611</v>
      </c>
      <c r="C3057" s="7">
        <v>6000000</v>
      </c>
      <c r="D3057" s="7">
        <f t="shared" si="48"/>
        <v>-5600389</v>
      </c>
    </row>
    <row r="3058" spans="1:4" ht="18" customHeight="1" x14ac:dyDescent="0.25">
      <c r="A3058" s="2" t="s">
        <v>3257</v>
      </c>
      <c r="B3058" s="7">
        <v>34912982</v>
      </c>
      <c r="C3058" s="7">
        <v>38000000</v>
      </c>
      <c r="D3058" s="7">
        <f t="shared" si="48"/>
        <v>-3087018</v>
      </c>
    </row>
    <row r="3059" spans="1:4" ht="18" customHeight="1" x14ac:dyDescent="0.25">
      <c r="A3059" s="2" t="s">
        <v>3272</v>
      </c>
      <c r="B3059" s="7">
        <v>34543701</v>
      </c>
      <c r="C3059" s="7">
        <v>82000000</v>
      </c>
      <c r="D3059" s="7">
        <f t="shared" si="48"/>
        <v>-47456299</v>
      </c>
    </row>
    <row r="3060" spans="1:4" ht="18" customHeight="1" x14ac:dyDescent="0.25">
      <c r="A3060" s="2" t="s">
        <v>1001</v>
      </c>
      <c r="B3060" s="7">
        <v>54222000</v>
      </c>
      <c r="C3060" s="7">
        <v>69500000</v>
      </c>
      <c r="D3060" s="7">
        <f t="shared" si="48"/>
        <v>-15278000</v>
      </c>
    </row>
    <row r="3061" spans="1:4" ht="18" customHeight="1" x14ac:dyDescent="0.25">
      <c r="A3061" s="2" t="s">
        <v>6012</v>
      </c>
      <c r="B3061" s="7">
        <v>484221</v>
      </c>
      <c r="C3061" s="7">
        <v>1000000</v>
      </c>
      <c r="D3061" s="7">
        <f t="shared" si="48"/>
        <v>-515779</v>
      </c>
    </row>
    <row r="3062" spans="1:4" ht="18" customHeight="1" x14ac:dyDescent="0.25">
      <c r="A3062" s="2" t="s">
        <v>782</v>
      </c>
      <c r="B3062" s="7">
        <v>62453315</v>
      </c>
      <c r="C3062" s="7">
        <v>50200000</v>
      </c>
      <c r="D3062" s="7">
        <f t="shared" si="48"/>
        <v>12253315</v>
      </c>
    </row>
    <row r="3063" spans="1:4" ht="18" customHeight="1" x14ac:dyDescent="0.25">
      <c r="A3063" s="2" t="s">
        <v>6702</v>
      </c>
      <c r="B3063" s="7">
        <v>4756</v>
      </c>
      <c r="C3063" s="7">
        <v>25000000</v>
      </c>
      <c r="D3063" s="7">
        <f t="shared" si="48"/>
        <v>-24995244</v>
      </c>
    </row>
    <row r="3064" spans="1:4" ht="18" customHeight="1" x14ac:dyDescent="0.25">
      <c r="A3064" s="2" t="s">
        <v>4612</v>
      </c>
      <c r="B3064" s="7">
        <v>11634458</v>
      </c>
      <c r="C3064" s="7">
        <v>17000000</v>
      </c>
      <c r="D3064" s="7">
        <f t="shared" si="48"/>
        <v>-5365542</v>
      </c>
    </row>
    <row r="3065" spans="1:4" ht="18" customHeight="1" x14ac:dyDescent="0.25">
      <c r="A3065" s="2" t="s">
        <v>3927</v>
      </c>
      <c r="B3065" s="7">
        <v>21413502</v>
      </c>
      <c r="C3065" s="7">
        <v>40000000</v>
      </c>
      <c r="D3065" s="7">
        <f t="shared" si="48"/>
        <v>-18586498</v>
      </c>
    </row>
    <row r="3066" spans="1:4" ht="18" customHeight="1" x14ac:dyDescent="0.25">
      <c r="A3066" s="2" t="s">
        <v>3801</v>
      </c>
      <c r="B3066" s="7">
        <v>24103594</v>
      </c>
      <c r="C3066" s="7">
        <v>6500000</v>
      </c>
      <c r="D3066" s="7">
        <f t="shared" si="48"/>
        <v>17603594</v>
      </c>
    </row>
    <row r="3067" spans="1:4" ht="18" customHeight="1" x14ac:dyDescent="0.25">
      <c r="A3067" s="2" t="s">
        <v>4340</v>
      </c>
      <c r="B3067" s="7">
        <v>15091542</v>
      </c>
      <c r="C3067" s="7">
        <v>25000000</v>
      </c>
      <c r="D3067" s="7">
        <f t="shared" si="48"/>
        <v>-9908458</v>
      </c>
    </row>
    <row r="3068" spans="1:4" ht="18" customHeight="1" x14ac:dyDescent="0.25">
      <c r="A3068" s="2" t="s">
        <v>3685</v>
      </c>
      <c r="B3068" s="7">
        <v>26000610</v>
      </c>
      <c r="C3068" s="7">
        <v>76000000</v>
      </c>
      <c r="D3068" s="7">
        <f t="shared" si="48"/>
        <v>-49999390</v>
      </c>
    </row>
    <row r="3069" spans="1:4" ht="18" customHeight="1" x14ac:dyDescent="0.25">
      <c r="A3069" s="2" t="s">
        <v>3057</v>
      </c>
      <c r="B3069" s="7">
        <v>39177541</v>
      </c>
      <c r="C3069" s="7">
        <v>50000000</v>
      </c>
      <c r="D3069" s="7">
        <f t="shared" si="48"/>
        <v>-10822459</v>
      </c>
    </row>
    <row r="3070" spans="1:4" ht="18" customHeight="1" x14ac:dyDescent="0.25">
      <c r="A3070" s="2" t="s">
        <v>2934</v>
      </c>
      <c r="B3070" s="7">
        <v>42478175</v>
      </c>
      <c r="C3070" s="7">
        <v>25000000</v>
      </c>
      <c r="D3070" s="7">
        <f t="shared" si="48"/>
        <v>17478175</v>
      </c>
    </row>
    <row r="3071" spans="1:4" ht="18" customHeight="1" x14ac:dyDescent="0.25">
      <c r="A3071" s="2" t="s">
        <v>3398</v>
      </c>
      <c r="B3071" s="7">
        <v>32000000</v>
      </c>
      <c r="C3071" s="7">
        <v>30000000</v>
      </c>
      <c r="D3071" s="7">
        <f t="shared" si="48"/>
        <v>2000000</v>
      </c>
    </row>
    <row r="3072" spans="1:4" ht="18" customHeight="1" x14ac:dyDescent="0.25">
      <c r="A3072" s="2" t="s">
        <v>2376</v>
      </c>
      <c r="B3072" s="7">
        <v>48334413</v>
      </c>
      <c r="C3072" s="7">
        <v>1300000</v>
      </c>
      <c r="D3072" s="7">
        <f t="shared" si="48"/>
        <v>47034413</v>
      </c>
    </row>
    <row r="3073" spans="1:4" ht="18" customHeight="1" x14ac:dyDescent="0.25">
      <c r="A3073" s="2" t="s">
        <v>6656</v>
      </c>
      <c r="B3073" s="7">
        <v>11278</v>
      </c>
      <c r="C3073" s="7">
        <v>1300000</v>
      </c>
      <c r="D3073" s="7">
        <f t="shared" si="48"/>
        <v>-1288722</v>
      </c>
    </row>
    <row r="3074" spans="1:4" ht="18" customHeight="1" x14ac:dyDescent="0.25">
      <c r="A3074" s="2" t="s">
        <v>725</v>
      </c>
      <c r="B3074" s="7">
        <v>65000000</v>
      </c>
      <c r="C3074" s="7">
        <v>62000000</v>
      </c>
      <c r="D3074" s="7">
        <f t="shared" si="48"/>
        <v>3000000</v>
      </c>
    </row>
    <row r="3075" spans="1:4" ht="18" customHeight="1" x14ac:dyDescent="0.25">
      <c r="A3075" s="2" t="s">
        <v>3220</v>
      </c>
      <c r="B3075" s="7">
        <v>35596227</v>
      </c>
      <c r="C3075" s="7">
        <v>20000000</v>
      </c>
      <c r="D3075" s="7">
        <f t="shared" si="48"/>
        <v>15596227</v>
      </c>
    </row>
    <row r="3076" spans="1:4" ht="18" customHeight="1" x14ac:dyDescent="0.25">
      <c r="A3076" s="2" t="s">
        <v>741</v>
      </c>
      <c r="B3076" s="7">
        <v>64255243</v>
      </c>
      <c r="C3076" s="7">
        <v>19000000</v>
      </c>
      <c r="D3076" s="7">
        <f t="shared" si="48"/>
        <v>45255243</v>
      </c>
    </row>
    <row r="3077" spans="1:4" ht="18" customHeight="1" x14ac:dyDescent="0.25">
      <c r="A3077" s="2" t="s">
        <v>1956</v>
      </c>
      <c r="B3077" s="7">
        <v>48334413</v>
      </c>
      <c r="C3077" s="7">
        <v>6500000</v>
      </c>
      <c r="D3077" s="7">
        <f t="shared" ref="D3077:D3140" si="49">B3077-C3077</f>
        <v>41834413</v>
      </c>
    </row>
    <row r="3078" spans="1:4" ht="18" customHeight="1" x14ac:dyDescent="0.25">
      <c r="A3078" s="2" t="s">
        <v>71</v>
      </c>
      <c r="B3078" s="7">
        <v>107225164</v>
      </c>
      <c r="C3078" s="7">
        <v>73000000</v>
      </c>
      <c r="D3078" s="7">
        <f t="shared" si="49"/>
        <v>34225164</v>
      </c>
    </row>
    <row r="3079" spans="1:4" ht="18" customHeight="1" x14ac:dyDescent="0.25">
      <c r="A3079" s="2" t="s">
        <v>955</v>
      </c>
      <c r="B3079" s="7">
        <v>55762229</v>
      </c>
      <c r="C3079" s="7">
        <v>22000000</v>
      </c>
      <c r="D3079" s="7">
        <f t="shared" si="49"/>
        <v>33762229</v>
      </c>
    </row>
    <row r="3080" spans="1:4" ht="18" customHeight="1" x14ac:dyDescent="0.25">
      <c r="A3080" s="2" t="s">
        <v>3576</v>
      </c>
      <c r="B3080" s="7">
        <v>28133159</v>
      </c>
      <c r="C3080" s="7">
        <v>50000000</v>
      </c>
      <c r="D3080" s="7">
        <f t="shared" si="49"/>
        <v>-21866841</v>
      </c>
    </row>
    <row r="3081" spans="1:4" ht="18" customHeight="1" x14ac:dyDescent="0.25">
      <c r="A3081" s="2" t="s">
        <v>2144</v>
      </c>
      <c r="B3081" s="7">
        <v>48334413</v>
      </c>
      <c r="C3081" s="7">
        <v>3000000</v>
      </c>
      <c r="D3081" s="7">
        <f t="shared" si="49"/>
        <v>45334413</v>
      </c>
    </row>
    <row r="3082" spans="1:4" ht="18" customHeight="1" x14ac:dyDescent="0.25">
      <c r="A3082" s="2" t="s">
        <v>3973</v>
      </c>
      <c r="B3082" s="7">
        <v>20733485</v>
      </c>
      <c r="C3082" s="7">
        <v>5000000</v>
      </c>
      <c r="D3082" s="7">
        <f t="shared" si="49"/>
        <v>15733485</v>
      </c>
    </row>
    <row r="3083" spans="1:4" ht="18" customHeight="1" x14ac:dyDescent="0.25">
      <c r="A3083" s="2" t="s">
        <v>5193</v>
      </c>
      <c r="B3083" s="7">
        <v>4930798</v>
      </c>
      <c r="C3083" s="7">
        <v>17000000</v>
      </c>
      <c r="D3083" s="7">
        <f t="shared" si="49"/>
        <v>-12069202</v>
      </c>
    </row>
    <row r="3084" spans="1:4" ht="18" customHeight="1" x14ac:dyDescent="0.25">
      <c r="A3084" s="2" t="s">
        <v>5704</v>
      </c>
      <c r="B3084" s="7">
        <v>1429260</v>
      </c>
      <c r="C3084" s="7">
        <v>39751583.5</v>
      </c>
      <c r="D3084" s="7">
        <f t="shared" si="49"/>
        <v>-38322323.5</v>
      </c>
    </row>
    <row r="3085" spans="1:4" ht="18" customHeight="1" x14ac:dyDescent="0.25">
      <c r="A3085" s="2" t="s">
        <v>3492</v>
      </c>
      <c r="B3085" s="7">
        <v>30199105</v>
      </c>
      <c r="C3085" s="7">
        <v>40000000</v>
      </c>
      <c r="D3085" s="7">
        <f t="shared" si="49"/>
        <v>-9800895</v>
      </c>
    </row>
    <row r="3086" spans="1:4" ht="18" customHeight="1" x14ac:dyDescent="0.25">
      <c r="A3086" s="2" t="s">
        <v>2858</v>
      </c>
      <c r="B3086" s="7">
        <v>44667095</v>
      </c>
      <c r="C3086" s="7">
        <v>15000000</v>
      </c>
      <c r="D3086" s="7">
        <f t="shared" si="49"/>
        <v>29667095</v>
      </c>
    </row>
    <row r="3087" spans="1:4" ht="18" customHeight="1" x14ac:dyDescent="0.25">
      <c r="A3087" s="2" t="s">
        <v>5941</v>
      </c>
      <c r="B3087" s="7">
        <v>613556</v>
      </c>
      <c r="C3087" s="7">
        <v>15000000</v>
      </c>
      <c r="D3087" s="7">
        <f t="shared" si="49"/>
        <v>-14386444</v>
      </c>
    </row>
    <row r="3088" spans="1:4" ht="18" customHeight="1" x14ac:dyDescent="0.25">
      <c r="A3088" s="2" t="s">
        <v>5332</v>
      </c>
      <c r="B3088" s="7">
        <v>3904982</v>
      </c>
      <c r="C3088" s="7">
        <v>30000000</v>
      </c>
      <c r="D3088" s="7">
        <f t="shared" si="49"/>
        <v>-26095018</v>
      </c>
    </row>
    <row r="3089" spans="1:4" ht="18" customHeight="1" x14ac:dyDescent="0.25">
      <c r="A3089" s="2" t="s">
        <v>4655</v>
      </c>
      <c r="B3089" s="7">
        <v>10996440</v>
      </c>
      <c r="C3089" s="7">
        <v>13000000</v>
      </c>
      <c r="D3089" s="7">
        <f t="shared" si="49"/>
        <v>-2003560</v>
      </c>
    </row>
    <row r="3090" spans="1:4" ht="18" customHeight="1" x14ac:dyDescent="0.25">
      <c r="A3090" s="2" t="s">
        <v>4677</v>
      </c>
      <c r="B3090" s="7">
        <v>21309162</v>
      </c>
      <c r="C3090" s="7">
        <v>68000000</v>
      </c>
      <c r="D3090" s="7">
        <f t="shared" si="49"/>
        <v>-46690838</v>
      </c>
    </row>
    <row r="3091" spans="1:4" ht="18" customHeight="1" x14ac:dyDescent="0.25">
      <c r="A3091" s="2" t="s">
        <v>1231</v>
      </c>
      <c r="B3091" s="7">
        <v>48334413</v>
      </c>
      <c r="C3091" s="7">
        <v>39751583.5</v>
      </c>
      <c r="D3091" s="7">
        <f t="shared" si="49"/>
        <v>8582829.5</v>
      </c>
    </row>
    <row r="3092" spans="1:4" ht="18" customHeight="1" x14ac:dyDescent="0.25">
      <c r="A3092" s="2" t="s">
        <v>2140</v>
      </c>
      <c r="B3092" s="7">
        <v>48334413</v>
      </c>
      <c r="C3092" s="7">
        <v>3000000</v>
      </c>
      <c r="D3092" s="7">
        <f t="shared" si="49"/>
        <v>45334413</v>
      </c>
    </row>
    <row r="3093" spans="1:4" ht="18" customHeight="1" x14ac:dyDescent="0.25">
      <c r="A3093" s="2" t="s">
        <v>6015</v>
      </c>
      <c r="B3093" s="7">
        <v>476270</v>
      </c>
      <c r="C3093" s="7">
        <v>20000000</v>
      </c>
      <c r="D3093" s="7">
        <f t="shared" si="49"/>
        <v>-19523730</v>
      </c>
    </row>
    <row r="3094" spans="1:4" ht="18" customHeight="1" x14ac:dyDescent="0.25">
      <c r="A3094" s="2" t="s">
        <v>2138</v>
      </c>
      <c r="B3094" s="7">
        <v>48334413</v>
      </c>
      <c r="C3094" s="7">
        <v>3000000</v>
      </c>
      <c r="D3094" s="7">
        <f t="shared" si="49"/>
        <v>45334413</v>
      </c>
    </row>
    <row r="3095" spans="1:4" ht="18" customHeight="1" x14ac:dyDescent="0.25">
      <c r="A3095" s="2" t="s">
        <v>3140</v>
      </c>
      <c r="B3095" s="7">
        <v>37481242</v>
      </c>
      <c r="C3095" s="7">
        <v>35000000</v>
      </c>
      <c r="D3095" s="7">
        <f t="shared" si="49"/>
        <v>2481242</v>
      </c>
    </row>
    <row r="3096" spans="1:4" ht="18" customHeight="1" x14ac:dyDescent="0.25">
      <c r="A3096" s="2" t="s">
        <v>1265</v>
      </c>
      <c r="B3096" s="7">
        <v>48334413</v>
      </c>
      <c r="C3096" s="7">
        <v>39751583.5</v>
      </c>
      <c r="D3096" s="7">
        <f t="shared" si="49"/>
        <v>8582829.5</v>
      </c>
    </row>
    <row r="3097" spans="1:4" ht="18" customHeight="1" x14ac:dyDescent="0.25">
      <c r="A3097" s="2" t="s">
        <v>2094</v>
      </c>
      <c r="B3097" s="7">
        <v>48334413</v>
      </c>
      <c r="C3097" s="7">
        <v>3716946</v>
      </c>
      <c r="D3097" s="7">
        <f t="shared" si="49"/>
        <v>44617467</v>
      </c>
    </row>
    <row r="3098" spans="1:4" ht="18" customHeight="1" x14ac:dyDescent="0.25">
      <c r="A3098" s="2" t="s">
        <v>2382</v>
      </c>
      <c r="B3098" s="7">
        <v>48334413</v>
      </c>
      <c r="C3098" s="7">
        <v>1250000</v>
      </c>
      <c r="D3098" s="7">
        <f t="shared" si="49"/>
        <v>47084413</v>
      </c>
    </row>
    <row r="3099" spans="1:4" ht="18" customHeight="1" x14ac:dyDescent="0.25">
      <c r="A3099" s="2" t="s">
        <v>5903</v>
      </c>
      <c r="B3099" s="7">
        <v>712294</v>
      </c>
      <c r="C3099" s="7">
        <v>1500000</v>
      </c>
      <c r="D3099" s="7">
        <f t="shared" si="49"/>
        <v>-787706</v>
      </c>
    </row>
    <row r="3100" spans="1:4" ht="18" customHeight="1" x14ac:dyDescent="0.25">
      <c r="A3100" s="2" t="s">
        <v>3484</v>
      </c>
      <c r="B3100" s="7">
        <v>30306281</v>
      </c>
      <c r="C3100" s="7">
        <v>10000000</v>
      </c>
      <c r="D3100" s="7">
        <f t="shared" si="49"/>
        <v>20306281</v>
      </c>
    </row>
    <row r="3101" spans="1:4" ht="18" customHeight="1" x14ac:dyDescent="0.25">
      <c r="A3101" s="2" t="s">
        <v>3505</v>
      </c>
      <c r="B3101" s="7">
        <v>30028592</v>
      </c>
      <c r="C3101" s="7">
        <v>20000000</v>
      </c>
      <c r="D3101" s="7">
        <f t="shared" si="49"/>
        <v>10028592</v>
      </c>
    </row>
    <row r="3102" spans="1:4" ht="18" customHeight="1" x14ac:dyDescent="0.25">
      <c r="A3102" s="2" t="s">
        <v>5386</v>
      </c>
      <c r="B3102" s="7">
        <v>3432342</v>
      </c>
      <c r="C3102" s="7">
        <v>6000000</v>
      </c>
      <c r="D3102" s="7">
        <f t="shared" si="49"/>
        <v>-2567658</v>
      </c>
    </row>
    <row r="3103" spans="1:4" ht="18" customHeight="1" x14ac:dyDescent="0.25">
      <c r="A3103" s="2" t="s">
        <v>5877</v>
      </c>
      <c r="B3103" s="7">
        <v>800000</v>
      </c>
      <c r="C3103" s="7">
        <v>4000000</v>
      </c>
      <c r="D3103" s="7">
        <f t="shared" si="49"/>
        <v>-3200000</v>
      </c>
    </row>
    <row r="3104" spans="1:4" ht="18" customHeight="1" x14ac:dyDescent="0.25">
      <c r="A3104" s="2" t="s">
        <v>5950</v>
      </c>
      <c r="B3104" s="7">
        <v>609042</v>
      </c>
      <c r="C3104" s="7">
        <v>1300000</v>
      </c>
      <c r="D3104" s="7">
        <f t="shared" si="49"/>
        <v>-690958</v>
      </c>
    </row>
    <row r="3105" spans="1:4" ht="18" customHeight="1" x14ac:dyDescent="0.25">
      <c r="A3105" s="2" t="s">
        <v>6147</v>
      </c>
      <c r="B3105" s="7">
        <v>279282</v>
      </c>
      <c r="C3105" s="7">
        <v>1000000</v>
      </c>
      <c r="D3105" s="7">
        <f t="shared" si="49"/>
        <v>-720718</v>
      </c>
    </row>
    <row r="3106" spans="1:4" ht="18" customHeight="1" x14ac:dyDescent="0.25">
      <c r="A3106" s="2" t="s">
        <v>3029</v>
      </c>
      <c r="B3106" s="7">
        <v>39778599</v>
      </c>
      <c r="C3106" s="7">
        <v>50000000</v>
      </c>
      <c r="D3106" s="7">
        <f t="shared" si="49"/>
        <v>-10221401</v>
      </c>
    </row>
    <row r="3107" spans="1:4" ht="18" customHeight="1" x14ac:dyDescent="0.25">
      <c r="A3107" s="2" t="s">
        <v>5186</v>
      </c>
      <c r="B3107" s="7">
        <v>5000000</v>
      </c>
      <c r="C3107" s="7">
        <v>210000</v>
      </c>
      <c r="D3107" s="7">
        <f t="shared" si="49"/>
        <v>4790000</v>
      </c>
    </row>
    <row r="3108" spans="1:4" ht="18" customHeight="1" x14ac:dyDescent="0.25">
      <c r="A3108" s="2" t="s">
        <v>1919</v>
      </c>
      <c r="B3108" s="7">
        <v>48334413</v>
      </c>
      <c r="C3108" s="7">
        <v>8000000</v>
      </c>
      <c r="D3108" s="7">
        <f t="shared" si="49"/>
        <v>40334413</v>
      </c>
    </row>
    <row r="3109" spans="1:4" ht="18" customHeight="1" x14ac:dyDescent="0.25">
      <c r="A3109" s="2" t="s">
        <v>5834</v>
      </c>
      <c r="B3109" s="7">
        <v>958319</v>
      </c>
      <c r="C3109" s="7">
        <v>21000000</v>
      </c>
      <c r="D3109" s="7">
        <f t="shared" si="49"/>
        <v>-20041681</v>
      </c>
    </row>
    <row r="3110" spans="1:4" ht="18" customHeight="1" x14ac:dyDescent="0.25">
      <c r="A3110" s="2" t="s">
        <v>6054</v>
      </c>
      <c r="B3110" s="7">
        <v>406035</v>
      </c>
      <c r="C3110" s="7">
        <v>1500000</v>
      </c>
      <c r="D3110" s="7">
        <f t="shared" si="49"/>
        <v>-1093965</v>
      </c>
    </row>
    <row r="3111" spans="1:4" ht="18" customHeight="1" x14ac:dyDescent="0.25">
      <c r="A3111" s="2" t="s">
        <v>890</v>
      </c>
      <c r="B3111" s="7">
        <v>57651794</v>
      </c>
      <c r="C3111" s="7">
        <v>33000000</v>
      </c>
      <c r="D3111" s="7">
        <f t="shared" si="49"/>
        <v>24651794</v>
      </c>
    </row>
    <row r="3112" spans="1:4" ht="18" customHeight="1" x14ac:dyDescent="0.25">
      <c r="A3112" s="2" t="s">
        <v>2807</v>
      </c>
      <c r="B3112" s="7">
        <v>46377022</v>
      </c>
      <c r="C3112" s="7">
        <v>10000000</v>
      </c>
      <c r="D3112" s="7">
        <f t="shared" si="49"/>
        <v>36377022</v>
      </c>
    </row>
    <row r="3113" spans="1:4" ht="18" customHeight="1" x14ac:dyDescent="0.25">
      <c r="A3113" s="2" t="s">
        <v>642</v>
      </c>
      <c r="B3113" s="7">
        <v>69700000</v>
      </c>
      <c r="C3113" s="7">
        <v>35000000</v>
      </c>
      <c r="D3113" s="7">
        <f t="shared" si="49"/>
        <v>34700000</v>
      </c>
    </row>
    <row r="3114" spans="1:4" ht="18" customHeight="1" x14ac:dyDescent="0.25">
      <c r="A3114" s="2" t="s">
        <v>612</v>
      </c>
      <c r="B3114" s="7">
        <v>70492685</v>
      </c>
      <c r="C3114" s="7">
        <v>17000000</v>
      </c>
      <c r="D3114" s="7">
        <f t="shared" si="49"/>
        <v>53492685</v>
      </c>
    </row>
    <row r="3115" spans="1:4" ht="18" customHeight="1" x14ac:dyDescent="0.25">
      <c r="A3115" s="2" t="s">
        <v>3291</v>
      </c>
      <c r="B3115" s="7">
        <v>34074895</v>
      </c>
      <c r="C3115" s="7">
        <v>9000000</v>
      </c>
      <c r="D3115" s="7">
        <f t="shared" si="49"/>
        <v>25074895</v>
      </c>
    </row>
    <row r="3116" spans="1:4" ht="18" customHeight="1" x14ac:dyDescent="0.25">
      <c r="A3116" s="2" t="s">
        <v>3645</v>
      </c>
      <c r="B3116" s="7">
        <v>26761283</v>
      </c>
      <c r="C3116" s="7">
        <v>26000000</v>
      </c>
      <c r="D3116" s="7">
        <f t="shared" si="49"/>
        <v>761283</v>
      </c>
    </row>
    <row r="3117" spans="1:4" ht="18" customHeight="1" x14ac:dyDescent="0.25">
      <c r="A3117" s="2" t="s">
        <v>6420</v>
      </c>
      <c r="B3117" s="7">
        <v>85433</v>
      </c>
      <c r="C3117" s="7">
        <v>13500000</v>
      </c>
      <c r="D3117" s="7">
        <f t="shared" si="49"/>
        <v>-13414567</v>
      </c>
    </row>
    <row r="3118" spans="1:4" ht="18" customHeight="1" x14ac:dyDescent="0.25">
      <c r="A3118" s="2" t="s">
        <v>3814</v>
      </c>
      <c r="B3118" s="7">
        <v>23650000</v>
      </c>
      <c r="C3118" s="7">
        <v>2100000</v>
      </c>
      <c r="D3118" s="7">
        <f t="shared" si="49"/>
        <v>21550000</v>
      </c>
    </row>
    <row r="3119" spans="1:4" ht="18" customHeight="1" x14ac:dyDescent="0.25">
      <c r="A3119" s="2" t="s">
        <v>2105</v>
      </c>
      <c r="B3119" s="7">
        <v>48334413</v>
      </c>
      <c r="C3119" s="7">
        <v>3500000</v>
      </c>
      <c r="D3119" s="7">
        <f t="shared" si="49"/>
        <v>44834413</v>
      </c>
    </row>
    <row r="3120" spans="1:4" ht="18" customHeight="1" x14ac:dyDescent="0.25">
      <c r="A3120" s="2" t="s">
        <v>6323</v>
      </c>
      <c r="B3120" s="7">
        <v>126387</v>
      </c>
      <c r="C3120" s="7">
        <v>400000</v>
      </c>
      <c r="D3120" s="7">
        <f t="shared" si="49"/>
        <v>-273613</v>
      </c>
    </row>
    <row r="3121" spans="1:4" ht="18" customHeight="1" x14ac:dyDescent="0.25">
      <c r="A3121" s="2" t="s">
        <v>5029</v>
      </c>
      <c r="B3121" s="7">
        <v>6471394</v>
      </c>
      <c r="C3121" s="7">
        <v>50000000</v>
      </c>
      <c r="D3121" s="7">
        <f t="shared" si="49"/>
        <v>-43528606</v>
      </c>
    </row>
    <row r="3122" spans="1:4" ht="18" customHeight="1" x14ac:dyDescent="0.25">
      <c r="A3122" s="2" t="s">
        <v>3628</v>
      </c>
      <c r="B3122" s="7">
        <v>27052167</v>
      </c>
      <c r="C3122" s="7">
        <v>13000000</v>
      </c>
      <c r="D3122" s="7">
        <f t="shared" si="49"/>
        <v>14052167</v>
      </c>
    </row>
    <row r="3123" spans="1:4" ht="18" customHeight="1" x14ac:dyDescent="0.25">
      <c r="A3123" s="2" t="s">
        <v>4166</v>
      </c>
      <c r="B3123" s="7">
        <v>17439163</v>
      </c>
      <c r="C3123" s="7">
        <v>15000000</v>
      </c>
      <c r="D3123" s="7">
        <f t="shared" si="49"/>
        <v>2439163</v>
      </c>
    </row>
    <row r="3124" spans="1:4" ht="18" customHeight="1" x14ac:dyDescent="0.25">
      <c r="A3124" s="2" t="s">
        <v>2624</v>
      </c>
      <c r="B3124" s="7">
        <v>48334413</v>
      </c>
      <c r="C3124" s="7">
        <v>245000</v>
      </c>
      <c r="D3124" s="7">
        <f t="shared" si="49"/>
        <v>48089413</v>
      </c>
    </row>
    <row r="3125" spans="1:4" ht="18" customHeight="1" x14ac:dyDescent="0.25">
      <c r="A3125" s="2" t="s">
        <v>620</v>
      </c>
      <c r="B3125" s="7">
        <v>70235322</v>
      </c>
      <c r="C3125" s="7">
        <v>28000000</v>
      </c>
      <c r="D3125" s="7">
        <f t="shared" si="49"/>
        <v>42235322</v>
      </c>
    </row>
    <row r="3126" spans="1:4" ht="18" customHeight="1" x14ac:dyDescent="0.25">
      <c r="A3126" s="2" t="s">
        <v>1532</v>
      </c>
      <c r="B3126" s="7">
        <v>48334413</v>
      </c>
      <c r="C3126" s="7">
        <v>39751583.5</v>
      </c>
      <c r="D3126" s="7">
        <f t="shared" si="49"/>
        <v>8582829.5</v>
      </c>
    </row>
    <row r="3127" spans="1:4" ht="18" customHeight="1" x14ac:dyDescent="0.25">
      <c r="A3127" s="2" t="s">
        <v>6242</v>
      </c>
      <c r="B3127" s="7">
        <v>185577</v>
      </c>
      <c r="C3127" s="7">
        <v>4000000</v>
      </c>
      <c r="D3127" s="7">
        <f t="shared" si="49"/>
        <v>-3814423</v>
      </c>
    </row>
    <row r="3128" spans="1:4" ht="18" customHeight="1" x14ac:dyDescent="0.25">
      <c r="A3128" s="2" t="s">
        <v>3905</v>
      </c>
      <c r="B3128" s="7">
        <v>21784432</v>
      </c>
      <c r="C3128" s="7">
        <v>35000000</v>
      </c>
      <c r="D3128" s="7">
        <f t="shared" si="49"/>
        <v>-13215568</v>
      </c>
    </row>
    <row r="3129" spans="1:4" ht="18" customHeight="1" x14ac:dyDescent="0.25">
      <c r="A3129" s="2" t="s">
        <v>4943</v>
      </c>
      <c r="B3129" s="7">
        <v>7204138</v>
      </c>
      <c r="C3129" s="7">
        <v>41000000</v>
      </c>
      <c r="D3129" s="7">
        <f t="shared" si="49"/>
        <v>-33795862</v>
      </c>
    </row>
    <row r="3130" spans="1:4" ht="18" customHeight="1" x14ac:dyDescent="0.25">
      <c r="A3130" s="2" t="s">
        <v>1865</v>
      </c>
      <c r="B3130" s="7">
        <v>48334413</v>
      </c>
      <c r="C3130" s="7">
        <v>10000000</v>
      </c>
      <c r="D3130" s="7">
        <f t="shared" si="49"/>
        <v>38334413</v>
      </c>
    </row>
    <row r="3131" spans="1:4" ht="18" customHeight="1" x14ac:dyDescent="0.25">
      <c r="A3131" s="2" t="s">
        <v>3868</v>
      </c>
      <c r="B3131" s="7">
        <v>22518325</v>
      </c>
      <c r="C3131" s="7">
        <v>50000000</v>
      </c>
      <c r="D3131" s="7">
        <f t="shared" si="49"/>
        <v>-27481675</v>
      </c>
    </row>
    <row r="3132" spans="1:4" ht="18" customHeight="1" x14ac:dyDescent="0.25">
      <c r="A3132" s="2" t="s">
        <v>1671</v>
      </c>
      <c r="B3132" s="7">
        <v>48334413</v>
      </c>
      <c r="C3132" s="7">
        <v>20000000</v>
      </c>
      <c r="D3132" s="7">
        <f t="shared" si="49"/>
        <v>28334413</v>
      </c>
    </row>
    <row r="3133" spans="1:4" ht="18" customHeight="1" x14ac:dyDescent="0.25">
      <c r="A3133" s="2" t="s">
        <v>2196</v>
      </c>
      <c r="B3133" s="7">
        <v>48334413</v>
      </c>
      <c r="C3133" s="7">
        <v>2700000</v>
      </c>
      <c r="D3133" s="7">
        <f t="shared" si="49"/>
        <v>45634413</v>
      </c>
    </row>
    <row r="3134" spans="1:4" ht="18" customHeight="1" x14ac:dyDescent="0.25">
      <c r="A3134" s="2" t="s">
        <v>5851</v>
      </c>
      <c r="B3134" s="7">
        <v>882290</v>
      </c>
      <c r="C3134" s="7">
        <v>10000000</v>
      </c>
      <c r="D3134" s="7">
        <f t="shared" si="49"/>
        <v>-9117710</v>
      </c>
    </row>
    <row r="3135" spans="1:4" ht="18" customHeight="1" x14ac:dyDescent="0.25">
      <c r="A3135" s="2" t="s">
        <v>2664</v>
      </c>
      <c r="B3135" s="7">
        <v>48334413</v>
      </c>
      <c r="C3135" s="7">
        <v>120000</v>
      </c>
      <c r="D3135" s="7">
        <f t="shared" si="49"/>
        <v>48214413</v>
      </c>
    </row>
    <row r="3136" spans="1:4" ht="18" customHeight="1" x14ac:dyDescent="0.25">
      <c r="A3136" s="2" t="s">
        <v>1485</v>
      </c>
      <c r="B3136" s="7">
        <v>48334413</v>
      </c>
      <c r="C3136" s="7">
        <v>39751583.5</v>
      </c>
      <c r="D3136" s="7">
        <f t="shared" si="49"/>
        <v>8582829.5</v>
      </c>
    </row>
    <row r="3137" spans="1:4" ht="18" customHeight="1" x14ac:dyDescent="0.25">
      <c r="A3137" s="2" t="s">
        <v>1769</v>
      </c>
      <c r="B3137" s="7">
        <v>48334413</v>
      </c>
      <c r="C3137" s="7">
        <v>12500000</v>
      </c>
      <c r="D3137" s="7">
        <f t="shared" si="49"/>
        <v>35834413</v>
      </c>
    </row>
    <row r="3138" spans="1:4" ht="18" customHeight="1" x14ac:dyDescent="0.25">
      <c r="A3138" s="2" t="s">
        <v>2037</v>
      </c>
      <c r="B3138" s="7">
        <v>48334413</v>
      </c>
      <c r="C3138" s="7">
        <v>4500000</v>
      </c>
      <c r="D3138" s="7">
        <f t="shared" si="49"/>
        <v>43834413</v>
      </c>
    </row>
    <row r="3139" spans="1:4" ht="18" customHeight="1" x14ac:dyDescent="0.25">
      <c r="A3139" s="2" t="s">
        <v>6191</v>
      </c>
      <c r="B3139" s="7">
        <v>231186</v>
      </c>
      <c r="C3139" s="7">
        <v>39751583.5</v>
      </c>
      <c r="D3139" s="7">
        <f t="shared" si="49"/>
        <v>-39520397.5</v>
      </c>
    </row>
    <row r="3140" spans="1:4" ht="18" customHeight="1" x14ac:dyDescent="0.25">
      <c r="A3140" s="2" t="s">
        <v>1004</v>
      </c>
      <c r="B3140" s="7">
        <v>54200000</v>
      </c>
      <c r="C3140" s="7">
        <v>27000000</v>
      </c>
      <c r="D3140" s="7">
        <f t="shared" si="49"/>
        <v>27200000</v>
      </c>
    </row>
    <row r="3141" spans="1:4" ht="18" customHeight="1" x14ac:dyDescent="0.25">
      <c r="A3141" s="2" t="s">
        <v>1352</v>
      </c>
      <c r="B3141" s="7">
        <v>48334413</v>
      </c>
      <c r="C3141" s="7">
        <v>39751583.5</v>
      </c>
      <c r="D3141" s="7">
        <f t="shared" ref="D3141:D3204" si="50">B3141-C3141</f>
        <v>8582829.5</v>
      </c>
    </row>
    <row r="3142" spans="1:4" ht="18" customHeight="1" x14ac:dyDescent="0.25">
      <c r="A3142" s="2" t="s">
        <v>695</v>
      </c>
      <c r="B3142" s="7">
        <v>66488090</v>
      </c>
      <c r="C3142" s="7">
        <v>48000000</v>
      </c>
      <c r="D3142" s="7">
        <f t="shared" si="50"/>
        <v>18488090</v>
      </c>
    </row>
    <row r="3143" spans="1:4" ht="18" customHeight="1" x14ac:dyDescent="0.25">
      <c r="A3143" s="2" t="s">
        <v>215</v>
      </c>
      <c r="B3143" s="7">
        <v>94822707</v>
      </c>
      <c r="C3143" s="7">
        <v>80000000</v>
      </c>
      <c r="D3143" s="7">
        <f t="shared" si="50"/>
        <v>14822707</v>
      </c>
    </row>
    <row r="3144" spans="1:4" ht="18" customHeight="1" x14ac:dyDescent="0.25">
      <c r="A3144" s="2" t="s">
        <v>1158</v>
      </c>
      <c r="B3144" s="7">
        <v>50150619</v>
      </c>
      <c r="C3144" s="7">
        <v>50000000</v>
      </c>
      <c r="D3144" s="7">
        <f t="shared" si="50"/>
        <v>150619</v>
      </c>
    </row>
    <row r="3145" spans="1:4" ht="18" customHeight="1" x14ac:dyDescent="0.25">
      <c r="A3145" s="2" t="s">
        <v>5784</v>
      </c>
      <c r="B3145" s="7">
        <v>1098224</v>
      </c>
      <c r="C3145" s="7">
        <v>2000000</v>
      </c>
      <c r="D3145" s="7">
        <f t="shared" si="50"/>
        <v>-901776</v>
      </c>
    </row>
    <row r="3146" spans="1:4" ht="18" customHeight="1" x14ac:dyDescent="0.25">
      <c r="A3146" s="2" t="s">
        <v>3920</v>
      </c>
      <c r="B3146" s="7">
        <v>21483154</v>
      </c>
      <c r="C3146" s="7">
        <v>19000000</v>
      </c>
      <c r="D3146" s="7">
        <f t="shared" si="50"/>
        <v>2483154</v>
      </c>
    </row>
    <row r="3147" spans="1:4" ht="18" customHeight="1" x14ac:dyDescent="0.25">
      <c r="A3147" s="2" t="s">
        <v>4715</v>
      </c>
      <c r="B3147" s="7">
        <v>10269307</v>
      </c>
      <c r="C3147" s="7">
        <v>8000000</v>
      </c>
      <c r="D3147" s="7">
        <f t="shared" si="50"/>
        <v>2269307</v>
      </c>
    </row>
    <row r="3148" spans="1:4" ht="18" customHeight="1" x14ac:dyDescent="0.25">
      <c r="A3148" s="2" t="s">
        <v>1943</v>
      </c>
      <c r="B3148" s="7">
        <v>48334413</v>
      </c>
      <c r="C3148" s="7">
        <v>7000000</v>
      </c>
      <c r="D3148" s="7">
        <f t="shared" si="50"/>
        <v>41334413</v>
      </c>
    </row>
    <row r="3149" spans="1:4" ht="18" customHeight="1" x14ac:dyDescent="0.25">
      <c r="A3149" s="2" t="s">
        <v>1328</v>
      </c>
      <c r="B3149" s="7">
        <v>48334413</v>
      </c>
      <c r="C3149" s="7">
        <v>39751583.5</v>
      </c>
      <c r="D3149" s="7">
        <f t="shared" si="50"/>
        <v>8582829.5</v>
      </c>
    </row>
    <row r="3150" spans="1:4" ht="18" customHeight="1" x14ac:dyDescent="0.25">
      <c r="A3150" s="2" t="s">
        <v>3878</v>
      </c>
      <c r="B3150" s="7">
        <v>22359293</v>
      </c>
      <c r="C3150" s="7">
        <v>29000000</v>
      </c>
      <c r="D3150" s="7">
        <f t="shared" si="50"/>
        <v>-6640707</v>
      </c>
    </row>
    <row r="3151" spans="1:4" ht="18" customHeight="1" x14ac:dyDescent="0.25">
      <c r="A3151" s="2" t="s">
        <v>768</v>
      </c>
      <c r="B3151" s="7">
        <v>63034755</v>
      </c>
      <c r="C3151" s="7">
        <v>29000000</v>
      </c>
      <c r="D3151" s="7">
        <f t="shared" si="50"/>
        <v>34034755</v>
      </c>
    </row>
    <row r="3152" spans="1:4" ht="18" customHeight="1" x14ac:dyDescent="0.25">
      <c r="A3152" s="2" t="s">
        <v>674</v>
      </c>
      <c r="B3152" s="7">
        <v>67061228</v>
      </c>
      <c r="C3152" s="7">
        <v>40000000</v>
      </c>
      <c r="D3152" s="7">
        <f t="shared" si="50"/>
        <v>27061228</v>
      </c>
    </row>
    <row r="3153" spans="1:4" ht="18" customHeight="1" x14ac:dyDescent="0.25">
      <c r="A3153" s="2" t="s">
        <v>4822</v>
      </c>
      <c r="B3153" s="7">
        <v>8600000</v>
      </c>
      <c r="C3153" s="7">
        <v>25000000</v>
      </c>
      <c r="D3153" s="7">
        <f t="shared" si="50"/>
        <v>-16400000</v>
      </c>
    </row>
    <row r="3154" spans="1:4" ht="18" customHeight="1" x14ac:dyDescent="0.25">
      <c r="A3154" s="2" t="s">
        <v>4350</v>
      </c>
      <c r="B3154" s="7">
        <v>15045676</v>
      </c>
      <c r="C3154" s="7">
        <v>16000000</v>
      </c>
      <c r="D3154" s="7">
        <f t="shared" si="50"/>
        <v>-954324</v>
      </c>
    </row>
    <row r="3155" spans="1:4" ht="18" customHeight="1" x14ac:dyDescent="0.25">
      <c r="A3155" s="2" t="s">
        <v>1128</v>
      </c>
      <c r="B3155" s="7">
        <v>50807639</v>
      </c>
      <c r="C3155" s="7">
        <v>60000000</v>
      </c>
      <c r="D3155" s="7">
        <f t="shared" si="50"/>
        <v>-9192361</v>
      </c>
    </row>
    <row r="3156" spans="1:4" ht="18" customHeight="1" x14ac:dyDescent="0.25">
      <c r="A3156" s="2" t="s">
        <v>4800</v>
      </c>
      <c r="B3156" s="7">
        <v>9030581</v>
      </c>
      <c r="C3156" s="7">
        <v>12500000</v>
      </c>
      <c r="D3156" s="7">
        <f t="shared" si="50"/>
        <v>-3469419</v>
      </c>
    </row>
    <row r="3157" spans="1:4" ht="18" customHeight="1" x14ac:dyDescent="0.25">
      <c r="A3157" s="2" t="s">
        <v>3228</v>
      </c>
      <c r="B3157" s="7">
        <v>35385560</v>
      </c>
      <c r="C3157" s="7">
        <v>4000000</v>
      </c>
      <c r="D3157" s="7">
        <f t="shared" si="50"/>
        <v>31385560</v>
      </c>
    </row>
    <row r="3158" spans="1:4" ht="18" customHeight="1" x14ac:dyDescent="0.25">
      <c r="A3158" s="2" t="s">
        <v>3213</v>
      </c>
      <c r="B3158" s="7">
        <v>35794166</v>
      </c>
      <c r="C3158" s="7">
        <v>10000000</v>
      </c>
      <c r="D3158" s="7">
        <f t="shared" si="50"/>
        <v>25794166</v>
      </c>
    </row>
    <row r="3159" spans="1:4" ht="18" customHeight="1" x14ac:dyDescent="0.25">
      <c r="A3159" s="2" t="s">
        <v>1778</v>
      </c>
      <c r="B3159" s="7">
        <v>48334413</v>
      </c>
      <c r="C3159" s="7">
        <v>12000000</v>
      </c>
      <c r="D3159" s="7">
        <f t="shared" si="50"/>
        <v>36334413</v>
      </c>
    </row>
    <row r="3160" spans="1:4" ht="18" customHeight="1" x14ac:dyDescent="0.25">
      <c r="A3160" s="2" t="s">
        <v>2659</v>
      </c>
      <c r="B3160" s="7">
        <v>48334413</v>
      </c>
      <c r="C3160" s="7">
        <v>125000</v>
      </c>
      <c r="D3160" s="7">
        <f t="shared" si="50"/>
        <v>48209413</v>
      </c>
    </row>
    <row r="3161" spans="1:4" ht="18" customHeight="1" x14ac:dyDescent="0.25">
      <c r="A3161" s="2" t="s">
        <v>2697</v>
      </c>
      <c r="B3161" s="7">
        <v>48334413</v>
      </c>
      <c r="C3161" s="7">
        <v>62000</v>
      </c>
      <c r="D3161" s="7">
        <f t="shared" si="50"/>
        <v>48272413</v>
      </c>
    </row>
    <row r="3162" spans="1:4" ht="18" customHeight="1" x14ac:dyDescent="0.25">
      <c r="A3162" s="2" t="s">
        <v>6683</v>
      </c>
      <c r="B3162" s="7">
        <v>6643</v>
      </c>
      <c r="C3162" s="7">
        <v>900000</v>
      </c>
      <c r="D3162" s="7">
        <f t="shared" si="50"/>
        <v>-893357</v>
      </c>
    </row>
    <row r="3163" spans="1:4" ht="18" customHeight="1" x14ac:dyDescent="0.25">
      <c r="A3163" s="2" t="s">
        <v>2236</v>
      </c>
      <c r="B3163" s="7">
        <v>48334413</v>
      </c>
      <c r="C3163" s="7">
        <v>2300000</v>
      </c>
      <c r="D3163" s="7">
        <f t="shared" si="50"/>
        <v>46034413</v>
      </c>
    </row>
    <row r="3164" spans="1:4" ht="18" customHeight="1" x14ac:dyDescent="0.25">
      <c r="A3164" s="2" t="s">
        <v>6512</v>
      </c>
      <c r="B3164" s="7">
        <v>42880</v>
      </c>
      <c r="C3164" s="7">
        <v>24000000</v>
      </c>
      <c r="D3164" s="7">
        <f t="shared" si="50"/>
        <v>-23957120</v>
      </c>
    </row>
    <row r="3165" spans="1:4" ht="18" customHeight="1" x14ac:dyDescent="0.25">
      <c r="A3165" s="2" t="s">
        <v>3621</v>
      </c>
      <c r="B3165" s="7">
        <v>27200000</v>
      </c>
      <c r="C3165" s="7">
        <v>3000000</v>
      </c>
      <c r="D3165" s="7">
        <f t="shared" si="50"/>
        <v>24200000</v>
      </c>
    </row>
    <row r="3166" spans="1:4" ht="18" customHeight="1" x14ac:dyDescent="0.25">
      <c r="A3166" s="2" t="s">
        <v>605</v>
      </c>
      <c r="B3166" s="7">
        <v>70960517</v>
      </c>
      <c r="C3166" s="7">
        <v>35000000</v>
      </c>
      <c r="D3166" s="7">
        <f t="shared" si="50"/>
        <v>35960517</v>
      </c>
    </row>
    <row r="3167" spans="1:4" ht="18" customHeight="1" x14ac:dyDescent="0.25">
      <c r="A3167" s="2" t="s">
        <v>5501</v>
      </c>
      <c r="B3167" s="7">
        <v>2808000</v>
      </c>
      <c r="C3167" s="7">
        <v>379000</v>
      </c>
      <c r="D3167" s="7">
        <f t="shared" si="50"/>
        <v>2429000</v>
      </c>
    </row>
    <row r="3168" spans="1:4" ht="18" customHeight="1" x14ac:dyDescent="0.25">
      <c r="A3168" s="2" t="s">
        <v>5659</v>
      </c>
      <c r="B3168" s="7">
        <v>1744858</v>
      </c>
      <c r="C3168" s="7">
        <v>1000000</v>
      </c>
      <c r="D3168" s="7">
        <f t="shared" si="50"/>
        <v>744858</v>
      </c>
    </row>
    <row r="3169" spans="1:4" ht="18" customHeight="1" x14ac:dyDescent="0.25">
      <c r="A3169" s="2" t="s">
        <v>5375</v>
      </c>
      <c r="B3169" s="7">
        <v>3519627</v>
      </c>
      <c r="C3169" s="7">
        <v>20000000</v>
      </c>
      <c r="D3169" s="7">
        <f t="shared" si="50"/>
        <v>-16480373</v>
      </c>
    </row>
    <row r="3170" spans="1:4" ht="18" customHeight="1" x14ac:dyDescent="0.25">
      <c r="A3170" s="2" t="s">
        <v>3107</v>
      </c>
      <c r="B3170" s="7">
        <v>37899638</v>
      </c>
      <c r="C3170" s="7">
        <v>88000000</v>
      </c>
      <c r="D3170" s="7">
        <f t="shared" si="50"/>
        <v>-50100362</v>
      </c>
    </row>
    <row r="3171" spans="1:4" ht="18" customHeight="1" x14ac:dyDescent="0.25">
      <c r="A3171" s="2" t="s">
        <v>4717</v>
      </c>
      <c r="B3171" s="7">
        <v>10246600</v>
      </c>
      <c r="C3171" s="7">
        <v>25000</v>
      </c>
      <c r="D3171" s="7">
        <f t="shared" si="50"/>
        <v>10221600</v>
      </c>
    </row>
    <row r="3172" spans="1:4" ht="18" customHeight="1" x14ac:dyDescent="0.25">
      <c r="A3172" s="2" t="s">
        <v>5844</v>
      </c>
      <c r="B3172" s="7">
        <v>900926</v>
      </c>
      <c r="C3172" s="7">
        <v>10000000</v>
      </c>
      <c r="D3172" s="7">
        <f t="shared" si="50"/>
        <v>-9099074</v>
      </c>
    </row>
    <row r="3173" spans="1:4" ht="18" customHeight="1" x14ac:dyDescent="0.25">
      <c r="A3173" s="2" t="s">
        <v>3607</v>
      </c>
      <c r="B3173" s="7">
        <v>27457409</v>
      </c>
      <c r="C3173" s="7">
        <v>6000000</v>
      </c>
      <c r="D3173" s="7">
        <f t="shared" si="50"/>
        <v>21457409</v>
      </c>
    </row>
    <row r="3174" spans="1:4" ht="18" customHeight="1" x14ac:dyDescent="0.25">
      <c r="A3174" s="2" t="s">
        <v>6092</v>
      </c>
      <c r="B3174" s="7">
        <v>365734</v>
      </c>
      <c r="C3174" s="7">
        <v>10000000</v>
      </c>
      <c r="D3174" s="7">
        <f t="shared" si="50"/>
        <v>-9634266</v>
      </c>
    </row>
    <row r="3175" spans="1:4" ht="18" customHeight="1" x14ac:dyDescent="0.25">
      <c r="A3175" s="2" t="s">
        <v>6276</v>
      </c>
      <c r="B3175" s="7">
        <v>155972</v>
      </c>
      <c r="C3175" s="7">
        <v>1500000</v>
      </c>
      <c r="D3175" s="7">
        <f t="shared" si="50"/>
        <v>-1344028</v>
      </c>
    </row>
    <row r="3176" spans="1:4" ht="18" customHeight="1" x14ac:dyDescent="0.25">
      <c r="A3176" s="2" t="s">
        <v>232</v>
      </c>
      <c r="B3176" s="7">
        <v>93452056</v>
      </c>
      <c r="C3176" s="7">
        <v>45000000</v>
      </c>
      <c r="D3176" s="7">
        <f t="shared" si="50"/>
        <v>48452056</v>
      </c>
    </row>
    <row r="3177" spans="1:4" ht="18" customHeight="1" x14ac:dyDescent="0.25">
      <c r="A3177" s="2" t="s">
        <v>6258</v>
      </c>
      <c r="B3177" s="7">
        <v>174682</v>
      </c>
      <c r="C3177" s="7">
        <v>200000</v>
      </c>
      <c r="D3177" s="7">
        <f t="shared" si="50"/>
        <v>-25318</v>
      </c>
    </row>
    <row r="3178" spans="1:4" ht="18" customHeight="1" x14ac:dyDescent="0.25">
      <c r="A3178" s="2" t="s">
        <v>5812</v>
      </c>
      <c r="B3178" s="7">
        <v>1028337</v>
      </c>
      <c r="C3178" s="7">
        <v>39751583.5</v>
      </c>
      <c r="D3178" s="7">
        <f t="shared" si="50"/>
        <v>-38723246.5</v>
      </c>
    </row>
    <row r="3179" spans="1:4" ht="18" customHeight="1" x14ac:dyDescent="0.25">
      <c r="A3179" s="2" t="s">
        <v>6566</v>
      </c>
      <c r="B3179" s="7">
        <v>23947</v>
      </c>
      <c r="C3179" s="7">
        <v>13000000</v>
      </c>
      <c r="D3179" s="7">
        <f t="shared" si="50"/>
        <v>-12976053</v>
      </c>
    </row>
    <row r="3180" spans="1:4" ht="18" customHeight="1" x14ac:dyDescent="0.25">
      <c r="A3180" s="2" t="s">
        <v>2951</v>
      </c>
      <c r="B3180" s="7">
        <v>42043633</v>
      </c>
      <c r="C3180" s="7">
        <v>30000000</v>
      </c>
      <c r="D3180" s="7">
        <f t="shared" si="50"/>
        <v>12043633</v>
      </c>
    </row>
    <row r="3181" spans="1:4" ht="18" customHeight="1" x14ac:dyDescent="0.25">
      <c r="A3181" s="2" t="s">
        <v>823</v>
      </c>
      <c r="B3181" s="7">
        <v>60154431</v>
      </c>
      <c r="C3181" s="7">
        <v>47000000</v>
      </c>
      <c r="D3181" s="7">
        <f t="shared" si="50"/>
        <v>13154431</v>
      </c>
    </row>
    <row r="3182" spans="1:4" ht="18" customHeight="1" x14ac:dyDescent="0.25">
      <c r="A3182" s="2" t="s">
        <v>1517</v>
      </c>
      <c r="B3182" s="7">
        <v>48334413</v>
      </c>
      <c r="C3182" s="7">
        <v>39751583.5</v>
      </c>
      <c r="D3182" s="7">
        <f t="shared" si="50"/>
        <v>8582829.5</v>
      </c>
    </row>
    <row r="3183" spans="1:4" ht="18" customHeight="1" x14ac:dyDescent="0.25">
      <c r="A3183" s="2" t="s">
        <v>2705</v>
      </c>
      <c r="B3183" s="7">
        <v>48334413</v>
      </c>
      <c r="C3183" s="7">
        <v>50000</v>
      </c>
      <c r="D3183" s="7">
        <f t="shared" si="50"/>
        <v>48284413</v>
      </c>
    </row>
    <row r="3184" spans="1:4" ht="18" customHeight="1" x14ac:dyDescent="0.25">
      <c r="A3184" s="2" t="s">
        <v>1074</v>
      </c>
      <c r="B3184" s="7">
        <v>51872378</v>
      </c>
      <c r="C3184" s="7">
        <v>13000000</v>
      </c>
      <c r="D3184" s="7">
        <f t="shared" si="50"/>
        <v>38872378</v>
      </c>
    </row>
    <row r="3185" spans="1:4" ht="18" customHeight="1" x14ac:dyDescent="0.25">
      <c r="A3185" s="2" t="s">
        <v>1444</v>
      </c>
      <c r="B3185" s="7">
        <v>48334413</v>
      </c>
      <c r="C3185" s="7">
        <v>39751583.5</v>
      </c>
      <c r="D3185" s="7">
        <f t="shared" si="50"/>
        <v>8582829.5</v>
      </c>
    </row>
    <row r="3186" spans="1:4" ht="18" customHeight="1" x14ac:dyDescent="0.25">
      <c r="A3186" s="2" t="s">
        <v>6495</v>
      </c>
      <c r="B3186" s="7">
        <v>49494</v>
      </c>
      <c r="C3186" s="7">
        <v>250000</v>
      </c>
      <c r="D3186" s="7">
        <f t="shared" si="50"/>
        <v>-200506</v>
      </c>
    </row>
    <row r="3187" spans="1:4" ht="18" customHeight="1" x14ac:dyDescent="0.25">
      <c r="A3187" s="2" t="s">
        <v>2651</v>
      </c>
      <c r="B3187" s="7">
        <v>48334413</v>
      </c>
      <c r="C3187" s="7">
        <v>150000</v>
      </c>
      <c r="D3187" s="7">
        <f t="shared" si="50"/>
        <v>48184413</v>
      </c>
    </row>
    <row r="3188" spans="1:4" ht="18" customHeight="1" x14ac:dyDescent="0.25">
      <c r="A3188" s="2" t="s">
        <v>4362</v>
      </c>
      <c r="B3188" s="7">
        <v>14888028</v>
      </c>
      <c r="C3188" s="7">
        <v>30000000</v>
      </c>
      <c r="D3188" s="7">
        <f t="shared" si="50"/>
        <v>-15111972</v>
      </c>
    </row>
    <row r="3189" spans="1:4" ht="18" customHeight="1" x14ac:dyDescent="0.25">
      <c r="A3189" s="2" t="s">
        <v>5911</v>
      </c>
      <c r="B3189" s="7">
        <v>687081</v>
      </c>
      <c r="C3189" s="7">
        <v>39751583.5</v>
      </c>
      <c r="D3189" s="7">
        <f t="shared" si="50"/>
        <v>-39064502.5</v>
      </c>
    </row>
    <row r="3190" spans="1:4" ht="18" customHeight="1" x14ac:dyDescent="0.25">
      <c r="A3190" s="2" t="s">
        <v>5678</v>
      </c>
      <c r="B3190" s="7">
        <v>1647780</v>
      </c>
      <c r="C3190" s="7">
        <v>1300000</v>
      </c>
      <c r="D3190" s="7">
        <f t="shared" si="50"/>
        <v>347780</v>
      </c>
    </row>
    <row r="3191" spans="1:4" ht="18" customHeight="1" x14ac:dyDescent="0.25">
      <c r="A3191" s="2" t="s">
        <v>798</v>
      </c>
      <c r="B3191" s="7">
        <v>61280963</v>
      </c>
      <c r="C3191" s="7">
        <v>33000000</v>
      </c>
      <c r="D3191" s="7">
        <f t="shared" si="50"/>
        <v>28280963</v>
      </c>
    </row>
    <row r="3192" spans="1:4" ht="18" customHeight="1" x14ac:dyDescent="0.25">
      <c r="A3192" s="2" t="s">
        <v>6173</v>
      </c>
      <c r="B3192" s="7">
        <v>244465</v>
      </c>
      <c r="C3192" s="7">
        <v>39751583.5</v>
      </c>
      <c r="D3192" s="7">
        <f t="shared" si="50"/>
        <v>-39507118.5</v>
      </c>
    </row>
    <row r="3193" spans="1:4" ht="18" customHeight="1" x14ac:dyDescent="0.25">
      <c r="A3193" s="2" t="s">
        <v>3160</v>
      </c>
      <c r="B3193" s="7">
        <v>37035845</v>
      </c>
      <c r="C3193" s="7">
        <v>52000000</v>
      </c>
      <c r="D3193" s="7">
        <f t="shared" si="50"/>
        <v>-14964155</v>
      </c>
    </row>
    <row r="3194" spans="1:4" ht="18" customHeight="1" x14ac:dyDescent="0.25">
      <c r="A3194" s="2" t="s">
        <v>2392</v>
      </c>
      <c r="B3194" s="7">
        <v>48334413</v>
      </c>
      <c r="C3194" s="7">
        <v>1200000</v>
      </c>
      <c r="D3194" s="7">
        <f t="shared" si="50"/>
        <v>47134413</v>
      </c>
    </row>
    <row r="3195" spans="1:4" ht="18" customHeight="1" x14ac:dyDescent="0.25">
      <c r="A3195" s="2" t="s">
        <v>5813</v>
      </c>
      <c r="B3195" s="7">
        <v>1027749</v>
      </c>
      <c r="C3195" s="7">
        <v>40000000</v>
      </c>
      <c r="D3195" s="7">
        <f t="shared" si="50"/>
        <v>-38972251</v>
      </c>
    </row>
    <row r="3196" spans="1:4" ht="18" customHeight="1" x14ac:dyDescent="0.25">
      <c r="A3196" s="2" t="s">
        <v>5362</v>
      </c>
      <c r="B3196" s="7">
        <v>3629758</v>
      </c>
      <c r="C3196" s="7">
        <v>5500000</v>
      </c>
      <c r="D3196" s="7">
        <f t="shared" si="50"/>
        <v>-1870242</v>
      </c>
    </row>
    <row r="3197" spans="1:4" ht="18" customHeight="1" x14ac:dyDescent="0.25">
      <c r="A3197" s="2" t="s">
        <v>2610</v>
      </c>
      <c r="B3197" s="7">
        <v>48334413</v>
      </c>
      <c r="C3197" s="7">
        <v>250000</v>
      </c>
      <c r="D3197" s="7">
        <f t="shared" si="50"/>
        <v>48084413</v>
      </c>
    </row>
    <row r="3198" spans="1:4" ht="18" customHeight="1" x14ac:dyDescent="0.25">
      <c r="A3198" s="2" t="s">
        <v>5582</v>
      </c>
      <c r="B3198" s="7">
        <v>2209479</v>
      </c>
      <c r="C3198" s="7">
        <v>39751583.5</v>
      </c>
      <c r="D3198" s="7">
        <f t="shared" si="50"/>
        <v>-37542104.5</v>
      </c>
    </row>
    <row r="3199" spans="1:4" ht="18" customHeight="1" x14ac:dyDescent="0.25">
      <c r="A3199" s="2" t="s">
        <v>6494</v>
      </c>
      <c r="B3199" s="7">
        <v>49526</v>
      </c>
      <c r="C3199" s="7">
        <v>6800000</v>
      </c>
      <c r="D3199" s="7">
        <f t="shared" si="50"/>
        <v>-6750474</v>
      </c>
    </row>
    <row r="3200" spans="1:4" ht="18" customHeight="1" x14ac:dyDescent="0.25">
      <c r="A3200" s="2" t="s">
        <v>5916</v>
      </c>
      <c r="B3200" s="7">
        <v>673780</v>
      </c>
      <c r="C3200" s="7">
        <v>10000</v>
      </c>
      <c r="D3200" s="7">
        <f t="shared" si="50"/>
        <v>663780</v>
      </c>
    </row>
    <row r="3201" spans="1:4" ht="18" customHeight="1" x14ac:dyDescent="0.25">
      <c r="A3201" s="2" t="s">
        <v>1896</v>
      </c>
      <c r="B3201" s="7">
        <v>48334413</v>
      </c>
      <c r="C3201" s="7">
        <v>8300000</v>
      </c>
      <c r="D3201" s="7">
        <f t="shared" si="50"/>
        <v>40034413</v>
      </c>
    </row>
    <row r="3202" spans="1:4" ht="18" customHeight="1" x14ac:dyDescent="0.25">
      <c r="A3202" s="2" t="s">
        <v>6056</v>
      </c>
      <c r="B3202" s="7">
        <v>403932</v>
      </c>
      <c r="C3202" s="7">
        <v>20000000</v>
      </c>
      <c r="D3202" s="7">
        <f t="shared" si="50"/>
        <v>-19596068</v>
      </c>
    </row>
    <row r="3203" spans="1:4" ht="18" customHeight="1" x14ac:dyDescent="0.25">
      <c r="A3203" s="2" t="s">
        <v>5634</v>
      </c>
      <c r="B3203" s="7">
        <v>1953732</v>
      </c>
      <c r="C3203" s="7">
        <v>15000000</v>
      </c>
      <c r="D3203" s="7">
        <f t="shared" si="50"/>
        <v>-13046268</v>
      </c>
    </row>
    <row r="3204" spans="1:4" ht="18" customHeight="1" x14ac:dyDescent="0.25">
      <c r="A3204" s="2" t="s">
        <v>5349</v>
      </c>
      <c r="B3204" s="7">
        <v>3766595</v>
      </c>
      <c r="C3204" s="7">
        <v>39751583.5</v>
      </c>
      <c r="D3204" s="7">
        <f t="shared" si="50"/>
        <v>-35984988.5</v>
      </c>
    </row>
    <row r="3205" spans="1:4" ht="18" customHeight="1" x14ac:dyDescent="0.25">
      <c r="A3205" s="2" t="s">
        <v>245</v>
      </c>
      <c r="B3205" s="7">
        <v>92115211</v>
      </c>
      <c r="C3205" s="7">
        <v>45000000</v>
      </c>
      <c r="D3205" s="7">
        <f t="shared" ref="D3205:D3268" si="51">B3205-C3205</f>
        <v>47115211</v>
      </c>
    </row>
    <row r="3206" spans="1:4" ht="18" customHeight="1" x14ac:dyDescent="0.25">
      <c r="A3206" s="2" t="s">
        <v>5353</v>
      </c>
      <c r="B3206" s="7">
        <v>3749061</v>
      </c>
      <c r="C3206" s="7">
        <v>20000000</v>
      </c>
      <c r="D3206" s="7">
        <f t="shared" si="51"/>
        <v>-16250939</v>
      </c>
    </row>
    <row r="3207" spans="1:4" ht="18" customHeight="1" x14ac:dyDescent="0.25">
      <c r="A3207" s="2" t="s">
        <v>4984</v>
      </c>
      <c r="B3207" s="7">
        <v>6842058</v>
      </c>
      <c r="C3207" s="7">
        <v>10000000</v>
      </c>
      <c r="D3207" s="7">
        <f t="shared" si="51"/>
        <v>-3157942</v>
      </c>
    </row>
    <row r="3208" spans="1:4" ht="18" customHeight="1" x14ac:dyDescent="0.25">
      <c r="A3208" s="2" t="s">
        <v>1603</v>
      </c>
      <c r="B3208" s="7">
        <v>48334413</v>
      </c>
      <c r="C3208" s="7">
        <v>30000000</v>
      </c>
      <c r="D3208" s="7">
        <f t="shared" si="51"/>
        <v>18334413</v>
      </c>
    </row>
    <row r="3209" spans="1:4" ht="18" customHeight="1" x14ac:dyDescent="0.25">
      <c r="A3209" s="2" t="s">
        <v>1061</v>
      </c>
      <c r="B3209" s="7">
        <v>52293982</v>
      </c>
      <c r="C3209" s="7">
        <v>13800000</v>
      </c>
      <c r="D3209" s="7">
        <f t="shared" si="51"/>
        <v>38493982</v>
      </c>
    </row>
    <row r="3210" spans="1:4" ht="18" customHeight="1" x14ac:dyDescent="0.25">
      <c r="A3210" s="2" t="s">
        <v>218</v>
      </c>
      <c r="B3210" s="7">
        <v>94175854</v>
      </c>
      <c r="C3210" s="7">
        <v>15000000</v>
      </c>
      <c r="D3210" s="7">
        <f t="shared" si="51"/>
        <v>79175854</v>
      </c>
    </row>
    <row r="3211" spans="1:4" ht="18" customHeight="1" x14ac:dyDescent="0.25">
      <c r="A3211" s="2" t="s">
        <v>1316</v>
      </c>
      <c r="B3211" s="7">
        <v>48334413</v>
      </c>
      <c r="C3211" s="7">
        <v>39751583.5</v>
      </c>
      <c r="D3211" s="7">
        <f t="shared" si="51"/>
        <v>8582829.5</v>
      </c>
    </row>
    <row r="3212" spans="1:4" ht="18" customHeight="1" x14ac:dyDescent="0.25">
      <c r="A3212" s="2" t="s">
        <v>2502</v>
      </c>
      <c r="B3212" s="7">
        <v>48334413</v>
      </c>
      <c r="C3212" s="7">
        <v>750000</v>
      </c>
      <c r="D3212" s="7">
        <f t="shared" si="51"/>
        <v>47584413</v>
      </c>
    </row>
    <row r="3213" spans="1:4" ht="18" customHeight="1" x14ac:dyDescent="0.25">
      <c r="A3213" s="2" t="s">
        <v>134</v>
      </c>
      <c r="B3213" s="7">
        <v>102310175</v>
      </c>
      <c r="C3213" s="7">
        <v>40000000</v>
      </c>
      <c r="D3213" s="7">
        <f t="shared" si="51"/>
        <v>62310175</v>
      </c>
    </row>
    <row r="3214" spans="1:4" ht="18" customHeight="1" x14ac:dyDescent="0.25">
      <c r="A3214" s="2" t="s">
        <v>4626</v>
      </c>
      <c r="B3214" s="7">
        <v>11538204</v>
      </c>
      <c r="C3214" s="7">
        <v>25000000</v>
      </c>
      <c r="D3214" s="7">
        <f t="shared" si="51"/>
        <v>-13461796</v>
      </c>
    </row>
    <row r="3215" spans="1:4" ht="18" customHeight="1" x14ac:dyDescent="0.25">
      <c r="A3215" s="2" t="s">
        <v>3316</v>
      </c>
      <c r="B3215" s="7">
        <v>33565375</v>
      </c>
      <c r="C3215" s="7">
        <v>15000000</v>
      </c>
      <c r="D3215" s="7">
        <f t="shared" si="51"/>
        <v>18565375</v>
      </c>
    </row>
    <row r="3216" spans="1:4" ht="18" customHeight="1" x14ac:dyDescent="0.25">
      <c r="A3216" s="2" t="s">
        <v>4132</v>
      </c>
      <c r="B3216" s="7">
        <v>17804273</v>
      </c>
      <c r="C3216" s="7">
        <v>20000000</v>
      </c>
      <c r="D3216" s="7">
        <f t="shared" si="51"/>
        <v>-2195727</v>
      </c>
    </row>
    <row r="3217" spans="1:4" ht="18" customHeight="1" x14ac:dyDescent="0.25">
      <c r="A3217" s="2" t="s">
        <v>2326</v>
      </c>
      <c r="B3217" s="7">
        <v>48334413</v>
      </c>
      <c r="C3217" s="7">
        <v>1600000</v>
      </c>
      <c r="D3217" s="7">
        <f t="shared" si="51"/>
        <v>46734413</v>
      </c>
    </row>
    <row r="3218" spans="1:4" ht="18" customHeight="1" x14ac:dyDescent="0.25">
      <c r="A3218" s="2" t="s">
        <v>4625</v>
      </c>
      <c r="B3218" s="7">
        <v>11540112</v>
      </c>
      <c r="C3218" s="7">
        <v>39751583.5</v>
      </c>
      <c r="D3218" s="7">
        <f t="shared" si="51"/>
        <v>-28211471.5</v>
      </c>
    </row>
    <row r="3219" spans="1:4" ht="18" customHeight="1" x14ac:dyDescent="0.25">
      <c r="A3219" s="2" t="s">
        <v>4847</v>
      </c>
      <c r="B3219" s="7">
        <v>8243880</v>
      </c>
      <c r="C3219" s="7">
        <v>3200000</v>
      </c>
      <c r="D3219" s="7">
        <f t="shared" si="51"/>
        <v>5043880</v>
      </c>
    </row>
    <row r="3220" spans="1:4" ht="18" customHeight="1" x14ac:dyDescent="0.25">
      <c r="A3220" s="2" t="s">
        <v>3452</v>
      </c>
      <c r="B3220" s="7">
        <v>31111260</v>
      </c>
      <c r="C3220" s="7">
        <v>60000000</v>
      </c>
      <c r="D3220" s="7">
        <f t="shared" si="51"/>
        <v>-28888740</v>
      </c>
    </row>
    <row r="3221" spans="1:4" ht="18" customHeight="1" x14ac:dyDescent="0.25">
      <c r="A3221" s="2" t="s">
        <v>4329</v>
      </c>
      <c r="B3221" s="7">
        <v>15156200</v>
      </c>
      <c r="C3221" s="7">
        <v>30000000</v>
      </c>
      <c r="D3221" s="7">
        <f t="shared" si="51"/>
        <v>-14843800</v>
      </c>
    </row>
    <row r="3222" spans="1:4" ht="18" customHeight="1" x14ac:dyDescent="0.25">
      <c r="A3222" s="2" t="s">
        <v>2210</v>
      </c>
      <c r="B3222" s="7">
        <v>48334413</v>
      </c>
      <c r="C3222" s="7">
        <v>2500000</v>
      </c>
      <c r="D3222" s="7">
        <f t="shared" si="51"/>
        <v>45834413</v>
      </c>
    </row>
    <row r="3223" spans="1:4" ht="18" customHeight="1" x14ac:dyDescent="0.25">
      <c r="A3223" s="2" t="s">
        <v>3691</v>
      </c>
      <c r="B3223" s="7">
        <v>25900000</v>
      </c>
      <c r="C3223" s="7">
        <v>58000000</v>
      </c>
      <c r="D3223" s="7">
        <f t="shared" si="51"/>
        <v>-32100000</v>
      </c>
    </row>
    <row r="3224" spans="1:4" ht="18" customHeight="1" x14ac:dyDescent="0.25">
      <c r="A3224" s="2" t="s">
        <v>4205</v>
      </c>
      <c r="B3224" s="7">
        <v>16969390</v>
      </c>
      <c r="C3224" s="7">
        <v>25000000</v>
      </c>
      <c r="D3224" s="7">
        <f t="shared" si="51"/>
        <v>-8030610</v>
      </c>
    </row>
    <row r="3225" spans="1:4" ht="18" customHeight="1" x14ac:dyDescent="0.25">
      <c r="A3225" s="2" t="s">
        <v>1000</v>
      </c>
      <c r="B3225" s="7">
        <v>54228104</v>
      </c>
      <c r="C3225" s="7">
        <v>35000000</v>
      </c>
      <c r="D3225" s="7">
        <f t="shared" si="51"/>
        <v>19228104</v>
      </c>
    </row>
    <row r="3226" spans="1:4" ht="18" customHeight="1" x14ac:dyDescent="0.25">
      <c r="A3226" s="2" t="s">
        <v>4204</v>
      </c>
      <c r="B3226" s="7">
        <v>16988996</v>
      </c>
      <c r="C3226" s="7">
        <v>35000000</v>
      </c>
      <c r="D3226" s="7">
        <f t="shared" si="51"/>
        <v>-18011004</v>
      </c>
    </row>
    <row r="3227" spans="1:4" ht="18" customHeight="1" x14ac:dyDescent="0.25">
      <c r="A3227" s="2" t="s">
        <v>3824</v>
      </c>
      <c r="B3227" s="7">
        <v>23292105</v>
      </c>
      <c r="C3227" s="7">
        <v>20000000</v>
      </c>
      <c r="D3227" s="7">
        <f t="shared" si="51"/>
        <v>3292105</v>
      </c>
    </row>
    <row r="3228" spans="1:4" ht="18" customHeight="1" x14ac:dyDescent="0.25">
      <c r="A3228" s="2" t="s">
        <v>3766</v>
      </c>
      <c r="B3228" s="7">
        <v>24881000</v>
      </c>
      <c r="C3228" s="7">
        <v>15000000</v>
      </c>
      <c r="D3228" s="7">
        <f t="shared" si="51"/>
        <v>9881000</v>
      </c>
    </row>
    <row r="3229" spans="1:4" ht="18" customHeight="1" x14ac:dyDescent="0.25">
      <c r="A3229" s="2" t="s">
        <v>3061</v>
      </c>
      <c r="B3229" s="7">
        <v>39103378</v>
      </c>
      <c r="C3229" s="7">
        <v>20000000</v>
      </c>
      <c r="D3229" s="7">
        <f t="shared" si="51"/>
        <v>19103378</v>
      </c>
    </row>
    <row r="3230" spans="1:4" ht="18" customHeight="1" x14ac:dyDescent="0.25">
      <c r="A3230" s="2" t="s">
        <v>4514</v>
      </c>
      <c r="B3230" s="7">
        <v>13019253</v>
      </c>
      <c r="C3230" s="7">
        <v>23000000</v>
      </c>
      <c r="D3230" s="7">
        <f t="shared" si="51"/>
        <v>-9980747</v>
      </c>
    </row>
    <row r="3231" spans="1:4" ht="18" customHeight="1" x14ac:dyDescent="0.25">
      <c r="A3231" s="2" t="s">
        <v>3570</v>
      </c>
      <c r="B3231" s="7">
        <v>28399192</v>
      </c>
      <c r="C3231" s="7">
        <v>13000000</v>
      </c>
      <c r="D3231" s="7">
        <f t="shared" si="51"/>
        <v>15399192</v>
      </c>
    </row>
    <row r="3232" spans="1:4" ht="18" customHeight="1" x14ac:dyDescent="0.25">
      <c r="A3232" s="2" t="s">
        <v>1136</v>
      </c>
      <c r="B3232" s="7">
        <v>50693162</v>
      </c>
      <c r="C3232" s="7">
        <v>23000000</v>
      </c>
      <c r="D3232" s="7">
        <f t="shared" si="51"/>
        <v>27693162</v>
      </c>
    </row>
    <row r="3233" spans="1:4" ht="18" customHeight="1" x14ac:dyDescent="0.25">
      <c r="A3233" s="2" t="s">
        <v>1797</v>
      </c>
      <c r="B3233" s="7">
        <v>48334413</v>
      </c>
      <c r="C3233" s="7">
        <v>11500000</v>
      </c>
      <c r="D3233" s="7">
        <f t="shared" si="51"/>
        <v>36834413</v>
      </c>
    </row>
    <row r="3234" spans="1:4" ht="18" customHeight="1" x14ac:dyDescent="0.25">
      <c r="A3234" s="2" t="s">
        <v>778</v>
      </c>
      <c r="B3234" s="7">
        <v>62549000</v>
      </c>
      <c r="C3234" s="7">
        <v>2300000</v>
      </c>
      <c r="D3234" s="7">
        <f t="shared" si="51"/>
        <v>60249000</v>
      </c>
    </row>
    <row r="3235" spans="1:4" ht="18" customHeight="1" x14ac:dyDescent="0.25">
      <c r="A3235" s="2" t="s">
        <v>6409</v>
      </c>
      <c r="B3235" s="7">
        <v>94596</v>
      </c>
      <c r="C3235" s="7">
        <v>1000000</v>
      </c>
      <c r="D3235" s="7">
        <f t="shared" si="51"/>
        <v>-905404</v>
      </c>
    </row>
    <row r="3236" spans="1:4" ht="18" customHeight="1" x14ac:dyDescent="0.25">
      <c r="A3236" s="2" t="s">
        <v>2287</v>
      </c>
      <c r="B3236" s="7">
        <v>48334413</v>
      </c>
      <c r="C3236" s="7">
        <v>2000000</v>
      </c>
      <c r="D3236" s="7">
        <f t="shared" si="51"/>
        <v>46334413</v>
      </c>
    </row>
    <row r="3237" spans="1:4" ht="18" customHeight="1" x14ac:dyDescent="0.25">
      <c r="A3237" s="2" t="s">
        <v>4920</v>
      </c>
      <c r="B3237" s="7">
        <v>7496522</v>
      </c>
      <c r="C3237" s="7">
        <v>26000000</v>
      </c>
      <c r="D3237" s="7">
        <f t="shared" si="51"/>
        <v>-18503478</v>
      </c>
    </row>
    <row r="3238" spans="1:4" ht="18" customHeight="1" x14ac:dyDescent="0.25">
      <c r="A3238" s="2" t="s">
        <v>942</v>
      </c>
      <c r="B3238" s="7">
        <v>56068547</v>
      </c>
      <c r="C3238" s="7">
        <v>30000000</v>
      </c>
      <c r="D3238" s="7">
        <f t="shared" si="51"/>
        <v>26068547</v>
      </c>
    </row>
    <row r="3239" spans="1:4" ht="18" customHeight="1" x14ac:dyDescent="0.25">
      <c r="A3239" s="2" t="s">
        <v>6030</v>
      </c>
      <c r="B3239" s="7">
        <v>449558</v>
      </c>
      <c r="C3239" s="7">
        <v>10000000</v>
      </c>
      <c r="D3239" s="7">
        <f t="shared" si="51"/>
        <v>-9550442</v>
      </c>
    </row>
    <row r="3240" spans="1:4" ht="18" customHeight="1" x14ac:dyDescent="0.25">
      <c r="A3240" s="2" t="s">
        <v>5654</v>
      </c>
      <c r="B3240" s="7">
        <v>1779284</v>
      </c>
      <c r="C3240" s="7">
        <v>12000000</v>
      </c>
      <c r="D3240" s="7">
        <f t="shared" si="51"/>
        <v>-10220716</v>
      </c>
    </row>
    <row r="3241" spans="1:4" ht="18" customHeight="1" x14ac:dyDescent="0.25">
      <c r="A3241" s="2" t="s">
        <v>2560</v>
      </c>
      <c r="B3241" s="7">
        <v>48334413</v>
      </c>
      <c r="C3241" s="7">
        <v>500000</v>
      </c>
      <c r="D3241" s="7">
        <f t="shared" si="51"/>
        <v>47834413</v>
      </c>
    </row>
    <row r="3242" spans="1:4" ht="18" customHeight="1" x14ac:dyDescent="0.25">
      <c r="A3242" s="2" t="s">
        <v>3926</v>
      </c>
      <c r="B3242" s="7">
        <v>21426805</v>
      </c>
      <c r="C3242" s="7">
        <v>30000000</v>
      </c>
      <c r="D3242" s="7">
        <f t="shared" si="51"/>
        <v>-8573195</v>
      </c>
    </row>
    <row r="3243" spans="1:4" ht="18" customHeight="1" x14ac:dyDescent="0.25">
      <c r="A3243" s="2" t="s">
        <v>451</v>
      </c>
      <c r="B3243" s="7">
        <v>158727570</v>
      </c>
      <c r="C3243" s="7">
        <v>160000000</v>
      </c>
      <c r="D3243" s="7">
        <f t="shared" si="51"/>
        <v>-1272430</v>
      </c>
    </row>
    <row r="3244" spans="1:4" ht="18" customHeight="1" x14ac:dyDescent="0.25">
      <c r="A3244" s="2" t="s">
        <v>6614</v>
      </c>
      <c r="B3244" s="7">
        <v>17311</v>
      </c>
      <c r="C3244" s="7">
        <v>39751583.5</v>
      </c>
      <c r="D3244" s="7">
        <f t="shared" si="51"/>
        <v>-39734272.5</v>
      </c>
    </row>
    <row r="3245" spans="1:4" ht="18" customHeight="1" x14ac:dyDescent="0.25">
      <c r="A3245" s="2" t="s">
        <v>2404</v>
      </c>
      <c r="B3245" s="7">
        <v>48334413</v>
      </c>
      <c r="C3245" s="7">
        <v>1100000</v>
      </c>
      <c r="D3245" s="7">
        <f t="shared" si="51"/>
        <v>47234413</v>
      </c>
    </row>
    <row r="3246" spans="1:4" ht="18" customHeight="1" x14ac:dyDescent="0.25">
      <c r="A3246" s="2" t="s">
        <v>1820</v>
      </c>
      <c r="B3246" s="7">
        <v>48334413</v>
      </c>
      <c r="C3246" s="7">
        <v>10000000</v>
      </c>
      <c r="D3246" s="7">
        <f t="shared" si="51"/>
        <v>38334413</v>
      </c>
    </row>
    <row r="3247" spans="1:4" ht="18" customHeight="1" x14ac:dyDescent="0.25">
      <c r="A3247" s="2" t="s">
        <v>1313</v>
      </c>
      <c r="B3247" s="7">
        <v>48334413</v>
      </c>
      <c r="C3247" s="7">
        <v>39751583.5</v>
      </c>
      <c r="D3247" s="7">
        <f t="shared" si="51"/>
        <v>8582829.5</v>
      </c>
    </row>
    <row r="3248" spans="1:4" ht="18" customHeight="1" x14ac:dyDescent="0.25">
      <c r="A3248" s="2" t="s">
        <v>1667</v>
      </c>
      <c r="B3248" s="7">
        <v>48334413</v>
      </c>
      <c r="C3248" s="7">
        <v>22000000</v>
      </c>
      <c r="D3248" s="7">
        <f t="shared" si="51"/>
        <v>26334413</v>
      </c>
    </row>
    <row r="3249" spans="1:4" ht="18" customHeight="1" x14ac:dyDescent="0.25">
      <c r="A3249" s="2" t="s">
        <v>3450</v>
      </c>
      <c r="B3249" s="7">
        <v>31146570</v>
      </c>
      <c r="C3249" s="7">
        <v>20000000</v>
      </c>
      <c r="D3249" s="7">
        <f t="shared" si="51"/>
        <v>11146570</v>
      </c>
    </row>
    <row r="3250" spans="1:4" ht="18" customHeight="1" x14ac:dyDescent="0.25">
      <c r="A3250" s="2" t="s">
        <v>4483</v>
      </c>
      <c r="B3250" s="7">
        <v>13376506</v>
      </c>
      <c r="C3250" s="7">
        <v>40000000</v>
      </c>
      <c r="D3250" s="7">
        <f t="shared" si="51"/>
        <v>-26623494</v>
      </c>
    </row>
    <row r="3251" spans="1:4" ht="18" customHeight="1" x14ac:dyDescent="0.25">
      <c r="A3251" s="2" t="s">
        <v>1734</v>
      </c>
      <c r="B3251" s="7">
        <v>48334413</v>
      </c>
      <c r="C3251" s="7">
        <v>15000000</v>
      </c>
      <c r="D3251" s="7">
        <f t="shared" si="51"/>
        <v>33334413</v>
      </c>
    </row>
    <row r="3252" spans="1:4" ht="18" customHeight="1" x14ac:dyDescent="0.25">
      <c r="A3252" s="2" t="s">
        <v>2163</v>
      </c>
      <c r="B3252" s="7">
        <v>48334413</v>
      </c>
      <c r="C3252" s="7">
        <v>3000000</v>
      </c>
      <c r="D3252" s="7">
        <f t="shared" si="51"/>
        <v>45334413</v>
      </c>
    </row>
    <row r="3253" spans="1:4" ht="18" customHeight="1" x14ac:dyDescent="0.25">
      <c r="A3253" s="2" t="s">
        <v>376</v>
      </c>
      <c r="B3253" s="7">
        <v>82624961</v>
      </c>
      <c r="C3253" s="7">
        <v>20000000</v>
      </c>
      <c r="D3253" s="7">
        <f t="shared" si="51"/>
        <v>62624961</v>
      </c>
    </row>
    <row r="3254" spans="1:4" ht="18" customHeight="1" x14ac:dyDescent="0.25">
      <c r="A3254" s="2" t="s">
        <v>3682</v>
      </c>
      <c r="B3254" s="7">
        <v>26005908</v>
      </c>
      <c r="C3254" s="7">
        <v>3500000</v>
      </c>
      <c r="D3254" s="7">
        <f t="shared" si="51"/>
        <v>22505908</v>
      </c>
    </row>
    <row r="3255" spans="1:4" ht="18" customHeight="1" x14ac:dyDescent="0.25">
      <c r="A3255" s="2" t="s">
        <v>1032</v>
      </c>
      <c r="B3255" s="7">
        <v>53245055</v>
      </c>
      <c r="C3255" s="7">
        <v>1000000</v>
      </c>
      <c r="D3255" s="7">
        <f t="shared" si="51"/>
        <v>52245055</v>
      </c>
    </row>
    <row r="3256" spans="1:4" ht="18" customHeight="1" x14ac:dyDescent="0.25">
      <c r="A3256" s="2" t="s">
        <v>802</v>
      </c>
      <c r="B3256" s="7">
        <v>60984028</v>
      </c>
      <c r="C3256" s="7">
        <v>57000000</v>
      </c>
      <c r="D3256" s="7">
        <f t="shared" si="51"/>
        <v>3984028</v>
      </c>
    </row>
    <row r="3257" spans="1:4" ht="18" customHeight="1" x14ac:dyDescent="0.25">
      <c r="A3257" s="2" t="s">
        <v>5712</v>
      </c>
      <c r="B3257" s="7">
        <v>1357042</v>
      </c>
      <c r="C3257" s="7">
        <v>15000000</v>
      </c>
      <c r="D3257" s="7">
        <f t="shared" si="51"/>
        <v>-13642958</v>
      </c>
    </row>
    <row r="3258" spans="1:4" ht="18" customHeight="1" x14ac:dyDescent="0.25">
      <c r="A3258" s="2" t="s">
        <v>2915</v>
      </c>
      <c r="B3258" s="7">
        <v>42877165</v>
      </c>
      <c r="C3258" s="7">
        <v>86000000</v>
      </c>
      <c r="D3258" s="7">
        <f t="shared" si="51"/>
        <v>-43122835</v>
      </c>
    </row>
    <row r="3259" spans="1:4" ht="18" customHeight="1" x14ac:dyDescent="0.25">
      <c r="A3259" s="2" t="s">
        <v>4212</v>
      </c>
      <c r="B3259" s="7">
        <v>16901126</v>
      </c>
      <c r="C3259" s="7">
        <v>7000000</v>
      </c>
      <c r="D3259" s="7">
        <f t="shared" si="51"/>
        <v>9901126</v>
      </c>
    </row>
    <row r="3260" spans="1:4" ht="18" customHeight="1" x14ac:dyDescent="0.25">
      <c r="A3260" s="2" t="s">
        <v>1843</v>
      </c>
      <c r="B3260" s="7">
        <v>48334413</v>
      </c>
      <c r="C3260" s="7">
        <v>10000000</v>
      </c>
      <c r="D3260" s="7">
        <f t="shared" si="51"/>
        <v>38334413</v>
      </c>
    </row>
    <row r="3261" spans="1:4" ht="18" customHeight="1" x14ac:dyDescent="0.25">
      <c r="A3261" s="2" t="s">
        <v>5697</v>
      </c>
      <c r="B3261" s="7">
        <v>1477002</v>
      </c>
      <c r="C3261" s="7">
        <v>2000000</v>
      </c>
      <c r="D3261" s="7">
        <f t="shared" si="51"/>
        <v>-522998</v>
      </c>
    </row>
    <row r="3262" spans="1:4" ht="18" customHeight="1" x14ac:dyDescent="0.25">
      <c r="A3262" s="2" t="s">
        <v>844</v>
      </c>
      <c r="B3262" s="7">
        <v>59617068</v>
      </c>
      <c r="C3262" s="7">
        <v>65000000</v>
      </c>
      <c r="D3262" s="7">
        <f t="shared" si="51"/>
        <v>-5382932</v>
      </c>
    </row>
    <row r="3263" spans="1:4" ht="18" customHeight="1" x14ac:dyDescent="0.25">
      <c r="A3263" s="2" t="s">
        <v>1199</v>
      </c>
      <c r="B3263" s="7">
        <v>48430355</v>
      </c>
      <c r="C3263" s="7">
        <v>70000000</v>
      </c>
      <c r="D3263" s="7">
        <f t="shared" si="51"/>
        <v>-21569645</v>
      </c>
    </row>
    <row r="3264" spans="1:4" ht="18" customHeight="1" x14ac:dyDescent="0.25">
      <c r="A3264" s="2" t="s">
        <v>1565</v>
      </c>
      <c r="B3264" s="7">
        <v>48334413</v>
      </c>
      <c r="C3264" s="7">
        <v>39751583.5</v>
      </c>
      <c r="D3264" s="7">
        <f t="shared" si="51"/>
        <v>8582829.5</v>
      </c>
    </row>
    <row r="3265" spans="1:4" ht="18" customHeight="1" x14ac:dyDescent="0.25">
      <c r="A3265" s="2" t="s">
        <v>6584</v>
      </c>
      <c r="B3265" s="7">
        <v>22000</v>
      </c>
      <c r="C3265" s="7">
        <v>3000000</v>
      </c>
      <c r="D3265" s="7">
        <f t="shared" si="51"/>
        <v>-2978000</v>
      </c>
    </row>
    <row r="3266" spans="1:4" ht="18" customHeight="1" x14ac:dyDescent="0.25">
      <c r="A3266" s="2" t="s">
        <v>5087</v>
      </c>
      <c r="B3266" s="7">
        <v>5990075</v>
      </c>
      <c r="C3266" s="7">
        <v>39751583.5</v>
      </c>
      <c r="D3266" s="7">
        <f t="shared" si="51"/>
        <v>-33761508.5</v>
      </c>
    </row>
    <row r="3267" spans="1:4" ht="18" customHeight="1" x14ac:dyDescent="0.25">
      <c r="A3267" s="2" t="s">
        <v>2297</v>
      </c>
      <c r="B3267" s="7">
        <v>48334413</v>
      </c>
      <c r="C3267" s="7">
        <v>2000000</v>
      </c>
      <c r="D3267" s="7">
        <f t="shared" si="51"/>
        <v>46334413</v>
      </c>
    </row>
    <row r="3268" spans="1:4" ht="18" customHeight="1" x14ac:dyDescent="0.25">
      <c r="A3268" s="2" t="s">
        <v>1293</v>
      </c>
      <c r="B3268" s="7">
        <v>48334413</v>
      </c>
      <c r="C3268" s="7">
        <v>39751583.5</v>
      </c>
      <c r="D3268" s="7">
        <f t="shared" si="51"/>
        <v>8582829.5</v>
      </c>
    </row>
    <row r="3269" spans="1:4" ht="18" customHeight="1" x14ac:dyDescent="0.25">
      <c r="A3269" s="2" t="s">
        <v>3239</v>
      </c>
      <c r="B3269" s="7">
        <v>35183792</v>
      </c>
      <c r="C3269" s="7">
        <v>38000000</v>
      </c>
      <c r="D3269" s="7">
        <f t="shared" ref="D3269:D3332" si="52">B3269-C3269</f>
        <v>-2816208</v>
      </c>
    </row>
    <row r="3270" spans="1:4" ht="18" customHeight="1" x14ac:dyDescent="0.25">
      <c r="A3270" s="2" t="s">
        <v>2199</v>
      </c>
      <c r="B3270" s="7">
        <v>48334413</v>
      </c>
      <c r="C3270" s="7">
        <v>2650000</v>
      </c>
      <c r="D3270" s="7">
        <f t="shared" si="52"/>
        <v>45684413</v>
      </c>
    </row>
    <row r="3271" spans="1:4" ht="18" customHeight="1" x14ac:dyDescent="0.25">
      <c r="A3271" s="2" t="s">
        <v>4446</v>
      </c>
      <c r="B3271" s="7">
        <v>13823741</v>
      </c>
      <c r="C3271" s="7">
        <v>13500000</v>
      </c>
      <c r="D3271" s="7">
        <f t="shared" si="52"/>
        <v>323741</v>
      </c>
    </row>
    <row r="3272" spans="1:4" ht="18" customHeight="1" x14ac:dyDescent="0.25">
      <c r="A3272" s="2" t="s">
        <v>3293</v>
      </c>
      <c r="B3272" s="7">
        <v>34017854</v>
      </c>
      <c r="C3272" s="7">
        <v>8500000</v>
      </c>
      <c r="D3272" s="7">
        <f t="shared" si="52"/>
        <v>25517854</v>
      </c>
    </row>
    <row r="3273" spans="1:4" ht="18" customHeight="1" x14ac:dyDescent="0.25">
      <c r="A3273" s="2" t="s">
        <v>422</v>
      </c>
      <c r="B3273" s="7">
        <v>80270227</v>
      </c>
      <c r="C3273" s="7">
        <v>50000000</v>
      </c>
      <c r="D3273" s="7">
        <f t="shared" si="52"/>
        <v>30270227</v>
      </c>
    </row>
    <row r="3274" spans="1:4" ht="18" customHeight="1" x14ac:dyDescent="0.25">
      <c r="A3274" s="2" t="s">
        <v>5572</v>
      </c>
      <c r="B3274" s="7">
        <v>2268296</v>
      </c>
      <c r="C3274" s="7">
        <v>6500000</v>
      </c>
      <c r="D3274" s="7">
        <f t="shared" si="52"/>
        <v>-4231704</v>
      </c>
    </row>
    <row r="3275" spans="1:4" ht="18" customHeight="1" x14ac:dyDescent="0.25">
      <c r="A3275" s="2" t="s">
        <v>6316</v>
      </c>
      <c r="B3275" s="7">
        <v>128937</v>
      </c>
      <c r="C3275" s="7">
        <v>39751583.5</v>
      </c>
      <c r="D3275" s="7">
        <f t="shared" si="52"/>
        <v>-39622646.5</v>
      </c>
    </row>
    <row r="3276" spans="1:4" ht="18" customHeight="1" x14ac:dyDescent="0.25">
      <c r="A3276" s="2" t="s">
        <v>3593</v>
      </c>
      <c r="B3276" s="7">
        <v>27779888</v>
      </c>
      <c r="C3276" s="7">
        <v>39751583.5</v>
      </c>
      <c r="D3276" s="7">
        <f t="shared" si="52"/>
        <v>-11971695.5</v>
      </c>
    </row>
    <row r="3277" spans="1:4" ht="18" customHeight="1" x14ac:dyDescent="0.25">
      <c r="A3277" s="2" t="s">
        <v>1989</v>
      </c>
      <c r="B3277" s="7">
        <v>48334413</v>
      </c>
      <c r="C3277" s="7">
        <v>5000000</v>
      </c>
      <c r="D3277" s="7">
        <f t="shared" si="52"/>
        <v>43334413</v>
      </c>
    </row>
    <row r="3278" spans="1:4" ht="18" customHeight="1" x14ac:dyDescent="0.25">
      <c r="A3278" s="2" t="s">
        <v>1985</v>
      </c>
      <c r="B3278" s="7">
        <v>48334413</v>
      </c>
      <c r="C3278" s="7">
        <v>5000000</v>
      </c>
      <c r="D3278" s="7">
        <f t="shared" si="52"/>
        <v>43334413</v>
      </c>
    </row>
    <row r="3279" spans="1:4" ht="18" customHeight="1" x14ac:dyDescent="0.25">
      <c r="A3279" s="2" t="s">
        <v>4421</v>
      </c>
      <c r="B3279" s="7">
        <v>14060950</v>
      </c>
      <c r="C3279" s="7">
        <v>12500000</v>
      </c>
      <c r="D3279" s="7">
        <f t="shared" si="52"/>
        <v>1560950</v>
      </c>
    </row>
    <row r="3280" spans="1:4" ht="18" customHeight="1" x14ac:dyDescent="0.25">
      <c r="A3280" s="2" t="s">
        <v>4675</v>
      </c>
      <c r="B3280" s="7">
        <v>10660147</v>
      </c>
      <c r="C3280" s="7">
        <v>23000000</v>
      </c>
      <c r="D3280" s="7">
        <f t="shared" si="52"/>
        <v>-12339853</v>
      </c>
    </row>
    <row r="3281" spans="1:4" ht="18" customHeight="1" x14ac:dyDescent="0.25">
      <c r="A3281" s="2" t="s">
        <v>465</v>
      </c>
      <c r="B3281" s="7">
        <v>78651430</v>
      </c>
      <c r="C3281" s="7">
        <v>27000000</v>
      </c>
      <c r="D3281" s="7">
        <f t="shared" si="52"/>
        <v>51651430</v>
      </c>
    </row>
    <row r="3282" spans="1:4" ht="18" customHeight="1" x14ac:dyDescent="0.25">
      <c r="A3282" s="2" t="s">
        <v>148</v>
      </c>
      <c r="B3282" s="7">
        <v>101530738</v>
      </c>
      <c r="C3282" s="7">
        <v>55000000</v>
      </c>
      <c r="D3282" s="7">
        <f t="shared" si="52"/>
        <v>46530738</v>
      </c>
    </row>
    <row r="3283" spans="1:4" ht="18" customHeight="1" x14ac:dyDescent="0.25">
      <c r="A3283" s="2" t="s">
        <v>2578</v>
      </c>
      <c r="B3283" s="7">
        <v>48334413</v>
      </c>
      <c r="C3283" s="7">
        <v>375000</v>
      </c>
      <c r="D3283" s="7">
        <f t="shared" si="52"/>
        <v>47959413</v>
      </c>
    </row>
    <row r="3284" spans="1:4" ht="18" customHeight="1" x14ac:dyDescent="0.25">
      <c r="A3284" s="2" t="s">
        <v>532</v>
      </c>
      <c r="B3284" s="7">
        <v>75072454</v>
      </c>
      <c r="C3284" s="7">
        <v>20000000</v>
      </c>
      <c r="D3284" s="7">
        <f t="shared" si="52"/>
        <v>55072454</v>
      </c>
    </row>
    <row r="3285" spans="1:4" ht="18" customHeight="1" x14ac:dyDescent="0.25">
      <c r="A3285" s="2" t="s">
        <v>3051</v>
      </c>
      <c r="B3285" s="7">
        <v>39292022</v>
      </c>
      <c r="C3285" s="7">
        <v>90000000</v>
      </c>
      <c r="D3285" s="7">
        <f t="shared" si="52"/>
        <v>-50707978</v>
      </c>
    </row>
    <row r="3286" spans="1:4" ht="18" customHeight="1" x14ac:dyDescent="0.25">
      <c r="A3286" s="2" t="s">
        <v>124</v>
      </c>
      <c r="B3286" s="7">
        <v>102981571</v>
      </c>
      <c r="C3286" s="7">
        <v>80000000</v>
      </c>
      <c r="D3286" s="7">
        <f t="shared" si="52"/>
        <v>22981571</v>
      </c>
    </row>
    <row r="3287" spans="1:4" ht="18" customHeight="1" x14ac:dyDescent="0.25">
      <c r="A3287" s="2" t="s">
        <v>6564</v>
      </c>
      <c r="B3287" s="7">
        <v>24705</v>
      </c>
      <c r="C3287" s="7">
        <v>39751583.5</v>
      </c>
      <c r="D3287" s="7">
        <f t="shared" si="52"/>
        <v>-39726878.5</v>
      </c>
    </row>
    <row r="3288" spans="1:4" ht="18" customHeight="1" x14ac:dyDescent="0.25">
      <c r="A3288" s="2" t="s">
        <v>4768</v>
      </c>
      <c r="B3288" s="7">
        <v>9589875</v>
      </c>
      <c r="C3288" s="7">
        <v>40000000</v>
      </c>
      <c r="D3288" s="7">
        <f t="shared" si="52"/>
        <v>-30410125</v>
      </c>
    </row>
    <row r="3289" spans="1:4" ht="18" customHeight="1" x14ac:dyDescent="0.25">
      <c r="A3289" s="2" t="s">
        <v>6028</v>
      </c>
      <c r="B3289" s="7">
        <v>453079</v>
      </c>
      <c r="C3289" s="7">
        <v>7000000</v>
      </c>
      <c r="D3289" s="7">
        <f t="shared" si="52"/>
        <v>-6546921</v>
      </c>
    </row>
    <row r="3290" spans="1:4" ht="18" customHeight="1" x14ac:dyDescent="0.25">
      <c r="A3290" s="2" t="s">
        <v>3443</v>
      </c>
      <c r="B3290" s="7">
        <v>31397498</v>
      </c>
      <c r="C3290" s="7">
        <v>12000000</v>
      </c>
      <c r="D3290" s="7">
        <f t="shared" si="52"/>
        <v>19397498</v>
      </c>
    </row>
    <row r="3291" spans="1:4" ht="18" customHeight="1" x14ac:dyDescent="0.25">
      <c r="A3291" s="2" t="s">
        <v>1283</v>
      </c>
      <c r="B3291" s="7">
        <v>48334413</v>
      </c>
      <c r="C3291" s="7">
        <v>39751583.5</v>
      </c>
      <c r="D3291" s="7">
        <f t="shared" si="52"/>
        <v>8582829.5</v>
      </c>
    </row>
    <row r="3292" spans="1:4" ht="18" customHeight="1" x14ac:dyDescent="0.25">
      <c r="A3292" s="2" t="s">
        <v>3018</v>
      </c>
      <c r="B3292" s="7">
        <v>40064955</v>
      </c>
      <c r="C3292" s="7">
        <v>15000000</v>
      </c>
      <c r="D3292" s="7">
        <f t="shared" si="52"/>
        <v>25064955</v>
      </c>
    </row>
    <row r="3293" spans="1:4" ht="18" customHeight="1" x14ac:dyDescent="0.25">
      <c r="A3293" s="2" t="s">
        <v>1699</v>
      </c>
      <c r="B3293" s="7">
        <v>48334413</v>
      </c>
      <c r="C3293" s="7">
        <v>19000000</v>
      </c>
      <c r="D3293" s="7">
        <f t="shared" si="52"/>
        <v>29334413</v>
      </c>
    </row>
    <row r="3294" spans="1:4" ht="18" customHeight="1" x14ac:dyDescent="0.25">
      <c r="A3294" s="2" t="s">
        <v>501</v>
      </c>
      <c r="B3294" s="7">
        <v>75764085</v>
      </c>
      <c r="C3294" s="7">
        <v>60000000</v>
      </c>
      <c r="D3294" s="7">
        <f t="shared" si="52"/>
        <v>15764085</v>
      </c>
    </row>
    <row r="3295" spans="1:4" ht="18" customHeight="1" x14ac:dyDescent="0.25">
      <c r="A3295" s="2" t="s">
        <v>5070</v>
      </c>
      <c r="B3295" s="7">
        <v>6061759</v>
      </c>
      <c r="C3295" s="7">
        <v>17000000</v>
      </c>
      <c r="D3295" s="7">
        <f t="shared" si="52"/>
        <v>-10938241</v>
      </c>
    </row>
    <row r="3296" spans="1:4" ht="18" customHeight="1" x14ac:dyDescent="0.25">
      <c r="A3296" s="2" t="s">
        <v>1268</v>
      </c>
      <c r="B3296" s="7">
        <v>48334413</v>
      </c>
      <c r="C3296" s="7">
        <v>39751583.5</v>
      </c>
      <c r="D3296" s="7">
        <f t="shared" si="52"/>
        <v>8582829.5</v>
      </c>
    </row>
    <row r="3297" spans="1:4" ht="18" customHeight="1" x14ac:dyDescent="0.25">
      <c r="A3297" s="2" t="s">
        <v>4096</v>
      </c>
      <c r="B3297" s="7">
        <v>18573791</v>
      </c>
      <c r="C3297" s="7">
        <v>55000000</v>
      </c>
      <c r="D3297" s="7">
        <f t="shared" si="52"/>
        <v>-36426209</v>
      </c>
    </row>
    <row r="3298" spans="1:4" ht="18" customHeight="1" x14ac:dyDescent="0.25">
      <c r="A3298" s="2" t="s">
        <v>780</v>
      </c>
      <c r="B3298" s="7">
        <v>62494975</v>
      </c>
      <c r="C3298" s="7">
        <v>85000000</v>
      </c>
      <c r="D3298" s="7">
        <f t="shared" si="52"/>
        <v>-22505025</v>
      </c>
    </row>
    <row r="3299" spans="1:4" ht="18" customHeight="1" x14ac:dyDescent="0.25">
      <c r="A3299" s="2" t="s">
        <v>5409</v>
      </c>
      <c r="B3299" s="7">
        <v>3254172</v>
      </c>
      <c r="C3299" s="7">
        <v>28000000</v>
      </c>
      <c r="D3299" s="7">
        <f t="shared" si="52"/>
        <v>-24745828</v>
      </c>
    </row>
    <row r="3300" spans="1:4" ht="18" customHeight="1" x14ac:dyDescent="0.25">
      <c r="A3300" s="2" t="s">
        <v>230</v>
      </c>
      <c r="B3300" s="7">
        <v>93571803</v>
      </c>
      <c r="C3300" s="7">
        <v>25000000</v>
      </c>
      <c r="D3300" s="7">
        <f t="shared" si="52"/>
        <v>68571803</v>
      </c>
    </row>
    <row r="3301" spans="1:4" ht="18" customHeight="1" x14ac:dyDescent="0.25">
      <c r="A3301" s="2" t="s">
        <v>699</v>
      </c>
      <c r="B3301" s="7">
        <v>66466372</v>
      </c>
      <c r="C3301" s="7">
        <v>40000000</v>
      </c>
      <c r="D3301" s="7">
        <f t="shared" si="52"/>
        <v>26466372</v>
      </c>
    </row>
    <row r="3302" spans="1:4" ht="18" customHeight="1" x14ac:dyDescent="0.25">
      <c r="A3302" s="2" t="s">
        <v>3603</v>
      </c>
      <c r="B3302" s="7">
        <v>27550735</v>
      </c>
      <c r="C3302" s="7">
        <v>39751583.5</v>
      </c>
      <c r="D3302" s="7">
        <f t="shared" si="52"/>
        <v>-12200848.5</v>
      </c>
    </row>
    <row r="3303" spans="1:4" ht="18" customHeight="1" x14ac:dyDescent="0.25">
      <c r="A3303" s="2" t="s">
        <v>100</v>
      </c>
      <c r="B3303" s="7">
        <v>105444419</v>
      </c>
      <c r="C3303" s="7">
        <v>26000000</v>
      </c>
      <c r="D3303" s="7">
        <f t="shared" si="52"/>
        <v>79444419</v>
      </c>
    </row>
    <row r="3304" spans="1:4" ht="18" customHeight="1" x14ac:dyDescent="0.25">
      <c r="A3304" s="2" t="s">
        <v>2956</v>
      </c>
      <c r="B3304" s="7">
        <v>41895491</v>
      </c>
      <c r="C3304" s="7">
        <v>24000000</v>
      </c>
      <c r="D3304" s="7">
        <f t="shared" si="52"/>
        <v>17895491</v>
      </c>
    </row>
    <row r="3305" spans="1:4" ht="18" customHeight="1" x14ac:dyDescent="0.25">
      <c r="A3305" s="2" t="s">
        <v>3556</v>
      </c>
      <c r="B3305" s="7">
        <v>28644770</v>
      </c>
      <c r="C3305" s="7">
        <v>30000000</v>
      </c>
      <c r="D3305" s="7">
        <f t="shared" si="52"/>
        <v>-1355230</v>
      </c>
    </row>
    <row r="3306" spans="1:4" ht="18" customHeight="1" x14ac:dyDescent="0.25">
      <c r="A3306" s="2" t="s">
        <v>3236</v>
      </c>
      <c r="B3306" s="7">
        <v>35231365</v>
      </c>
      <c r="C3306" s="7">
        <v>60000000</v>
      </c>
      <c r="D3306" s="7">
        <f t="shared" si="52"/>
        <v>-24768635</v>
      </c>
    </row>
    <row r="3307" spans="1:4" ht="18" customHeight="1" x14ac:dyDescent="0.25">
      <c r="A3307" s="2" t="s">
        <v>6248</v>
      </c>
      <c r="B3307" s="7">
        <v>181798</v>
      </c>
      <c r="C3307" s="7">
        <v>39751583.5</v>
      </c>
      <c r="D3307" s="7">
        <f t="shared" si="52"/>
        <v>-39569785.5</v>
      </c>
    </row>
    <row r="3308" spans="1:4" ht="18" customHeight="1" x14ac:dyDescent="0.25">
      <c r="A3308" s="2" t="s">
        <v>3931</v>
      </c>
      <c r="B3308" s="7">
        <v>42756000</v>
      </c>
      <c r="C3308" s="7">
        <v>2000000</v>
      </c>
      <c r="D3308" s="7">
        <f t="shared" si="52"/>
        <v>40756000</v>
      </c>
    </row>
    <row r="3309" spans="1:4" ht="18" customHeight="1" x14ac:dyDescent="0.25">
      <c r="A3309" s="2" t="s">
        <v>1585</v>
      </c>
      <c r="B3309" s="7">
        <v>48334413</v>
      </c>
      <c r="C3309" s="7">
        <v>39751583.5</v>
      </c>
      <c r="D3309" s="7">
        <f t="shared" si="52"/>
        <v>8582829.5</v>
      </c>
    </row>
    <row r="3310" spans="1:4" ht="18" customHeight="1" x14ac:dyDescent="0.25">
      <c r="A3310" s="2" t="s">
        <v>3758</v>
      </c>
      <c r="B3310" s="7">
        <v>25040293</v>
      </c>
      <c r="C3310" s="7">
        <v>55000000</v>
      </c>
      <c r="D3310" s="7">
        <f t="shared" si="52"/>
        <v>-29959707</v>
      </c>
    </row>
    <row r="3311" spans="1:4" ht="18" customHeight="1" x14ac:dyDescent="0.25">
      <c r="A3311" s="2" t="s">
        <v>3653</v>
      </c>
      <c r="B3311" s="7">
        <v>26583369</v>
      </c>
      <c r="C3311" s="7">
        <v>10000000</v>
      </c>
      <c r="D3311" s="7">
        <f t="shared" si="52"/>
        <v>16583369</v>
      </c>
    </row>
    <row r="3312" spans="1:4" ht="18" customHeight="1" x14ac:dyDescent="0.25">
      <c r="A3312" s="2" t="s">
        <v>4989</v>
      </c>
      <c r="B3312" s="7">
        <v>6755271</v>
      </c>
      <c r="C3312" s="7">
        <v>5000000</v>
      </c>
      <c r="D3312" s="7">
        <f t="shared" si="52"/>
        <v>1755271</v>
      </c>
    </row>
    <row r="3313" spans="1:4" ht="18" customHeight="1" x14ac:dyDescent="0.25">
      <c r="A3313" s="2" t="s">
        <v>4730</v>
      </c>
      <c r="B3313" s="7">
        <v>10139254</v>
      </c>
      <c r="C3313" s="7">
        <v>35000000</v>
      </c>
      <c r="D3313" s="7">
        <f t="shared" si="52"/>
        <v>-24860746</v>
      </c>
    </row>
    <row r="3314" spans="1:4" ht="18" customHeight="1" x14ac:dyDescent="0.25">
      <c r="A3314" s="2" t="s">
        <v>4112</v>
      </c>
      <c r="B3314" s="7">
        <v>18306166</v>
      </c>
      <c r="C3314" s="7">
        <v>35000000</v>
      </c>
      <c r="D3314" s="7">
        <f t="shared" si="52"/>
        <v>-16693834</v>
      </c>
    </row>
    <row r="3315" spans="1:4" ht="18" customHeight="1" x14ac:dyDescent="0.25">
      <c r="A3315" s="2" t="s">
        <v>1375</v>
      </c>
      <c r="B3315" s="7">
        <v>48334413</v>
      </c>
      <c r="C3315" s="7">
        <v>39751583.5</v>
      </c>
      <c r="D3315" s="7">
        <f t="shared" si="52"/>
        <v>8582829.5</v>
      </c>
    </row>
    <row r="3316" spans="1:4" ht="18" customHeight="1" x14ac:dyDescent="0.25">
      <c r="A3316" s="2" t="s">
        <v>3726</v>
      </c>
      <c r="B3316" s="7">
        <v>25464480</v>
      </c>
      <c r="C3316" s="7">
        <v>10000000</v>
      </c>
      <c r="D3316" s="7">
        <f t="shared" si="52"/>
        <v>15464480</v>
      </c>
    </row>
    <row r="3317" spans="1:4" ht="18" customHeight="1" x14ac:dyDescent="0.25">
      <c r="A3317" s="2" t="s">
        <v>6516</v>
      </c>
      <c r="B3317" s="7">
        <v>40557</v>
      </c>
      <c r="C3317" s="7">
        <v>60000</v>
      </c>
      <c r="D3317" s="7">
        <f t="shared" si="52"/>
        <v>-19443</v>
      </c>
    </row>
    <row r="3318" spans="1:4" ht="18" customHeight="1" x14ac:dyDescent="0.25">
      <c r="A3318" s="2" t="s">
        <v>2299</v>
      </c>
      <c r="B3318" s="7">
        <v>48334413</v>
      </c>
      <c r="C3318" s="7">
        <v>1800000</v>
      </c>
      <c r="D3318" s="7">
        <f t="shared" si="52"/>
        <v>46534413</v>
      </c>
    </row>
    <row r="3319" spans="1:4" ht="18" customHeight="1" x14ac:dyDescent="0.25">
      <c r="A3319" s="2" t="s">
        <v>2061</v>
      </c>
      <c r="B3319" s="7">
        <v>48334413</v>
      </c>
      <c r="C3319" s="7">
        <v>4000000</v>
      </c>
      <c r="D3319" s="7">
        <f t="shared" si="52"/>
        <v>44334413</v>
      </c>
    </row>
    <row r="3320" spans="1:4" ht="18" customHeight="1" x14ac:dyDescent="0.25">
      <c r="A3320" s="2" t="s">
        <v>1620</v>
      </c>
      <c r="B3320" s="7">
        <v>48334413</v>
      </c>
      <c r="C3320" s="7">
        <v>27220000</v>
      </c>
      <c r="D3320" s="7">
        <f t="shared" si="52"/>
        <v>21114413</v>
      </c>
    </row>
    <row r="3321" spans="1:4" ht="18" customHeight="1" x14ac:dyDescent="0.25">
      <c r="A3321" s="2" t="s">
        <v>2614</v>
      </c>
      <c r="B3321" s="7">
        <v>48334413</v>
      </c>
      <c r="C3321" s="7">
        <v>250000</v>
      </c>
      <c r="D3321" s="7">
        <f t="shared" si="52"/>
        <v>48084413</v>
      </c>
    </row>
    <row r="3322" spans="1:4" ht="18" customHeight="1" x14ac:dyDescent="0.25">
      <c r="A3322" s="2" t="s">
        <v>2819</v>
      </c>
      <c r="B3322" s="7">
        <v>45857453</v>
      </c>
      <c r="C3322" s="7">
        <v>3500000</v>
      </c>
      <c r="D3322" s="7">
        <f t="shared" si="52"/>
        <v>42357453</v>
      </c>
    </row>
    <row r="3323" spans="1:4" ht="18" customHeight="1" x14ac:dyDescent="0.25">
      <c r="A3323" s="2" t="s">
        <v>5744</v>
      </c>
      <c r="B3323" s="7">
        <v>1227324</v>
      </c>
      <c r="C3323" s="7">
        <v>12500000</v>
      </c>
      <c r="D3323" s="7">
        <f t="shared" si="52"/>
        <v>-11272676</v>
      </c>
    </row>
    <row r="3324" spans="1:4" ht="18" customHeight="1" x14ac:dyDescent="0.25">
      <c r="A3324" s="2" t="s">
        <v>3859</v>
      </c>
      <c r="B3324" s="7">
        <v>22757819</v>
      </c>
      <c r="C3324" s="7">
        <v>100000</v>
      </c>
      <c r="D3324" s="7">
        <f t="shared" si="52"/>
        <v>22657819</v>
      </c>
    </row>
    <row r="3325" spans="1:4" ht="18" customHeight="1" x14ac:dyDescent="0.25">
      <c r="A3325" s="2" t="s">
        <v>3311</v>
      </c>
      <c r="B3325" s="7">
        <v>67262442</v>
      </c>
      <c r="C3325" s="7">
        <v>50000000</v>
      </c>
      <c r="D3325" s="7">
        <f t="shared" si="52"/>
        <v>17262442</v>
      </c>
    </row>
    <row r="3326" spans="1:4" ht="18" customHeight="1" x14ac:dyDescent="0.25">
      <c r="A3326" s="2" t="s">
        <v>6085</v>
      </c>
      <c r="B3326" s="7">
        <v>375474</v>
      </c>
      <c r="C3326" s="7">
        <v>20000000</v>
      </c>
      <c r="D3326" s="7">
        <f t="shared" si="52"/>
        <v>-19624526</v>
      </c>
    </row>
    <row r="3327" spans="1:4" ht="18" customHeight="1" x14ac:dyDescent="0.25">
      <c r="A3327" s="2" t="s">
        <v>271</v>
      </c>
      <c r="B3327" s="7">
        <v>90636983</v>
      </c>
      <c r="C3327" s="7">
        <v>22000000</v>
      </c>
      <c r="D3327" s="7">
        <f t="shared" si="52"/>
        <v>68636983</v>
      </c>
    </row>
    <row r="3328" spans="1:4" ht="18" customHeight="1" x14ac:dyDescent="0.25">
      <c r="A3328" s="2" t="s">
        <v>2745</v>
      </c>
      <c r="B3328" s="7">
        <v>48265581</v>
      </c>
      <c r="C3328" s="7">
        <v>50000000</v>
      </c>
      <c r="D3328" s="7">
        <f t="shared" si="52"/>
        <v>-1734419</v>
      </c>
    </row>
    <row r="3329" spans="1:4" ht="18" customHeight="1" x14ac:dyDescent="0.25">
      <c r="A3329" s="2" t="s">
        <v>5543</v>
      </c>
      <c r="B3329" s="7">
        <v>2408553</v>
      </c>
      <c r="C3329" s="7">
        <v>39751583.5</v>
      </c>
      <c r="D3329" s="7">
        <f t="shared" si="52"/>
        <v>-37343030.5</v>
      </c>
    </row>
    <row r="3330" spans="1:4" ht="18" customHeight="1" x14ac:dyDescent="0.25">
      <c r="A3330" s="2" t="s">
        <v>2075</v>
      </c>
      <c r="B3330" s="7">
        <v>48334413</v>
      </c>
      <c r="C3330" s="7">
        <v>4000000</v>
      </c>
      <c r="D3330" s="7">
        <f t="shared" si="52"/>
        <v>44334413</v>
      </c>
    </row>
    <row r="3331" spans="1:4" ht="18" customHeight="1" x14ac:dyDescent="0.25">
      <c r="A3331" s="2" t="s">
        <v>6727</v>
      </c>
      <c r="B3331" s="7">
        <v>2436</v>
      </c>
      <c r="C3331" s="7">
        <v>2000000</v>
      </c>
      <c r="D3331" s="7">
        <f t="shared" si="52"/>
        <v>-1997564</v>
      </c>
    </row>
    <row r="3332" spans="1:4" ht="18" customHeight="1" x14ac:dyDescent="0.25">
      <c r="A3332" s="2" t="s">
        <v>3074</v>
      </c>
      <c r="B3332" s="7">
        <v>38553833</v>
      </c>
      <c r="C3332" s="7">
        <v>55000000</v>
      </c>
      <c r="D3332" s="7">
        <f t="shared" si="52"/>
        <v>-16446167</v>
      </c>
    </row>
    <row r="3333" spans="1:4" ht="18" customHeight="1" x14ac:dyDescent="0.25">
      <c r="A3333" s="2" t="s">
        <v>4305</v>
      </c>
      <c r="B3333" s="7">
        <v>15523168</v>
      </c>
      <c r="C3333" s="7">
        <v>45000000</v>
      </c>
      <c r="D3333" s="7">
        <f t="shared" ref="D3333:D3396" si="53">B3333-C3333</f>
        <v>-29476832</v>
      </c>
    </row>
    <row r="3334" spans="1:4" ht="18" customHeight="1" x14ac:dyDescent="0.25">
      <c r="A3334" s="2" t="s">
        <v>2892</v>
      </c>
      <c r="B3334" s="7">
        <v>87542582</v>
      </c>
      <c r="C3334" s="7">
        <v>10000000</v>
      </c>
      <c r="D3334" s="7">
        <f t="shared" si="53"/>
        <v>77542582</v>
      </c>
    </row>
    <row r="3335" spans="1:4" ht="18" customHeight="1" x14ac:dyDescent="0.25">
      <c r="A3335" s="2" t="s">
        <v>4375</v>
      </c>
      <c r="B3335" s="7">
        <v>14589444</v>
      </c>
      <c r="C3335" s="7">
        <v>25000000</v>
      </c>
      <c r="D3335" s="7">
        <f t="shared" si="53"/>
        <v>-10410556</v>
      </c>
    </row>
    <row r="3336" spans="1:4" ht="18" customHeight="1" x14ac:dyDescent="0.25">
      <c r="A3336" s="2" t="s">
        <v>6720</v>
      </c>
      <c r="B3336" s="7">
        <v>2874</v>
      </c>
      <c r="C3336" s="7">
        <v>39751583.5</v>
      </c>
      <c r="D3336" s="7">
        <f t="shared" si="53"/>
        <v>-39748709.5</v>
      </c>
    </row>
    <row r="3337" spans="1:4" ht="18" customHeight="1" x14ac:dyDescent="0.25">
      <c r="A3337" s="2" t="s">
        <v>130</v>
      </c>
      <c r="B3337" s="7">
        <v>102515793</v>
      </c>
      <c r="C3337" s="7">
        <v>90000000</v>
      </c>
      <c r="D3337" s="7">
        <f t="shared" si="53"/>
        <v>12515793</v>
      </c>
    </row>
    <row r="3338" spans="1:4" ht="18" customHeight="1" x14ac:dyDescent="0.25">
      <c r="A3338" s="2" t="s">
        <v>1484</v>
      </c>
      <c r="B3338" s="7">
        <v>48334413</v>
      </c>
      <c r="C3338" s="7">
        <v>39751583.5</v>
      </c>
      <c r="D3338" s="7">
        <f t="shared" si="53"/>
        <v>8582829.5</v>
      </c>
    </row>
    <row r="3339" spans="1:4" ht="18" customHeight="1" x14ac:dyDescent="0.25">
      <c r="A3339" s="2" t="s">
        <v>2839</v>
      </c>
      <c r="B3339" s="7">
        <v>45089048</v>
      </c>
      <c r="C3339" s="7">
        <v>25000000</v>
      </c>
      <c r="D3339" s="7">
        <f t="shared" si="53"/>
        <v>20089048</v>
      </c>
    </row>
    <row r="3340" spans="1:4" ht="18" customHeight="1" x14ac:dyDescent="0.25">
      <c r="A3340" s="2" t="s">
        <v>4129</v>
      </c>
      <c r="B3340" s="7">
        <v>17951431</v>
      </c>
      <c r="C3340" s="7">
        <v>30000000</v>
      </c>
      <c r="D3340" s="7">
        <f t="shared" si="53"/>
        <v>-12048569</v>
      </c>
    </row>
    <row r="3341" spans="1:4" ht="18" customHeight="1" x14ac:dyDescent="0.25">
      <c r="A3341" s="2" t="s">
        <v>3984</v>
      </c>
      <c r="B3341" s="7">
        <v>20400913</v>
      </c>
      <c r="C3341" s="7">
        <v>45000000</v>
      </c>
      <c r="D3341" s="7">
        <f t="shared" si="53"/>
        <v>-24599087</v>
      </c>
    </row>
    <row r="3342" spans="1:4" ht="18" customHeight="1" x14ac:dyDescent="0.25">
      <c r="A3342" s="2" t="s">
        <v>898</v>
      </c>
      <c r="B3342" s="7">
        <v>57300000</v>
      </c>
      <c r="C3342" s="7">
        <v>13000000</v>
      </c>
      <c r="D3342" s="7">
        <f t="shared" si="53"/>
        <v>44300000</v>
      </c>
    </row>
    <row r="3343" spans="1:4" ht="18" customHeight="1" x14ac:dyDescent="0.25">
      <c r="A3343" s="2" t="s">
        <v>687</v>
      </c>
      <c r="B3343" s="7">
        <v>66676062</v>
      </c>
      <c r="C3343" s="7">
        <v>54000000</v>
      </c>
      <c r="D3343" s="7">
        <f t="shared" si="53"/>
        <v>12676062</v>
      </c>
    </row>
    <row r="3344" spans="1:4" ht="18" customHeight="1" x14ac:dyDescent="0.25">
      <c r="A3344" s="2" t="s">
        <v>445</v>
      </c>
      <c r="B3344" s="7">
        <v>79817937</v>
      </c>
      <c r="C3344" s="7">
        <v>25000000</v>
      </c>
      <c r="D3344" s="7">
        <f t="shared" si="53"/>
        <v>54817937</v>
      </c>
    </row>
    <row r="3345" spans="1:4" ht="18" customHeight="1" x14ac:dyDescent="0.25">
      <c r="A3345" s="2" t="s">
        <v>5725</v>
      </c>
      <c r="B3345" s="7">
        <v>1304837</v>
      </c>
      <c r="C3345" s="7">
        <v>32000000</v>
      </c>
      <c r="D3345" s="7">
        <f t="shared" si="53"/>
        <v>-30695163</v>
      </c>
    </row>
    <row r="3346" spans="1:4" ht="18" customHeight="1" x14ac:dyDescent="0.25">
      <c r="A3346" s="2" t="s">
        <v>4423</v>
      </c>
      <c r="B3346" s="7">
        <v>14015786</v>
      </c>
      <c r="C3346" s="7">
        <v>5000000</v>
      </c>
      <c r="D3346" s="7">
        <f t="shared" si="53"/>
        <v>9015786</v>
      </c>
    </row>
    <row r="3347" spans="1:4" ht="18" customHeight="1" x14ac:dyDescent="0.25">
      <c r="A3347" s="2" t="s">
        <v>6389</v>
      </c>
      <c r="B3347" s="7">
        <v>100503</v>
      </c>
      <c r="C3347" s="7">
        <v>8000000</v>
      </c>
      <c r="D3347" s="7">
        <f t="shared" si="53"/>
        <v>-7899497</v>
      </c>
    </row>
    <row r="3348" spans="1:4" ht="18" customHeight="1" x14ac:dyDescent="0.25">
      <c r="A3348" s="2" t="s">
        <v>6598</v>
      </c>
      <c r="B3348" s="7">
        <v>19959</v>
      </c>
      <c r="C3348" s="7">
        <v>3800000</v>
      </c>
      <c r="D3348" s="7">
        <f t="shared" si="53"/>
        <v>-3780041</v>
      </c>
    </row>
    <row r="3349" spans="1:4" ht="18" customHeight="1" x14ac:dyDescent="0.25">
      <c r="A3349" s="2" t="s">
        <v>6589</v>
      </c>
      <c r="B3349" s="7">
        <v>20380</v>
      </c>
      <c r="C3349" s="7">
        <v>15000000</v>
      </c>
      <c r="D3349" s="7">
        <f t="shared" si="53"/>
        <v>-14979620</v>
      </c>
    </row>
    <row r="3350" spans="1:4" ht="18" customHeight="1" x14ac:dyDescent="0.25">
      <c r="A3350" s="2" t="s">
        <v>5376</v>
      </c>
      <c r="B3350" s="7">
        <v>3517797</v>
      </c>
      <c r="C3350" s="7">
        <v>25000000</v>
      </c>
      <c r="D3350" s="7">
        <f t="shared" si="53"/>
        <v>-21482203</v>
      </c>
    </row>
    <row r="3351" spans="1:4" ht="18" customHeight="1" x14ac:dyDescent="0.25">
      <c r="A3351" s="2" t="s">
        <v>5067</v>
      </c>
      <c r="B3351" s="7">
        <v>6100000</v>
      </c>
      <c r="C3351" s="7">
        <v>1200000</v>
      </c>
      <c r="D3351" s="7">
        <f t="shared" si="53"/>
        <v>4900000</v>
      </c>
    </row>
    <row r="3352" spans="1:4" ht="18" customHeight="1" x14ac:dyDescent="0.25">
      <c r="A3352" s="2" t="s">
        <v>6317</v>
      </c>
      <c r="B3352" s="7">
        <v>128486</v>
      </c>
      <c r="C3352" s="7">
        <v>10000000</v>
      </c>
      <c r="D3352" s="7">
        <f t="shared" si="53"/>
        <v>-9871514</v>
      </c>
    </row>
    <row r="3353" spans="1:4" ht="18" customHeight="1" x14ac:dyDescent="0.25">
      <c r="A3353" s="2" t="s">
        <v>4337</v>
      </c>
      <c r="B3353" s="7">
        <v>15102127</v>
      </c>
      <c r="C3353" s="7">
        <v>39751583.5</v>
      </c>
      <c r="D3353" s="7">
        <f t="shared" si="53"/>
        <v>-24649456.5</v>
      </c>
    </row>
    <row r="3354" spans="1:4" ht="18" customHeight="1" x14ac:dyDescent="0.25">
      <c r="A3354" s="2" t="s">
        <v>5539</v>
      </c>
      <c r="B3354" s="7">
        <v>2428241</v>
      </c>
      <c r="C3354" s="7">
        <v>200000</v>
      </c>
      <c r="D3354" s="7">
        <f t="shared" si="53"/>
        <v>2228241</v>
      </c>
    </row>
    <row r="3355" spans="1:4" ht="18" customHeight="1" x14ac:dyDescent="0.25">
      <c r="A3355" s="2" t="s">
        <v>853</v>
      </c>
      <c r="B3355" s="7">
        <v>59073773</v>
      </c>
      <c r="C3355" s="7">
        <v>25000000</v>
      </c>
      <c r="D3355" s="7">
        <f t="shared" si="53"/>
        <v>34073773</v>
      </c>
    </row>
    <row r="3356" spans="1:4" ht="18" customHeight="1" x14ac:dyDescent="0.25">
      <c r="A3356" s="2" t="s">
        <v>1433</v>
      </c>
      <c r="B3356" s="7">
        <v>48334413</v>
      </c>
      <c r="C3356" s="7">
        <v>39751583.5</v>
      </c>
      <c r="D3356" s="7">
        <f t="shared" si="53"/>
        <v>8582829.5</v>
      </c>
    </row>
    <row r="3357" spans="1:4" ht="18" customHeight="1" x14ac:dyDescent="0.25">
      <c r="A3357" s="2" t="s">
        <v>5009</v>
      </c>
      <c r="B3357" s="7">
        <v>6594136</v>
      </c>
      <c r="C3357" s="7">
        <v>38600000</v>
      </c>
      <c r="D3357" s="7">
        <f t="shared" si="53"/>
        <v>-32005864</v>
      </c>
    </row>
    <row r="3358" spans="1:4" ht="18" customHeight="1" x14ac:dyDescent="0.25">
      <c r="A3358" s="2" t="s">
        <v>5496</v>
      </c>
      <c r="B3358" s="7">
        <v>2835886</v>
      </c>
      <c r="C3358" s="7">
        <v>9200000</v>
      </c>
      <c r="D3358" s="7">
        <f t="shared" si="53"/>
        <v>-6364114</v>
      </c>
    </row>
    <row r="3359" spans="1:4" ht="18" customHeight="1" x14ac:dyDescent="0.25">
      <c r="A3359" s="2" t="s">
        <v>3489</v>
      </c>
      <c r="B3359" s="7">
        <v>30226144</v>
      </c>
      <c r="C3359" s="7">
        <v>15000000</v>
      </c>
      <c r="D3359" s="7">
        <f t="shared" si="53"/>
        <v>15226144</v>
      </c>
    </row>
    <row r="3360" spans="1:4" ht="18" customHeight="1" x14ac:dyDescent="0.25">
      <c r="A3360" s="2" t="s">
        <v>2065</v>
      </c>
      <c r="B3360" s="7">
        <v>48334413</v>
      </c>
      <c r="C3360" s="7">
        <v>4000000</v>
      </c>
      <c r="D3360" s="7">
        <f t="shared" si="53"/>
        <v>44334413</v>
      </c>
    </row>
    <row r="3361" spans="1:4" ht="18" customHeight="1" x14ac:dyDescent="0.25">
      <c r="A3361" s="2" t="s">
        <v>4725</v>
      </c>
      <c r="B3361" s="7">
        <v>10166502</v>
      </c>
      <c r="C3361" s="7">
        <v>80000000</v>
      </c>
      <c r="D3361" s="7">
        <f t="shared" si="53"/>
        <v>-69833498</v>
      </c>
    </row>
    <row r="3362" spans="1:4" ht="18" customHeight="1" x14ac:dyDescent="0.25">
      <c r="A3362" s="2" t="s">
        <v>1964</v>
      </c>
      <c r="B3362" s="7">
        <v>48334413</v>
      </c>
      <c r="C3362" s="7">
        <v>6000000</v>
      </c>
      <c r="D3362" s="7">
        <f t="shared" si="53"/>
        <v>42334413</v>
      </c>
    </row>
    <row r="3363" spans="1:4" ht="18" customHeight="1" x14ac:dyDescent="0.25">
      <c r="A3363" s="2" t="s">
        <v>4321</v>
      </c>
      <c r="B3363" s="7">
        <v>15331289</v>
      </c>
      <c r="C3363" s="7">
        <v>39751583.5</v>
      </c>
      <c r="D3363" s="7">
        <f t="shared" si="53"/>
        <v>-24420294.5</v>
      </c>
    </row>
    <row r="3364" spans="1:4" ht="18" customHeight="1" x14ac:dyDescent="0.25">
      <c r="A3364" s="2" t="s">
        <v>5928</v>
      </c>
      <c r="B3364" s="7">
        <v>638476</v>
      </c>
      <c r="C3364" s="7">
        <v>1500000</v>
      </c>
      <c r="D3364" s="7">
        <f t="shared" si="53"/>
        <v>-861524</v>
      </c>
    </row>
    <row r="3365" spans="1:4" ht="18" customHeight="1" x14ac:dyDescent="0.25">
      <c r="A3365" s="2" t="s">
        <v>3204</v>
      </c>
      <c r="B3365" s="7">
        <v>36000000</v>
      </c>
      <c r="C3365" s="7">
        <v>4000000</v>
      </c>
      <c r="D3365" s="7">
        <f t="shared" si="53"/>
        <v>32000000</v>
      </c>
    </row>
    <row r="3366" spans="1:4" ht="18" customHeight="1" x14ac:dyDescent="0.25">
      <c r="A3366" s="2" t="s">
        <v>4871</v>
      </c>
      <c r="B3366" s="7">
        <v>8000000</v>
      </c>
      <c r="C3366" s="7">
        <v>20000000</v>
      </c>
      <c r="D3366" s="7">
        <f t="shared" si="53"/>
        <v>-12000000</v>
      </c>
    </row>
    <row r="3367" spans="1:4" ht="18" customHeight="1" x14ac:dyDescent="0.25">
      <c r="A3367" s="2" t="s">
        <v>6347</v>
      </c>
      <c r="B3367" s="7">
        <v>115862</v>
      </c>
      <c r="C3367" s="7">
        <v>6000000</v>
      </c>
      <c r="D3367" s="7">
        <f t="shared" si="53"/>
        <v>-5884138</v>
      </c>
    </row>
    <row r="3368" spans="1:4" ht="18" customHeight="1" x14ac:dyDescent="0.25">
      <c r="A3368" s="2" t="s">
        <v>4944</v>
      </c>
      <c r="B3368" s="7">
        <v>7186670</v>
      </c>
      <c r="C3368" s="7">
        <v>6000000</v>
      </c>
      <c r="D3368" s="7">
        <f t="shared" si="53"/>
        <v>1186670</v>
      </c>
    </row>
    <row r="3369" spans="1:4" ht="18" customHeight="1" x14ac:dyDescent="0.25">
      <c r="A3369" s="2" t="s">
        <v>1089</v>
      </c>
      <c r="B3369" s="7">
        <v>51533608</v>
      </c>
      <c r="C3369" s="7">
        <v>25000000</v>
      </c>
      <c r="D3369" s="7">
        <f t="shared" si="53"/>
        <v>26533608</v>
      </c>
    </row>
    <row r="3370" spans="1:4" ht="18" customHeight="1" x14ac:dyDescent="0.25">
      <c r="A3370" s="2" t="s">
        <v>3059</v>
      </c>
      <c r="B3370" s="7">
        <v>39143839</v>
      </c>
      <c r="C3370" s="7">
        <v>20000000</v>
      </c>
      <c r="D3370" s="7">
        <f t="shared" si="53"/>
        <v>19143839</v>
      </c>
    </row>
    <row r="3371" spans="1:4" ht="18" customHeight="1" x14ac:dyDescent="0.25">
      <c r="A3371" s="2" t="s">
        <v>21</v>
      </c>
      <c r="B3371" s="7">
        <v>110175871</v>
      </c>
      <c r="C3371" s="7">
        <v>10000000</v>
      </c>
      <c r="D3371" s="7">
        <f t="shared" si="53"/>
        <v>100175871</v>
      </c>
    </row>
    <row r="3372" spans="1:4" ht="18" customHeight="1" x14ac:dyDescent="0.25">
      <c r="A3372" s="2" t="s">
        <v>5147</v>
      </c>
      <c r="B3372" s="7">
        <v>5359774</v>
      </c>
      <c r="C3372" s="7">
        <v>6000000</v>
      </c>
      <c r="D3372" s="7">
        <f t="shared" si="53"/>
        <v>-640226</v>
      </c>
    </row>
    <row r="3373" spans="1:4" ht="18" customHeight="1" x14ac:dyDescent="0.25">
      <c r="A3373" s="2" t="s">
        <v>3156</v>
      </c>
      <c r="B3373" s="7">
        <v>37101011</v>
      </c>
      <c r="C3373" s="7">
        <v>40000000</v>
      </c>
      <c r="D3373" s="7">
        <f t="shared" si="53"/>
        <v>-2898989</v>
      </c>
    </row>
    <row r="3374" spans="1:4" ht="18" customHeight="1" x14ac:dyDescent="0.25">
      <c r="A3374" s="2" t="s">
        <v>4678</v>
      </c>
      <c r="B3374" s="7">
        <v>10640645</v>
      </c>
      <c r="C3374" s="7">
        <v>40000000</v>
      </c>
      <c r="D3374" s="7">
        <f t="shared" si="53"/>
        <v>-29359355</v>
      </c>
    </row>
    <row r="3375" spans="1:4" ht="18" customHeight="1" x14ac:dyDescent="0.25">
      <c r="A3375" s="2" t="s">
        <v>5455</v>
      </c>
      <c r="B3375" s="7">
        <v>3034181</v>
      </c>
      <c r="C3375" s="7">
        <v>11000000</v>
      </c>
      <c r="D3375" s="7">
        <f t="shared" si="53"/>
        <v>-7965819</v>
      </c>
    </row>
    <row r="3376" spans="1:4" ht="18" customHeight="1" x14ac:dyDescent="0.25">
      <c r="A3376" s="2" t="s">
        <v>2514</v>
      </c>
      <c r="B3376" s="7">
        <v>48334413</v>
      </c>
      <c r="C3376" s="7">
        <v>650000</v>
      </c>
      <c r="D3376" s="7">
        <f t="shared" si="53"/>
        <v>47684413</v>
      </c>
    </row>
    <row r="3377" spans="1:4" ht="18" customHeight="1" x14ac:dyDescent="0.25">
      <c r="A3377" s="2" t="s">
        <v>6037</v>
      </c>
      <c r="B3377" s="7">
        <v>442638</v>
      </c>
      <c r="C3377" s="7">
        <v>850000</v>
      </c>
      <c r="D3377" s="7">
        <f t="shared" si="53"/>
        <v>-407362</v>
      </c>
    </row>
    <row r="3378" spans="1:4" ht="18" customHeight="1" x14ac:dyDescent="0.25">
      <c r="A3378" s="2" t="s">
        <v>735</v>
      </c>
      <c r="B3378" s="7">
        <v>64505912</v>
      </c>
      <c r="C3378" s="7">
        <v>48000000</v>
      </c>
      <c r="D3378" s="7">
        <f t="shared" si="53"/>
        <v>16505912</v>
      </c>
    </row>
    <row r="3379" spans="1:4" ht="18" customHeight="1" x14ac:dyDescent="0.25">
      <c r="A3379" s="2" t="s">
        <v>6729</v>
      </c>
      <c r="B3379" s="7">
        <v>2245</v>
      </c>
      <c r="C3379" s="7">
        <v>560000</v>
      </c>
      <c r="D3379" s="7">
        <f t="shared" si="53"/>
        <v>-557755</v>
      </c>
    </row>
    <row r="3380" spans="1:4" ht="18" customHeight="1" x14ac:dyDescent="0.25">
      <c r="A3380" s="2" t="s">
        <v>1008</v>
      </c>
      <c r="B3380" s="7">
        <v>54116191</v>
      </c>
      <c r="C3380" s="7">
        <v>44000000</v>
      </c>
      <c r="D3380" s="7">
        <f t="shared" si="53"/>
        <v>10116191</v>
      </c>
    </row>
    <row r="3381" spans="1:4" ht="18" customHeight="1" x14ac:dyDescent="0.25">
      <c r="A3381" s="2" t="s">
        <v>500</v>
      </c>
      <c r="B3381" s="7">
        <v>75817994</v>
      </c>
      <c r="C3381" s="7">
        <v>90000000</v>
      </c>
      <c r="D3381" s="7">
        <f t="shared" si="53"/>
        <v>-14182006</v>
      </c>
    </row>
    <row r="3382" spans="1:4" ht="18" customHeight="1" x14ac:dyDescent="0.25">
      <c r="A3382" s="2" t="s">
        <v>1882</v>
      </c>
      <c r="B3382" s="7">
        <v>48334413</v>
      </c>
      <c r="C3382" s="7">
        <v>9000000</v>
      </c>
      <c r="D3382" s="7">
        <f t="shared" si="53"/>
        <v>39334413</v>
      </c>
    </row>
    <row r="3383" spans="1:4" ht="18" customHeight="1" x14ac:dyDescent="0.25">
      <c r="A3383" s="2" t="s">
        <v>4487</v>
      </c>
      <c r="B3383" s="7">
        <v>13350177</v>
      </c>
      <c r="C3383" s="7">
        <v>5000000</v>
      </c>
      <c r="D3383" s="7">
        <f t="shared" si="53"/>
        <v>8350177</v>
      </c>
    </row>
    <row r="3384" spans="1:4" ht="18" customHeight="1" x14ac:dyDescent="0.25">
      <c r="A3384" s="2" t="s">
        <v>259</v>
      </c>
      <c r="B3384" s="7">
        <v>91188905</v>
      </c>
      <c r="C3384" s="7">
        <v>80000000</v>
      </c>
      <c r="D3384" s="7">
        <f t="shared" si="53"/>
        <v>11188905</v>
      </c>
    </row>
    <row r="3385" spans="1:4" ht="18" customHeight="1" x14ac:dyDescent="0.25">
      <c r="A3385" s="2" t="s">
        <v>6233</v>
      </c>
      <c r="B3385" s="7">
        <v>196067</v>
      </c>
      <c r="C3385" s="7">
        <v>7000000</v>
      </c>
      <c r="D3385" s="7">
        <f t="shared" si="53"/>
        <v>-6803933</v>
      </c>
    </row>
    <row r="3386" spans="1:4" ht="18" customHeight="1" x14ac:dyDescent="0.25">
      <c r="A3386" s="2" t="s">
        <v>6600</v>
      </c>
      <c r="B3386" s="7">
        <v>19539</v>
      </c>
      <c r="C3386" s="7">
        <v>1000000</v>
      </c>
      <c r="D3386" s="7">
        <f t="shared" si="53"/>
        <v>-980461</v>
      </c>
    </row>
    <row r="3387" spans="1:4" ht="18" customHeight="1" x14ac:dyDescent="0.25">
      <c r="A3387" s="2" t="s">
        <v>2432</v>
      </c>
      <c r="B3387" s="7">
        <v>48334413</v>
      </c>
      <c r="C3387" s="7">
        <v>1000000</v>
      </c>
      <c r="D3387" s="7">
        <f t="shared" si="53"/>
        <v>47334413</v>
      </c>
    </row>
    <row r="3388" spans="1:4" ht="18" customHeight="1" x14ac:dyDescent="0.25">
      <c r="A3388" s="2" t="s">
        <v>3966</v>
      </c>
      <c r="B3388" s="7">
        <v>20801344</v>
      </c>
      <c r="C3388" s="7">
        <v>15000000</v>
      </c>
      <c r="D3388" s="7">
        <f t="shared" si="53"/>
        <v>5801344</v>
      </c>
    </row>
    <row r="3389" spans="1:4" ht="18" customHeight="1" x14ac:dyDescent="0.25">
      <c r="A3389" s="2" t="s">
        <v>2963</v>
      </c>
      <c r="B3389" s="7">
        <v>41777564</v>
      </c>
      <c r="C3389" s="7">
        <v>15000000</v>
      </c>
      <c r="D3389" s="7">
        <f t="shared" si="53"/>
        <v>26777564</v>
      </c>
    </row>
    <row r="3390" spans="1:4" ht="18" customHeight="1" x14ac:dyDescent="0.25">
      <c r="A3390" s="2" t="s">
        <v>5512</v>
      </c>
      <c r="B3390" s="7">
        <v>2706659</v>
      </c>
      <c r="C3390" s="7">
        <v>2000000</v>
      </c>
      <c r="D3390" s="7">
        <f t="shared" si="53"/>
        <v>706659</v>
      </c>
    </row>
    <row r="3391" spans="1:4" ht="18" customHeight="1" x14ac:dyDescent="0.25">
      <c r="A3391" s="2" t="s">
        <v>1969</v>
      </c>
      <c r="B3391" s="7">
        <v>48334413</v>
      </c>
      <c r="C3391" s="7">
        <v>6000000</v>
      </c>
      <c r="D3391" s="7">
        <f t="shared" si="53"/>
        <v>42334413</v>
      </c>
    </row>
    <row r="3392" spans="1:4" ht="18" customHeight="1" x14ac:dyDescent="0.25">
      <c r="A3392" s="2" t="s">
        <v>1116</v>
      </c>
      <c r="B3392" s="7">
        <v>51019112</v>
      </c>
      <c r="C3392" s="7">
        <v>50000000</v>
      </c>
      <c r="D3392" s="7">
        <f t="shared" si="53"/>
        <v>1019112</v>
      </c>
    </row>
    <row r="3393" spans="1:4" ht="18" customHeight="1" x14ac:dyDescent="0.25">
      <c r="A3393" s="2" t="s">
        <v>4946</v>
      </c>
      <c r="B3393" s="7">
        <v>7156933</v>
      </c>
      <c r="C3393" s="7">
        <v>25000000</v>
      </c>
      <c r="D3393" s="7">
        <f t="shared" si="53"/>
        <v>-17843067</v>
      </c>
    </row>
    <row r="3394" spans="1:4" ht="18" customHeight="1" x14ac:dyDescent="0.25">
      <c r="A3394" s="2" t="s">
        <v>1795</v>
      </c>
      <c r="B3394" s="7">
        <v>48334413</v>
      </c>
      <c r="C3394" s="7">
        <v>12000000</v>
      </c>
      <c r="D3394" s="7">
        <f t="shared" si="53"/>
        <v>36334413</v>
      </c>
    </row>
    <row r="3395" spans="1:4" ht="18" customHeight="1" x14ac:dyDescent="0.25">
      <c r="A3395" s="2" t="s">
        <v>765</v>
      </c>
      <c r="B3395" s="7">
        <v>63224849</v>
      </c>
      <c r="C3395" s="7">
        <v>85000000</v>
      </c>
      <c r="D3395" s="7">
        <f t="shared" si="53"/>
        <v>-21775151</v>
      </c>
    </row>
    <row r="3396" spans="1:4" ht="18" customHeight="1" x14ac:dyDescent="0.25">
      <c r="A3396" s="2" t="s">
        <v>6133</v>
      </c>
      <c r="B3396" s="7">
        <v>304124</v>
      </c>
      <c r="C3396" s="7">
        <v>1400000</v>
      </c>
      <c r="D3396" s="7">
        <f t="shared" si="53"/>
        <v>-1095876</v>
      </c>
    </row>
    <row r="3397" spans="1:4" ht="18" customHeight="1" x14ac:dyDescent="0.25">
      <c r="A3397" s="2" t="s">
        <v>5537</v>
      </c>
      <c r="B3397" s="7">
        <v>2428883</v>
      </c>
      <c r="C3397" s="7">
        <v>16000000</v>
      </c>
      <c r="D3397" s="7">
        <f t="shared" ref="D3397:D3460" si="54">B3397-C3397</f>
        <v>-13571117</v>
      </c>
    </row>
    <row r="3398" spans="1:4" ht="18" customHeight="1" x14ac:dyDescent="0.25">
      <c r="A3398" s="2" t="s">
        <v>1280</v>
      </c>
      <c r="B3398" s="7">
        <v>48334413</v>
      </c>
      <c r="C3398" s="7">
        <v>39751583.5</v>
      </c>
      <c r="D3398" s="7">
        <f t="shared" si="54"/>
        <v>8582829.5</v>
      </c>
    </row>
    <row r="3399" spans="1:4" ht="18" customHeight="1" x14ac:dyDescent="0.25">
      <c r="A3399" s="2" t="s">
        <v>2191</v>
      </c>
      <c r="B3399" s="7">
        <v>48334413</v>
      </c>
      <c r="C3399" s="7">
        <v>3000000</v>
      </c>
      <c r="D3399" s="7">
        <f t="shared" si="54"/>
        <v>45334413</v>
      </c>
    </row>
    <row r="3400" spans="1:4" ht="18" customHeight="1" x14ac:dyDescent="0.25">
      <c r="A3400" s="2" t="s">
        <v>6274</v>
      </c>
      <c r="B3400" s="7">
        <v>155984</v>
      </c>
      <c r="C3400" s="7">
        <v>160000</v>
      </c>
      <c r="D3400" s="7">
        <f t="shared" si="54"/>
        <v>-4016</v>
      </c>
    </row>
    <row r="3401" spans="1:4" ht="18" customHeight="1" x14ac:dyDescent="0.25">
      <c r="A3401" s="2" t="s">
        <v>522</v>
      </c>
      <c r="B3401" s="7">
        <v>75370763</v>
      </c>
      <c r="C3401" s="7">
        <v>60000000</v>
      </c>
      <c r="D3401" s="7">
        <f t="shared" si="54"/>
        <v>15370763</v>
      </c>
    </row>
    <row r="3402" spans="1:4" ht="18" customHeight="1" x14ac:dyDescent="0.25">
      <c r="A3402" s="2" t="s">
        <v>5644</v>
      </c>
      <c r="B3402" s="7">
        <v>1877179</v>
      </c>
      <c r="C3402" s="7">
        <v>39751583.5</v>
      </c>
      <c r="D3402" s="7">
        <f t="shared" si="54"/>
        <v>-37874404.5</v>
      </c>
    </row>
    <row r="3403" spans="1:4" ht="18" customHeight="1" x14ac:dyDescent="0.25">
      <c r="A3403" s="2" t="s">
        <v>3648</v>
      </c>
      <c r="B3403" s="7">
        <v>26616999</v>
      </c>
      <c r="C3403" s="7">
        <v>40000000</v>
      </c>
      <c r="D3403" s="7">
        <f t="shared" si="54"/>
        <v>-13383001</v>
      </c>
    </row>
    <row r="3404" spans="1:4" ht="18" customHeight="1" x14ac:dyDescent="0.25">
      <c r="A3404" s="2" t="s">
        <v>5172</v>
      </c>
      <c r="B3404" s="7">
        <v>5100000</v>
      </c>
      <c r="C3404" s="7">
        <v>7500000</v>
      </c>
      <c r="D3404" s="7">
        <f t="shared" si="54"/>
        <v>-2400000</v>
      </c>
    </row>
    <row r="3405" spans="1:4" ht="18" customHeight="1" x14ac:dyDescent="0.25">
      <c r="A3405" s="2" t="s">
        <v>2966</v>
      </c>
      <c r="B3405" s="7">
        <v>41597830</v>
      </c>
      <c r="C3405" s="7">
        <v>25000000</v>
      </c>
      <c r="D3405" s="7">
        <f t="shared" si="54"/>
        <v>16597830</v>
      </c>
    </row>
    <row r="3406" spans="1:4" ht="18" customHeight="1" x14ac:dyDescent="0.25">
      <c r="A3406" s="2" t="s">
        <v>2747</v>
      </c>
      <c r="B3406" s="7">
        <v>48237389</v>
      </c>
      <c r="C3406" s="7">
        <v>25000000</v>
      </c>
      <c r="D3406" s="7">
        <f t="shared" si="54"/>
        <v>23237389</v>
      </c>
    </row>
    <row r="3407" spans="1:4" ht="18" customHeight="1" x14ac:dyDescent="0.25">
      <c r="A3407" s="2" t="s">
        <v>5454</v>
      </c>
      <c r="B3407" s="7">
        <v>3041803</v>
      </c>
      <c r="C3407" s="7">
        <v>10000000</v>
      </c>
      <c r="D3407" s="7">
        <f t="shared" si="54"/>
        <v>-6958197</v>
      </c>
    </row>
    <row r="3408" spans="1:4" ht="18" customHeight="1" x14ac:dyDescent="0.25">
      <c r="A3408" s="2" t="s">
        <v>6387</v>
      </c>
      <c r="B3408" s="7">
        <v>100659</v>
      </c>
      <c r="C3408" s="7">
        <v>900000</v>
      </c>
      <c r="D3408" s="7">
        <f t="shared" si="54"/>
        <v>-799341</v>
      </c>
    </row>
    <row r="3409" spans="1:4" ht="18" customHeight="1" x14ac:dyDescent="0.25">
      <c r="A3409" s="2" t="s">
        <v>4127</v>
      </c>
      <c r="B3409" s="7">
        <v>17986000</v>
      </c>
      <c r="C3409" s="7">
        <v>1000000</v>
      </c>
      <c r="D3409" s="7">
        <f t="shared" si="54"/>
        <v>16986000</v>
      </c>
    </row>
    <row r="3410" spans="1:4" ht="18" customHeight="1" x14ac:dyDescent="0.25">
      <c r="A3410" s="2" t="s">
        <v>5485</v>
      </c>
      <c r="B3410" s="7">
        <v>2869369</v>
      </c>
      <c r="C3410" s="7">
        <v>30000000</v>
      </c>
      <c r="D3410" s="7">
        <f t="shared" si="54"/>
        <v>-27130631</v>
      </c>
    </row>
    <row r="3411" spans="1:4" ht="18" customHeight="1" x14ac:dyDescent="0.25">
      <c r="A3411" s="2" t="s">
        <v>998</v>
      </c>
      <c r="B3411" s="7">
        <v>54235441</v>
      </c>
      <c r="C3411" s="7">
        <v>22000000</v>
      </c>
      <c r="D3411" s="7">
        <f t="shared" si="54"/>
        <v>32235441</v>
      </c>
    </row>
    <row r="3412" spans="1:4" ht="18" customHeight="1" x14ac:dyDescent="0.25">
      <c r="A3412" s="2" t="s">
        <v>5948</v>
      </c>
      <c r="B3412" s="7">
        <v>610968</v>
      </c>
      <c r="C3412" s="7">
        <v>3800000</v>
      </c>
      <c r="D3412" s="7">
        <f t="shared" si="54"/>
        <v>-3189032</v>
      </c>
    </row>
    <row r="3413" spans="1:4" ht="18" customHeight="1" x14ac:dyDescent="0.25">
      <c r="A3413" s="2" t="s">
        <v>3285</v>
      </c>
      <c r="B3413" s="7">
        <v>34238611</v>
      </c>
      <c r="C3413" s="7">
        <v>55000000</v>
      </c>
      <c r="D3413" s="7">
        <f t="shared" si="54"/>
        <v>-20761389</v>
      </c>
    </row>
    <row r="3414" spans="1:4" ht="18" customHeight="1" x14ac:dyDescent="0.25">
      <c r="A3414" s="2" t="s">
        <v>5852</v>
      </c>
      <c r="B3414" s="7">
        <v>876671</v>
      </c>
      <c r="C3414" s="7">
        <v>25000000</v>
      </c>
      <c r="D3414" s="7">
        <f t="shared" si="54"/>
        <v>-24123329</v>
      </c>
    </row>
    <row r="3415" spans="1:4" ht="18" customHeight="1" x14ac:dyDescent="0.25">
      <c r="A3415" s="2" t="s">
        <v>1138</v>
      </c>
      <c r="B3415" s="7">
        <v>50668906</v>
      </c>
      <c r="C3415" s="7">
        <v>38000000</v>
      </c>
      <c r="D3415" s="7">
        <f t="shared" si="54"/>
        <v>12668906</v>
      </c>
    </row>
    <row r="3416" spans="1:4" ht="18" customHeight="1" x14ac:dyDescent="0.25">
      <c r="A3416" s="2" t="s">
        <v>4295</v>
      </c>
      <c r="B3416" s="7">
        <v>15700000</v>
      </c>
      <c r="C3416" s="7">
        <v>15000000</v>
      </c>
      <c r="D3416" s="7">
        <f t="shared" si="54"/>
        <v>700000</v>
      </c>
    </row>
    <row r="3417" spans="1:4" ht="18" customHeight="1" x14ac:dyDescent="0.25">
      <c r="A3417" s="2" t="s">
        <v>2258</v>
      </c>
      <c r="B3417" s="7">
        <v>48334413</v>
      </c>
      <c r="C3417" s="7">
        <v>2000000</v>
      </c>
      <c r="D3417" s="7">
        <f t="shared" si="54"/>
        <v>46334413</v>
      </c>
    </row>
    <row r="3418" spans="1:4" ht="18" customHeight="1" x14ac:dyDescent="0.25">
      <c r="A3418" s="2" t="s">
        <v>1884</v>
      </c>
      <c r="B3418" s="7">
        <v>48334413</v>
      </c>
      <c r="C3418" s="7">
        <v>8800000</v>
      </c>
      <c r="D3418" s="7">
        <f t="shared" si="54"/>
        <v>39534413</v>
      </c>
    </row>
    <row r="3419" spans="1:4" ht="18" customHeight="1" x14ac:dyDescent="0.25">
      <c r="A3419" s="2" t="s">
        <v>1874</v>
      </c>
      <c r="B3419" s="7">
        <v>48334413</v>
      </c>
      <c r="C3419" s="7">
        <v>9000000</v>
      </c>
      <c r="D3419" s="7">
        <f t="shared" si="54"/>
        <v>39334413</v>
      </c>
    </row>
    <row r="3420" spans="1:4" ht="18" customHeight="1" x14ac:dyDescent="0.25">
      <c r="A3420" s="2" t="s">
        <v>4887</v>
      </c>
      <c r="B3420" s="7">
        <v>7837632</v>
      </c>
      <c r="C3420" s="7">
        <v>18000000</v>
      </c>
      <c r="D3420" s="7">
        <f t="shared" si="54"/>
        <v>-10162368</v>
      </c>
    </row>
    <row r="3421" spans="1:4" ht="18" customHeight="1" x14ac:dyDescent="0.25">
      <c r="A3421" s="2" t="s">
        <v>5639</v>
      </c>
      <c r="B3421" s="7">
        <v>1939441</v>
      </c>
      <c r="C3421" s="7">
        <v>10000000</v>
      </c>
      <c r="D3421" s="7">
        <f t="shared" si="54"/>
        <v>-8060559</v>
      </c>
    </row>
    <row r="3422" spans="1:4" ht="18" customHeight="1" x14ac:dyDescent="0.25">
      <c r="A3422" s="2" t="s">
        <v>2989</v>
      </c>
      <c r="B3422" s="7">
        <v>40962534</v>
      </c>
      <c r="C3422" s="7">
        <v>12500000</v>
      </c>
      <c r="D3422" s="7">
        <f t="shared" si="54"/>
        <v>28462534</v>
      </c>
    </row>
    <row r="3423" spans="1:4" ht="18" customHeight="1" x14ac:dyDescent="0.25">
      <c r="A3423" s="2" t="s">
        <v>3027</v>
      </c>
      <c r="B3423" s="7">
        <v>39825798</v>
      </c>
      <c r="C3423" s="7">
        <v>16000000</v>
      </c>
      <c r="D3423" s="7">
        <f t="shared" si="54"/>
        <v>23825798</v>
      </c>
    </row>
    <row r="3424" spans="1:4" ht="18" customHeight="1" x14ac:dyDescent="0.25">
      <c r="A3424" s="2" t="s">
        <v>2709</v>
      </c>
      <c r="B3424" s="7">
        <v>48334413</v>
      </c>
      <c r="C3424" s="7">
        <v>50000</v>
      </c>
      <c r="D3424" s="7">
        <f t="shared" si="54"/>
        <v>48284413</v>
      </c>
    </row>
    <row r="3425" spans="1:4" ht="18" customHeight="1" x14ac:dyDescent="0.25">
      <c r="A3425" s="2" t="s">
        <v>4904</v>
      </c>
      <c r="B3425" s="7">
        <v>7689458</v>
      </c>
      <c r="C3425" s="7">
        <v>40000000</v>
      </c>
      <c r="D3425" s="7">
        <f t="shared" si="54"/>
        <v>-32310542</v>
      </c>
    </row>
    <row r="3426" spans="1:4" ht="18" customHeight="1" x14ac:dyDescent="0.25">
      <c r="A3426" s="2" t="s">
        <v>261</v>
      </c>
      <c r="B3426" s="7">
        <v>91121452</v>
      </c>
      <c r="C3426" s="7">
        <v>14000000</v>
      </c>
      <c r="D3426" s="7">
        <f t="shared" si="54"/>
        <v>77121452</v>
      </c>
    </row>
    <row r="3427" spans="1:4" ht="18" customHeight="1" x14ac:dyDescent="0.25">
      <c r="A3427" s="2" t="s">
        <v>5626</v>
      </c>
      <c r="B3427" s="7">
        <v>1984743</v>
      </c>
      <c r="C3427" s="7">
        <v>16000000</v>
      </c>
      <c r="D3427" s="7">
        <f t="shared" si="54"/>
        <v>-14015257</v>
      </c>
    </row>
    <row r="3428" spans="1:4" ht="18" customHeight="1" x14ac:dyDescent="0.25">
      <c r="A3428" s="2" t="s">
        <v>4840</v>
      </c>
      <c r="B3428" s="7">
        <v>8378141</v>
      </c>
      <c r="C3428" s="7">
        <v>15000000</v>
      </c>
      <c r="D3428" s="7">
        <f t="shared" si="54"/>
        <v>-6621859</v>
      </c>
    </row>
    <row r="3429" spans="1:4" ht="18" customHeight="1" x14ac:dyDescent="0.25">
      <c r="A3429" s="2" t="s">
        <v>4069</v>
      </c>
      <c r="B3429" s="7">
        <v>18996755</v>
      </c>
      <c r="C3429" s="7">
        <v>45000000</v>
      </c>
      <c r="D3429" s="7">
        <f t="shared" si="54"/>
        <v>-26003245</v>
      </c>
    </row>
    <row r="3430" spans="1:4" ht="18" customHeight="1" x14ac:dyDescent="0.25">
      <c r="A3430" s="2" t="s">
        <v>5163</v>
      </c>
      <c r="B3430" s="7">
        <v>5217498</v>
      </c>
      <c r="C3430" s="7">
        <v>15000000</v>
      </c>
      <c r="D3430" s="7">
        <f t="shared" si="54"/>
        <v>-9782502</v>
      </c>
    </row>
    <row r="3431" spans="1:4" ht="18" customHeight="1" x14ac:dyDescent="0.25">
      <c r="A3431" s="2" t="s">
        <v>1384</v>
      </c>
      <c r="B3431" s="7">
        <v>48334413</v>
      </c>
      <c r="C3431" s="7">
        <v>39751583.5</v>
      </c>
      <c r="D3431" s="7">
        <f t="shared" si="54"/>
        <v>8582829.5</v>
      </c>
    </row>
    <row r="3432" spans="1:4" ht="18" customHeight="1" x14ac:dyDescent="0.25">
      <c r="A3432" s="2" t="s">
        <v>3867</v>
      </c>
      <c r="B3432" s="7">
        <v>22525921</v>
      </c>
      <c r="C3432" s="7">
        <v>30000000</v>
      </c>
      <c r="D3432" s="7">
        <f t="shared" si="54"/>
        <v>-7474079</v>
      </c>
    </row>
    <row r="3433" spans="1:4" ht="18" customHeight="1" x14ac:dyDescent="0.25">
      <c r="A3433" s="2" t="s">
        <v>5630</v>
      </c>
      <c r="B3433" s="7">
        <v>1977544</v>
      </c>
      <c r="C3433" s="7">
        <v>250000</v>
      </c>
      <c r="D3433" s="7">
        <f t="shared" si="54"/>
        <v>1727544</v>
      </c>
    </row>
    <row r="3434" spans="1:4" ht="18" customHeight="1" x14ac:dyDescent="0.25">
      <c r="A3434" s="2" t="s">
        <v>3218</v>
      </c>
      <c r="B3434" s="7">
        <v>35617599</v>
      </c>
      <c r="C3434" s="7">
        <v>45000000</v>
      </c>
      <c r="D3434" s="7">
        <f t="shared" si="54"/>
        <v>-9382401</v>
      </c>
    </row>
    <row r="3435" spans="1:4" ht="18" customHeight="1" x14ac:dyDescent="0.25">
      <c r="A3435" s="2" t="s">
        <v>4356</v>
      </c>
      <c r="B3435" s="7">
        <v>14946229</v>
      </c>
      <c r="C3435" s="7">
        <v>25000000</v>
      </c>
      <c r="D3435" s="7">
        <f t="shared" si="54"/>
        <v>-10053771</v>
      </c>
    </row>
    <row r="3436" spans="1:4" ht="18" customHeight="1" x14ac:dyDescent="0.25">
      <c r="A3436" s="2" t="s">
        <v>3333</v>
      </c>
      <c r="B3436" s="7">
        <v>33313582</v>
      </c>
      <c r="C3436" s="7">
        <v>21000000</v>
      </c>
      <c r="D3436" s="7">
        <f t="shared" si="54"/>
        <v>12313582</v>
      </c>
    </row>
    <row r="3437" spans="1:4" ht="18" customHeight="1" x14ac:dyDescent="0.25">
      <c r="A3437" s="2" t="s">
        <v>1703</v>
      </c>
      <c r="B3437" s="7">
        <v>48334413</v>
      </c>
      <c r="C3437" s="7">
        <v>18000000</v>
      </c>
      <c r="D3437" s="7">
        <f t="shared" si="54"/>
        <v>30334413</v>
      </c>
    </row>
    <row r="3438" spans="1:4" ht="18" customHeight="1" x14ac:dyDescent="0.25">
      <c r="A3438" s="2" t="s">
        <v>4811</v>
      </c>
      <c r="B3438" s="7">
        <v>8880705</v>
      </c>
      <c r="C3438" s="7">
        <v>39751583.5</v>
      </c>
      <c r="D3438" s="7">
        <f t="shared" si="54"/>
        <v>-30870878.5</v>
      </c>
    </row>
    <row r="3439" spans="1:4" ht="18" customHeight="1" x14ac:dyDescent="0.25">
      <c r="A3439" s="2" t="s">
        <v>6431</v>
      </c>
      <c r="B3439" s="7">
        <v>77501</v>
      </c>
      <c r="C3439" s="7">
        <v>750000</v>
      </c>
      <c r="D3439" s="7">
        <f t="shared" si="54"/>
        <v>-672499</v>
      </c>
    </row>
    <row r="3440" spans="1:4" ht="18" customHeight="1" x14ac:dyDescent="0.25">
      <c r="A3440" s="2" t="s">
        <v>3542</v>
      </c>
      <c r="B3440" s="7">
        <v>28965197</v>
      </c>
      <c r="C3440" s="7">
        <v>68000000</v>
      </c>
      <c r="D3440" s="7">
        <f t="shared" si="54"/>
        <v>-39034803</v>
      </c>
    </row>
    <row r="3441" spans="1:4" ht="18" customHeight="1" x14ac:dyDescent="0.25">
      <c r="A3441" s="2" t="s">
        <v>530</v>
      </c>
      <c r="B3441" s="7">
        <v>75274748</v>
      </c>
      <c r="C3441" s="7">
        <v>35000000</v>
      </c>
      <c r="D3441" s="7">
        <f t="shared" si="54"/>
        <v>40274748</v>
      </c>
    </row>
    <row r="3442" spans="1:4" ht="18" customHeight="1" x14ac:dyDescent="0.25">
      <c r="A3442" s="2" t="s">
        <v>3728</v>
      </c>
      <c r="B3442" s="7">
        <v>25450527</v>
      </c>
      <c r="C3442" s="7">
        <v>50000000</v>
      </c>
      <c r="D3442" s="7">
        <f t="shared" si="54"/>
        <v>-24549473</v>
      </c>
    </row>
    <row r="3443" spans="1:4" ht="18" customHeight="1" x14ac:dyDescent="0.25">
      <c r="A3443" s="2" t="s">
        <v>2859</v>
      </c>
      <c r="B3443" s="7">
        <v>44665963</v>
      </c>
      <c r="C3443" s="7">
        <v>58000000</v>
      </c>
      <c r="D3443" s="7">
        <f t="shared" si="54"/>
        <v>-13334037</v>
      </c>
    </row>
    <row r="3444" spans="1:4" ht="18" customHeight="1" x14ac:dyDescent="0.25">
      <c r="A3444" s="2" t="s">
        <v>566</v>
      </c>
      <c r="B3444" s="7">
        <v>72515360</v>
      </c>
      <c r="C3444" s="7">
        <v>80000000</v>
      </c>
      <c r="D3444" s="7">
        <f t="shared" si="54"/>
        <v>-7484640</v>
      </c>
    </row>
    <row r="3445" spans="1:4" ht="18" customHeight="1" x14ac:dyDescent="0.25">
      <c r="A3445" s="2" t="s">
        <v>5066</v>
      </c>
      <c r="B3445" s="7">
        <v>6105175</v>
      </c>
      <c r="C3445" s="7">
        <v>44000000</v>
      </c>
      <c r="D3445" s="7">
        <f t="shared" si="54"/>
        <v>-37894825</v>
      </c>
    </row>
    <row r="3446" spans="1:4" ht="18" customHeight="1" x14ac:dyDescent="0.25">
      <c r="A3446" s="2" t="s">
        <v>4344</v>
      </c>
      <c r="B3446" s="7">
        <v>15071514</v>
      </c>
      <c r="C3446" s="7">
        <v>80000000</v>
      </c>
      <c r="D3446" s="7">
        <f t="shared" si="54"/>
        <v>-64928486</v>
      </c>
    </row>
    <row r="3447" spans="1:4" ht="18" customHeight="1" x14ac:dyDescent="0.25">
      <c r="A3447" s="2" t="s">
        <v>4103</v>
      </c>
      <c r="B3447" s="7">
        <v>18439082</v>
      </c>
      <c r="C3447" s="7">
        <v>18500000</v>
      </c>
      <c r="D3447" s="7">
        <f t="shared" si="54"/>
        <v>-60918</v>
      </c>
    </row>
    <row r="3448" spans="1:4" ht="18" customHeight="1" x14ac:dyDescent="0.25">
      <c r="A3448" s="2" t="s">
        <v>3836</v>
      </c>
      <c r="B3448" s="7">
        <v>23159305</v>
      </c>
      <c r="C3448" s="7">
        <v>70000000</v>
      </c>
      <c r="D3448" s="7">
        <f t="shared" si="54"/>
        <v>-46840695</v>
      </c>
    </row>
    <row r="3449" spans="1:4" ht="18" customHeight="1" x14ac:dyDescent="0.25">
      <c r="A3449" s="2" t="s">
        <v>3515</v>
      </c>
      <c r="B3449" s="7">
        <v>29959436</v>
      </c>
      <c r="C3449" s="7">
        <v>13000000</v>
      </c>
      <c r="D3449" s="7">
        <f t="shared" si="54"/>
        <v>16959436</v>
      </c>
    </row>
    <row r="3450" spans="1:4" ht="18" customHeight="1" x14ac:dyDescent="0.25">
      <c r="A3450" s="2" t="s">
        <v>3602</v>
      </c>
      <c r="B3450" s="7">
        <v>27663982</v>
      </c>
      <c r="C3450" s="7">
        <v>40000000</v>
      </c>
      <c r="D3450" s="7">
        <f t="shared" si="54"/>
        <v>-12336018</v>
      </c>
    </row>
    <row r="3451" spans="1:4" ht="18" customHeight="1" x14ac:dyDescent="0.25">
      <c r="A3451" s="2" t="s">
        <v>94</v>
      </c>
      <c r="B3451" s="7">
        <v>106126012</v>
      </c>
      <c r="C3451" s="7">
        <v>60000000</v>
      </c>
      <c r="D3451" s="7">
        <f t="shared" si="54"/>
        <v>46126012</v>
      </c>
    </row>
    <row r="3452" spans="1:4" ht="18" customHeight="1" x14ac:dyDescent="0.25">
      <c r="A3452" s="2" t="s">
        <v>980</v>
      </c>
      <c r="B3452" s="7">
        <v>54910560</v>
      </c>
      <c r="C3452" s="7">
        <v>60000000</v>
      </c>
      <c r="D3452" s="7">
        <f t="shared" si="54"/>
        <v>-5089440</v>
      </c>
    </row>
    <row r="3453" spans="1:4" ht="18" customHeight="1" x14ac:dyDescent="0.25">
      <c r="A3453" s="2" t="s">
        <v>5042</v>
      </c>
      <c r="B3453" s="7">
        <v>6301131</v>
      </c>
      <c r="C3453" s="7">
        <v>29000000</v>
      </c>
      <c r="D3453" s="7">
        <f t="shared" si="54"/>
        <v>-22698869</v>
      </c>
    </row>
    <row r="3454" spans="1:4" ht="18" customHeight="1" x14ac:dyDescent="0.25">
      <c r="A3454" s="2" t="s">
        <v>1346</v>
      </c>
      <c r="B3454" s="7">
        <v>48334413</v>
      </c>
      <c r="C3454" s="7">
        <v>39751583.5</v>
      </c>
      <c r="D3454" s="7">
        <f t="shared" si="54"/>
        <v>8582829.5</v>
      </c>
    </row>
    <row r="3455" spans="1:4" ht="18" customHeight="1" x14ac:dyDescent="0.25">
      <c r="A3455" s="2" t="s">
        <v>4914</v>
      </c>
      <c r="B3455" s="7">
        <v>7557877</v>
      </c>
      <c r="C3455" s="7">
        <v>39751583.5</v>
      </c>
      <c r="D3455" s="7">
        <f t="shared" si="54"/>
        <v>-32193706.5</v>
      </c>
    </row>
    <row r="3456" spans="1:4" ht="18" customHeight="1" x14ac:dyDescent="0.25">
      <c r="A3456" s="2" t="s">
        <v>6743</v>
      </c>
      <c r="B3456" s="7">
        <v>703</v>
      </c>
      <c r="C3456" s="7">
        <v>1500000</v>
      </c>
      <c r="D3456" s="7">
        <f t="shared" si="54"/>
        <v>-1499297</v>
      </c>
    </row>
    <row r="3457" spans="1:4" ht="18" customHeight="1" x14ac:dyDescent="0.25">
      <c r="A3457" s="2" t="s">
        <v>5699</v>
      </c>
      <c r="B3457" s="7">
        <v>1474508</v>
      </c>
      <c r="C3457" s="7">
        <v>5000000</v>
      </c>
      <c r="D3457" s="7">
        <f t="shared" si="54"/>
        <v>-3525492</v>
      </c>
    </row>
    <row r="3458" spans="1:4" ht="18" customHeight="1" x14ac:dyDescent="0.25">
      <c r="A3458" s="2" t="s">
        <v>2785</v>
      </c>
      <c r="B3458" s="7">
        <v>47105085</v>
      </c>
      <c r="C3458" s="7">
        <v>50000000</v>
      </c>
      <c r="D3458" s="7">
        <f t="shared" si="54"/>
        <v>-2894915</v>
      </c>
    </row>
    <row r="3459" spans="1:4" ht="18" customHeight="1" x14ac:dyDescent="0.25">
      <c r="A3459" s="2" t="s">
        <v>2759</v>
      </c>
      <c r="B3459" s="7">
        <v>47887943</v>
      </c>
      <c r="C3459" s="7">
        <v>20000000</v>
      </c>
      <c r="D3459" s="7">
        <f t="shared" si="54"/>
        <v>27887943</v>
      </c>
    </row>
    <row r="3460" spans="1:4" ht="18" customHeight="1" x14ac:dyDescent="0.25">
      <c r="A3460" s="2" t="s">
        <v>2850</v>
      </c>
      <c r="B3460" s="7">
        <v>44834712</v>
      </c>
      <c r="C3460" s="7">
        <v>44000000</v>
      </c>
      <c r="D3460" s="7">
        <f t="shared" si="54"/>
        <v>834712</v>
      </c>
    </row>
    <row r="3461" spans="1:4" ht="18" customHeight="1" x14ac:dyDescent="0.25">
      <c r="A3461" s="2" t="s">
        <v>268</v>
      </c>
      <c r="B3461" s="7">
        <v>181600000</v>
      </c>
      <c r="C3461" s="7">
        <v>16000000</v>
      </c>
      <c r="D3461" s="7">
        <f t="shared" ref="D3461:D3524" si="55">B3461-C3461</f>
        <v>165600000</v>
      </c>
    </row>
    <row r="3462" spans="1:4" ht="18" customHeight="1" x14ac:dyDescent="0.25">
      <c r="A3462" s="2" t="s">
        <v>2517</v>
      </c>
      <c r="B3462" s="7">
        <v>48334413</v>
      </c>
      <c r="C3462" s="7">
        <v>650000</v>
      </c>
      <c r="D3462" s="7">
        <f t="shared" si="55"/>
        <v>47684413</v>
      </c>
    </row>
    <row r="3463" spans="1:4" ht="18" customHeight="1" x14ac:dyDescent="0.25">
      <c r="A3463" s="2" t="s">
        <v>643</v>
      </c>
      <c r="B3463" s="7">
        <v>69688384</v>
      </c>
      <c r="C3463" s="7">
        <v>60000000</v>
      </c>
      <c r="D3463" s="7">
        <f t="shared" si="55"/>
        <v>9688384</v>
      </c>
    </row>
    <row r="3464" spans="1:4" ht="18" customHeight="1" x14ac:dyDescent="0.25">
      <c r="A3464" s="2" t="s">
        <v>3964</v>
      </c>
      <c r="B3464" s="7">
        <v>20803237</v>
      </c>
      <c r="C3464" s="7">
        <v>3500000</v>
      </c>
      <c r="D3464" s="7">
        <f t="shared" si="55"/>
        <v>17303237</v>
      </c>
    </row>
    <row r="3465" spans="1:4" ht="18" customHeight="1" x14ac:dyDescent="0.25">
      <c r="A3465" s="2" t="s">
        <v>6215</v>
      </c>
      <c r="B3465" s="7">
        <v>214966</v>
      </c>
      <c r="C3465" s="7">
        <v>13000000</v>
      </c>
      <c r="D3465" s="7">
        <f t="shared" si="55"/>
        <v>-12785034</v>
      </c>
    </row>
    <row r="3466" spans="1:4" ht="18" customHeight="1" x14ac:dyDescent="0.25">
      <c r="A3466" s="2" t="s">
        <v>2548</v>
      </c>
      <c r="B3466" s="7">
        <v>48334413</v>
      </c>
      <c r="C3466" s="7">
        <v>500000</v>
      </c>
      <c r="D3466" s="7">
        <f t="shared" si="55"/>
        <v>47834413</v>
      </c>
    </row>
    <row r="3467" spans="1:4" ht="18" customHeight="1" x14ac:dyDescent="0.25">
      <c r="A3467" s="2" t="s">
        <v>2777</v>
      </c>
      <c r="B3467" s="7">
        <v>47456450</v>
      </c>
      <c r="C3467" s="7">
        <v>70000000</v>
      </c>
      <c r="D3467" s="7">
        <f t="shared" si="55"/>
        <v>-22543550</v>
      </c>
    </row>
    <row r="3468" spans="1:4" ht="18" customHeight="1" x14ac:dyDescent="0.25">
      <c r="A3468" s="2" t="s">
        <v>4286</v>
      </c>
      <c r="B3468" s="7">
        <v>15797907</v>
      </c>
      <c r="C3468" s="7">
        <v>20000000</v>
      </c>
      <c r="D3468" s="7">
        <f t="shared" si="55"/>
        <v>-4202093</v>
      </c>
    </row>
    <row r="3469" spans="1:4" ht="18" customHeight="1" x14ac:dyDescent="0.25">
      <c r="A3469" s="2" t="s">
        <v>6711</v>
      </c>
      <c r="B3469" s="7">
        <v>3830</v>
      </c>
      <c r="C3469" s="7">
        <v>1200000</v>
      </c>
      <c r="D3469" s="7">
        <f t="shared" si="55"/>
        <v>-1196170</v>
      </c>
    </row>
    <row r="3470" spans="1:4" ht="18" customHeight="1" x14ac:dyDescent="0.25">
      <c r="A3470" s="2" t="s">
        <v>4465</v>
      </c>
      <c r="B3470" s="7">
        <v>13592872</v>
      </c>
      <c r="C3470" s="7">
        <v>11000000</v>
      </c>
      <c r="D3470" s="7">
        <f t="shared" si="55"/>
        <v>2592872</v>
      </c>
    </row>
    <row r="3471" spans="1:4" ht="18" customHeight="1" x14ac:dyDescent="0.25">
      <c r="A3471" s="2" t="s">
        <v>6677</v>
      </c>
      <c r="B3471" s="7">
        <v>7927</v>
      </c>
      <c r="C3471" s="7">
        <v>2300000</v>
      </c>
      <c r="D3471" s="7">
        <f t="shared" si="55"/>
        <v>-2292073</v>
      </c>
    </row>
    <row r="3472" spans="1:4" ht="18" customHeight="1" x14ac:dyDescent="0.25">
      <c r="A3472" s="2" t="s">
        <v>3032</v>
      </c>
      <c r="B3472" s="7">
        <v>39692139</v>
      </c>
      <c r="C3472" s="7">
        <v>35000000</v>
      </c>
      <c r="D3472" s="7">
        <f t="shared" si="55"/>
        <v>4692139</v>
      </c>
    </row>
    <row r="3473" spans="1:4" ht="18" customHeight="1" x14ac:dyDescent="0.25">
      <c r="A3473" s="2" t="s">
        <v>1060</v>
      </c>
      <c r="B3473" s="7">
        <v>52320979</v>
      </c>
      <c r="C3473" s="7">
        <v>40000000</v>
      </c>
      <c r="D3473" s="7">
        <f t="shared" si="55"/>
        <v>12320979</v>
      </c>
    </row>
    <row r="3474" spans="1:4" ht="18" customHeight="1" x14ac:dyDescent="0.25">
      <c r="A3474" s="2" t="s">
        <v>2752</v>
      </c>
      <c r="B3474" s="7">
        <v>48092846</v>
      </c>
      <c r="C3474" s="7">
        <v>12500000</v>
      </c>
      <c r="D3474" s="7">
        <f t="shared" si="55"/>
        <v>35592846</v>
      </c>
    </row>
    <row r="3475" spans="1:4" ht="18" customHeight="1" x14ac:dyDescent="0.25">
      <c r="A3475" s="2" t="s">
        <v>6284</v>
      </c>
      <c r="B3475" s="7">
        <v>146083</v>
      </c>
      <c r="C3475" s="7">
        <v>39751583.5</v>
      </c>
      <c r="D3475" s="7">
        <f t="shared" si="55"/>
        <v>-39605500.5</v>
      </c>
    </row>
    <row r="3476" spans="1:4" ht="18" customHeight="1" x14ac:dyDescent="0.25">
      <c r="A3476" s="2" t="s">
        <v>6583</v>
      </c>
      <c r="B3476" s="7">
        <v>22434</v>
      </c>
      <c r="C3476" s="7">
        <v>39751583.5</v>
      </c>
      <c r="D3476" s="7">
        <f t="shared" si="55"/>
        <v>-39729149.5</v>
      </c>
    </row>
    <row r="3477" spans="1:4" ht="18" customHeight="1" x14ac:dyDescent="0.25">
      <c r="A3477" s="2" t="s">
        <v>4120</v>
      </c>
      <c r="B3477" s="7">
        <v>18208078</v>
      </c>
      <c r="C3477" s="7">
        <v>60000000</v>
      </c>
      <c r="D3477" s="7">
        <f t="shared" si="55"/>
        <v>-41791922</v>
      </c>
    </row>
    <row r="3478" spans="1:4" ht="18" customHeight="1" x14ac:dyDescent="0.25">
      <c r="A3478" s="2" t="s">
        <v>6568</v>
      </c>
      <c r="B3478" s="7">
        <v>23838</v>
      </c>
      <c r="C3478" s="7">
        <v>7000000</v>
      </c>
      <c r="D3478" s="7">
        <f t="shared" si="55"/>
        <v>-6976162</v>
      </c>
    </row>
    <row r="3479" spans="1:4" ht="18" customHeight="1" x14ac:dyDescent="0.25">
      <c r="A3479" s="2" t="s">
        <v>3345</v>
      </c>
      <c r="B3479" s="7">
        <v>33000000</v>
      </c>
      <c r="C3479" s="7">
        <v>10000000</v>
      </c>
      <c r="D3479" s="7">
        <f t="shared" si="55"/>
        <v>23000000</v>
      </c>
    </row>
    <row r="3480" spans="1:4" ht="18" customHeight="1" x14ac:dyDescent="0.25">
      <c r="A3480" s="2" t="s">
        <v>2878</v>
      </c>
      <c r="B3480" s="7">
        <v>43984230</v>
      </c>
      <c r="C3480" s="7">
        <v>23000000</v>
      </c>
      <c r="D3480" s="7">
        <f t="shared" si="55"/>
        <v>20984230</v>
      </c>
    </row>
    <row r="3481" spans="1:4" ht="18" customHeight="1" x14ac:dyDescent="0.25">
      <c r="A3481" s="2" t="s">
        <v>4332</v>
      </c>
      <c r="B3481" s="7">
        <v>15152879</v>
      </c>
      <c r="C3481" s="7">
        <v>5000000</v>
      </c>
      <c r="D3481" s="7">
        <f t="shared" si="55"/>
        <v>10152879</v>
      </c>
    </row>
    <row r="3482" spans="1:4" ht="18" customHeight="1" x14ac:dyDescent="0.25">
      <c r="A3482" s="2" t="s">
        <v>2987</v>
      </c>
      <c r="B3482" s="7">
        <v>40990055</v>
      </c>
      <c r="C3482" s="7">
        <v>1800000</v>
      </c>
      <c r="D3482" s="7">
        <f t="shared" si="55"/>
        <v>39190055</v>
      </c>
    </row>
    <row r="3483" spans="1:4" ht="18" customHeight="1" x14ac:dyDescent="0.25">
      <c r="A3483" s="2" t="s">
        <v>6301</v>
      </c>
      <c r="B3483" s="7">
        <v>137945</v>
      </c>
      <c r="C3483" s="7">
        <v>39751583.5</v>
      </c>
      <c r="D3483" s="7">
        <f t="shared" si="55"/>
        <v>-39613638.5</v>
      </c>
    </row>
    <row r="3484" spans="1:4" ht="18" customHeight="1" x14ac:dyDescent="0.25">
      <c r="A3484" s="2" t="s">
        <v>6270</v>
      </c>
      <c r="B3484" s="7">
        <v>163591</v>
      </c>
      <c r="C3484" s="7">
        <v>13400000</v>
      </c>
      <c r="D3484" s="7">
        <f t="shared" si="55"/>
        <v>-13236409</v>
      </c>
    </row>
    <row r="3485" spans="1:4" ht="18" customHeight="1" x14ac:dyDescent="0.25">
      <c r="A3485" s="2" t="s">
        <v>3355</v>
      </c>
      <c r="B3485" s="7">
        <v>65443270</v>
      </c>
      <c r="C3485" s="7">
        <v>30000000</v>
      </c>
      <c r="D3485" s="7">
        <f t="shared" si="55"/>
        <v>35443270</v>
      </c>
    </row>
    <row r="3486" spans="1:4" ht="18" customHeight="1" x14ac:dyDescent="0.25">
      <c r="A3486" s="2" t="s">
        <v>4151</v>
      </c>
      <c r="B3486" s="7">
        <v>17605861</v>
      </c>
      <c r="C3486" s="7">
        <v>6000000</v>
      </c>
      <c r="D3486" s="7">
        <f t="shared" si="55"/>
        <v>11605861</v>
      </c>
    </row>
    <row r="3487" spans="1:4" ht="18" customHeight="1" x14ac:dyDescent="0.25">
      <c r="A3487" s="2" t="s">
        <v>5091</v>
      </c>
      <c r="B3487" s="7">
        <v>5932060</v>
      </c>
      <c r="C3487" s="7">
        <v>35000000</v>
      </c>
      <c r="D3487" s="7">
        <f t="shared" si="55"/>
        <v>-29067940</v>
      </c>
    </row>
    <row r="3488" spans="1:4" ht="18" customHeight="1" x14ac:dyDescent="0.25">
      <c r="A3488" s="2" t="s">
        <v>568</v>
      </c>
      <c r="B3488" s="7">
        <v>72455275</v>
      </c>
      <c r="C3488" s="7">
        <v>40000000</v>
      </c>
      <c r="D3488" s="7">
        <f t="shared" si="55"/>
        <v>32455275</v>
      </c>
    </row>
    <row r="3489" spans="1:4" ht="18" customHeight="1" x14ac:dyDescent="0.25">
      <c r="A3489" s="2" t="s">
        <v>6027</v>
      </c>
      <c r="B3489" s="7">
        <v>463730</v>
      </c>
      <c r="C3489" s="7">
        <v>39751583.5</v>
      </c>
      <c r="D3489" s="7">
        <f t="shared" si="55"/>
        <v>-39287853.5</v>
      </c>
    </row>
    <row r="3490" spans="1:4" ht="18" customHeight="1" x14ac:dyDescent="0.25">
      <c r="A3490" s="2" t="s">
        <v>6078</v>
      </c>
      <c r="B3490" s="7">
        <v>379643</v>
      </c>
      <c r="C3490" s="7">
        <v>2200000</v>
      </c>
      <c r="D3490" s="7">
        <f t="shared" si="55"/>
        <v>-1820357</v>
      </c>
    </row>
    <row r="3491" spans="1:4" ht="18" customHeight="1" x14ac:dyDescent="0.25">
      <c r="A3491" s="2" t="s">
        <v>770</v>
      </c>
      <c r="B3491" s="7">
        <v>62933793</v>
      </c>
      <c r="C3491" s="7">
        <v>20000000</v>
      </c>
      <c r="D3491" s="7">
        <f t="shared" si="55"/>
        <v>42933793</v>
      </c>
    </row>
    <row r="3492" spans="1:4" ht="18" customHeight="1" x14ac:dyDescent="0.25">
      <c r="A3492" s="2" t="s">
        <v>4586</v>
      </c>
      <c r="B3492" s="7">
        <v>12026670</v>
      </c>
      <c r="C3492" s="7">
        <v>45000000</v>
      </c>
      <c r="D3492" s="7">
        <f t="shared" si="55"/>
        <v>-32973330</v>
      </c>
    </row>
    <row r="3493" spans="1:4" ht="18" customHeight="1" x14ac:dyDescent="0.25">
      <c r="A3493" s="2" t="s">
        <v>5004</v>
      </c>
      <c r="B3493" s="7">
        <v>6615578</v>
      </c>
      <c r="C3493" s="7">
        <v>13000000</v>
      </c>
      <c r="D3493" s="7">
        <f t="shared" si="55"/>
        <v>-6384422</v>
      </c>
    </row>
    <row r="3494" spans="1:4" ht="18" customHeight="1" x14ac:dyDescent="0.25">
      <c r="A3494" s="2" t="s">
        <v>4841</v>
      </c>
      <c r="B3494" s="7">
        <v>8373585</v>
      </c>
      <c r="C3494" s="7">
        <v>7000000</v>
      </c>
      <c r="D3494" s="7">
        <f t="shared" si="55"/>
        <v>1373585</v>
      </c>
    </row>
    <row r="3495" spans="1:4" ht="18" customHeight="1" x14ac:dyDescent="0.25">
      <c r="A3495" s="2" t="s">
        <v>6643</v>
      </c>
      <c r="B3495" s="7">
        <v>12836</v>
      </c>
      <c r="C3495" s="7">
        <v>4000000</v>
      </c>
      <c r="D3495" s="7">
        <f t="shared" si="55"/>
        <v>-3987164</v>
      </c>
    </row>
    <row r="3496" spans="1:4" ht="18" customHeight="1" x14ac:dyDescent="0.25">
      <c r="A3496" s="2" t="s">
        <v>6118</v>
      </c>
      <c r="B3496" s="7">
        <v>321952</v>
      </c>
      <c r="C3496" s="7">
        <v>39751583.5</v>
      </c>
      <c r="D3496" s="7">
        <f t="shared" si="55"/>
        <v>-39429631.5</v>
      </c>
    </row>
    <row r="3497" spans="1:4" ht="18" customHeight="1" x14ac:dyDescent="0.25">
      <c r="A3497" s="2" t="s">
        <v>3612</v>
      </c>
      <c r="B3497" s="7">
        <v>27356090</v>
      </c>
      <c r="C3497" s="7">
        <v>90000000</v>
      </c>
      <c r="D3497" s="7">
        <f t="shared" si="55"/>
        <v>-62643910</v>
      </c>
    </row>
    <row r="3498" spans="1:4" ht="18" customHeight="1" x14ac:dyDescent="0.25">
      <c r="A3498" s="2" t="s">
        <v>3391</v>
      </c>
      <c r="B3498" s="7">
        <v>32101000</v>
      </c>
      <c r="C3498" s="7">
        <v>10000000</v>
      </c>
      <c r="D3498" s="7">
        <f t="shared" si="55"/>
        <v>22101000</v>
      </c>
    </row>
    <row r="3499" spans="1:4" ht="18" customHeight="1" x14ac:dyDescent="0.25">
      <c r="A3499" s="2" t="s">
        <v>3700</v>
      </c>
      <c r="B3499" s="7">
        <v>25799043</v>
      </c>
      <c r="C3499" s="7">
        <v>3300000</v>
      </c>
      <c r="D3499" s="7">
        <f t="shared" si="55"/>
        <v>22499043</v>
      </c>
    </row>
    <row r="3500" spans="1:4" ht="18" customHeight="1" x14ac:dyDescent="0.25">
      <c r="A3500" s="2" t="s">
        <v>700</v>
      </c>
      <c r="B3500" s="7">
        <v>66462600</v>
      </c>
      <c r="C3500" s="7">
        <v>78000000</v>
      </c>
      <c r="D3500" s="7">
        <f t="shared" si="55"/>
        <v>-11537400</v>
      </c>
    </row>
    <row r="3501" spans="1:4" ht="18" customHeight="1" x14ac:dyDescent="0.25">
      <c r="A3501" s="2" t="s">
        <v>3462</v>
      </c>
      <c r="B3501" s="7">
        <v>30695227</v>
      </c>
      <c r="C3501" s="7">
        <v>60000000</v>
      </c>
      <c r="D3501" s="7">
        <f t="shared" si="55"/>
        <v>-29304773</v>
      </c>
    </row>
    <row r="3502" spans="1:4" ht="18" customHeight="1" x14ac:dyDescent="0.25">
      <c r="A3502" s="2" t="s">
        <v>4623</v>
      </c>
      <c r="B3502" s="7">
        <v>11546543</v>
      </c>
      <c r="C3502" s="7">
        <v>2000000</v>
      </c>
      <c r="D3502" s="7">
        <f t="shared" si="55"/>
        <v>9546543</v>
      </c>
    </row>
    <row r="3503" spans="1:4" ht="18" customHeight="1" x14ac:dyDescent="0.25">
      <c r="A3503" s="2" t="s">
        <v>6175</v>
      </c>
      <c r="B3503" s="7">
        <v>243768</v>
      </c>
      <c r="C3503" s="7">
        <v>30000</v>
      </c>
      <c r="D3503" s="7">
        <f t="shared" si="55"/>
        <v>213768</v>
      </c>
    </row>
    <row r="3504" spans="1:4" ht="18" customHeight="1" x14ac:dyDescent="0.25">
      <c r="A3504" s="2" t="s">
        <v>2285</v>
      </c>
      <c r="B3504" s="7">
        <v>48334413</v>
      </c>
      <c r="C3504" s="7">
        <v>2000000</v>
      </c>
      <c r="D3504" s="7">
        <f t="shared" si="55"/>
        <v>46334413</v>
      </c>
    </row>
    <row r="3505" spans="1:4" ht="18" customHeight="1" x14ac:dyDescent="0.25">
      <c r="A3505" s="2" t="s">
        <v>4078</v>
      </c>
      <c r="B3505" s="7">
        <v>18821279</v>
      </c>
      <c r="C3505" s="7">
        <v>70000000</v>
      </c>
      <c r="D3505" s="7">
        <f t="shared" si="55"/>
        <v>-51178721</v>
      </c>
    </row>
    <row r="3506" spans="1:4" ht="18" customHeight="1" x14ac:dyDescent="0.25">
      <c r="A3506" s="2" t="s">
        <v>4873</v>
      </c>
      <c r="B3506" s="7">
        <v>8000000</v>
      </c>
      <c r="C3506" s="7">
        <v>18000000</v>
      </c>
      <c r="D3506" s="7">
        <f t="shared" si="55"/>
        <v>-10000000</v>
      </c>
    </row>
    <row r="3507" spans="1:4" ht="18" customHeight="1" x14ac:dyDescent="0.25">
      <c r="A3507" s="2" t="s">
        <v>2835</v>
      </c>
      <c r="B3507" s="7">
        <v>45356386</v>
      </c>
      <c r="C3507" s="7">
        <v>75000000</v>
      </c>
      <c r="D3507" s="7">
        <f t="shared" si="55"/>
        <v>-29643614</v>
      </c>
    </row>
    <row r="3508" spans="1:4" ht="18" customHeight="1" x14ac:dyDescent="0.25">
      <c r="A3508" s="2" t="s">
        <v>5206</v>
      </c>
      <c r="B3508" s="7">
        <v>4829497</v>
      </c>
      <c r="C3508" s="7">
        <v>39751583.5</v>
      </c>
      <c r="D3508" s="7">
        <f t="shared" si="55"/>
        <v>-34922086.5</v>
      </c>
    </row>
    <row r="3509" spans="1:4" ht="18" customHeight="1" x14ac:dyDescent="0.25">
      <c r="A3509" s="2" t="s">
        <v>3806</v>
      </c>
      <c r="B3509" s="7">
        <v>24006726</v>
      </c>
      <c r="C3509" s="7">
        <v>50000000</v>
      </c>
      <c r="D3509" s="7">
        <f t="shared" si="55"/>
        <v>-25993274</v>
      </c>
    </row>
    <row r="3510" spans="1:4" ht="18" customHeight="1" x14ac:dyDescent="0.25">
      <c r="A3510" s="2" t="s">
        <v>6134</v>
      </c>
      <c r="B3510" s="7">
        <v>303439</v>
      </c>
      <c r="C3510" s="7">
        <v>8000000</v>
      </c>
      <c r="D3510" s="7">
        <f t="shared" si="55"/>
        <v>-7696561</v>
      </c>
    </row>
    <row r="3511" spans="1:4" ht="18" customHeight="1" x14ac:dyDescent="0.25">
      <c r="A3511" s="2" t="s">
        <v>4030</v>
      </c>
      <c r="B3511" s="7">
        <v>19593740</v>
      </c>
      <c r="C3511" s="7">
        <v>50000000</v>
      </c>
      <c r="D3511" s="7">
        <f t="shared" si="55"/>
        <v>-30406260</v>
      </c>
    </row>
    <row r="3512" spans="1:4" ht="18" customHeight="1" x14ac:dyDescent="0.25">
      <c r="A3512" s="2" t="s">
        <v>5418</v>
      </c>
      <c r="B3512" s="7">
        <v>3193102</v>
      </c>
      <c r="C3512" s="7">
        <v>9000000</v>
      </c>
      <c r="D3512" s="7">
        <f t="shared" si="55"/>
        <v>-5806898</v>
      </c>
    </row>
    <row r="3513" spans="1:4" ht="18" customHeight="1" x14ac:dyDescent="0.25">
      <c r="A3513" s="2" t="s">
        <v>883</v>
      </c>
      <c r="B3513" s="7">
        <v>57981889</v>
      </c>
      <c r="C3513" s="7">
        <v>40000000</v>
      </c>
      <c r="D3513" s="7">
        <f t="shared" si="55"/>
        <v>17981889</v>
      </c>
    </row>
    <row r="3514" spans="1:4" ht="18" customHeight="1" x14ac:dyDescent="0.25">
      <c r="A3514" s="2" t="s">
        <v>1751</v>
      </c>
      <c r="B3514" s="7">
        <v>48334413</v>
      </c>
      <c r="C3514" s="7">
        <v>15000000</v>
      </c>
      <c r="D3514" s="7">
        <f t="shared" si="55"/>
        <v>33334413</v>
      </c>
    </row>
    <row r="3515" spans="1:4" ht="18" customHeight="1" x14ac:dyDescent="0.25">
      <c r="A3515" s="2" t="s">
        <v>2554</v>
      </c>
      <c r="B3515" s="7">
        <v>48334413</v>
      </c>
      <c r="C3515" s="7">
        <v>500000</v>
      </c>
      <c r="D3515" s="7">
        <f t="shared" si="55"/>
        <v>47834413</v>
      </c>
    </row>
    <row r="3516" spans="1:4" ht="18" customHeight="1" x14ac:dyDescent="0.25">
      <c r="A3516" s="2" t="s">
        <v>5717</v>
      </c>
      <c r="B3516" s="7">
        <v>1339152</v>
      </c>
      <c r="C3516" s="7">
        <v>81200000</v>
      </c>
      <c r="D3516" s="7">
        <f t="shared" si="55"/>
        <v>-79860848</v>
      </c>
    </row>
    <row r="3517" spans="1:4" ht="18" customHeight="1" x14ac:dyDescent="0.25">
      <c r="A3517" s="2" t="s">
        <v>4473</v>
      </c>
      <c r="B3517" s="7">
        <v>13555988</v>
      </c>
      <c r="C3517" s="7">
        <v>22000000</v>
      </c>
      <c r="D3517" s="7">
        <f t="shared" si="55"/>
        <v>-8444012</v>
      </c>
    </row>
    <row r="3518" spans="1:4" ht="18" customHeight="1" x14ac:dyDescent="0.25">
      <c r="A3518" s="2" t="s">
        <v>4640</v>
      </c>
      <c r="B3518" s="7">
        <v>11284657</v>
      </c>
      <c r="C3518" s="7">
        <v>2000000</v>
      </c>
      <c r="D3518" s="7">
        <f t="shared" si="55"/>
        <v>9284657</v>
      </c>
    </row>
    <row r="3519" spans="1:4" ht="18" customHeight="1" x14ac:dyDescent="0.25">
      <c r="A3519" s="2" t="s">
        <v>1103</v>
      </c>
      <c r="B3519" s="7">
        <v>51185897</v>
      </c>
      <c r="C3519" s="7">
        <v>30000000</v>
      </c>
      <c r="D3519" s="7">
        <f t="shared" si="55"/>
        <v>21185897</v>
      </c>
    </row>
    <row r="3520" spans="1:4" ht="18" customHeight="1" x14ac:dyDescent="0.25">
      <c r="A3520" s="2" t="s">
        <v>6650</v>
      </c>
      <c r="B3520" s="7">
        <v>12055</v>
      </c>
      <c r="C3520" s="7">
        <v>500000</v>
      </c>
      <c r="D3520" s="7">
        <f t="shared" si="55"/>
        <v>-487945</v>
      </c>
    </row>
    <row r="3521" spans="1:4" ht="18" customHeight="1" x14ac:dyDescent="0.25">
      <c r="A3521" s="2" t="s">
        <v>2918</v>
      </c>
      <c r="B3521" s="7">
        <v>42672630</v>
      </c>
      <c r="C3521" s="7">
        <v>17000000</v>
      </c>
      <c r="D3521" s="7">
        <f t="shared" si="55"/>
        <v>25672630</v>
      </c>
    </row>
    <row r="3522" spans="1:4" ht="18" customHeight="1" x14ac:dyDescent="0.25">
      <c r="A3522" s="2" t="s">
        <v>3332</v>
      </c>
      <c r="B3522" s="7">
        <v>33328051</v>
      </c>
      <c r="C3522" s="7">
        <v>65000000</v>
      </c>
      <c r="D3522" s="7">
        <f t="shared" si="55"/>
        <v>-31671949</v>
      </c>
    </row>
    <row r="3523" spans="1:4" ht="18" customHeight="1" x14ac:dyDescent="0.25">
      <c r="A3523" s="2" t="s">
        <v>1824</v>
      </c>
      <c r="B3523" s="7">
        <v>48334413</v>
      </c>
      <c r="C3523" s="7">
        <v>10000000</v>
      </c>
      <c r="D3523" s="7">
        <f t="shared" si="55"/>
        <v>38334413</v>
      </c>
    </row>
    <row r="3524" spans="1:4" ht="18" customHeight="1" x14ac:dyDescent="0.25">
      <c r="A3524" s="2" t="s">
        <v>1816</v>
      </c>
      <c r="B3524" s="7">
        <v>48334413</v>
      </c>
      <c r="C3524" s="7">
        <v>10000000</v>
      </c>
      <c r="D3524" s="7">
        <f t="shared" si="55"/>
        <v>38334413</v>
      </c>
    </row>
    <row r="3525" spans="1:4" ht="18" customHeight="1" x14ac:dyDescent="0.25">
      <c r="A3525" s="2" t="s">
        <v>3145</v>
      </c>
      <c r="B3525" s="7">
        <v>37432299</v>
      </c>
      <c r="C3525" s="7">
        <v>34000000</v>
      </c>
      <c r="D3525" s="7">
        <f t="shared" ref="D3525:D3588" si="56">B3525-C3525</f>
        <v>3432299</v>
      </c>
    </row>
    <row r="3526" spans="1:4" ht="18" customHeight="1" x14ac:dyDescent="0.25">
      <c r="A3526" s="2" t="s">
        <v>4630</v>
      </c>
      <c r="B3526" s="7">
        <v>11508423</v>
      </c>
      <c r="C3526" s="7">
        <v>23000000</v>
      </c>
      <c r="D3526" s="7">
        <f t="shared" si="56"/>
        <v>-11491577</v>
      </c>
    </row>
    <row r="3527" spans="1:4" ht="18" customHeight="1" x14ac:dyDescent="0.25">
      <c r="A3527" s="2" t="s">
        <v>6731</v>
      </c>
      <c r="B3527" s="7">
        <v>1711</v>
      </c>
      <c r="C3527" s="7">
        <v>39751583.5</v>
      </c>
      <c r="D3527" s="7">
        <f t="shared" si="56"/>
        <v>-39749872.5</v>
      </c>
    </row>
    <row r="3528" spans="1:4" ht="18" customHeight="1" x14ac:dyDescent="0.25">
      <c r="A3528" s="2" t="s">
        <v>5768</v>
      </c>
      <c r="B3528" s="7">
        <v>1163508</v>
      </c>
      <c r="C3528" s="7">
        <v>2500000</v>
      </c>
      <c r="D3528" s="7">
        <f t="shared" si="56"/>
        <v>-1336492</v>
      </c>
    </row>
    <row r="3529" spans="1:4" ht="18" customHeight="1" x14ac:dyDescent="0.25">
      <c r="A3529" s="2" t="s">
        <v>3816</v>
      </c>
      <c r="B3529" s="7">
        <v>23527955</v>
      </c>
      <c r="C3529" s="7">
        <v>25000000</v>
      </c>
      <c r="D3529" s="7">
        <f t="shared" si="56"/>
        <v>-1472045</v>
      </c>
    </row>
    <row r="3530" spans="1:4" ht="18" customHeight="1" x14ac:dyDescent="0.25">
      <c r="A3530" s="2" t="s">
        <v>6062</v>
      </c>
      <c r="B3530" s="7">
        <v>399793</v>
      </c>
      <c r="C3530" s="7">
        <v>4000000</v>
      </c>
      <c r="D3530" s="7">
        <f t="shared" si="56"/>
        <v>-3600207</v>
      </c>
    </row>
    <row r="3531" spans="1:4" ht="18" customHeight="1" x14ac:dyDescent="0.25">
      <c r="A3531" s="2" t="s">
        <v>3384</v>
      </c>
      <c r="B3531" s="7">
        <v>32222567</v>
      </c>
      <c r="C3531" s="7">
        <v>39751583.5</v>
      </c>
      <c r="D3531" s="7">
        <f t="shared" si="56"/>
        <v>-7529016.5</v>
      </c>
    </row>
    <row r="3532" spans="1:4" ht="18" customHeight="1" x14ac:dyDescent="0.25">
      <c r="A3532" s="2" t="s">
        <v>5533</v>
      </c>
      <c r="B3532" s="7">
        <v>2483955</v>
      </c>
      <c r="C3532" s="7">
        <v>9600000</v>
      </c>
      <c r="D3532" s="7">
        <f t="shared" si="56"/>
        <v>-7116045</v>
      </c>
    </row>
    <row r="3533" spans="1:4" ht="18" customHeight="1" x14ac:dyDescent="0.25">
      <c r="A3533" s="2" t="s">
        <v>5973</v>
      </c>
      <c r="B3533" s="7">
        <v>549632</v>
      </c>
      <c r="C3533" s="7">
        <v>39751583.5</v>
      </c>
      <c r="D3533" s="7">
        <f t="shared" si="56"/>
        <v>-39201951.5</v>
      </c>
    </row>
    <row r="3534" spans="1:4" ht="18" customHeight="1" x14ac:dyDescent="0.25">
      <c r="A3534" s="2" t="s">
        <v>6358</v>
      </c>
      <c r="B3534" s="7">
        <v>110536</v>
      </c>
      <c r="C3534" s="7">
        <v>40000</v>
      </c>
      <c r="D3534" s="7">
        <f t="shared" si="56"/>
        <v>70536</v>
      </c>
    </row>
    <row r="3535" spans="1:4" ht="18" customHeight="1" x14ac:dyDescent="0.25">
      <c r="A3535" s="2" t="s">
        <v>2383</v>
      </c>
      <c r="B3535" s="7">
        <v>48334413</v>
      </c>
      <c r="C3535" s="7">
        <v>1250000</v>
      </c>
      <c r="D3535" s="7">
        <f t="shared" si="56"/>
        <v>47084413</v>
      </c>
    </row>
    <row r="3536" spans="1:4" ht="18" customHeight="1" x14ac:dyDescent="0.25">
      <c r="A3536" s="2" t="s">
        <v>3386</v>
      </c>
      <c r="B3536" s="7">
        <v>32178777</v>
      </c>
      <c r="C3536" s="7">
        <v>62000000</v>
      </c>
      <c r="D3536" s="7">
        <f t="shared" si="56"/>
        <v>-29821223</v>
      </c>
    </row>
    <row r="3537" spans="1:4" ht="18" customHeight="1" x14ac:dyDescent="0.25">
      <c r="A3537" s="2" t="s">
        <v>1315</v>
      </c>
      <c r="B3537" s="7">
        <v>48334413</v>
      </c>
      <c r="C3537" s="7">
        <v>39751583.5</v>
      </c>
      <c r="D3537" s="7">
        <f t="shared" si="56"/>
        <v>8582829.5</v>
      </c>
    </row>
    <row r="3538" spans="1:4" ht="18" customHeight="1" x14ac:dyDescent="0.25">
      <c r="A3538" s="2" t="s">
        <v>1418</v>
      </c>
      <c r="B3538" s="7">
        <v>48334413</v>
      </c>
      <c r="C3538" s="7">
        <v>39751583.5</v>
      </c>
      <c r="D3538" s="7">
        <f t="shared" si="56"/>
        <v>8582829.5</v>
      </c>
    </row>
    <row r="3539" spans="1:4" ht="18" customHeight="1" x14ac:dyDescent="0.25">
      <c r="A3539" s="2" t="s">
        <v>2880</v>
      </c>
      <c r="B3539" s="7">
        <v>87965684</v>
      </c>
      <c r="C3539" s="7">
        <v>130000000</v>
      </c>
      <c r="D3539" s="7">
        <f t="shared" si="56"/>
        <v>-42034316</v>
      </c>
    </row>
    <row r="3540" spans="1:4" ht="18" customHeight="1" x14ac:dyDescent="0.25">
      <c r="A3540" s="2" t="s">
        <v>1222</v>
      </c>
      <c r="B3540" s="7">
        <v>48334413</v>
      </c>
      <c r="C3540" s="7">
        <v>39751583.5</v>
      </c>
      <c r="D3540" s="7">
        <f t="shared" si="56"/>
        <v>8582829.5</v>
      </c>
    </row>
    <row r="3541" spans="1:4" ht="18" customHeight="1" x14ac:dyDescent="0.25">
      <c r="A3541" s="2" t="s">
        <v>816</v>
      </c>
      <c r="B3541" s="7">
        <v>60443237</v>
      </c>
      <c r="C3541" s="7">
        <v>25000000</v>
      </c>
      <c r="D3541" s="7">
        <f t="shared" si="56"/>
        <v>35443237</v>
      </c>
    </row>
    <row r="3542" spans="1:4" ht="18" customHeight="1" x14ac:dyDescent="0.25">
      <c r="A3542" s="2" t="s">
        <v>6247</v>
      </c>
      <c r="B3542" s="7">
        <v>183088</v>
      </c>
      <c r="C3542" s="7">
        <v>15000000</v>
      </c>
      <c r="D3542" s="7">
        <f t="shared" si="56"/>
        <v>-14816912</v>
      </c>
    </row>
    <row r="3543" spans="1:4" ht="18" customHeight="1" x14ac:dyDescent="0.25">
      <c r="A3543" s="2" t="s">
        <v>5284</v>
      </c>
      <c r="B3543" s="7">
        <v>4231500</v>
      </c>
      <c r="C3543" s="7">
        <v>1000000</v>
      </c>
      <c r="D3543" s="7">
        <f t="shared" si="56"/>
        <v>3231500</v>
      </c>
    </row>
    <row r="3544" spans="1:4" ht="18" customHeight="1" x14ac:dyDescent="0.25">
      <c r="A3544" s="2" t="s">
        <v>5791</v>
      </c>
      <c r="B3544" s="7">
        <v>1082044</v>
      </c>
      <c r="C3544" s="7">
        <v>5000000</v>
      </c>
      <c r="D3544" s="7">
        <f t="shared" si="56"/>
        <v>-3917956</v>
      </c>
    </row>
    <row r="3545" spans="1:4" ht="18" customHeight="1" x14ac:dyDescent="0.25">
      <c r="A3545" s="2" t="s">
        <v>1624</v>
      </c>
      <c r="B3545" s="7">
        <v>48334413</v>
      </c>
      <c r="C3545" s="7">
        <v>27000000</v>
      </c>
      <c r="D3545" s="7">
        <f t="shared" si="56"/>
        <v>21334413</v>
      </c>
    </row>
    <row r="3546" spans="1:4" ht="18" customHeight="1" x14ac:dyDescent="0.25">
      <c r="A3546" s="2" t="s">
        <v>3862</v>
      </c>
      <c r="B3546" s="7">
        <v>22717758</v>
      </c>
      <c r="C3546" s="7">
        <v>40000000</v>
      </c>
      <c r="D3546" s="7">
        <f t="shared" si="56"/>
        <v>-17282242</v>
      </c>
    </row>
    <row r="3547" spans="1:4" ht="18" customHeight="1" x14ac:dyDescent="0.25">
      <c r="A3547" s="2" t="s">
        <v>2524</v>
      </c>
      <c r="B3547" s="7">
        <v>48334413</v>
      </c>
      <c r="C3547" s="7">
        <v>600000</v>
      </c>
      <c r="D3547" s="7">
        <f t="shared" si="56"/>
        <v>47734413</v>
      </c>
    </row>
    <row r="3548" spans="1:4" ht="18" customHeight="1" x14ac:dyDescent="0.25">
      <c r="A3548" s="2" t="s">
        <v>3592</v>
      </c>
      <c r="B3548" s="7">
        <v>27796042</v>
      </c>
      <c r="C3548" s="7">
        <v>72000000</v>
      </c>
      <c r="D3548" s="7">
        <f t="shared" si="56"/>
        <v>-44203958</v>
      </c>
    </row>
    <row r="3549" spans="1:4" ht="18" customHeight="1" x14ac:dyDescent="0.25">
      <c r="A3549" s="2" t="s">
        <v>2632</v>
      </c>
      <c r="B3549" s="7">
        <v>48334413</v>
      </c>
      <c r="C3549" s="7">
        <v>200000</v>
      </c>
      <c r="D3549" s="7">
        <f t="shared" si="56"/>
        <v>48134413</v>
      </c>
    </row>
    <row r="3550" spans="1:4" ht="18" customHeight="1" x14ac:dyDescent="0.25">
      <c r="A3550" s="2" t="s">
        <v>2100</v>
      </c>
      <c r="B3550" s="7">
        <v>48334413</v>
      </c>
      <c r="C3550" s="7">
        <v>3500000</v>
      </c>
      <c r="D3550" s="7">
        <f t="shared" si="56"/>
        <v>44834413</v>
      </c>
    </row>
    <row r="3551" spans="1:4" ht="18" customHeight="1" x14ac:dyDescent="0.25">
      <c r="A3551" s="2" t="s">
        <v>2834</v>
      </c>
      <c r="B3551" s="7">
        <v>45434443</v>
      </c>
      <c r="C3551" s="7">
        <v>75000000</v>
      </c>
      <c r="D3551" s="7">
        <f t="shared" si="56"/>
        <v>-29565557</v>
      </c>
    </row>
    <row r="3552" spans="1:4" ht="18" customHeight="1" x14ac:dyDescent="0.25">
      <c r="A3552" s="2" t="s">
        <v>907</v>
      </c>
      <c r="B3552" s="7">
        <v>56876365</v>
      </c>
      <c r="C3552" s="7">
        <v>35000000</v>
      </c>
      <c r="D3552" s="7">
        <f t="shared" si="56"/>
        <v>21876365</v>
      </c>
    </row>
    <row r="3553" spans="1:4" ht="18" customHeight="1" x14ac:dyDescent="0.25">
      <c r="A3553" s="2" t="s">
        <v>4447</v>
      </c>
      <c r="B3553" s="7">
        <v>13801755</v>
      </c>
      <c r="C3553" s="7">
        <v>20000000</v>
      </c>
      <c r="D3553" s="7">
        <f t="shared" si="56"/>
        <v>-6198245</v>
      </c>
    </row>
    <row r="3554" spans="1:4" ht="18" customHeight="1" x14ac:dyDescent="0.25">
      <c r="A3554" s="2" t="s">
        <v>2127</v>
      </c>
      <c r="B3554" s="7">
        <v>48334413</v>
      </c>
      <c r="C3554" s="7">
        <v>3200000</v>
      </c>
      <c r="D3554" s="7">
        <f t="shared" si="56"/>
        <v>45134413</v>
      </c>
    </row>
    <row r="3555" spans="1:4" ht="18" customHeight="1" x14ac:dyDescent="0.25">
      <c r="A3555" s="2" t="s">
        <v>3950</v>
      </c>
      <c r="B3555" s="7">
        <v>21000000</v>
      </c>
      <c r="C3555" s="7">
        <v>13000000</v>
      </c>
      <c r="D3555" s="7">
        <f t="shared" si="56"/>
        <v>8000000</v>
      </c>
    </row>
    <row r="3556" spans="1:4" ht="18" customHeight="1" x14ac:dyDescent="0.25">
      <c r="A3556" s="2" t="s">
        <v>4301</v>
      </c>
      <c r="B3556" s="7">
        <v>15608545</v>
      </c>
      <c r="C3556" s="7">
        <v>15000000</v>
      </c>
      <c r="D3556" s="7">
        <f t="shared" si="56"/>
        <v>608545</v>
      </c>
    </row>
    <row r="3557" spans="1:4" ht="18" customHeight="1" x14ac:dyDescent="0.25">
      <c r="A3557" s="2" t="s">
        <v>4843</v>
      </c>
      <c r="B3557" s="7">
        <v>8326035</v>
      </c>
      <c r="C3557" s="7">
        <v>33000000</v>
      </c>
      <c r="D3557" s="7">
        <f t="shared" si="56"/>
        <v>-24673965</v>
      </c>
    </row>
    <row r="3558" spans="1:4" ht="18" customHeight="1" x14ac:dyDescent="0.25">
      <c r="A3558" s="2" t="s">
        <v>710</v>
      </c>
      <c r="B3558" s="7">
        <v>65948711</v>
      </c>
      <c r="C3558" s="7">
        <v>80000000</v>
      </c>
      <c r="D3558" s="7">
        <f t="shared" si="56"/>
        <v>-14051289</v>
      </c>
    </row>
    <row r="3559" spans="1:4" ht="18" customHeight="1" x14ac:dyDescent="0.25">
      <c r="A3559" s="2" t="s">
        <v>2298</v>
      </c>
      <c r="B3559" s="7">
        <v>48334413</v>
      </c>
      <c r="C3559" s="7">
        <v>1950000</v>
      </c>
      <c r="D3559" s="7">
        <f t="shared" si="56"/>
        <v>46384413</v>
      </c>
    </row>
    <row r="3560" spans="1:4" ht="18" customHeight="1" x14ac:dyDescent="0.25">
      <c r="A3560" s="2" t="s">
        <v>4077</v>
      </c>
      <c r="B3560" s="7">
        <v>18843314</v>
      </c>
      <c r="C3560" s="7">
        <v>20000000</v>
      </c>
      <c r="D3560" s="7">
        <f t="shared" si="56"/>
        <v>-1156686</v>
      </c>
    </row>
    <row r="3561" spans="1:4" ht="18" customHeight="1" x14ac:dyDescent="0.25">
      <c r="A3561" s="2" t="s">
        <v>225</v>
      </c>
      <c r="B3561" s="7">
        <v>93771072</v>
      </c>
      <c r="C3561" s="7">
        <v>65000000</v>
      </c>
      <c r="D3561" s="7">
        <f t="shared" si="56"/>
        <v>28771072</v>
      </c>
    </row>
    <row r="3562" spans="1:4" ht="18" customHeight="1" x14ac:dyDescent="0.25">
      <c r="A3562" s="2" t="s">
        <v>6333</v>
      </c>
      <c r="B3562" s="7">
        <v>123777</v>
      </c>
      <c r="C3562" s="7">
        <v>3500000</v>
      </c>
      <c r="D3562" s="7">
        <f t="shared" si="56"/>
        <v>-3376223</v>
      </c>
    </row>
    <row r="3563" spans="1:4" ht="18" customHeight="1" x14ac:dyDescent="0.25">
      <c r="A3563" s="2" t="s">
        <v>2999</v>
      </c>
      <c r="B3563" s="7">
        <v>40363530</v>
      </c>
      <c r="C3563" s="7">
        <v>16000000</v>
      </c>
      <c r="D3563" s="7">
        <f t="shared" si="56"/>
        <v>24363530</v>
      </c>
    </row>
    <row r="3564" spans="1:4" ht="18" customHeight="1" x14ac:dyDescent="0.25">
      <c r="A3564" s="2" t="s">
        <v>4234</v>
      </c>
      <c r="B3564" s="7">
        <v>16377274</v>
      </c>
      <c r="C3564" s="7">
        <v>32000000</v>
      </c>
      <c r="D3564" s="7">
        <f t="shared" si="56"/>
        <v>-15622726</v>
      </c>
    </row>
    <row r="3565" spans="1:4" ht="18" customHeight="1" x14ac:dyDescent="0.25">
      <c r="A3565" s="2" t="s">
        <v>4555</v>
      </c>
      <c r="B3565" s="7">
        <v>12570442</v>
      </c>
      <c r="C3565" s="7">
        <v>10000000</v>
      </c>
      <c r="D3565" s="7">
        <f t="shared" si="56"/>
        <v>2570442</v>
      </c>
    </row>
    <row r="3566" spans="1:4" ht="18" customHeight="1" x14ac:dyDescent="0.25">
      <c r="A3566" s="2" t="s">
        <v>132</v>
      </c>
      <c r="B3566" s="7">
        <v>102413606</v>
      </c>
      <c r="C3566" s="7">
        <v>34000000</v>
      </c>
      <c r="D3566" s="7">
        <f t="shared" si="56"/>
        <v>68413606</v>
      </c>
    </row>
    <row r="3567" spans="1:4" ht="18" customHeight="1" x14ac:dyDescent="0.25">
      <c r="A3567" s="2" t="s">
        <v>3533</v>
      </c>
      <c r="B3567" s="7">
        <v>29113588</v>
      </c>
      <c r="C3567" s="7">
        <v>40000000</v>
      </c>
      <c r="D3567" s="7">
        <f t="shared" si="56"/>
        <v>-10886412</v>
      </c>
    </row>
    <row r="3568" spans="1:4" ht="18" customHeight="1" x14ac:dyDescent="0.25">
      <c r="A3568" s="2" t="s">
        <v>3898</v>
      </c>
      <c r="B3568" s="7">
        <v>22108977</v>
      </c>
      <c r="C3568" s="7">
        <v>41000000</v>
      </c>
      <c r="D3568" s="7">
        <f t="shared" si="56"/>
        <v>-18891023</v>
      </c>
    </row>
    <row r="3569" spans="1:4" ht="18" customHeight="1" x14ac:dyDescent="0.25">
      <c r="A3569" s="2" t="s">
        <v>3373</v>
      </c>
      <c r="B3569" s="7">
        <v>32416109</v>
      </c>
      <c r="C3569" s="7">
        <v>25000000</v>
      </c>
      <c r="D3569" s="7">
        <f t="shared" si="56"/>
        <v>7416109</v>
      </c>
    </row>
    <row r="3570" spans="1:4" ht="18" customHeight="1" x14ac:dyDescent="0.25">
      <c r="A3570" s="2" t="s">
        <v>5351</v>
      </c>
      <c r="B3570" s="7">
        <v>3752725</v>
      </c>
      <c r="C3570" s="7">
        <v>18000000</v>
      </c>
      <c r="D3570" s="7">
        <f t="shared" si="56"/>
        <v>-14247275</v>
      </c>
    </row>
    <row r="3571" spans="1:4" ht="18" customHeight="1" x14ac:dyDescent="0.25">
      <c r="A3571" s="2" t="s">
        <v>6457</v>
      </c>
      <c r="B3571" s="7">
        <v>66637</v>
      </c>
      <c r="C3571" s="7">
        <v>6500000</v>
      </c>
      <c r="D3571" s="7">
        <f t="shared" si="56"/>
        <v>-6433363</v>
      </c>
    </row>
    <row r="3572" spans="1:4" ht="18" customHeight="1" x14ac:dyDescent="0.25">
      <c r="A3572" s="2" t="s">
        <v>1308</v>
      </c>
      <c r="B3572" s="7">
        <v>48334413</v>
      </c>
      <c r="C3572" s="7">
        <v>39751583.5</v>
      </c>
      <c r="D3572" s="7">
        <f t="shared" si="56"/>
        <v>8582829.5</v>
      </c>
    </row>
    <row r="3573" spans="1:4" ht="18" customHeight="1" x14ac:dyDescent="0.25">
      <c r="A3573" s="2" t="s">
        <v>682</v>
      </c>
      <c r="B3573" s="7">
        <v>66808615</v>
      </c>
      <c r="C3573" s="7">
        <v>34000000</v>
      </c>
      <c r="D3573" s="7">
        <f t="shared" si="56"/>
        <v>32808615</v>
      </c>
    </row>
    <row r="3574" spans="1:4" ht="18" customHeight="1" x14ac:dyDescent="0.25">
      <c r="A3574" s="2" t="s">
        <v>6443</v>
      </c>
      <c r="B3574" s="7">
        <v>73548</v>
      </c>
      <c r="C3574" s="7">
        <v>15000000</v>
      </c>
      <c r="D3574" s="7">
        <f t="shared" si="56"/>
        <v>-14926452</v>
      </c>
    </row>
    <row r="3575" spans="1:4" ht="18" customHeight="1" x14ac:dyDescent="0.25">
      <c r="A3575" s="2" t="s">
        <v>1131</v>
      </c>
      <c r="B3575" s="7">
        <v>50752337</v>
      </c>
      <c r="C3575" s="7">
        <v>10000000</v>
      </c>
      <c r="D3575" s="7">
        <f t="shared" si="56"/>
        <v>40752337</v>
      </c>
    </row>
    <row r="3576" spans="1:4" ht="18" customHeight="1" x14ac:dyDescent="0.25">
      <c r="A3576" s="2" t="s">
        <v>5643</v>
      </c>
      <c r="B3576" s="7">
        <v>1889522</v>
      </c>
      <c r="C3576" s="7">
        <v>7000000</v>
      </c>
      <c r="D3576" s="7">
        <f t="shared" si="56"/>
        <v>-5110478</v>
      </c>
    </row>
    <row r="3577" spans="1:4" ht="18" customHeight="1" x14ac:dyDescent="0.25">
      <c r="A3577" s="2" t="s">
        <v>5517</v>
      </c>
      <c r="B3577" s="7">
        <v>2643689</v>
      </c>
      <c r="C3577" s="7">
        <v>39751583.5</v>
      </c>
      <c r="D3577" s="7">
        <f t="shared" si="56"/>
        <v>-37107894.5</v>
      </c>
    </row>
    <row r="3578" spans="1:4" ht="18" customHeight="1" x14ac:dyDescent="0.25">
      <c r="A3578" s="2" t="s">
        <v>2980</v>
      </c>
      <c r="B3578" s="7">
        <v>41252428</v>
      </c>
      <c r="C3578" s="7">
        <v>42000000</v>
      </c>
      <c r="D3578" s="7">
        <f t="shared" si="56"/>
        <v>-747572</v>
      </c>
    </row>
    <row r="3579" spans="1:4" ht="18" customHeight="1" x14ac:dyDescent="0.25">
      <c r="A3579" s="2" t="s">
        <v>2066</v>
      </c>
      <c r="B3579" s="7">
        <v>48334413</v>
      </c>
      <c r="C3579" s="7">
        <v>4000000</v>
      </c>
      <c r="D3579" s="7">
        <f t="shared" si="56"/>
        <v>44334413</v>
      </c>
    </row>
    <row r="3580" spans="1:4" ht="18" customHeight="1" x14ac:dyDescent="0.25">
      <c r="A3580" s="2" t="s">
        <v>6613</v>
      </c>
      <c r="B3580" s="7">
        <v>17580</v>
      </c>
      <c r="C3580" s="7">
        <v>1500000</v>
      </c>
      <c r="D3580" s="7">
        <f t="shared" si="56"/>
        <v>-1482420</v>
      </c>
    </row>
    <row r="3581" spans="1:4" ht="18" customHeight="1" x14ac:dyDescent="0.25">
      <c r="A3581" s="2" t="s">
        <v>1247</v>
      </c>
      <c r="B3581" s="7">
        <v>48334413</v>
      </c>
      <c r="C3581" s="7">
        <v>39751583.5</v>
      </c>
      <c r="D3581" s="7">
        <f t="shared" si="56"/>
        <v>8582829.5</v>
      </c>
    </row>
    <row r="3582" spans="1:4" ht="18" customHeight="1" x14ac:dyDescent="0.25">
      <c r="A3582" s="2" t="s">
        <v>3710</v>
      </c>
      <c r="B3582" s="7">
        <v>25592632</v>
      </c>
      <c r="C3582" s="7">
        <v>18000000</v>
      </c>
      <c r="D3582" s="7">
        <f t="shared" si="56"/>
        <v>7592632</v>
      </c>
    </row>
    <row r="3583" spans="1:4" ht="18" customHeight="1" x14ac:dyDescent="0.25">
      <c r="A3583" s="2" t="s">
        <v>1808</v>
      </c>
      <c r="B3583" s="7">
        <v>48334413</v>
      </c>
      <c r="C3583" s="7">
        <v>11000000</v>
      </c>
      <c r="D3583" s="7">
        <f t="shared" si="56"/>
        <v>37334413</v>
      </c>
    </row>
    <row r="3584" spans="1:4" ht="18" customHeight="1" x14ac:dyDescent="0.25">
      <c r="A3584" s="2" t="s">
        <v>2741</v>
      </c>
      <c r="B3584" s="7">
        <v>48334413</v>
      </c>
      <c r="C3584" s="7">
        <v>3250</v>
      </c>
      <c r="D3584" s="7">
        <f t="shared" si="56"/>
        <v>48331163</v>
      </c>
    </row>
    <row r="3585" spans="1:4" ht="18" customHeight="1" x14ac:dyDescent="0.25">
      <c r="A3585" s="2" t="s">
        <v>468</v>
      </c>
      <c r="B3585" s="7">
        <v>78031620</v>
      </c>
      <c r="C3585" s="7">
        <v>70000000</v>
      </c>
      <c r="D3585" s="7">
        <f t="shared" si="56"/>
        <v>8031620</v>
      </c>
    </row>
    <row r="3586" spans="1:4" ht="18" customHeight="1" x14ac:dyDescent="0.25">
      <c r="A3586" s="2" t="s">
        <v>3448</v>
      </c>
      <c r="B3586" s="7">
        <v>31165421</v>
      </c>
      <c r="C3586" s="7">
        <v>60000000</v>
      </c>
      <c r="D3586" s="7">
        <f t="shared" si="56"/>
        <v>-28834579</v>
      </c>
    </row>
    <row r="3587" spans="1:4" ht="18" customHeight="1" x14ac:dyDescent="0.25">
      <c r="A3587" s="2" t="s">
        <v>6505</v>
      </c>
      <c r="B3587" s="7">
        <v>47111</v>
      </c>
      <c r="C3587" s="7">
        <v>39751583.5</v>
      </c>
      <c r="D3587" s="7">
        <f t="shared" si="56"/>
        <v>-39704472.5</v>
      </c>
    </row>
    <row r="3588" spans="1:4" ht="18" customHeight="1" x14ac:dyDescent="0.25">
      <c r="A3588" s="2" t="s">
        <v>3238</v>
      </c>
      <c r="B3588" s="7">
        <v>35228696</v>
      </c>
      <c r="C3588" s="7">
        <v>32000000</v>
      </c>
      <c r="D3588" s="7">
        <f t="shared" si="56"/>
        <v>3228696</v>
      </c>
    </row>
    <row r="3589" spans="1:4" ht="18" customHeight="1" x14ac:dyDescent="0.25">
      <c r="A3589" s="2" t="s">
        <v>2499</v>
      </c>
      <c r="B3589" s="7">
        <v>48334413</v>
      </c>
      <c r="C3589" s="7">
        <v>800000</v>
      </c>
      <c r="D3589" s="7">
        <f t="shared" ref="D3589:D3652" si="57">B3589-C3589</f>
        <v>47534413</v>
      </c>
    </row>
    <row r="3590" spans="1:4" ht="18" customHeight="1" x14ac:dyDescent="0.25">
      <c r="A3590" s="2" t="s">
        <v>3618</v>
      </c>
      <c r="B3590" s="7">
        <v>27281507</v>
      </c>
      <c r="C3590" s="7">
        <v>12000000</v>
      </c>
      <c r="D3590" s="7">
        <f t="shared" si="57"/>
        <v>15281507</v>
      </c>
    </row>
    <row r="3591" spans="1:4" ht="18" customHeight="1" x14ac:dyDescent="0.25">
      <c r="A3591" s="2" t="s">
        <v>483</v>
      </c>
      <c r="B3591" s="7">
        <v>76657000</v>
      </c>
      <c r="C3591" s="7">
        <v>39751583.5</v>
      </c>
      <c r="D3591" s="7">
        <f t="shared" si="57"/>
        <v>36905416.5</v>
      </c>
    </row>
    <row r="3592" spans="1:4" ht="18" customHeight="1" x14ac:dyDescent="0.25">
      <c r="A3592" s="2" t="s">
        <v>301</v>
      </c>
      <c r="B3592" s="7">
        <v>88625922</v>
      </c>
      <c r="C3592" s="7">
        <v>45000000</v>
      </c>
      <c r="D3592" s="7">
        <f t="shared" si="57"/>
        <v>43625922</v>
      </c>
    </row>
    <row r="3593" spans="1:4" ht="18" customHeight="1" x14ac:dyDescent="0.25">
      <c r="A3593" s="2" t="s">
        <v>4618</v>
      </c>
      <c r="B3593" s="7">
        <v>11614236</v>
      </c>
      <c r="C3593" s="7">
        <v>15000000</v>
      </c>
      <c r="D3593" s="7">
        <f t="shared" si="57"/>
        <v>-3385764</v>
      </c>
    </row>
    <row r="3594" spans="1:4" ht="18" customHeight="1" x14ac:dyDescent="0.25">
      <c r="A3594" s="2" t="s">
        <v>3626</v>
      </c>
      <c r="B3594" s="7">
        <v>27053815</v>
      </c>
      <c r="C3594" s="7">
        <v>40000000</v>
      </c>
      <c r="D3594" s="7">
        <f t="shared" si="57"/>
        <v>-12946185</v>
      </c>
    </row>
    <row r="3595" spans="1:4" ht="18" customHeight="1" x14ac:dyDescent="0.25">
      <c r="A3595" s="2" t="s">
        <v>1571</v>
      </c>
      <c r="B3595" s="7">
        <v>48334413</v>
      </c>
      <c r="C3595" s="7">
        <v>39751583.5</v>
      </c>
      <c r="D3595" s="7">
        <f t="shared" si="57"/>
        <v>8582829.5</v>
      </c>
    </row>
    <row r="3596" spans="1:4" ht="18" customHeight="1" x14ac:dyDescent="0.25">
      <c r="A3596" s="2" t="s">
        <v>316</v>
      </c>
      <c r="B3596" s="7">
        <v>86930411</v>
      </c>
      <c r="C3596" s="7">
        <v>23000000</v>
      </c>
      <c r="D3596" s="7">
        <f t="shared" si="57"/>
        <v>63930411</v>
      </c>
    </row>
    <row r="3597" spans="1:4" ht="18" customHeight="1" x14ac:dyDescent="0.25">
      <c r="A3597" s="2" t="s">
        <v>5996</v>
      </c>
      <c r="B3597" s="7">
        <v>513836</v>
      </c>
      <c r="C3597" s="7">
        <v>4600000</v>
      </c>
      <c r="D3597" s="7">
        <f t="shared" si="57"/>
        <v>-4086164</v>
      </c>
    </row>
    <row r="3598" spans="1:4" ht="18" customHeight="1" x14ac:dyDescent="0.25">
      <c r="A3598" s="2" t="s">
        <v>4468</v>
      </c>
      <c r="B3598" s="7">
        <v>13569248</v>
      </c>
      <c r="C3598" s="7">
        <v>39751583.5</v>
      </c>
      <c r="D3598" s="7">
        <f t="shared" si="57"/>
        <v>-26182335.5</v>
      </c>
    </row>
    <row r="3599" spans="1:4" ht="18" customHeight="1" x14ac:dyDescent="0.25">
      <c r="A3599" s="2" t="s">
        <v>3130</v>
      </c>
      <c r="B3599" s="7">
        <v>37617947</v>
      </c>
      <c r="C3599" s="7">
        <v>30000000</v>
      </c>
      <c r="D3599" s="7">
        <f t="shared" si="57"/>
        <v>7617947</v>
      </c>
    </row>
    <row r="3600" spans="1:4" ht="18" customHeight="1" x14ac:dyDescent="0.25">
      <c r="A3600" s="2" t="s">
        <v>2865</v>
      </c>
      <c r="B3600" s="7">
        <v>44484065</v>
      </c>
      <c r="C3600" s="7">
        <v>50000000</v>
      </c>
      <c r="D3600" s="7">
        <f t="shared" si="57"/>
        <v>-5515935</v>
      </c>
    </row>
    <row r="3601" spans="1:4" ht="18" customHeight="1" x14ac:dyDescent="0.25">
      <c r="A3601" s="2" t="s">
        <v>5718</v>
      </c>
      <c r="B3601" s="7">
        <v>1330827</v>
      </c>
      <c r="C3601" s="7">
        <v>7000000</v>
      </c>
      <c r="D3601" s="7">
        <f t="shared" si="57"/>
        <v>-5669173</v>
      </c>
    </row>
    <row r="3602" spans="1:4" ht="18" customHeight="1" x14ac:dyDescent="0.25">
      <c r="A3602" s="2" t="s">
        <v>1135</v>
      </c>
      <c r="B3602" s="7">
        <v>50728000</v>
      </c>
      <c r="C3602" s="7">
        <v>22000000</v>
      </c>
      <c r="D3602" s="7">
        <f t="shared" si="57"/>
        <v>28728000</v>
      </c>
    </row>
    <row r="3603" spans="1:4" ht="18" customHeight="1" x14ac:dyDescent="0.25">
      <c r="A3603" s="2" t="s">
        <v>1623</v>
      </c>
      <c r="B3603" s="7">
        <v>48334413</v>
      </c>
      <c r="C3603" s="7">
        <v>27000000</v>
      </c>
      <c r="D3603" s="7">
        <f t="shared" si="57"/>
        <v>21334413</v>
      </c>
    </row>
    <row r="3604" spans="1:4" ht="18" customHeight="1" x14ac:dyDescent="0.25">
      <c r="A3604" s="2" t="s">
        <v>3541</v>
      </c>
      <c r="B3604" s="7">
        <v>28972187</v>
      </c>
      <c r="C3604" s="7">
        <v>13000000</v>
      </c>
      <c r="D3604" s="7">
        <f t="shared" si="57"/>
        <v>15972187</v>
      </c>
    </row>
    <row r="3605" spans="1:4" ht="18" customHeight="1" x14ac:dyDescent="0.25">
      <c r="A3605" s="2" t="s">
        <v>4540</v>
      </c>
      <c r="B3605" s="7">
        <v>12712093</v>
      </c>
      <c r="C3605" s="7">
        <v>30000000</v>
      </c>
      <c r="D3605" s="7">
        <f t="shared" si="57"/>
        <v>-17287907</v>
      </c>
    </row>
    <row r="3606" spans="1:4" ht="18" customHeight="1" x14ac:dyDescent="0.25">
      <c r="A3606" s="2" t="s">
        <v>4712</v>
      </c>
      <c r="B3606" s="7">
        <v>10297897</v>
      </c>
      <c r="C3606" s="7">
        <v>27000000</v>
      </c>
      <c r="D3606" s="7">
        <f t="shared" si="57"/>
        <v>-16702103</v>
      </c>
    </row>
    <row r="3607" spans="1:4" ht="18" customHeight="1" x14ac:dyDescent="0.25">
      <c r="A3607" s="2" t="s">
        <v>4354</v>
      </c>
      <c r="B3607" s="7">
        <v>14983572</v>
      </c>
      <c r="C3607" s="7">
        <v>25000000</v>
      </c>
      <c r="D3607" s="7">
        <f t="shared" si="57"/>
        <v>-10016428</v>
      </c>
    </row>
    <row r="3608" spans="1:4" ht="18" customHeight="1" x14ac:dyDescent="0.25">
      <c r="A3608" s="2" t="s">
        <v>3944</v>
      </c>
      <c r="B3608" s="7">
        <v>21129348</v>
      </c>
      <c r="C3608" s="7">
        <v>35000000</v>
      </c>
      <c r="D3608" s="7">
        <f t="shared" si="57"/>
        <v>-13870652</v>
      </c>
    </row>
    <row r="3609" spans="1:4" ht="18" customHeight="1" x14ac:dyDescent="0.25">
      <c r="A3609" s="2" t="s">
        <v>4891</v>
      </c>
      <c r="B3609" s="7">
        <v>7825820</v>
      </c>
      <c r="C3609" s="7">
        <v>4000000</v>
      </c>
      <c r="D3609" s="7">
        <f t="shared" si="57"/>
        <v>3825820</v>
      </c>
    </row>
    <row r="3610" spans="1:4" ht="18" customHeight="1" x14ac:dyDescent="0.25">
      <c r="A3610" s="2" t="s">
        <v>1561</v>
      </c>
      <c r="B3610" s="7">
        <v>48334413</v>
      </c>
      <c r="C3610" s="7">
        <v>39751583.5</v>
      </c>
      <c r="D3610" s="7">
        <f t="shared" si="57"/>
        <v>8582829.5</v>
      </c>
    </row>
    <row r="3611" spans="1:4" ht="18" customHeight="1" x14ac:dyDescent="0.25">
      <c r="A3611" s="2" t="s">
        <v>4085</v>
      </c>
      <c r="B3611" s="7">
        <v>18653746</v>
      </c>
      <c r="C3611" s="7">
        <v>38000000</v>
      </c>
      <c r="D3611" s="7">
        <f t="shared" si="57"/>
        <v>-19346254</v>
      </c>
    </row>
    <row r="3612" spans="1:4" ht="18" customHeight="1" x14ac:dyDescent="0.25">
      <c r="A3612" s="2" t="s">
        <v>6462</v>
      </c>
      <c r="B3612" s="7">
        <v>64286</v>
      </c>
      <c r="C3612" s="7">
        <v>29000000</v>
      </c>
      <c r="D3612" s="7">
        <f t="shared" si="57"/>
        <v>-28935714</v>
      </c>
    </row>
    <row r="3613" spans="1:4" ht="18" customHeight="1" x14ac:dyDescent="0.25">
      <c r="A3613" s="2" t="s">
        <v>3764</v>
      </c>
      <c r="B3613" s="7">
        <v>24984868</v>
      </c>
      <c r="C3613" s="7">
        <v>15000000</v>
      </c>
      <c r="D3613" s="7">
        <f t="shared" si="57"/>
        <v>9984868</v>
      </c>
    </row>
    <row r="3614" spans="1:4" ht="18" customHeight="1" x14ac:dyDescent="0.25">
      <c r="A3614" s="2" t="s">
        <v>3244</v>
      </c>
      <c r="B3614" s="7">
        <v>35063732</v>
      </c>
      <c r="C3614" s="7">
        <v>32000000</v>
      </c>
      <c r="D3614" s="7">
        <f t="shared" si="57"/>
        <v>3063732</v>
      </c>
    </row>
    <row r="3615" spans="1:4" ht="18" customHeight="1" x14ac:dyDescent="0.25">
      <c r="A3615" s="2" t="s">
        <v>2102</v>
      </c>
      <c r="B3615" s="7">
        <v>48334413</v>
      </c>
      <c r="C3615" s="7">
        <v>3500000</v>
      </c>
      <c r="D3615" s="7">
        <f t="shared" si="57"/>
        <v>44834413</v>
      </c>
    </row>
    <row r="3616" spans="1:4" ht="18" customHeight="1" x14ac:dyDescent="0.25">
      <c r="A3616" s="2" t="s">
        <v>743</v>
      </c>
      <c r="B3616" s="7">
        <v>64238770</v>
      </c>
      <c r="C3616" s="7">
        <v>42000000</v>
      </c>
      <c r="D3616" s="7">
        <f t="shared" si="57"/>
        <v>22238770</v>
      </c>
    </row>
    <row r="3617" spans="1:4" ht="18" customHeight="1" x14ac:dyDescent="0.25">
      <c r="A3617" s="2" t="s">
        <v>6239</v>
      </c>
      <c r="B3617" s="7">
        <v>190562</v>
      </c>
      <c r="C3617" s="7">
        <v>90000000</v>
      </c>
      <c r="D3617" s="7">
        <f t="shared" si="57"/>
        <v>-89809438</v>
      </c>
    </row>
    <row r="3618" spans="1:4" ht="18" customHeight="1" x14ac:dyDescent="0.25">
      <c r="A3618" s="2" t="s">
        <v>5601</v>
      </c>
      <c r="B3618" s="7">
        <v>2119994</v>
      </c>
      <c r="C3618" s="7">
        <v>19000000</v>
      </c>
      <c r="D3618" s="7">
        <f t="shared" si="57"/>
        <v>-16880006</v>
      </c>
    </row>
    <row r="3619" spans="1:4" ht="18" customHeight="1" x14ac:dyDescent="0.25">
      <c r="A3619" s="2" t="s">
        <v>1304</v>
      </c>
      <c r="B3619" s="7">
        <v>48334413</v>
      </c>
      <c r="C3619" s="7">
        <v>39751583.5</v>
      </c>
      <c r="D3619" s="7">
        <f t="shared" si="57"/>
        <v>8582829.5</v>
      </c>
    </row>
    <row r="3620" spans="1:4" ht="18" customHeight="1" x14ac:dyDescent="0.25">
      <c r="A3620" s="2" t="s">
        <v>3535</v>
      </c>
      <c r="B3620" s="7">
        <v>29106737</v>
      </c>
      <c r="C3620" s="7">
        <v>15000000</v>
      </c>
      <c r="D3620" s="7">
        <f t="shared" si="57"/>
        <v>14106737</v>
      </c>
    </row>
    <row r="3621" spans="1:4" ht="18" customHeight="1" x14ac:dyDescent="0.25">
      <c r="A3621" s="2" t="s">
        <v>1076</v>
      </c>
      <c r="B3621" s="7">
        <v>51853450</v>
      </c>
      <c r="C3621" s="7">
        <v>25000000</v>
      </c>
      <c r="D3621" s="7">
        <f t="shared" si="57"/>
        <v>26853450</v>
      </c>
    </row>
    <row r="3622" spans="1:4" ht="18" customHeight="1" x14ac:dyDescent="0.25">
      <c r="A3622" s="2" t="s">
        <v>2001</v>
      </c>
      <c r="B3622" s="7">
        <v>48334413</v>
      </c>
      <c r="C3622" s="7">
        <v>5000000</v>
      </c>
      <c r="D3622" s="7">
        <f t="shared" si="57"/>
        <v>43334413</v>
      </c>
    </row>
    <row r="3623" spans="1:4" ht="18" customHeight="1" x14ac:dyDescent="0.25">
      <c r="A3623" s="2" t="s">
        <v>4550</v>
      </c>
      <c r="B3623" s="7">
        <v>12610552</v>
      </c>
      <c r="C3623" s="7">
        <v>7500000</v>
      </c>
      <c r="D3623" s="7">
        <f t="shared" si="57"/>
        <v>5110552</v>
      </c>
    </row>
    <row r="3624" spans="1:4" ht="18" customHeight="1" x14ac:dyDescent="0.25">
      <c r="A3624" s="2" t="s">
        <v>2194</v>
      </c>
      <c r="B3624" s="7">
        <v>96668826</v>
      </c>
      <c r="C3624" s="7">
        <v>5600000</v>
      </c>
      <c r="D3624" s="7">
        <f t="shared" si="57"/>
        <v>91068826</v>
      </c>
    </row>
    <row r="3625" spans="1:4" ht="18" customHeight="1" x14ac:dyDescent="0.25">
      <c r="A3625" s="2" t="s">
        <v>2881</v>
      </c>
      <c r="B3625" s="7">
        <v>43905746</v>
      </c>
      <c r="C3625" s="7">
        <v>49000000</v>
      </c>
      <c r="D3625" s="7">
        <f t="shared" si="57"/>
        <v>-5094254</v>
      </c>
    </row>
    <row r="3626" spans="1:4" ht="18" customHeight="1" x14ac:dyDescent="0.25">
      <c r="A3626" s="2" t="s">
        <v>5797</v>
      </c>
      <c r="B3626" s="7">
        <v>1064277</v>
      </c>
      <c r="C3626" s="7">
        <v>20000000</v>
      </c>
      <c r="D3626" s="7">
        <f t="shared" si="57"/>
        <v>-18935723</v>
      </c>
    </row>
    <row r="3627" spans="1:4" ht="18" customHeight="1" x14ac:dyDescent="0.25">
      <c r="A3627" s="2" t="s">
        <v>6602</v>
      </c>
      <c r="B3627" s="7">
        <v>19348</v>
      </c>
      <c r="C3627" s="7">
        <v>10000000</v>
      </c>
      <c r="D3627" s="7">
        <f t="shared" si="57"/>
        <v>-9980652</v>
      </c>
    </row>
    <row r="3628" spans="1:4" ht="18" customHeight="1" x14ac:dyDescent="0.25">
      <c r="A3628" s="2" t="s">
        <v>2123</v>
      </c>
      <c r="B3628" s="7">
        <v>48334413</v>
      </c>
      <c r="C3628" s="7">
        <v>3300000</v>
      </c>
      <c r="D3628" s="7">
        <f t="shared" si="57"/>
        <v>45034413</v>
      </c>
    </row>
    <row r="3629" spans="1:4" ht="18" customHeight="1" x14ac:dyDescent="0.25">
      <c r="A3629" s="2" t="s">
        <v>4905</v>
      </c>
      <c r="B3629" s="7">
        <v>7659747</v>
      </c>
      <c r="C3629" s="7">
        <v>38000000</v>
      </c>
      <c r="D3629" s="7">
        <f t="shared" si="57"/>
        <v>-30340253</v>
      </c>
    </row>
    <row r="3630" spans="1:4" ht="18" customHeight="1" x14ac:dyDescent="0.25">
      <c r="A3630" s="2" t="s">
        <v>3094</v>
      </c>
      <c r="B3630" s="7">
        <v>38168022</v>
      </c>
      <c r="C3630" s="7">
        <v>3000000</v>
      </c>
      <c r="D3630" s="7">
        <f t="shared" si="57"/>
        <v>35168022</v>
      </c>
    </row>
    <row r="3631" spans="1:4" ht="18" customHeight="1" x14ac:dyDescent="0.25">
      <c r="A3631" s="2" t="s">
        <v>4945</v>
      </c>
      <c r="B3631" s="7">
        <v>7159147</v>
      </c>
      <c r="C3631" s="7">
        <v>3400000</v>
      </c>
      <c r="D3631" s="7">
        <f t="shared" si="57"/>
        <v>3759147</v>
      </c>
    </row>
    <row r="3632" spans="1:4" ht="18" customHeight="1" x14ac:dyDescent="0.25">
      <c r="A3632" s="2" t="s">
        <v>3641</v>
      </c>
      <c r="B3632" s="7">
        <v>26814957</v>
      </c>
      <c r="C3632" s="7">
        <v>35000000</v>
      </c>
      <c r="D3632" s="7">
        <f t="shared" si="57"/>
        <v>-8185043</v>
      </c>
    </row>
    <row r="3633" spans="1:4" ht="18" customHeight="1" x14ac:dyDescent="0.25">
      <c r="A3633" s="2" t="s">
        <v>6306</v>
      </c>
      <c r="B3633" s="7">
        <v>133778</v>
      </c>
      <c r="C3633" s="7">
        <v>500000</v>
      </c>
      <c r="D3633" s="7">
        <f t="shared" si="57"/>
        <v>-366222</v>
      </c>
    </row>
    <row r="3634" spans="1:4" ht="18" customHeight="1" x14ac:dyDescent="0.25">
      <c r="A3634" s="2" t="s">
        <v>6349</v>
      </c>
      <c r="B3634" s="7">
        <v>115504</v>
      </c>
      <c r="C3634" s="7">
        <v>14000000</v>
      </c>
      <c r="D3634" s="7">
        <f t="shared" si="57"/>
        <v>-13884496</v>
      </c>
    </row>
    <row r="3635" spans="1:4" ht="18" customHeight="1" x14ac:dyDescent="0.25">
      <c r="A3635" s="2" t="s">
        <v>5217</v>
      </c>
      <c r="B3635" s="7">
        <v>4720371</v>
      </c>
      <c r="C3635" s="7">
        <v>7000000</v>
      </c>
      <c r="D3635" s="7">
        <f t="shared" si="57"/>
        <v>-2279629</v>
      </c>
    </row>
    <row r="3636" spans="1:4" ht="18" customHeight="1" x14ac:dyDescent="0.25">
      <c r="A3636" s="2" t="s">
        <v>351</v>
      </c>
      <c r="B3636" s="7">
        <v>83906114</v>
      </c>
      <c r="C3636" s="7">
        <v>40000000</v>
      </c>
      <c r="D3636" s="7">
        <f t="shared" si="57"/>
        <v>43906114</v>
      </c>
    </row>
    <row r="3637" spans="1:4" ht="18" customHeight="1" x14ac:dyDescent="0.25">
      <c r="A3637" s="2" t="s">
        <v>195</v>
      </c>
      <c r="B3637" s="7">
        <v>96471845</v>
      </c>
      <c r="C3637" s="7">
        <v>17000000</v>
      </c>
      <c r="D3637" s="7">
        <f t="shared" si="57"/>
        <v>79471845</v>
      </c>
    </row>
    <row r="3638" spans="1:4" ht="18" customHeight="1" x14ac:dyDescent="0.25">
      <c r="A3638" s="2" t="s">
        <v>3562</v>
      </c>
      <c r="B3638" s="7">
        <v>28535768</v>
      </c>
      <c r="C3638" s="7">
        <v>40000000</v>
      </c>
      <c r="D3638" s="7">
        <f t="shared" si="57"/>
        <v>-11464232</v>
      </c>
    </row>
    <row r="3639" spans="1:4" ht="18" customHeight="1" x14ac:dyDescent="0.25">
      <c r="A3639" s="2" t="s">
        <v>2542</v>
      </c>
      <c r="B3639" s="7">
        <v>48334413</v>
      </c>
      <c r="C3639" s="7">
        <v>500000</v>
      </c>
      <c r="D3639" s="7">
        <f t="shared" si="57"/>
        <v>47834413</v>
      </c>
    </row>
    <row r="3640" spans="1:4" ht="18" customHeight="1" x14ac:dyDescent="0.25">
      <c r="A3640" s="2" t="s">
        <v>3709</v>
      </c>
      <c r="B3640" s="7">
        <v>25600000</v>
      </c>
      <c r="C3640" s="7">
        <v>10000000</v>
      </c>
      <c r="D3640" s="7">
        <f t="shared" si="57"/>
        <v>15600000</v>
      </c>
    </row>
    <row r="3641" spans="1:4" ht="18" customHeight="1" x14ac:dyDescent="0.25">
      <c r="A3641" s="2" t="s">
        <v>6713</v>
      </c>
      <c r="B3641" s="7">
        <v>3607</v>
      </c>
      <c r="C3641" s="7">
        <v>10000000</v>
      </c>
      <c r="D3641" s="7">
        <f t="shared" si="57"/>
        <v>-9996393</v>
      </c>
    </row>
    <row r="3642" spans="1:4" ht="18" customHeight="1" x14ac:dyDescent="0.25">
      <c r="A3642" s="2" t="s">
        <v>4864</v>
      </c>
      <c r="B3642" s="7">
        <v>8047690</v>
      </c>
      <c r="C3642" s="7">
        <v>19400000</v>
      </c>
      <c r="D3642" s="7">
        <f t="shared" si="57"/>
        <v>-11352310</v>
      </c>
    </row>
    <row r="3643" spans="1:4" ht="18" customHeight="1" x14ac:dyDescent="0.25">
      <c r="A3643" s="2" t="s">
        <v>1908</v>
      </c>
      <c r="B3643" s="7">
        <v>48334413</v>
      </c>
      <c r="C3643" s="7">
        <v>8000000</v>
      </c>
      <c r="D3643" s="7">
        <f t="shared" si="57"/>
        <v>40334413</v>
      </c>
    </row>
    <row r="3644" spans="1:4" ht="18" customHeight="1" x14ac:dyDescent="0.25">
      <c r="A3644" s="2" t="s">
        <v>1493</v>
      </c>
      <c r="B3644" s="7">
        <v>48334413</v>
      </c>
      <c r="C3644" s="7">
        <v>39751583.5</v>
      </c>
      <c r="D3644" s="7">
        <f t="shared" si="57"/>
        <v>8582829.5</v>
      </c>
    </row>
    <row r="3645" spans="1:4" ht="18" customHeight="1" x14ac:dyDescent="0.25">
      <c r="A3645" s="2" t="s">
        <v>6007</v>
      </c>
      <c r="B3645" s="7">
        <v>499263</v>
      </c>
      <c r="C3645" s="7">
        <v>30000000</v>
      </c>
      <c r="D3645" s="7">
        <f t="shared" si="57"/>
        <v>-29500737</v>
      </c>
    </row>
    <row r="3646" spans="1:4" ht="18" customHeight="1" x14ac:dyDescent="0.25">
      <c r="A3646" s="2" t="s">
        <v>2685</v>
      </c>
      <c r="B3646" s="7">
        <v>48334413</v>
      </c>
      <c r="C3646" s="7">
        <v>100000</v>
      </c>
      <c r="D3646" s="7">
        <f t="shared" si="57"/>
        <v>48234413</v>
      </c>
    </row>
    <row r="3647" spans="1:4" ht="18" customHeight="1" x14ac:dyDescent="0.25">
      <c r="A3647" s="2" t="s">
        <v>2979</v>
      </c>
      <c r="B3647" s="7">
        <v>41256277</v>
      </c>
      <c r="C3647" s="7">
        <v>50000000</v>
      </c>
      <c r="D3647" s="7">
        <f t="shared" si="57"/>
        <v>-8743723</v>
      </c>
    </row>
    <row r="3648" spans="1:4" ht="18" customHeight="1" x14ac:dyDescent="0.25">
      <c r="A3648" s="2" t="s">
        <v>163</v>
      </c>
      <c r="B3648" s="7">
        <v>100768056</v>
      </c>
      <c r="C3648" s="7">
        <v>45000000</v>
      </c>
      <c r="D3648" s="7">
        <f t="shared" si="57"/>
        <v>55768056</v>
      </c>
    </row>
    <row r="3649" spans="1:4" ht="18" customHeight="1" x14ac:dyDescent="0.25">
      <c r="A3649" s="2" t="s">
        <v>5498</v>
      </c>
      <c r="B3649" s="7">
        <v>2832826</v>
      </c>
      <c r="C3649" s="7">
        <v>11000000</v>
      </c>
      <c r="D3649" s="7">
        <f t="shared" si="57"/>
        <v>-8167174</v>
      </c>
    </row>
    <row r="3650" spans="1:4" ht="18" customHeight="1" x14ac:dyDescent="0.25">
      <c r="A3650" s="2" t="s">
        <v>5789</v>
      </c>
      <c r="B3650" s="7">
        <v>1089445</v>
      </c>
      <c r="C3650" s="7">
        <v>12500000</v>
      </c>
      <c r="D3650" s="7">
        <f t="shared" si="57"/>
        <v>-11410555</v>
      </c>
    </row>
    <row r="3651" spans="1:4" ht="18" customHeight="1" x14ac:dyDescent="0.25">
      <c r="A3651" s="2" t="s">
        <v>6502</v>
      </c>
      <c r="B3651" s="7">
        <v>48430</v>
      </c>
      <c r="C3651" s="7">
        <v>500000</v>
      </c>
      <c r="D3651" s="7">
        <f t="shared" si="57"/>
        <v>-451570</v>
      </c>
    </row>
    <row r="3652" spans="1:4" ht="18" customHeight="1" x14ac:dyDescent="0.25">
      <c r="A3652" s="2" t="s">
        <v>4251</v>
      </c>
      <c r="B3652" s="7">
        <v>16247775</v>
      </c>
      <c r="C3652" s="7">
        <v>25000000</v>
      </c>
      <c r="D3652" s="7">
        <f t="shared" si="57"/>
        <v>-8752225</v>
      </c>
    </row>
    <row r="3653" spans="1:4" ht="18" customHeight="1" x14ac:dyDescent="0.25">
      <c r="A3653" s="2" t="s">
        <v>4761</v>
      </c>
      <c r="B3653" s="7">
        <v>9658370</v>
      </c>
      <c r="C3653" s="7">
        <v>5000000</v>
      </c>
      <c r="D3653" s="7">
        <f t="shared" ref="D3653:D3716" si="58">B3653-C3653</f>
        <v>4658370</v>
      </c>
    </row>
    <row r="3654" spans="1:4" ht="18" customHeight="1" x14ac:dyDescent="0.25">
      <c r="A3654" s="2" t="s">
        <v>2087</v>
      </c>
      <c r="B3654" s="7">
        <v>48334413</v>
      </c>
      <c r="C3654" s="7">
        <v>4000000</v>
      </c>
      <c r="D3654" s="7">
        <f t="shared" si="58"/>
        <v>44334413</v>
      </c>
    </row>
    <row r="3655" spans="1:4" ht="18" customHeight="1" x14ac:dyDescent="0.25">
      <c r="A3655" s="2" t="s">
        <v>4142</v>
      </c>
      <c r="B3655" s="7">
        <v>17738570</v>
      </c>
      <c r="C3655" s="7">
        <v>13000000</v>
      </c>
      <c r="D3655" s="7">
        <f t="shared" si="58"/>
        <v>4738570</v>
      </c>
    </row>
    <row r="3656" spans="1:4" ht="18" customHeight="1" x14ac:dyDescent="0.25">
      <c r="A3656" s="2" t="s">
        <v>2461</v>
      </c>
      <c r="B3656" s="7">
        <v>48334413</v>
      </c>
      <c r="C3656" s="7">
        <v>1000000</v>
      </c>
      <c r="D3656" s="7">
        <f t="shared" si="58"/>
        <v>47334413</v>
      </c>
    </row>
    <row r="3657" spans="1:4" ht="18" customHeight="1" x14ac:dyDescent="0.25">
      <c r="A3657" s="2" t="s">
        <v>1102</v>
      </c>
      <c r="B3657" s="7">
        <v>51225796</v>
      </c>
      <c r="C3657" s="7">
        <v>70000000</v>
      </c>
      <c r="D3657" s="7">
        <f t="shared" si="58"/>
        <v>-18774204</v>
      </c>
    </row>
    <row r="3658" spans="1:4" ht="18" customHeight="1" x14ac:dyDescent="0.25">
      <c r="A3658" s="2" t="s">
        <v>4178</v>
      </c>
      <c r="B3658" s="7">
        <v>17300889</v>
      </c>
      <c r="C3658" s="7">
        <v>45000000</v>
      </c>
      <c r="D3658" s="7">
        <f t="shared" si="58"/>
        <v>-27699111</v>
      </c>
    </row>
    <row r="3659" spans="1:4" ht="18" customHeight="1" x14ac:dyDescent="0.25">
      <c r="A3659" s="2" t="s">
        <v>3369</v>
      </c>
      <c r="B3659" s="7">
        <v>32519322</v>
      </c>
      <c r="C3659" s="7">
        <v>35000000</v>
      </c>
      <c r="D3659" s="7">
        <f t="shared" si="58"/>
        <v>-2480678</v>
      </c>
    </row>
    <row r="3660" spans="1:4" ht="18" customHeight="1" x14ac:dyDescent="0.25">
      <c r="A3660" s="2" t="s">
        <v>3013</v>
      </c>
      <c r="B3660" s="7">
        <v>40158000</v>
      </c>
      <c r="C3660" s="7">
        <v>7000000</v>
      </c>
      <c r="D3660" s="7">
        <f t="shared" si="58"/>
        <v>33158000</v>
      </c>
    </row>
    <row r="3661" spans="1:4" ht="18" customHeight="1" x14ac:dyDescent="0.25">
      <c r="A3661" s="2" t="s">
        <v>392</v>
      </c>
      <c r="B3661" s="7">
        <v>82226474</v>
      </c>
      <c r="C3661" s="7">
        <v>65000000</v>
      </c>
      <c r="D3661" s="7">
        <f t="shared" si="58"/>
        <v>17226474</v>
      </c>
    </row>
    <row r="3662" spans="1:4" ht="18" customHeight="1" x14ac:dyDescent="0.25">
      <c r="A3662" s="2" t="s">
        <v>5473</v>
      </c>
      <c r="B3662" s="7">
        <v>2956000</v>
      </c>
      <c r="C3662" s="7">
        <v>3700000</v>
      </c>
      <c r="D3662" s="7">
        <f t="shared" si="58"/>
        <v>-744000</v>
      </c>
    </row>
    <row r="3663" spans="1:4" ht="18" customHeight="1" x14ac:dyDescent="0.25">
      <c r="A3663" s="2" t="s">
        <v>4541</v>
      </c>
      <c r="B3663" s="7">
        <v>12701880</v>
      </c>
      <c r="C3663" s="7">
        <v>15000000</v>
      </c>
      <c r="D3663" s="7">
        <f t="shared" si="58"/>
        <v>-2298120</v>
      </c>
    </row>
    <row r="3664" spans="1:4" ht="18" customHeight="1" x14ac:dyDescent="0.25">
      <c r="A3664" s="2" t="s">
        <v>3454</v>
      </c>
      <c r="B3664" s="7">
        <v>31051126</v>
      </c>
      <c r="C3664" s="7">
        <v>55000000</v>
      </c>
      <c r="D3664" s="7">
        <f t="shared" si="58"/>
        <v>-23948874</v>
      </c>
    </row>
    <row r="3665" spans="1:4" ht="18" customHeight="1" x14ac:dyDescent="0.25">
      <c r="A3665" s="2" t="s">
        <v>3930</v>
      </c>
      <c r="B3665" s="7">
        <v>21383298</v>
      </c>
      <c r="C3665" s="7">
        <v>15000000</v>
      </c>
      <c r="D3665" s="7">
        <f t="shared" si="58"/>
        <v>6383298</v>
      </c>
    </row>
    <row r="3666" spans="1:4" ht="18" customHeight="1" x14ac:dyDescent="0.25">
      <c r="A3666" s="2" t="s">
        <v>1362</v>
      </c>
      <c r="B3666" s="7">
        <v>48334413</v>
      </c>
      <c r="C3666" s="7">
        <v>39751583.5</v>
      </c>
      <c r="D3666" s="7">
        <f t="shared" si="58"/>
        <v>8582829.5</v>
      </c>
    </row>
    <row r="3667" spans="1:4" ht="18" customHeight="1" x14ac:dyDescent="0.25">
      <c r="A3667" s="2" t="s">
        <v>3842</v>
      </c>
      <c r="B3667" s="7">
        <v>23031390</v>
      </c>
      <c r="C3667" s="7">
        <v>4500000</v>
      </c>
      <c r="D3667" s="7">
        <f t="shared" si="58"/>
        <v>18531390</v>
      </c>
    </row>
    <row r="3668" spans="1:4" ht="18" customHeight="1" x14ac:dyDescent="0.25">
      <c r="A3668" s="2" t="s">
        <v>4024</v>
      </c>
      <c r="B3668" s="7">
        <v>19719930</v>
      </c>
      <c r="C3668" s="7">
        <v>45000000</v>
      </c>
      <c r="D3668" s="7">
        <f t="shared" si="58"/>
        <v>-25280070</v>
      </c>
    </row>
    <row r="3669" spans="1:4" ht="18" customHeight="1" x14ac:dyDescent="0.25">
      <c r="A3669" s="2" t="s">
        <v>1495</v>
      </c>
      <c r="B3669" s="7">
        <v>48334413</v>
      </c>
      <c r="C3669" s="7">
        <v>39751583.5</v>
      </c>
      <c r="D3669" s="7">
        <f t="shared" si="58"/>
        <v>8582829.5</v>
      </c>
    </row>
    <row r="3670" spans="1:4" ht="18" customHeight="1" x14ac:dyDescent="0.25">
      <c r="A3670" s="2" t="s">
        <v>1184</v>
      </c>
      <c r="B3670" s="7">
        <v>49122319</v>
      </c>
      <c r="C3670" s="7">
        <v>14000000</v>
      </c>
      <c r="D3670" s="7">
        <f t="shared" si="58"/>
        <v>35122319</v>
      </c>
    </row>
    <row r="3671" spans="1:4" ht="18" customHeight="1" x14ac:dyDescent="0.25">
      <c r="A3671" s="2" t="s">
        <v>1780</v>
      </c>
      <c r="B3671" s="7">
        <v>48334413</v>
      </c>
      <c r="C3671" s="7">
        <v>12000000</v>
      </c>
      <c r="D3671" s="7">
        <f t="shared" si="58"/>
        <v>36334413</v>
      </c>
    </row>
    <row r="3672" spans="1:4" ht="18" customHeight="1" x14ac:dyDescent="0.25">
      <c r="A3672" s="2" t="s">
        <v>4153</v>
      </c>
      <c r="B3672" s="7">
        <v>17593391</v>
      </c>
      <c r="C3672" s="7">
        <v>80000000</v>
      </c>
      <c r="D3672" s="7">
        <f t="shared" si="58"/>
        <v>-62406609</v>
      </c>
    </row>
    <row r="3673" spans="1:4" ht="18" customHeight="1" x14ac:dyDescent="0.25">
      <c r="A3673" s="2" t="s">
        <v>1285</v>
      </c>
      <c r="B3673" s="7">
        <v>48334413</v>
      </c>
      <c r="C3673" s="7">
        <v>39751583.5</v>
      </c>
      <c r="D3673" s="7">
        <f t="shared" si="58"/>
        <v>8582829.5</v>
      </c>
    </row>
    <row r="3674" spans="1:4" ht="18" customHeight="1" x14ac:dyDescent="0.25">
      <c r="A3674" s="2" t="s">
        <v>1037</v>
      </c>
      <c r="B3674" s="7">
        <v>53082743</v>
      </c>
      <c r="C3674" s="7">
        <v>40000000</v>
      </c>
      <c r="D3674" s="7">
        <f t="shared" si="58"/>
        <v>13082743</v>
      </c>
    </row>
    <row r="3675" spans="1:4" ht="18" customHeight="1" x14ac:dyDescent="0.25">
      <c r="A3675" s="2" t="s">
        <v>3575</v>
      </c>
      <c r="B3675" s="7">
        <v>28165882</v>
      </c>
      <c r="C3675" s="7">
        <v>39751583.5</v>
      </c>
      <c r="D3675" s="7">
        <f t="shared" si="58"/>
        <v>-11585701.5</v>
      </c>
    </row>
    <row r="3676" spans="1:4" ht="18" customHeight="1" x14ac:dyDescent="0.25">
      <c r="A3676" s="2" t="s">
        <v>153</v>
      </c>
      <c r="B3676" s="7">
        <v>101217900</v>
      </c>
      <c r="C3676" s="7">
        <v>70000000</v>
      </c>
      <c r="D3676" s="7">
        <f t="shared" si="58"/>
        <v>31217900</v>
      </c>
    </row>
    <row r="3677" spans="1:4" ht="18" customHeight="1" x14ac:dyDescent="0.25">
      <c r="A3677" s="2" t="s">
        <v>535</v>
      </c>
      <c r="B3677" s="7">
        <v>74787599</v>
      </c>
      <c r="C3677" s="7">
        <v>30000000</v>
      </c>
      <c r="D3677" s="7">
        <f t="shared" si="58"/>
        <v>44787599</v>
      </c>
    </row>
    <row r="3678" spans="1:4" ht="18" customHeight="1" x14ac:dyDescent="0.25">
      <c r="A3678" s="2" t="s">
        <v>1710</v>
      </c>
      <c r="B3678" s="7">
        <v>48334413</v>
      </c>
      <c r="C3678" s="7">
        <v>18000000</v>
      </c>
      <c r="D3678" s="7">
        <f t="shared" si="58"/>
        <v>30334413</v>
      </c>
    </row>
    <row r="3679" spans="1:4" ht="18" customHeight="1" x14ac:dyDescent="0.25">
      <c r="A3679" s="2" t="s">
        <v>5919</v>
      </c>
      <c r="B3679" s="7">
        <v>669276</v>
      </c>
      <c r="C3679" s="7">
        <v>28000000</v>
      </c>
      <c r="D3679" s="7">
        <f t="shared" si="58"/>
        <v>-27330724</v>
      </c>
    </row>
    <row r="3680" spans="1:4" ht="18" customHeight="1" x14ac:dyDescent="0.25">
      <c r="A3680" s="2" t="s">
        <v>3461</v>
      </c>
      <c r="B3680" s="7">
        <v>30857814</v>
      </c>
      <c r="C3680" s="7">
        <v>16000000</v>
      </c>
      <c r="D3680" s="7">
        <f t="shared" si="58"/>
        <v>14857814</v>
      </c>
    </row>
    <row r="3681" spans="1:4" ht="18" customHeight="1" x14ac:dyDescent="0.25">
      <c r="A3681" s="2" t="s">
        <v>205</v>
      </c>
      <c r="B3681" s="7">
        <v>95149435</v>
      </c>
      <c r="C3681" s="7">
        <v>40000000</v>
      </c>
      <c r="D3681" s="7">
        <f t="shared" si="58"/>
        <v>55149435</v>
      </c>
    </row>
    <row r="3682" spans="1:4" ht="18" customHeight="1" x14ac:dyDescent="0.25">
      <c r="A3682" s="2" t="s">
        <v>56</v>
      </c>
      <c r="B3682" s="7">
        <v>108244774</v>
      </c>
      <c r="C3682" s="7">
        <v>37000000</v>
      </c>
      <c r="D3682" s="7">
        <f t="shared" si="58"/>
        <v>71244774</v>
      </c>
    </row>
    <row r="3683" spans="1:4" ht="18" customHeight="1" x14ac:dyDescent="0.25">
      <c r="A3683" s="2" t="s">
        <v>1336</v>
      </c>
      <c r="B3683" s="7">
        <v>48334413</v>
      </c>
      <c r="C3683" s="7">
        <v>39751583.5</v>
      </c>
      <c r="D3683" s="7">
        <f t="shared" si="58"/>
        <v>8582829.5</v>
      </c>
    </row>
    <row r="3684" spans="1:4" ht="18" customHeight="1" x14ac:dyDescent="0.25">
      <c r="A3684" s="2" t="s">
        <v>4044</v>
      </c>
      <c r="B3684" s="7">
        <v>19377727</v>
      </c>
      <c r="C3684" s="7">
        <v>45000000</v>
      </c>
      <c r="D3684" s="7">
        <f t="shared" si="58"/>
        <v>-25622273</v>
      </c>
    </row>
    <row r="3685" spans="1:4" ht="18" customHeight="1" x14ac:dyDescent="0.25">
      <c r="A3685" s="2" t="s">
        <v>5921</v>
      </c>
      <c r="B3685" s="7">
        <v>668171</v>
      </c>
      <c r="C3685" s="7">
        <v>60000000</v>
      </c>
      <c r="D3685" s="7">
        <f t="shared" si="58"/>
        <v>-59331829</v>
      </c>
    </row>
    <row r="3686" spans="1:4" ht="18" customHeight="1" x14ac:dyDescent="0.25">
      <c r="A3686" s="2" t="s">
        <v>4263</v>
      </c>
      <c r="B3686" s="7">
        <v>16115878</v>
      </c>
      <c r="C3686" s="7">
        <v>8000000</v>
      </c>
      <c r="D3686" s="7">
        <f t="shared" si="58"/>
        <v>8115878</v>
      </c>
    </row>
    <row r="3687" spans="1:4" ht="18" customHeight="1" x14ac:dyDescent="0.25">
      <c r="A3687" s="2" t="s">
        <v>5640</v>
      </c>
      <c r="B3687" s="7">
        <v>1900725</v>
      </c>
      <c r="C3687" s="7">
        <v>2000000</v>
      </c>
      <c r="D3687" s="7">
        <f t="shared" si="58"/>
        <v>-99275</v>
      </c>
    </row>
    <row r="3688" spans="1:4" ht="18" customHeight="1" x14ac:dyDescent="0.25">
      <c r="A3688" s="2" t="s">
        <v>6236</v>
      </c>
      <c r="B3688" s="7">
        <v>192467</v>
      </c>
      <c r="C3688" s="7">
        <v>15000</v>
      </c>
      <c r="D3688" s="7">
        <f t="shared" si="58"/>
        <v>177467</v>
      </c>
    </row>
    <row r="3689" spans="1:4" ht="18" customHeight="1" x14ac:dyDescent="0.25">
      <c r="A3689" s="2" t="s">
        <v>3308</v>
      </c>
      <c r="B3689" s="7">
        <v>33682273</v>
      </c>
      <c r="C3689" s="7">
        <v>33000000</v>
      </c>
      <c r="D3689" s="7">
        <f t="shared" si="58"/>
        <v>682273</v>
      </c>
    </row>
    <row r="3690" spans="1:4" ht="18" customHeight="1" x14ac:dyDescent="0.25">
      <c r="A3690" s="2" t="s">
        <v>589</v>
      </c>
      <c r="B3690" s="7">
        <v>71519230</v>
      </c>
      <c r="C3690" s="7">
        <v>9000000</v>
      </c>
      <c r="D3690" s="7">
        <f t="shared" si="58"/>
        <v>62519230</v>
      </c>
    </row>
    <row r="3691" spans="1:4" ht="18" customHeight="1" x14ac:dyDescent="0.25">
      <c r="A3691" s="2" t="s">
        <v>459</v>
      </c>
      <c r="B3691" s="7">
        <v>78845130</v>
      </c>
      <c r="C3691" s="7">
        <v>10000000</v>
      </c>
      <c r="D3691" s="7">
        <f t="shared" si="58"/>
        <v>68845130</v>
      </c>
    </row>
    <row r="3692" spans="1:4" ht="18" customHeight="1" x14ac:dyDescent="0.25">
      <c r="A3692" s="2" t="s">
        <v>736</v>
      </c>
      <c r="B3692" s="7">
        <v>64423650</v>
      </c>
      <c r="C3692" s="7">
        <v>3000000</v>
      </c>
      <c r="D3692" s="7">
        <f t="shared" si="58"/>
        <v>61423650</v>
      </c>
    </row>
    <row r="3693" spans="1:4" ht="18" customHeight="1" x14ac:dyDescent="0.25">
      <c r="A3693" s="2" t="s">
        <v>1782</v>
      </c>
      <c r="B3693" s="7">
        <v>48334413</v>
      </c>
      <c r="C3693" s="7">
        <v>12000000</v>
      </c>
      <c r="D3693" s="7">
        <f t="shared" si="58"/>
        <v>36334413</v>
      </c>
    </row>
    <row r="3694" spans="1:4" ht="18" customHeight="1" x14ac:dyDescent="0.25">
      <c r="A3694" s="2" t="s">
        <v>933</v>
      </c>
      <c r="B3694" s="7">
        <v>56437947</v>
      </c>
      <c r="C3694" s="7">
        <v>9800000</v>
      </c>
      <c r="D3694" s="7">
        <f t="shared" si="58"/>
        <v>46637947</v>
      </c>
    </row>
    <row r="3695" spans="1:4" ht="18" customHeight="1" x14ac:dyDescent="0.25">
      <c r="A3695" s="2" t="s">
        <v>4089</v>
      </c>
      <c r="B3695" s="7">
        <v>18636537</v>
      </c>
      <c r="C3695" s="7">
        <v>32000000</v>
      </c>
      <c r="D3695" s="7">
        <f t="shared" si="58"/>
        <v>-13363463</v>
      </c>
    </row>
    <row r="3696" spans="1:4" ht="18" customHeight="1" x14ac:dyDescent="0.25">
      <c r="A3696" s="2" t="s">
        <v>4520</v>
      </c>
      <c r="B3696" s="7">
        <v>12987647</v>
      </c>
      <c r="C3696" s="7">
        <v>30000000</v>
      </c>
      <c r="D3696" s="7">
        <f t="shared" si="58"/>
        <v>-17012353</v>
      </c>
    </row>
    <row r="3697" spans="1:4" ht="18" customHeight="1" x14ac:dyDescent="0.25">
      <c r="A3697" s="2" t="s">
        <v>6076</v>
      </c>
      <c r="B3697" s="7">
        <v>381186</v>
      </c>
      <c r="C3697" s="7">
        <v>900000</v>
      </c>
      <c r="D3697" s="7">
        <f t="shared" si="58"/>
        <v>-518814</v>
      </c>
    </row>
    <row r="3698" spans="1:4" ht="18" customHeight="1" x14ac:dyDescent="0.25">
      <c r="A3698" s="2" t="s">
        <v>5778</v>
      </c>
      <c r="B3698" s="7">
        <v>1111615</v>
      </c>
      <c r="C3698" s="7">
        <v>500000</v>
      </c>
      <c r="D3698" s="7">
        <f t="shared" si="58"/>
        <v>611615</v>
      </c>
    </row>
    <row r="3699" spans="1:4" ht="18" customHeight="1" x14ac:dyDescent="0.25">
      <c r="A3699" s="2" t="s">
        <v>4139</v>
      </c>
      <c r="B3699" s="7">
        <v>17757087</v>
      </c>
      <c r="C3699" s="7">
        <v>21000000</v>
      </c>
      <c r="D3699" s="7">
        <f t="shared" si="58"/>
        <v>-3242913</v>
      </c>
    </row>
    <row r="3700" spans="1:4" ht="18" customHeight="1" x14ac:dyDescent="0.25">
      <c r="A3700" s="2" t="s">
        <v>5299</v>
      </c>
      <c r="B3700" s="7">
        <v>4105123</v>
      </c>
      <c r="C3700" s="7">
        <v>1100000</v>
      </c>
      <c r="D3700" s="7">
        <f t="shared" si="58"/>
        <v>3005123</v>
      </c>
    </row>
    <row r="3701" spans="1:4" ht="18" customHeight="1" x14ac:dyDescent="0.25">
      <c r="A3701" s="2" t="s">
        <v>5250</v>
      </c>
      <c r="B3701" s="7">
        <v>4435083</v>
      </c>
      <c r="C3701" s="7">
        <v>18000000</v>
      </c>
      <c r="D3701" s="7">
        <f t="shared" si="58"/>
        <v>-13564917</v>
      </c>
    </row>
    <row r="3702" spans="1:4" ht="18" customHeight="1" x14ac:dyDescent="0.25">
      <c r="A3702" s="2" t="s">
        <v>2820</v>
      </c>
      <c r="B3702" s="7">
        <v>45856732</v>
      </c>
      <c r="C3702" s="7">
        <v>40000000</v>
      </c>
      <c r="D3702" s="7">
        <f t="shared" si="58"/>
        <v>5856732</v>
      </c>
    </row>
    <row r="3703" spans="1:4" ht="18" customHeight="1" x14ac:dyDescent="0.25">
      <c r="A3703" s="2" t="s">
        <v>4275</v>
      </c>
      <c r="B3703" s="7">
        <v>16005978</v>
      </c>
      <c r="C3703" s="7">
        <v>26000000</v>
      </c>
      <c r="D3703" s="7">
        <f t="shared" si="58"/>
        <v>-9994022</v>
      </c>
    </row>
    <row r="3704" spans="1:4" ht="18" customHeight="1" x14ac:dyDescent="0.25">
      <c r="A3704" s="2" t="s">
        <v>3286</v>
      </c>
      <c r="B3704" s="7">
        <v>34180954</v>
      </c>
      <c r="C3704" s="7">
        <v>32000000</v>
      </c>
      <c r="D3704" s="7">
        <f t="shared" si="58"/>
        <v>2180954</v>
      </c>
    </row>
    <row r="3705" spans="1:4" ht="18" customHeight="1" x14ac:dyDescent="0.25">
      <c r="A3705" s="2" t="s">
        <v>5355</v>
      </c>
      <c r="B3705" s="7">
        <v>3713002</v>
      </c>
      <c r="C3705" s="7">
        <v>8000000</v>
      </c>
      <c r="D3705" s="7">
        <f t="shared" si="58"/>
        <v>-4286998</v>
      </c>
    </row>
    <row r="3706" spans="1:4" ht="18" customHeight="1" x14ac:dyDescent="0.25">
      <c r="A3706" s="2" t="s">
        <v>3750</v>
      </c>
      <c r="B3706" s="7">
        <v>25117498</v>
      </c>
      <c r="C3706" s="7">
        <v>40000000</v>
      </c>
      <c r="D3706" s="7">
        <f t="shared" si="58"/>
        <v>-14882502</v>
      </c>
    </row>
    <row r="3707" spans="1:4" ht="18" customHeight="1" x14ac:dyDescent="0.25">
      <c r="A3707" s="2" t="s">
        <v>4773</v>
      </c>
      <c r="B3707" s="7">
        <v>9473382</v>
      </c>
      <c r="C3707" s="7">
        <v>10000000</v>
      </c>
      <c r="D3707" s="7">
        <f t="shared" si="58"/>
        <v>-526618</v>
      </c>
    </row>
    <row r="3708" spans="1:4" ht="18" customHeight="1" x14ac:dyDescent="0.25">
      <c r="A3708" s="2" t="s">
        <v>1348</v>
      </c>
      <c r="B3708" s="7">
        <v>48334413</v>
      </c>
      <c r="C3708" s="7">
        <v>39751583.5</v>
      </c>
      <c r="D3708" s="7">
        <f t="shared" si="58"/>
        <v>8582829.5</v>
      </c>
    </row>
    <row r="3709" spans="1:4" ht="18" customHeight="1" x14ac:dyDescent="0.25">
      <c r="A3709" s="2" t="s">
        <v>3296</v>
      </c>
      <c r="B3709" s="7">
        <v>33927476</v>
      </c>
      <c r="C3709" s="7">
        <v>40000000</v>
      </c>
      <c r="D3709" s="7">
        <f t="shared" si="58"/>
        <v>-6072524</v>
      </c>
    </row>
    <row r="3710" spans="1:4" ht="18" customHeight="1" x14ac:dyDescent="0.25">
      <c r="A3710" s="2" t="s">
        <v>3845</v>
      </c>
      <c r="B3710" s="7">
        <v>22954968</v>
      </c>
      <c r="C3710" s="7">
        <v>11500000</v>
      </c>
      <c r="D3710" s="7">
        <f t="shared" si="58"/>
        <v>11454968</v>
      </c>
    </row>
    <row r="3711" spans="1:4" ht="18" customHeight="1" x14ac:dyDescent="0.25">
      <c r="A3711" s="2" t="s">
        <v>4071</v>
      </c>
      <c r="B3711" s="7">
        <v>18967571</v>
      </c>
      <c r="C3711" s="7">
        <v>30000000</v>
      </c>
      <c r="D3711" s="7">
        <f t="shared" si="58"/>
        <v>-11032429</v>
      </c>
    </row>
    <row r="3712" spans="1:4" ht="18" customHeight="1" x14ac:dyDescent="0.25">
      <c r="A3712" s="2" t="s">
        <v>2853</v>
      </c>
      <c r="B3712" s="7">
        <v>44737059</v>
      </c>
      <c r="C3712" s="7">
        <v>50000000</v>
      </c>
      <c r="D3712" s="7">
        <f t="shared" si="58"/>
        <v>-5262941</v>
      </c>
    </row>
    <row r="3713" spans="1:4" ht="18" customHeight="1" x14ac:dyDescent="0.25">
      <c r="A3713" s="2" t="s">
        <v>2057</v>
      </c>
      <c r="B3713" s="7">
        <v>96668826</v>
      </c>
      <c r="C3713" s="7">
        <v>8000000</v>
      </c>
      <c r="D3713" s="7">
        <f t="shared" si="58"/>
        <v>88668826</v>
      </c>
    </row>
    <row r="3714" spans="1:4" ht="18" customHeight="1" x14ac:dyDescent="0.25">
      <c r="A3714" s="2" t="s">
        <v>1982</v>
      </c>
      <c r="B3714" s="7">
        <v>48334413</v>
      </c>
      <c r="C3714" s="7">
        <v>5000000</v>
      </c>
      <c r="D3714" s="7">
        <f t="shared" si="58"/>
        <v>43334413</v>
      </c>
    </row>
    <row r="3715" spans="1:4" ht="18" customHeight="1" x14ac:dyDescent="0.25">
      <c r="A3715" s="2" t="s">
        <v>6006</v>
      </c>
      <c r="B3715" s="7">
        <v>502028</v>
      </c>
      <c r="C3715" s="7">
        <v>39751583.5</v>
      </c>
      <c r="D3715" s="7">
        <f t="shared" si="58"/>
        <v>-39249555.5</v>
      </c>
    </row>
    <row r="3716" spans="1:4" ht="18" customHeight="1" x14ac:dyDescent="0.25">
      <c r="A3716" s="2" t="s">
        <v>1257</v>
      </c>
      <c r="B3716" s="7">
        <v>48334413</v>
      </c>
      <c r="C3716" s="7">
        <v>39751583.5</v>
      </c>
      <c r="D3716" s="7">
        <f t="shared" si="58"/>
        <v>8582829.5</v>
      </c>
    </row>
    <row r="3717" spans="1:4" ht="18" customHeight="1" x14ac:dyDescent="0.25">
      <c r="A3717" s="2" t="s">
        <v>2731</v>
      </c>
      <c r="B3717" s="7">
        <v>48334413</v>
      </c>
      <c r="C3717" s="7">
        <v>17350</v>
      </c>
      <c r="D3717" s="7">
        <f t="shared" ref="D3717:D3780" si="59">B3717-C3717</f>
        <v>48317063</v>
      </c>
    </row>
    <row r="3718" spans="1:4" ht="18" customHeight="1" x14ac:dyDescent="0.25">
      <c r="A3718" s="2" t="s">
        <v>1249</v>
      </c>
      <c r="B3718" s="7">
        <v>48334413</v>
      </c>
      <c r="C3718" s="7">
        <v>39751583.5</v>
      </c>
      <c r="D3718" s="7">
        <f t="shared" si="59"/>
        <v>8582829.5</v>
      </c>
    </row>
    <row r="3719" spans="1:4" ht="18" customHeight="1" x14ac:dyDescent="0.25">
      <c r="A3719" s="2" t="s">
        <v>3918</v>
      </c>
      <c r="B3719" s="7">
        <v>21500000</v>
      </c>
      <c r="C3719" s="7">
        <v>27000000</v>
      </c>
      <c r="D3719" s="7">
        <f t="shared" si="59"/>
        <v>-5500000</v>
      </c>
    </row>
    <row r="3720" spans="1:4" ht="18" customHeight="1" x14ac:dyDescent="0.25">
      <c r="A3720" s="2" t="s">
        <v>498</v>
      </c>
      <c r="B3720" s="7">
        <v>75888270</v>
      </c>
      <c r="C3720" s="7">
        <v>39751583.5</v>
      </c>
      <c r="D3720" s="7">
        <f t="shared" si="59"/>
        <v>36136686.5</v>
      </c>
    </row>
    <row r="3721" spans="1:4" ht="18" customHeight="1" x14ac:dyDescent="0.25">
      <c r="A3721" s="2" t="s">
        <v>2221</v>
      </c>
      <c r="B3721" s="7">
        <v>48334413</v>
      </c>
      <c r="C3721" s="7">
        <v>2500000</v>
      </c>
      <c r="D3721" s="7">
        <f t="shared" si="59"/>
        <v>45834413</v>
      </c>
    </row>
    <row r="3722" spans="1:4" ht="18" customHeight="1" x14ac:dyDescent="0.25">
      <c r="A3722" s="2" t="s">
        <v>3343</v>
      </c>
      <c r="B3722" s="7">
        <v>33037754</v>
      </c>
      <c r="C3722" s="7">
        <v>37000000</v>
      </c>
      <c r="D3722" s="7">
        <f t="shared" si="59"/>
        <v>-3962246</v>
      </c>
    </row>
    <row r="3723" spans="1:4" ht="18" customHeight="1" x14ac:dyDescent="0.25">
      <c r="A3723" s="2" t="s">
        <v>2796</v>
      </c>
      <c r="B3723" s="7">
        <v>46815748</v>
      </c>
      <c r="C3723" s="7">
        <v>45000000</v>
      </c>
      <c r="D3723" s="7">
        <f t="shared" si="59"/>
        <v>1815748</v>
      </c>
    </row>
    <row r="3724" spans="1:4" ht="18" customHeight="1" x14ac:dyDescent="0.25">
      <c r="A3724" s="2" t="s">
        <v>6477</v>
      </c>
      <c r="B3724" s="7">
        <v>56692</v>
      </c>
      <c r="C3724" s="7">
        <v>25000000</v>
      </c>
      <c r="D3724" s="7">
        <f t="shared" si="59"/>
        <v>-24943308</v>
      </c>
    </row>
    <row r="3725" spans="1:4" ht="18" customHeight="1" x14ac:dyDescent="0.25">
      <c r="A3725" s="2" t="s">
        <v>3202</v>
      </c>
      <c r="B3725" s="7">
        <v>36000000</v>
      </c>
      <c r="C3725" s="7">
        <v>5000000</v>
      </c>
      <c r="D3725" s="7">
        <f t="shared" si="59"/>
        <v>31000000</v>
      </c>
    </row>
    <row r="3726" spans="1:4" ht="18" customHeight="1" x14ac:dyDescent="0.25">
      <c r="A3726" s="2" t="s">
        <v>5034</v>
      </c>
      <c r="B3726" s="7">
        <v>6409206</v>
      </c>
      <c r="C3726" s="7">
        <v>15000000</v>
      </c>
      <c r="D3726" s="7">
        <f t="shared" si="59"/>
        <v>-8590794</v>
      </c>
    </row>
    <row r="3727" spans="1:4" ht="18" customHeight="1" x14ac:dyDescent="0.25">
      <c r="A3727" s="2" t="s">
        <v>1912</v>
      </c>
      <c r="B3727" s="7">
        <v>48334413</v>
      </c>
      <c r="C3727" s="7">
        <v>8000000</v>
      </c>
      <c r="D3727" s="7">
        <f t="shared" si="59"/>
        <v>40334413</v>
      </c>
    </row>
    <row r="3728" spans="1:4" ht="18" customHeight="1" x14ac:dyDescent="0.25">
      <c r="A3728" s="2" t="s">
        <v>514</v>
      </c>
      <c r="B3728" s="7">
        <v>75597042</v>
      </c>
      <c r="C3728" s="7">
        <v>20000000</v>
      </c>
      <c r="D3728" s="7">
        <f t="shared" si="59"/>
        <v>55597042</v>
      </c>
    </row>
    <row r="3729" spans="1:4" ht="18" customHeight="1" x14ac:dyDescent="0.25">
      <c r="A3729" s="2" t="s">
        <v>3151</v>
      </c>
      <c r="B3729" s="7">
        <v>37300107</v>
      </c>
      <c r="C3729" s="7">
        <v>16000000</v>
      </c>
      <c r="D3729" s="7">
        <f t="shared" si="59"/>
        <v>21300107</v>
      </c>
    </row>
    <row r="3730" spans="1:4" ht="18" customHeight="1" x14ac:dyDescent="0.25">
      <c r="A3730" s="2" t="s">
        <v>3531</v>
      </c>
      <c r="B3730" s="7">
        <v>29200000</v>
      </c>
      <c r="C3730" s="7">
        <v>8500000</v>
      </c>
      <c r="D3730" s="7">
        <f t="shared" si="59"/>
        <v>20700000</v>
      </c>
    </row>
    <row r="3731" spans="1:4" ht="18" customHeight="1" x14ac:dyDescent="0.25">
      <c r="A3731" s="2" t="s">
        <v>1058</v>
      </c>
      <c r="B3731" s="7">
        <v>52353636</v>
      </c>
      <c r="C3731" s="7">
        <v>21000000</v>
      </c>
      <c r="D3731" s="7">
        <f t="shared" si="59"/>
        <v>31353636</v>
      </c>
    </row>
    <row r="3732" spans="1:4" ht="18" customHeight="1" x14ac:dyDescent="0.25">
      <c r="A3732" s="2" t="s">
        <v>167</v>
      </c>
      <c r="B3732" s="7">
        <v>100491683</v>
      </c>
      <c r="C3732" s="7">
        <v>24000000</v>
      </c>
      <c r="D3732" s="7">
        <f t="shared" si="59"/>
        <v>76491683</v>
      </c>
    </row>
    <row r="3733" spans="1:4" ht="18" customHeight="1" x14ac:dyDescent="0.25">
      <c r="A3733" s="2" t="s">
        <v>4168</v>
      </c>
      <c r="B3733" s="7">
        <v>17427926</v>
      </c>
      <c r="C3733" s="7">
        <v>8000000</v>
      </c>
      <c r="D3733" s="7">
        <f t="shared" si="59"/>
        <v>9427926</v>
      </c>
    </row>
    <row r="3734" spans="1:4" ht="18" customHeight="1" x14ac:dyDescent="0.25">
      <c r="A3734" s="2" t="s">
        <v>5018</v>
      </c>
      <c r="B3734" s="7">
        <v>6525762</v>
      </c>
      <c r="C3734" s="7">
        <v>4000000</v>
      </c>
      <c r="D3734" s="7">
        <f t="shared" si="59"/>
        <v>2525762</v>
      </c>
    </row>
    <row r="3735" spans="1:4" ht="18" customHeight="1" x14ac:dyDescent="0.25">
      <c r="A3735" s="2" t="s">
        <v>5368</v>
      </c>
      <c r="B3735" s="7">
        <v>3571735</v>
      </c>
      <c r="C3735" s="7">
        <v>10000000</v>
      </c>
      <c r="D3735" s="7">
        <f t="shared" si="59"/>
        <v>-6428265</v>
      </c>
    </row>
    <row r="3736" spans="1:4" ht="18" customHeight="1" x14ac:dyDescent="0.25">
      <c r="A3736" s="2" t="s">
        <v>2770</v>
      </c>
      <c r="B3736" s="7">
        <v>47592825</v>
      </c>
      <c r="C3736" s="7">
        <v>85000000</v>
      </c>
      <c r="D3736" s="7">
        <f t="shared" si="59"/>
        <v>-37407175</v>
      </c>
    </row>
    <row r="3737" spans="1:4" ht="18" customHeight="1" x14ac:dyDescent="0.25">
      <c r="A3737" s="2" t="s">
        <v>3096</v>
      </c>
      <c r="B3737" s="7">
        <v>38122105</v>
      </c>
      <c r="C3737" s="7">
        <v>27000000</v>
      </c>
      <c r="D3737" s="7">
        <f t="shared" si="59"/>
        <v>11122105</v>
      </c>
    </row>
    <row r="3738" spans="1:4" ht="18" customHeight="1" x14ac:dyDescent="0.25">
      <c r="A3738" s="2" t="s">
        <v>797</v>
      </c>
      <c r="B3738" s="7">
        <v>61355436</v>
      </c>
      <c r="C3738" s="7">
        <v>68000000</v>
      </c>
      <c r="D3738" s="7">
        <f t="shared" si="59"/>
        <v>-6644564</v>
      </c>
    </row>
    <row r="3739" spans="1:4" ht="18" customHeight="1" x14ac:dyDescent="0.25">
      <c r="A3739" s="2" t="s">
        <v>6414</v>
      </c>
      <c r="B3739" s="7">
        <v>92362</v>
      </c>
      <c r="C3739" s="7">
        <v>1500000</v>
      </c>
      <c r="D3739" s="7">
        <f t="shared" si="59"/>
        <v>-1407638</v>
      </c>
    </row>
    <row r="3740" spans="1:4" ht="18" customHeight="1" x14ac:dyDescent="0.25">
      <c r="A3740" s="2" t="s">
        <v>5914</v>
      </c>
      <c r="B3740" s="7">
        <v>676698</v>
      </c>
      <c r="C3740" s="7">
        <v>18000000</v>
      </c>
      <c r="D3740" s="7">
        <f t="shared" si="59"/>
        <v>-17323302</v>
      </c>
    </row>
    <row r="3741" spans="1:4" ht="18" customHeight="1" x14ac:dyDescent="0.25">
      <c r="A3741" s="2" t="s">
        <v>5006</v>
      </c>
      <c r="B3741" s="7">
        <v>6610326</v>
      </c>
      <c r="C3741" s="7">
        <v>39751583.5</v>
      </c>
      <c r="D3741" s="7">
        <f t="shared" si="59"/>
        <v>-33141257.5</v>
      </c>
    </row>
    <row r="3742" spans="1:4" ht="18" customHeight="1" x14ac:dyDescent="0.25">
      <c r="A3742" s="2" t="s">
        <v>4703</v>
      </c>
      <c r="B3742" s="7">
        <v>10400000</v>
      </c>
      <c r="C3742" s="7">
        <v>50000000</v>
      </c>
      <c r="D3742" s="7">
        <f t="shared" si="59"/>
        <v>-39600000</v>
      </c>
    </row>
    <row r="3743" spans="1:4" ht="18" customHeight="1" x14ac:dyDescent="0.25">
      <c r="A3743" s="2" t="s">
        <v>395</v>
      </c>
      <c r="B3743" s="7">
        <v>81687587</v>
      </c>
      <c r="C3743" s="7">
        <v>61000000</v>
      </c>
      <c r="D3743" s="7">
        <f t="shared" si="59"/>
        <v>20687587</v>
      </c>
    </row>
    <row r="3744" spans="1:4" ht="18" customHeight="1" x14ac:dyDescent="0.25">
      <c r="A3744" s="2" t="s">
        <v>602</v>
      </c>
      <c r="B3744" s="7">
        <v>71069884</v>
      </c>
      <c r="C3744" s="7">
        <v>68000000</v>
      </c>
      <c r="D3744" s="7">
        <f t="shared" si="59"/>
        <v>3069884</v>
      </c>
    </row>
    <row r="3745" spans="1:4" ht="18" customHeight="1" x14ac:dyDescent="0.25">
      <c r="A3745" s="2" t="s">
        <v>288</v>
      </c>
      <c r="B3745" s="7">
        <v>90341670</v>
      </c>
      <c r="C3745" s="7">
        <v>60000000</v>
      </c>
      <c r="D3745" s="7">
        <f t="shared" si="59"/>
        <v>30341670</v>
      </c>
    </row>
    <row r="3746" spans="1:4" ht="18" customHeight="1" x14ac:dyDescent="0.25">
      <c r="A3746" s="2" t="s">
        <v>5604</v>
      </c>
      <c r="B3746" s="7">
        <v>2086345</v>
      </c>
      <c r="C3746" s="7">
        <v>10000000</v>
      </c>
      <c r="D3746" s="7">
        <f t="shared" si="59"/>
        <v>-7913655</v>
      </c>
    </row>
    <row r="3747" spans="1:4" ht="18" customHeight="1" x14ac:dyDescent="0.25">
      <c r="A3747" s="2" t="s">
        <v>3341</v>
      </c>
      <c r="B3747" s="7">
        <v>33071558</v>
      </c>
      <c r="C3747" s="7">
        <v>10000000</v>
      </c>
      <c r="D3747" s="7">
        <f t="shared" si="59"/>
        <v>23071558</v>
      </c>
    </row>
    <row r="3748" spans="1:4" ht="18" customHeight="1" x14ac:dyDescent="0.25">
      <c r="A3748" s="2" t="s">
        <v>6083</v>
      </c>
      <c r="B3748" s="7">
        <v>375723</v>
      </c>
      <c r="C3748" s="7">
        <v>4000000</v>
      </c>
      <c r="D3748" s="7">
        <f t="shared" si="59"/>
        <v>-3624277</v>
      </c>
    </row>
    <row r="3749" spans="1:4" ht="18" customHeight="1" x14ac:dyDescent="0.25">
      <c r="A3749" s="2" t="s">
        <v>4009</v>
      </c>
      <c r="B3749" s="7">
        <v>20167424</v>
      </c>
      <c r="C3749" s="7">
        <v>2000000</v>
      </c>
      <c r="D3749" s="7">
        <f t="shared" si="59"/>
        <v>18167424</v>
      </c>
    </row>
    <row r="3750" spans="1:4" ht="18" customHeight="1" x14ac:dyDescent="0.25">
      <c r="A3750" s="2" t="s">
        <v>3116</v>
      </c>
      <c r="B3750" s="7">
        <v>37766350</v>
      </c>
      <c r="C3750" s="7">
        <v>11000000</v>
      </c>
      <c r="D3750" s="7">
        <f t="shared" si="59"/>
        <v>26766350</v>
      </c>
    </row>
    <row r="3751" spans="1:4" ht="18" customHeight="1" x14ac:dyDescent="0.25">
      <c r="A3751" s="2" t="s">
        <v>878</v>
      </c>
      <c r="B3751" s="7">
        <v>58229120</v>
      </c>
      <c r="C3751" s="7">
        <v>90000000</v>
      </c>
      <c r="D3751" s="7">
        <f t="shared" si="59"/>
        <v>-31770880</v>
      </c>
    </row>
    <row r="3752" spans="1:4" ht="18" customHeight="1" x14ac:dyDescent="0.25">
      <c r="A3752" s="2" t="s">
        <v>5913</v>
      </c>
      <c r="B3752" s="7">
        <v>686383</v>
      </c>
      <c r="C3752" s="7">
        <v>6500000</v>
      </c>
      <c r="D3752" s="7">
        <f t="shared" si="59"/>
        <v>-5813617</v>
      </c>
    </row>
    <row r="3753" spans="1:4" ht="18" customHeight="1" x14ac:dyDescent="0.25">
      <c r="A3753" s="2" t="s">
        <v>1425</v>
      </c>
      <c r="B3753" s="7">
        <v>48334413</v>
      </c>
      <c r="C3753" s="7">
        <v>39751583.5</v>
      </c>
      <c r="D3753" s="7">
        <f t="shared" si="59"/>
        <v>8582829.5</v>
      </c>
    </row>
    <row r="3754" spans="1:4" ht="18" customHeight="1" x14ac:dyDescent="0.25">
      <c r="A3754" s="2" t="s">
        <v>3190</v>
      </c>
      <c r="B3754" s="7">
        <v>36279230</v>
      </c>
      <c r="C3754" s="7">
        <v>60000000</v>
      </c>
      <c r="D3754" s="7">
        <f t="shared" si="59"/>
        <v>-23720770</v>
      </c>
    </row>
    <row r="3755" spans="1:4" ht="18" customHeight="1" x14ac:dyDescent="0.25">
      <c r="A3755" s="2" t="s">
        <v>5085</v>
      </c>
      <c r="B3755" s="7">
        <v>5997134</v>
      </c>
      <c r="C3755" s="7">
        <v>1000000</v>
      </c>
      <c r="D3755" s="7">
        <f t="shared" si="59"/>
        <v>4997134</v>
      </c>
    </row>
    <row r="3756" spans="1:4" ht="18" customHeight="1" x14ac:dyDescent="0.25">
      <c r="A3756" s="2" t="s">
        <v>3393</v>
      </c>
      <c r="B3756" s="7">
        <v>32055248</v>
      </c>
      <c r="C3756" s="7">
        <v>25000000</v>
      </c>
      <c r="D3756" s="7">
        <f t="shared" si="59"/>
        <v>7055248</v>
      </c>
    </row>
    <row r="3757" spans="1:4" ht="18" customHeight="1" x14ac:dyDescent="0.25">
      <c r="A3757" s="2" t="s">
        <v>800</v>
      </c>
      <c r="B3757" s="7">
        <v>61112916</v>
      </c>
      <c r="C3757" s="7">
        <v>50000000</v>
      </c>
      <c r="D3757" s="7">
        <f t="shared" si="59"/>
        <v>11112916</v>
      </c>
    </row>
    <row r="3758" spans="1:4" ht="18" customHeight="1" x14ac:dyDescent="0.25">
      <c r="A3758" s="2" t="s">
        <v>995</v>
      </c>
      <c r="B3758" s="7">
        <v>54257433</v>
      </c>
      <c r="C3758" s="7">
        <v>17000000</v>
      </c>
      <c r="D3758" s="7">
        <f t="shared" si="59"/>
        <v>37257433</v>
      </c>
    </row>
    <row r="3759" spans="1:4" ht="18" customHeight="1" x14ac:dyDescent="0.25">
      <c r="A3759" s="2" t="s">
        <v>3572</v>
      </c>
      <c r="B3759" s="7">
        <v>28341469</v>
      </c>
      <c r="C3759" s="7">
        <v>25000000</v>
      </c>
      <c r="D3759" s="7">
        <f t="shared" si="59"/>
        <v>3341469</v>
      </c>
    </row>
    <row r="3760" spans="1:4" ht="18" customHeight="1" x14ac:dyDescent="0.25">
      <c r="A3760" s="2" t="s">
        <v>1697</v>
      </c>
      <c r="B3760" s="7">
        <v>48334413</v>
      </c>
      <c r="C3760" s="7">
        <v>19000000</v>
      </c>
      <c r="D3760" s="7">
        <f t="shared" si="59"/>
        <v>29334413</v>
      </c>
    </row>
    <row r="3761" spans="1:4" ht="18" customHeight="1" x14ac:dyDescent="0.25">
      <c r="A3761" s="2" t="s">
        <v>4637</v>
      </c>
      <c r="B3761" s="7">
        <v>11405825</v>
      </c>
      <c r="C3761" s="7">
        <v>35000000</v>
      </c>
      <c r="D3761" s="7">
        <f t="shared" si="59"/>
        <v>-23594175</v>
      </c>
    </row>
    <row r="3762" spans="1:4" ht="18" customHeight="1" x14ac:dyDescent="0.25">
      <c r="A3762" s="2" t="s">
        <v>2990</v>
      </c>
      <c r="B3762" s="7">
        <v>40932372</v>
      </c>
      <c r="C3762" s="7">
        <v>70000000</v>
      </c>
      <c r="D3762" s="7">
        <f t="shared" si="59"/>
        <v>-29067628</v>
      </c>
    </row>
    <row r="3763" spans="1:4" ht="18" customHeight="1" x14ac:dyDescent="0.25">
      <c r="A3763" s="2" t="s">
        <v>2090</v>
      </c>
      <c r="B3763" s="7">
        <v>48334413</v>
      </c>
      <c r="C3763" s="7">
        <v>4000000</v>
      </c>
      <c r="D3763" s="7">
        <f t="shared" si="59"/>
        <v>44334413</v>
      </c>
    </row>
    <row r="3764" spans="1:4" ht="18" customHeight="1" x14ac:dyDescent="0.25">
      <c r="A3764" s="2" t="s">
        <v>6107</v>
      </c>
      <c r="B3764" s="7">
        <v>336456</v>
      </c>
      <c r="C3764" s="7">
        <v>8000000</v>
      </c>
      <c r="D3764" s="7">
        <f t="shared" si="59"/>
        <v>-7663544</v>
      </c>
    </row>
    <row r="3765" spans="1:4" ht="18" customHeight="1" x14ac:dyDescent="0.25">
      <c r="A3765" s="2" t="s">
        <v>5737</v>
      </c>
      <c r="B3765" s="7">
        <v>1250798</v>
      </c>
      <c r="C3765" s="7">
        <v>500000</v>
      </c>
      <c r="D3765" s="7">
        <f t="shared" si="59"/>
        <v>750798</v>
      </c>
    </row>
    <row r="3766" spans="1:4" ht="18" customHeight="1" x14ac:dyDescent="0.25">
      <c r="A3766" s="2" t="s">
        <v>2473</v>
      </c>
      <c r="B3766" s="7">
        <v>48334413</v>
      </c>
      <c r="C3766" s="7">
        <v>1000000</v>
      </c>
      <c r="D3766" s="7">
        <f t="shared" si="59"/>
        <v>47334413</v>
      </c>
    </row>
    <row r="3767" spans="1:4" ht="18" customHeight="1" x14ac:dyDescent="0.25">
      <c r="A3767" s="2" t="s">
        <v>2877</v>
      </c>
      <c r="B3767" s="7">
        <v>44087387</v>
      </c>
      <c r="C3767" s="7">
        <v>39751583.5</v>
      </c>
      <c r="D3767" s="7">
        <f t="shared" si="59"/>
        <v>4335803.5</v>
      </c>
    </row>
    <row r="3768" spans="1:4" ht="18" customHeight="1" x14ac:dyDescent="0.25">
      <c r="A3768" s="2" t="s">
        <v>3066</v>
      </c>
      <c r="B3768" s="7">
        <v>39008741</v>
      </c>
      <c r="C3768" s="7">
        <v>25000000</v>
      </c>
      <c r="D3768" s="7">
        <f t="shared" si="59"/>
        <v>14008741</v>
      </c>
    </row>
    <row r="3769" spans="1:4" ht="18" customHeight="1" x14ac:dyDescent="0.25">
      <c r="A3769" s="2" t="s">
        <v>3471</v>
      </c>
      <c r="B3769" s="7">
        <v>30538669</v>
      </c>
      <c r="C3769" s="7">
        <v>39751583.5</v>
      </c>
      <c r="D3769" s="7">
        <f t="shared" si="59"/>
        <v>-9212914.5</v>
      </c>
    </row>
    <row r="3770" spans="1:4" ht="18" customHeight="1" x14ac:dyDescent="0.25">
      <c r="A3770" s="2" t="s">
        <v>2764</v>
      </c>
      <c r="B3770" s="7">
        <v>47806295</v>
      </c>
      <c r="C3770" s="7">
        <v>43000000</v>
      </c>
      <c r="D3770" s="7">
        <f t="shared" si="59"/>
        <v>4806295</v>
      </c>
    </row>
    <row r="3771" spans="1:4" ht="18" customHeight="1" x14ac:dyDescent="0.25">
      <c r="A3771" s="2" t="s">
        <v>5160</v>
      </c>
      <c r="B3771" s="7">
        <v>5283379</v>
      </c>
      <c r="C3771" s="7">
        <v>39751583.5</v>
      </c>
      <c r="D3771" s="7">
        <f t="shared" si="59"/>
        <v>-34468204.5</v>
      </c>
    </row>
    <row r="3772" spans="1:4" ht="18" customHeight="1" x14ac:dyDescent="0.25">
      <c r="A3772" s="2" t="s">
        <v>3252</v>
      </c>
      <c r="B3772" s="7">
        <v>35007180</v>
      </c>
      <c r="C3772" s="7">
        <v>15000000</v>
      </c>
      <c r="D3772" s="7">
        <f t="shared" si="59"/>
        <v>20007180</v>
      </c>
    </row>
    <row r="3773" spans="1:4" ht="18" customHeight="1" x14ac:dyDescent="0.25">
      <c r="A3773" s="2" t="s">
        <v>6639</v>
      </c>
      <c r="B3773" s="7">
        <v>13134</v>
      </c>
      <c r="C3773" s="7">
        <v>500000</v>
      </c>
      <c r="D3773" s="7">
        <f t="shared" si="59"/>
        <v>-486866</v>
      </c>
    </row>
    <row r="3774" spans="1:4" ht="18" customHeight="1" x14ac:dyDescent="0.25">
      <c r="A3774" s="2" t="s">
        <v>2408</v>
      </c>
      <c r="B3774" s="7">
        <v>48334413</v>
      </c>
      <c r="C3774" s="7">
        <v>1100000</v>
      </c>
      <c r="D3774" s="7">
        <f t="shared" si="59"/>
        <v>47234413</v>
      </c>
    </row>
    <row r="3775" spans="1:4" ht="18" customHeight="1" x14ac:dyDescent="0.25">
      <c r="A3775" s="2" t="s">
        <v>193</v>
      </c>
      <c r="B3775" s="7">
        <v>96917897</v>
      </c>
      <c r="C3775" s="7">
        <v>40000000</v>
      </c>
      <c r="D3775" s="7">
        <f t="shared" si="59"/>
        <v>56917897</v>
      </c>
    </row>
    <row r="3776" spans="1:4" ht="18" customHeight="1" x14ac:dyDescent="0.25">
      <c r="A3776" s="2" t="s">
        <v>3415</v>
      </c>
      <c r="B3776" s="7">
        <v>31670931</v>
      </c>
      <c r="C3776" s="7">
        <v>60000000</v>
      </c>
      <c r="D3776" s="7">
        <f t="shared" si="59"/>
        <v>-28329069</v>
      </c>
    </row>
    <row r="3777" spans="1:4" ht="18" customHeight="1" x14ac:dyDescent="0.25">
      <c r="A3777" s="2" t="s">
        <v>6548</v>
      </c>
      <c r="B3777" s="7">
        <v>28870</v>
      </c>
      <c r="C3777" s="7">
        <v>15000000</v>
      </c>
      <c r="D3777" s="7">
        <f t="shared" si="59"/>
        <v>-14971130</v>
      </c>
    </row>
    <row r="3778" spans="1:4" ht="18" customHeight="1" x14ac:dyDescent="0.25">
      <c r="A3778" s="2" t="s">
        <v>1525</v>
      </c>
      <c r="B3778" s="7">
        <v>48334413</v>
      </c>
      <c r="C3778" s="7">
        <v>39751583.5</v>
      </c>
      <c r="D3778" s="7">
        <f t="shared" si="59"/>
        <v>8582829.5</v>
      </c>
    </row>
    <row r="3779" spans="1:4" ht="18" customHeight="1" x14ac:dyDescent="0.25">
      <c r="A3779" s="2" t="s">
        <v>4721</v>
      </c>
      <c r="B3779" s="7">
        <v>10200000</v>
      </c>
      <c r="C3779" s="7">
        <v>10000000</v>
      </c>
      <c r="D3779" s="7">
        <f t="shared" si="59"/>
        <v>200000</v>
      </c>
    </row>
    <row r="3780" spans="1:4" ht="18" customHeight="1" x14ac:dyDescent="0.25">
      <c r="A3780" s="2" t="s">
        <v>896</v>
      </c>
      <c r="B3780" s="7">
        <v>57362581</v>
      </c>
      <c r="C3780" s="7">
        <v>45000000</v>
      </c>
      <c r="D3780" s="7">
        <f t="shared" si="59"/>
        <v>12362581</v>
      </c>
    </row>
    <row r="3781" spans="1:4" ht="18" customHeight="1" x14ac:dyDescent="0.25">
      <c r="A3781" s="2" t="s">
        <v>6640</v>
      </c>
      <c r="B3781" s="7">
        <v>12996</v>
      </c>
      <c r="C3781" s="7">
        <v>1000000</v>
      </c>
      <c r="D3781" s="7">
        <f t="shared" ref="D3781:D3844" si="60">B3781-C3781</f>
        <v>-987004</v>
      </c>
    </row>
    <row r="3782" spans="1:4" ht="18" customHeight="1" x14ac:dyDescent="0.25">
      <c r="A3782" s="2" t="s">
        <v>4980</v>
      </c>
      <c r="B3782" s="7">
        <v>6851969</v>
      </c>
      <c r="C3782" s="7">
        <v>2500000</v>
      </c>
      <c r="D3782" s="7">
        <f t="shared" si="60"/>
        <v>4351969</v>
      </c>
    </row>
    <row r="3783" spans="1:4" ht="18" customHeight="1" x14ac:dyDescent="0.25">
      <c r="A3783" s="2" t="s">
        <v>600</v>
      </c>
      <c r="B3783" s="7">
        <v>71148699</v>
      </c>
      <c r="C3783" s="7">
        <v>90000000</v>
      </c>
      <c r="D3783" s="7">
        <f t="shared" si="60"/>
        <v>-18851301</v>
      </c>
    </row>
    <row r="3784" spans="1:4" ht="18" customHeight="1" x14ac:dyDescent="0.25">
      <c r="A3784" s="2" t="s">
        <v>4022</v>
      </c>
      <c r="B3784" s="7">
        <v>19781879</v>
      </c>
      <c r="C3784" s="7">
        <v>60000000</v>
      </c>
      <c r="D3784" s="7">
        <f t="shared" si="60"/>
        <v>-40218121</v>
      </c>
    </row>
    <row r="3785" spans="1:4" ht="18" customHeight="1" x14ac:dyDescent="0.25">
      <c r="A3785" s="2" t="s">
        <v>330</v>
      </c>
      <c r="B3785" s="7">
        <v>85416609</v>
      </c>
      <c r="C3785" s="7">
        <v>30000000</v>
      </c>
      <c r="D3785" s="7">
        <f t="shared" si="60"/>
        <v>55416609</v>
      </c>
    </row>
    <row r="3786" spans="1:4" ht="18" customHeight="1" x14ac:dyDescent="0.25">
      <c r="A3786" s="2" t="s">
        <v>3794</v>
      </c>
      <c r="B3786" s="7">
        <v>24268828</v>
      </c>
      <c r="C3786" s="7">
        <v>28000000</v>
      </c>
      <c r="D3786" s="7">
        <f t="shared" si="60"/>
        <v>-3731172</v>
      </c>
    </row>
    <row r="3787" spans="1:4" ht="18" customHeight="1" x14ac:dyDescent="0.25">
      <c r="A3787" s="2" t="s">
        <v>2799</v>
      </c>
      <c r="B3787" s="7">
        <v>46800000</v>
      </c>
      <c r="C3787" s="7">
        <v>14000000</v>
      </c>
      <c r="D3787" s="7">
        <f t="shared" si="60"/>
        <v>32800000</v>
      </c>
    </row>
    <row r="3788" spans="1:4" ht="18" customHeight="1" x14ac:dyDescent="0.25">
      <c r="A3788" s="2" t="s">
        <v>2332</v>
      </c>
      <c r="B3788" s="7">
        <v>48334413</v>
      </c>
      <c r="C3788" s="7">
        <v>1500000</v>
      </c>
      <c r="D3788" s="7">
        <f t="shared" si="60"/>
        <v>46834413</v>
      </c>
    </row>
    <row r="3789" spans="1:4" ht="18" customHeight="1" x14ac:dyDescent="0.25">
      <c r="A3789" s="2" t="s">
        <v>4934</v>
      </c>
      <c r="B3789" s="7">
        <v>7362100</v>
      </c>
      <c r="C3789" s="7">
        <v>1500000</v>
      </c>
      <c r="D3789" s="7">
        <f t="shared" si="60"/>
        <v>5862100</v>
      </c>
    </row>
    <row r="3790" spans="1:4" ht="18" customHeight="1" x14ac:dyDescent="0.25">
      <c r="A3790" s="2" t="s">
        <v>5891</v>
      </c>
      <c r="B3790" s="7">
        <v>763044</v>
      </c>
      <c r="C3790" s="7">
        <v>23000000</v>
      </c>
      <c r="D3790" s="7">
        <f t="shared" si="60"/>
        <v>-22236956</v>
      </c>
    </row>
    <row r="3791" spans="1:4" ht="18" customHeight="1" x14ac:dyDescent="0.25">
      <c r="A3791" s="2" t="s">
        <v>5110</v>
      </c>
      <c r="B3791" s="7">
        <v>5739376</v>
      </c>
      <c r="C3791" s="7">
        <v>500000</v>
      </c>
      <c r="D3791" s="7">
        <f t="shared" si="60"/>
        <v>5239376</v>
      </c>
    </row>
    <row r="3792" spans="1:4" ht="18" customHeight="1" x14ac:dyDescent="0.25">
      <c r="A3792" s="2" t="s">
        <v>3537</v>
      </c>
      <c r="B3792" s="7">
        <v>29062561</v>
      </c>
      <c r="C3792" s="7">
        <v>39751583.5</v>
      </c>
      <c r="D3792" s="7">
        <f t="shared" si="60"/>
        <v>-10689022.5</v>
      </c>
    </row>
    <row r="3793" spans="1:4" ht="18" customHeight="1" x14ac:dyDescent="0.25">
      <c r="A3793" s="2" t="s">
        <v>849</v>
      </c>
      <c r="B3793" s="7">
        <v>59475623</v>
      </c>
      <c r="C3793" s="7">
        <v>90000000</v>
      </c>
      <c r="D3793" s="7">
        <f t="shared" si="60"/>
        <v>-30524377</v>
      </c>
    </row>
    <row r="3794" spans="1:4" ht="18" customHeight="1" x14ac:dyDescent="0.25">
      <c r="A3794" s="2" t="s">
        <v>2677</v>
      </c>
      <c r="B3794" s="7">
        <v>48334413</v>
      </c>
      <c r="C3794" s="7">
        <v>100000</v>
      </c>
      <c r="D3794" s="7">
        <f t="shared" si="60"/>
        <v>48234413</v>
      </c>
    </row>
    <row r="3795" spans="1:4" ht="18" customHeight="1" x14ac:dyDescent="0.25">
      <c r="A3795" s="2" t="s">
        <v>6611</v>
      </c>
      <c r="B3795" s="7">
        <v>18195</v>
      </c>
      <c r="C3795" s="7">
        <v>250000</v>
      </c>
      <c r="D3795" s="7">
        <f t="shared" si="60"/>
        <v>-231805</v>
      </c>
    </row>
    <row r="3796" spans="1:4" ht="18" customHeight="1" x14ac:dyDescent="0.25">
      <c r="A3796" s="2" t="s">
        <v>3625</v>
      </c>
      <c r="B3796" s="7">
        <v>27067160</v>
      </c>
      <c r="C3796" s="7">
        <v>50000000</v>
      </c>
      <c r="D3796" s="7">
        <f t="shared" si="60"/>
        <v>-22932840</v>
      </c>
    </row>
    <row r="3797" spans="1:4" ht="18" customHeight="1" x14ac:dyDescent="0.25">
      <c r="A3797" s="2" t="s">
        <v>5052</v>
      </c>
      <c r="B3797" s="7">
        <v>6197866</v>
      </c>
      <c r="C3797" s="7">
        <v>10000000</v>
      </c>
      <c r="D3797" s="7">
        <f t="shared" si="60"/>
        <v>-3802134</v>
      </c>
    </row>
    <row r="3798" spans="1:4" ht="18" customHeight="1" x14ac:dyDescent="0.25">
      <c r="A3798" s="2" t="s">
        <v>1483</v>
      </c>
      <c r="B3798" s="7">
        <v>48334413</v>
      </c>
      <c r="C3798" s="7">
        <v>39751583.5</v>
      </c>
      <c r="D3798" s="7">
        <f t="shared" si="60"/>
        <v>8582829.5</v>
      </c>
    </row>
    <row r="3799" spans="1:4" ht="18" customHeight="1" x14ac:dyDescent="0.25">
      <c r="A3799" s="2" t="s">
        <v>6557</v>
      </c>
      <c r="B3799" s="7">
        <v>26345</v>
      </c>
      <c r="C3799" s="7">
        <v>3000000</v>
      </c>
      <c r="D3799" s="7">
        <f t="shared" si="60"/>
        <v>-2973655</v>
      </c>
    </row>
    <row r="3800" spans="1:4" ht="18" customHeight="1" x14ac:dyDescent="0.25">
      <c r="A3800" s="2" t="s">
        <v>5269</v>
      </c>
      <c r="B3800" s="7">
        <v>4306697</v>
      </c>
      <c r="C3800" s="7">
        <v>5000000</v>
      </c>
      <c r="D3800" s="7">
        <f t="shared" si="60"/>
        <v>-693303</v>
      </c>
    </row>
    <row r="3801" spans="1:4" ht="18" customHeight="1" x14ac:dyDescent="0.25">
      <c r="A3801" s="2" t="s">
        <v>3783</v>
      </c>
      <c r="B3801" s="7">
        <v>24430272</v>
      </c>
      <c r="C3801" s="7">
        <v>43000000</v>
      </c>
      <c r="D3801" s="7">
        <f t="shared" si="60"/>
        <v>-18569728</v>
      </c>
    </row>
    <row r="3802" spans="1:4" ht="18" customHeight="1" x14ac:dyDescent="0.25">
      <c r="A3802" s="2" t="s">
        <v>6189</v>
      </c>
      <c r="B3802" s="7">
        <v>231417</v>
      </c>
      <c r="C3802" s="7">
        <v>60000000</v>
      </c>
      <c r="D3802" s="7">
        <f t="shared" si="60"/>
        <v>-59768583</v>
      </c>
    </row>
    <row r="3803" spans="1:4" ht="18" customHeight="1" x14ac:dyDescent="0.25">
      <c r="A3803" s="2" t="s">
        <v>3595</v>
      </c>
      <c r="B3803" s="7">
        <v>27758465</v>
      </c>
      <c r="C3803" s="7">
        <v>19000000</v>
      </c>
      <c r="D3803" s="7">
        <f t="shared" si="60"/>
        <v>8758465</v>
      </c>
    </row>
    <row r="3804" spans="1:4" ht="18" customHeight="1" x14ac:dyDescent="0.25">
      <c r="A3804" s="2" t="s">
        <v>4474</v>
      </c>
      <c r="B3804" s="7">
        <v>13491653</v>
      </c>
      <c r="C3804" s="7">
        <v>18000000</v>
      </c>
      <c r="D3804" s="7">
        <f t="shared" si="60"/>
        <v>-4508347</v>
      </c>
    </row>
    <row r="3805" spans="1:4" ht="18" customHeight="1" x14ac:dyDescent="0.25">
      <c r="A3805" s="2" t="s">
        <v>1124</v>
      </c>
      <c r="B3805" s="7">
        <v>50818750</v>
      </c>
      <c r="C3805" s="7">
        <v>60000000</v>
      </c>
      <c r="D3805" s="7">
        <f t="shared" si="60"/>
        <v>-9181250</v>
      </c>
    </row>
    <row r="3806" spans="1:4" ht="18" customHeight="1" x14ac:dyDescent="0.25">
      <c r="A3806" s="2" t="s">
        <v>402</v>
      </c>
      <c r="B3806" s="7">
        <v>81292135</v>
      </c>
      <c r="C3806" s="7">
        <v>40000000</v>
      </c>
      <c r="D3806" s="7">
        <f t="shared" si="60"/>
        <v>41292135</v>
      </c>
    </row>
    <row r="3807" spans="1:4" ht="18" customHeight="1" x14ac:dyDescent="0.25">
      <c r="A3807" s="2" t="s">
        <v>6161</v>
      </c>
      <c r="B3807" s="7">
        <v>263365</v>
      </c>
      <c r="C3807" s="7">
        <v>20000000</v>
      </c>
      <c r="D3807" s="7">
        <f t="shared" si="60"/>
        <v>-19736635</v>
      </c>
    </row>
    <row r="3808" spans="1:4" ht="18" customHeight="1" x14ac:dyDescent="0.25">
      <c r="A3808" s="2" t="s">
        <v>5890</v>
      </c>
      <c r="B3808" s="7">
        <v>766487</v>
      </c>
      <c r="C3808" s="7">
        <v>5250000</v>
      </c>
      <c r="D3808" s="7">
        <f t="shared" si="60"/>
        <v>-4483513</v>
      </c>
    </row>
    <row r="3809" spans="1:4" ht="18" customHeight="1" x14ac:dyDescent="0.25">
      <c r="A3809" s="2" t="s">
        <v>479</v>
      </c>
      <c r="B3809" s="7">
        <v>77032279</v>
      </c>
      <c r="C3809" s="7">
        <v>60000000</v>
      </c>
      <c r="D3809" s="7">
        <f t="shared" si="60"/>
        <v>17032279</v>
      </c>
    </row>
    <row r="3810" spans="1:4" ht="18" customHeight="1" x14ac:dyDescent="0.25">
      <c r="A3810" s="2" t="s">
        <v>3081</v>
      </c>
      <c r="B3810" s="7">
        <v>38400000</v>
      </c>
      <c r="C3810" s="7">
        <v>6500000</v>
      </c>
      <c r="D3810" s="7">
        <f t="shared" si="60"/>
        <v>31900000</v>
      </c>
    </row>
    <row r="3811" spans="1:4" ht="18" customHeight="1" x14ac:dyDescent="0.25">
      <c r="A3811" s="2" t="s">
        <v>3460</v>
      </c>
      <c r="B3811" s="7">
        <v>61718000</v>
      </c>
      <c r="C3811" s="7">
        <v>167064</v>
      </c>
      <c r="D3811" s="7">
        <f t="shared" si="60"/>
        <v>61550936</v>
      </c>
    </row>
    <row r="3812" spans="1:4" ht="18" customHeight="1" x14ac:dyDescent="0.25">
      <c r="A3812" s="2" t="s">
        <v>4869</v>
      </c>
      <c r="B3812" s="7">
        <v>8025872</v>
      </c>
      <c r="C3812" s="7">
        <v>4700000</v>
      </c>
      <c r="D3812" s="7">
        <f t="shared" si="60"/>
        <v>3325872</v>
      </c>
    </row>
    <row r="3813" spans="1:4" ht="18" customHeight="1" x14ac:dyDescent="0.25">
      <c r="A3813" s="2" t="s">
        <v>3042</v>
      </c>
      <c r="B3813" s="7">
        <v>39511038</v>
      </c>
      <c r="C3813" s="7">
        <v>16000000</v>
      </c>
      <c r="D3813" s="7">
        <f t="shared" si="60"/>
        <v>23511038</v>
      </c>
    </row>
    <row r="3814" spans="1:4" ht="18" customHeight="1" x14ac:dyDescent="0.25">
      <c r="A3814" s="2" t="s">
        <v>3211</v>
      </c>
      <c r="B3814" s="7">
        <v>35887263</v>
      </c>
      <c r="C3814" s="7">
        <v>15000000</v>
      </c>
      <c r="D3814" s="7">
        <f t="shared" si="60"/>
        <v>20887263</v>
      </c>
    </row>
    <row r="3815" spans="1:4" ht="18" customHeight="1" x14ac:dyDescent="0.25">
      <c r="A3815" s="2" t="s">
        <v>3184</v>
      </c>
      <c r="B3815" s="7">
        <v>36385763</v>
      </c>
      <c r="C3815" s="7">
        <v>52000000</v>
      </c>
      <c r="D3815" s="7">
        <f t="shared" si="60"/>
        <v>-15614237</v>
      </c>
    </row>
    <row r="3816" spans="1:4" ht="18" customHeight="1" x14ac:dyDescent="0.25">
      <c r="A3816" s="2" t="s">
        <v>4448</v>
      </c>
      <c r="B3816" s="7">
        <v>13782838</v>
      </c>
      <c r="C3816" s="7">
        <v>15000000</v>
      </c>
      <c r="D3816" s="7">
        <f t="shared" si="60"/>
        <v>-1217162</v>
      </c>
    </row>
    <row r="3817" spans="1:4" ht="18" customHeight="1" x14ac:dyDescent="0.25">
      <c r="A3817" s="2" t="s">
        <v>4309</v>
      </c>
      <c r="B3817" s="7">
        <v>15500000</v>
      </c>
      <c r="C3817" s="7">
        <v>16000000</v>
      </c>
      <c r="D3817" s="7">
        <f t="shared" si="60"/>
        <v>-500000</v>
      </c>
    </row>
    <row r="3818" spans="1:4" ht="18" customHeight="1" x14ac:dyDescent="0.25">
      <c r="A3818" s="2" t="s">
        <v>646</v>
      </c>
      <c r="B3818" s="7">
        <v>69304264</v>
      </c>
      <c r="C3818" s="7">
        <v>48000000</v>
      </c>
      <c r="D3818" s="7">
        <f t="shared" si="60"/>
        <v>21304264</v>
      </c>
    </row>
    <row r="3819" spans="1:4" ht="18" customHeight="1" x14ac:dyDescent="0.25">
      <c r="A3819" s="2" t="s">
        <v>3992</v>
      </c>
      <c r="B3819" s="7">
        <v>20315324</v>
      </c>
      <c r="C3819" s="7">
        <v>75000000</v>
      </c>
      <c r="D3819" s="7">
        <f t="shared" si="60"/>
        <v>-54684676</v>
      </c>
    </row>
    <row r="3820" spans="1:4" ht="18" customHeight="1" x14ac:dyDescent="0.25">
      <c r="A3820" s="2" t="s">
        <v>2872</v>
      </c>
      <c r="B3820" s="7">
        <v>44328238</v>
      </c>
      <c r="C3820" s="7">
        <v>39751583.5</v>
      </c>
      <c r="D3820" s="7">
        <f t="shared" si="60"/>
        <v>4576654.5</v>
      </c>
    </row>
    <row r="3821" spans="1:4" ht="18" customHeight="1" x14ac:dyDescent="0.25">
      <c r="A3821" s="2" t="s">
        <v>2827</v>
      </c>
      <c r="B3821" s="7">
        <v>45542421</v>
      </c>
      <c r="C3821" s="7">
        <v>30000000</v>
      </c>
      <c r="D3821" s="7">
        <f t="shared" si="60"/>
        <v>15542421</v>
      </c>
    </row>
    <row r="3822" spans="1:4" ht="18" customHeight="1" x14ac:dyDescent="0.25">
      <c r="A3822" s="2" t="s">
        <v>2249</v>
      </c>
      <c r="B3822" s="7">
        <v>48334413</v>
      </c>
      <c r="C3822" s="7">
        <v>2100000</v>
      </c>
      <c r="D3822" s="7">
        <f t="shared" si="60"/>
        <v>46234413</v>
      </c>
    </row>
    <row r="3823" spans="1:4" ht="18" customHeight="1" x14ac:dyDescent="0.25">
      <c r="A3823" s="2" t="s">
        <v>920</v>
      </c>
      <c r="B3823" s="7">
        <v>56684819</v>
      </c>
      <c r="C3823" s="7">
        <v>80000000</v>
      </c>
      <c r="D3823" s="7">
        <f t="shared" si="60"/>
        <v>-23315181</v>
      </c>
    </row>
    <row r="3824" spans="1:4" ht="18" customHeight="1" x14ac:dyDescent="0.25">
      <c r="A3824" s="2" t="s">
        <v>758</v>
      </c>
      <c r="B3824" s="7">
        <v>63411478</v>
      </c>
      <c r="C3824" s="7">
        <v>39000000</v>
      </c>
      <c r="D3824" s="7">
        <f t="shared" si="60"/>
        <v>24411478</v>
      </c>
    </row>
    <row r="3825" spans="1:4" ht="18" customHeight="1" x14ac:dyDescent="0.25">
      <c r="A3825" s="2" t="s">
        <v>5382</v>
      </c>
      <c r="B3825" s="7">
        <v>3447339</v>
      </c>
      <c r="C3825" s="7">
        <v>1500000</v>
      </c>
      <c r="D3825" s="7">
        <f t="shared" si="60"/>
        <v>1947339</v>
      </c>
    </row>
    <row r="3826" spans="1:4" ht="18" customHeight="1" x14ac:dyDescent="0.25">
      <c r="A3826" s="2" t="s">
        <v>2329</v>
      </c>
      <c r="B3826" s="7">
        <v>48334413</v>
      </c>
      <c r="C3826" s="7">
        <v>1500000</v>
      </c>
      <c r="D3826" s="7">
        <f t="shared" si="60"/>
        <v>46834413</v>
      </c>
    </row>
    <row r="3827" spans="1:4" ht="18" customHeight="1" x14ac:dyDescent="0.25">
      <c r="A3827" s="2" t="s">
        <v>1468</v>
      </c>
      <c r="B3827" s="7">
        <v>48334413</v>
      </c>
      <c r="C3827" s="7">
        <v>39751583.5</v>
      </c>
      <c r="D3827" s="7">
        <f t="shared" si="60"/>
        <v>8582829.5</v>
      </c>
    </row>
    <row r="3828" spans="1:4" ht="18" customHeight="1" x14ac:dyDescent="0.25">
      <c r="A3828" s="2" t="s">
        <v>2737</v>
      </c>
      <c r="B3828" s="7">
        <v>48334413</v>
      </c>
      <c r="C3828" s="7">
        <v>13000</v>
      </c>
      <c r="D3828" s="7">
        <f t="shared" si="60"/>
        <v>48321413</v>
      </c>
    </row>
    <row r="3829" spans="1:4" ht="18" customHeight="1" x14ac:dyDescent="0.25">
      <c r="A3829" s="2" t="s">
        <v>244</v>
      </c>
      <c r="B3829" s="7">
        <v>92173235</v>
      </c>
      <c r="C3829" s="7">
        <v>37000000</v>
      </c>
      <c r="D3829" s="7">
        <f t="shared" si="60"/>
        <v>55173235</v>
      </c>
    </row>
    <row r="3830" spans="1:4" ht="18" customHeight="1" x14ac:dyDescent="0.25">
      <c r="A3830" s="2" t="s">
        <v>5883</v>
      </c>
      <c r="B3830" s="7">
        <v>792966</v>
      </c>
      <c r="C3830" s="7">
        <v>2300000</v>
      </c>
      <c r="D3830" s="7">
        <f t="shared" si="60"/>
        <v>-1507034</v>
      </c>
    </row>
    <row r="3831" spans="1:4" ht="18" customHeight="1" x14ac:dyDescent="0.25">
      <c r="A3831" s="2" t="s">
        <v>2564</v>
      </c>
      <c r="B3831" s="7">
        <v>48334413</v>
      </c>
      <c r="C3831" s="7">
        <v>475000</v>
      </c>
      <c r="D3831" s="7">
        <f t="shared" si="60"/>
        <v>47859413</v>
      </c>
    </row>
    <row r="3832" spans="1:4" ht="18" customHeight="1" x14ac:dyDescent="0.25">
      <c r="A3832" s="2" t="s">
        <v>1955</v>
      </c>
      <c r="B3832" s="7">
        <v>48334413</v>
      </c>
      <c r="C3832" s="7">
        <v>6700000</v>
      </c>
      <c r="D3832" s="7">
        <f t="shared" si="60"/>
        <v>41634413</v>
      </c>
    </row>
    <row r="3833" spans="1:4" ht="18" customHeight="1" x14ac:dyDescent="0.25">
      <c r="A3833" s="2" t="s">
        <v>4271</v>
      </c>
      <c r="B3833" s="7">
        <v>16027866</v>
      </c>
      <c r="C3833" s="7">
        <v>25000000</v>
      </c>
      <c r="D3833" s="7">
        <f t="shared" si="60"/>
        <v>-8972134</v>
      </c>
    </row>
    <row r="3834" spans="1:4" ht="18" customHeight="1" x14ac:dyDescent="0.25">
      <c r="A3834" s="2" t="s">
        <v>3737</v>
      </c>
      <c r="B3834" s="7">
        <v>25296447</v>
      </c>
      <c r="C3834" s="7">
        <v>21000000</v>
      </c>
      <c r="D3834" s="7">
        <f t="shared" si="60"/>
        <v>4296447</v>
      </c>
    </row>
    <row r="3835" spans="1:4" ht="18" customHeight="1" x14ac:dyDescent="0.25">
      <c r="A3835" s="2" t="s">
        <v>4489</v>
      </c>
      <c r="B3835" s="7">
        <v>13303319</v>
      </c>
      <c r="C3835" s="7">
        <v>32000000</v>
      </c>
      <c r="D3835" s="7">
        <f t="shared" si="60"/>
        <v>-18696681</v>
      </c>
    </row>
    <row r="3836" spans="1:4" ht="18" customHeight="1" x14ac:dyDescent="0.25">
      <c r="A3836" s="2" t="s">
        <v>6737</v>
      </c>
      <c r="B3836" s="7">
        <v>1111</v>
      </c>
      <c r="C3836" s="7">
        <v>200000</v>
      </c>
      <c r="D3836" s="7">
        <f t="shared" si="60"/>
        <v>-198889</v>
      </c>
    </row>
    <row r="3837" spans="1:4" ht="18" customHeight="1" x14ac:dyDescent="0.25">
      <c r="A3837" s="2" t="s">
        <v>4963</v>
      </c>
      <c r="B3837" s="7">
        <v>7002255</v>
      </c>
      <c r="C3837" s="7">
        <v>9500000</v>
      </c>
      <c r="D3837" s="7">
        <f t="shared" si="60"/>
        <v>-2497745</v>
      </c>
    </row>
    <row r="3838" spans="1:4" ht="18" customHeight="1" x14ac:dyDescent="0.25">
      <c r="A3838" s="2" t="s">
        <v>2391</v>
      </c>
      <c r="B3838" s="7">
        <v>48334413</v>
      </c>
      <c r="C3838" s="7">
        <v>1200000</v>
      </c>
      <c r="D3838" s="7">
        <f t="shared" si="60"/>
        <v>47134413</v>
      </c>
    </row>
    <row r="3839" spans="1:4" ht="18" customHeight="1" x14ac:dyDescent="0.25">
      <c r="A3839" s="2" t="s">
        <v>1642</v>
      </c>
      <c r="B3839" s="7">
        <v>48334413</v>
      </c>
      <c r="C3839" s="7">
        <v>25000000</v>
      </c>
      <c r="D3839" s="7">
        <f t="shared" si="60"/>
        <v>23334413</v>
      </c>
    </row>
    <row r="3840" spans="1:4" ht="18" customHeight="1" x14ac:dyDescent="0.25">
      <c r="A3840" s="2" t="s">
        <v>1154</v>
      </c>
      <c r="B3840" s="7">
        <v>50189179</v>
      </c>
      <c r="C3840" s="7">
        <v>60000000</v>
      </c>
      <c r="D3840" s="7">
        <f t="shared" si="60"/>
        <v>-9810821</v>
      </c>
    </row>
    <row r="3841" spans="1:4" ht="18" customHeight="1" x14ac:dyDescent="0.25">
      <c r="A3841" s="2" t="s">
        <v>297</v>
      </c>
      <c r="B3841" s="7">
        <v>88915214</v>
      </c>
      <c r="C3841" s="7">
        <v>38000000</v>
      </c>
      <c r="D3841" s="7">
        <f t="shared" si="60"/>
        <v>50915214</v>
      </c>
    </row>
    <row r="3842" spans="1:4" ht="18" customHeight="1" x14ac:dyDescent="0.25">
      <c r="A3842" s="2" t="s">
        <v>5387</v>
      </c>
      <c r="B3842" s="7">
        <v>3420871</v>
      </c>
      <c r="C3842" s="7">
        <v>39751583.5</v>
      </c>
      <c r="D3842" s="7">
        <f t="shared" si="60"/>
        <v>-36330712.5</v>
      </c>
    </row>
    <row r="3843" spans="1:4" ht="18" customHeight="1" x14ac:dyDescent="0.25">
      <c r="A3843" s="2" t="s">
        <v>2927</v>
      </c>
      <c r="B3843" s="7">
        <v>85276330</v>
      </c>
      <c r="C3843" s="7">
        <v>32000000</v>
      </c>
      <c r="D3843" s="7">
        <f t="shared" si="60"/>
        <v>53276330</v>
      </c>
    </row>
    <row r="3844" spans="1:4" ht="18" customHeight="1" x14ac:dyDescent="0.25">
      <c r="A3844" s="2" t="s">
        <v>491</v>
      </c>
      <c r="B3844" s="7">
        <v>76270454</v>
      </c>
      <c r="C3844" s="7">
        <v>25000000</v>
      </c>
      <c r="D3844" s="7">
        <f t="shared" si="60"/>
        <v>51270454</v>
      </c>
    </row>
    <row r="3845" spans="1:4" ht="18" customHeight="1" x14ac:dyDescent="0.25">
      <c r="A3845" s="2" t="s">
        <v>4081</v>
      </c>
      <c r="B3845" s="7">
        <v>18761993</v>
      </c>
      <c r="C3845" s="7">
        <v>9000000</v>
      </c>
      <c r="D3845" s="7">
        <f t="shared" ref="D3845:D3908" si="61">B3845-C3845</f>
        <v>9761993</v>
      </c>
    </row>
    <row r="3846" spans="1:4" ht="18" customHeight="1" x14ac:dyDescent="0.25">
      <c r="A3846" s="2" t="s">
        <v>3825</v>
      </c>
      <c r="B3846" s="7">
        <v>23272306</v>
      </c>
      <c r="C3846" s="7">
        <v>6000000</v>
      </c>
      <c r="D3846" s="7">
        <f t="shared" si="61"/>
        <v>17272306</v>
      </c>
    </row>
    <row r="3847" spans="1:4" ht="18" customHeight="1" x14ac:dyDescent="0.25">
      <c r="A3847" s="2" t="s">
        <v>2243</v>
      </c>
      <c r="B3847" s="7">
        <v>48334413</v>
      </c>
      <c r="C3847" s="7">
        <v>2160000</v>
      </c>
      <c r="D3847" s="7">
        <f t="shared" si="61"/>
        <v>46174413</v>
      </c>
    </row>
    <row r="3848" spans="1:4" ht="18" customHeight="1" x14ac:dyDescent="0.25">
      <c r="A3848" s="2" t="s">
        <v>2406</v>
      </c>
      <c r="B3848" s="7">
        <v>48334413</v>
      </c>
      <c r="C3848" s="7">
        <v>1100000</v>
      </c>
      <c r="D3848" s="7">
        <f t="shared" si="61"/>
        <v>47234413</v>
      </c>
    </row>
    <row r="3849" spans="1:4" ht="18" customHeight="1" x14ac:dyDescent="0.25">
      <c r="A3849" s="2" t="s">
        <v>5663</v>
      </c>
      <c r="B3849" s="7">
        <v>1712111</v>
      </c>
      <c r="C3849" s="7">
        <v>8495000</v>
      </c>
      <c r="D3849" s="7">
        <f t="shared" si="61"/>
        <v>-6782889</v>
      </c>
    </row>
    <row r="3850" spans="1:4" ht="18" customHeight="1" x14ac:dyDescent="0.25">
      <c r="A3850" s="2" t="s">
        <v>2081</v>
      </c>
      <c r="B3850" s="7">
        <v>48334413</v>
      </c>
      <c r="C3850" s="7">
        <v>4000000</v>
      </c>
      <c r="D3850" s="7">
        <f t="shared" si="61"/>
        <v>44334413</v>
      </c>
    </row>
    <row r="3851" spans="1:4" ht="18" customHeight="1" x14ac:dyDescent="0.25">
      <c r="A3851" s="2" t="s">
        <v>2070</v>
      </c>
      <c r="B3851" s="7">
        <v>48334413</v>
      </c>
      <c r="C3851" s="7">
        <v>4000000</v>
      </c>
      <c r="D3851" s="7">
        <f t="shared" si="61"/>
        <v>44334413</v>
      </c>
    </row>
    <row r="3852" spans="1:4" ht="18" customHeight="1" x14ac:dyDescent="0.25">
      <c r="A3852" s="2" t="s">
        <v>1012</v>
      </c>
      <c r="B3852" s="7">
        <v>54000000</v>
      </c>
      <c r="C3852" s="7">
        <v>16000000</v>
      </c>
      <c r="D3852" s="7">
        <f t="shared" si="61"/>
        <v>38000000</v>
      </c>
    </row>
    <row r="3853" spans="1:4" ht="18" customHeight="1" x14ac:dyDescent="0.25">
      <c r="A3853" s="2" t="s">
        <v>5200</v>
      </c>
      <c r="B3853" s="7">
        <v>4859475</v>
      </c>
      <c r="C3853" s="7">
        <v>6000000</v>
      </c>
      <c r="D3853" s="7">
        <f t="shared" si="61"/>
        <v>-1140525</v>
      </c>
    </row>
    <row r="3854" spans="1:4" ht="18" customHeight="1" x14ac:dyDescent="0.25">
      <c r="A3854" s="2" t="s">
        <v>5984</v>
      </c>
      <c r="B3854" s="7">
        <v>535249</v>
      </c>
      <c r="C3854" s="7">
        <v>3400000</v>
      </c>
      <c r="D3854" s="7">
        <f t="shared" si="61"/>
        <v>-2864751</v>
      </c>
    </row>
    <row r="3855" spans="1:4" ht="18" customHeight="1" x14ac:dyDescent="0.25">
      <c r="A3855" s="2" t="s">
        <v>722</v>
      </c>
      <c r="B3855" s="7">
        <v>65069140</v>
      </c>
      <c r="C3855" s="7">
        <v>5000000</v>
      </c>
      <c r="D3855" s="7">
        <f t="shared" si="61"/>
        <v>60069140</v>
      </c>
    </row>
    <row r="3856" spans="1:4" ht="18" customHeight="1" x14ac:dyDescent="0.25">
      <c r="A3856" s="2" t="s">
        <v>5305</v>
      </c>
      <c r="B3856" s="7">
        <v>4068087</v>
      </c>
      <c r="C3856" s="7">
        <v>17000000</v>
      </c>
      <c r="D3856" s="7">
        <f t="shared" si="61"/>
        <v>-12931913</v>
      </c>
    </row>
    <row r="3857" spans="1:4" ht="18" customHeight="1" x14ac:dyDescent="0.25">
      <c r="A3857" s="2" t="s">
        <v>5605</v>
      </c>
      <c r="B3857" s="7">
        <v>2077046</v>
      </c>
      <c r="C3857" s="7">
        <v>6000000</v>
      </c>
      <c r="D3857" s="7">
        <f t="shared" si="61"/>
        <v>-3922954</v>
      </c>
    </row>
    <row r="3858" spans="1:4" ht="18" customHeight="1" x14ac:dyDescent="0.25">
      <c r="A3858" s="2" t="s">
        <v>5888</v>
      </c>
      <c r="B3858" s="7">
        <v>770629</v>
      </c>
      <c r="C3858" s="7">
        <v>39751583.5</v>
      </c>
      <c r="D3858" s="7">
        <f t="shared" si="61"/>
        <v>-38980954.5</v>
      </c>
    </row>
    <row r="3859" spans="1:4" ht="18" customHeight="1" x14ac:dyDescent="0.25">
      <c r="A3859" s="2" t="s">
        <v>4731</v>
      </c>
      <c r="B3859" s="7">
        <v>10137502</v>
      </c>
      <c r="C3859" s="7">
        <v>35000000</v>
      </c>
      <c r="D3859" s="7">
        <f t="shared" si="61"/>
        <v>-24862498</v>
      </c>
    </row>
    <row r="3860" spans="1:4" ht="18" customHeight="1" x14ac:dyDescent="0.25">
      <c r="A3860" s="2" t="s">
        <v>2380</v>
      </c>
      <c r="B3860" s="7">
        <v>48334413</v>
      </c>
      <c r="C3860" s="7">
        <v>1250000</v>
      </c>
      <c r="D3860" s="7">
        <f t="shared" si="61"/>
        <v>47084413</v>
      </c>
    </row>
    <row r="3861" spans="1:4" ht="18" customHeight="1" x14ac:dyDescent="0.25">
      <c r="A3861" s="2" t="s">
        <v>6314</v>
      </c>
      <c r="B3861" s="7">
        <v>128978</v>
      </c>
      <c r="C3861" s="7">
        <v>40000000</v>
      </c>
      <c r="D3861" s="7">
        <f t="shared" si="61"/>
        <v>-39871022</v>
      </c>
    </row>
    <row r="3862" spans="1:4" ht="18" customHeight="1" x14ac:dyDescent="0.25">
      <c r="A3862" s="2" t="s">
        <v>5123</v>
      </c>
      <c r="B3862" s="7">
        <v>5664251</v>
      </c>
      <c r="C3862" s="7">
        <v>45000000</v>
      </c>
      <c r="D3862" s="7">
        <f t="shared" si="61"/>
        <v>-39335749</v>
      </c>
    </row>
    <row r="3863" spans="1:4" ht="18" customHeight="1" x14ac:dyDescent="0.25">
      <c r="A3863" s="2" t="s">
        <v>4741</v>
      </c>
      <c r="B3863" s="7">
        <v>10097096</v>
      </c>
      <c r="C3863" s="7">
        <v>4000000</v>
      </c>
      <c r="D3863" s="7">
        <f t="shared" si="61"/>
        <v>6097096</v>
      </c>
    </row>
    <row r="3864" spans="1:4" ht="18" customHeight="1" x14ac:dyDescent="0.25">
      <c r="A3864" s="2" t="s">
        <v>3280</v>
      </c>
      <c r="B3864" s="7">
        <v>68701106</v>
      </c>
      <c r="C3864" s="7">
        <v>136000000</v>
      </c>
      <c r="D3864" s="7">
        <f t="shared" si="61"/>
        <v>-67298894</v>
      </c>
    </row>
    <row r="3865" spans="1:4" ht="18" customHeight="1" x14ac:dyDescent="0.25">
      <c r="A3865" s="2" t="s">
        <v>3544</v>
      </c>
      <c r="B3865" s="7">
        <v>28927720</v>
      </c>
      <c r="C3865" s="7">
        <v>33000000</v>
      </c>
      <c r="D3865" s="7">
        <f t="shared" si="61"/>
        <v>-4072280</v>
      </c>
    </row>
    <row r="3866" spans="1:4" ht="18" customHeight="1" x14ac:dyDescent="0.25">
      <c r="A3866" s="2" t="s">
        <v>5287</v>
      </c>
      <c r="B3866" s="7">
        <v>4190530</v>
      </c>
      <c r="C3866" s="7">
        <v>22500000</v>
      </c>
      <c r="D3866" s="7">
        <f t="shared" si="61"/>
        <v>-18309470</v>
      </c>
    </row>
    <row r="3867" spans="1:4" ht="18" customHeight="1" x14ac:dyDescent="0.25">
      <c r="A3867" s="2" t="s">
        <v>1980</v>
      </c>
      <c r="B3867" s="7">
        <v>48334413</v>
      </c>
      <c r="C3867" s="7">
        <v>5000000</v>
      </c>
      <c r="D3867" s="7">
        <f t="shared" si="61"/>
        <v>43334413</v>
      </c>
    </row>
    <row r="3868" spans="1:4" ht="18" customHeight="1" x14ac:dyDescent="0.25">
      <c r="A3868" s="2" t="s">
        <v>5071</v>
      </c>
      <c r="B3868" s="7">
        <v>6047856</v>
      </c>
      <c r="C3868" s="7">
        <v>8500000</v>
      </c>
      <c r="D3868" s="7">
        <f t="shared" si="61"/>
        <v>-2452144</v>
      </c>
    </row>
    <row r="3869" spans="1:4" ht="18" customHeight="1" x14ac:dyDescent="0.25">
      <c r="A3869" s="2" t="s">
        <v>3916</v>
      </c>
      <c r="B3869" s="7">
        <v>21501098</v>
      </c>
      <c r="C3869" s="7">
        <v>5000000</v>
      </c>
      <c r="D3869" s="7">
        <f t="shared" si="61"/>
        <v>16501098</v>
      </c>
    </row>
    <row r="3870" spans="1:4" ht="18" customHeight="1" x14ac:dyDescent="0.25">
      <c r="A3870" s="2" t="s">
        <v>4564</v>
      </c>
      <c r="B3870" s="7">
        <v>12469811</v>
      </c>
      <c r="C3870" s="7">
        <v>22000000</v>
      </c>
      <c r="D3870" s="7">
        <f t="shared" si="61"/>
        <v>-9530189</v>
      </c>
    </row>
    <row r="3871" spans="1:4" ht="18" customHeight="1" x14ac:dyDescent="0.25">
      <c r="A3871" s="2" t="s">
        <v>3425</v>
      </c>
      <c r="B3871" s="7">
        <v>31585300</v>
      </c>
      <c r="C3871" s="7">
        <v>15000000</v>
      </c>
      <c r="D3871" s="7">
        <f t="shared" si="61"/>
        <v>16585300</v>
      </c>
    </row>
    <row r="3872" spans="1:4" ht="18" customHeight="1" x14ac:dyDescent="0.25">
      <c r="A3872" s="2" t="s">
        <v>817</v>
      </c>
      <c r="B3872" s="7">
        <v>60400856</v>
      </c>
      <c r="C3872" s="7">
        <v>35000000</v>
      </c>
      <c r="D3872" s="7">
        <f t="shared" si="61"/>
        <v>25400856</v>
      </c>
    </row>
    <row r="3873" spans="1:4" ht="18" customHeight="1" x14ac:dyDescent="0.25">
      <c r="A3873" s="2" t="s">
        <v>6321</v>
      </c>
      <c r="B3873" s="7">
        <v>127144</v>
      </c>
      <c r="C3873" s="7">
        <v>8000000</v>
      </c>
      <c r="D3873" s="7">
        <f t="shared" si="61"/>
        <v>-7872856</v>
      </c>
    </row>
    <row r="3874" spans="1:4" ht="18" customHeight="1" x14ac:dyDescent="0.25">
      <c r="A3874" s="2" t="s">
        <v>5673</v>
      </c>
      <c r="B3874" s="7">
        <v>1666262</v>
      </c>
      <c r="C3874" s="7">
        <v>16000000</v>
      </c>
      <c r="D3874" s="7">
        <f t="shared" si="61"/>
        <v>-14333738</v>
      </c>
    </row>
    <row r="3875" spans="1:4" ht="18" customHeight="1" x14ac:dyDescent="0.25">
      <c r="A3875" s="2" t="s">
        <v>5578</v>
      </c>
      <c r="B3875" s="7">
        <v>2222647</v>
      </c>
      <c r="C3875" s="7">
        <v>12000000</v>
      </c>
      <c r="D3875" s="7">
        <f t="shared" si="61"/>
        <v>-9777353</v>
      </c>
    </row>
    <row r="3876" spans="1:4" ht="18" customHeight="1" x14ac:dyDescent="0.25">
      <c r="A3876" s="2" t="s">
        <v>900</v>
      </c>
      <c r="B3876" s="7">
        <v>57262492</v>
      </c>
      <c r="C3876" s="7">
        <v>24000000</v>
      </c>
      <c r="D3876" s="7">
        <f t="shared" si="61"/>
        <v>33262492</v>
      </c>
    </row>
    <row r="3877" spans="1:4" ht="18" customHeight="1" x14ac:dyDescent="0.25">
      <c r="A3877" s="2" t="s">
        <v>4237</v>
      </c>
      <c r="B3877" s="7">
        <v>16323969</v>
      </c>
      <c r="C3877" s="7">
        <v>40000000</v>
      </c>
      <c r="D3877" s="7">
        <f t="shared" si="61"/>
        <v>-23676031</v>
      </c>
    </row>
    <row r="3878" spans="1:4" ht="18" customHeight="1" x14ac:dyDescent="0.25">
      <c r="A3878" s="2" t="s">
        <v>1910</v>
      </c>
      <c r="B3878" s="7">
        <v>48334413</v>
      </c>
      <c r="C3878" s="7">
        <v>8000000</v>
      </c>
      <c r="D3878" s="7">
        <f t="shared" si="61"/>
        <v>40334413</v>
      </c>
    </row>
    <row r="3879" spans="1:4" ht="18" customHeight="1" x14ac:dyDescent="0.25">
      <c r="A3879" s="2" t="s">
        <v>2400</v>
      </c>
      <c r="B3879" s="7">
        <v>48334413</v>
      </c>
      <c r="C3879" s="7">
        <v>1200000</v>
      </c>
      <c r="D3879" s="7">
        <f t="shared" si="61"/>
        <v>47134413</v>
      </c>
    </row>
    <row r="3880" spans="1:4" ht="18" customHeight="1" x14ac:dyDescent="0.25">
      <c r="A3880" s="2" t="s">
        <v>1960</v>
      </c>
      <c r="B3880" s="7">
        <v>48334413</v>
      </c>
      <c r="C3880" s="7">
        <v>6244087</v>
      </c>
      <c r="D3880" s="7">
        <f t="shared" si="61"/>
        <v>42090326</v>
      </c>
    </row>
    <row r="3881" spans="1:4" ht="18" customHeight="1" x14ac:dyDescent="0.25">
      <c r="A3881" s="2" t="s">
        <v>3025</v>
      </c>
      <c r="B3881" s="7">
        <v>39880476</v>
      </c>
      <c r="C3881" s="7">
        <v>25000000</v>
      </c>
      <c r="D3881" s="7">
        <f t="shared" si="61"/>
        <v>14880476</v>
      </c>
    </row>
    <row r="3882" spans="1:4" ht="18" customHeight="1" x14ac:dyDescent="0.25">
      <c r="A3882" s="2" t="s">
        <v>5647</v>
      </c>
      <c r="B3882" s="7">
        <v>1829142</v>
      </c>
      <c r="C3882" s="7">
        <v>39751583.5</v>
      </c>
      <c r="D3882" s="7">
        <f t="shared" si="61"/>
        <v>-37922441.5</v>
      </c>
    </row>
    <row r="3883" spans="1:4" ht="18" customHeight="1" x14ac:dyDescent="0.25">
      <c r="A3883" s="2" t="s">
        <v>3748</v>
      </c>
      <c r="B3883" s="7">
        <v>25138292</v>
      </c>
      <c r="C3883" s="7">
        <v>3500000</v>
      </c>
      <c r="D3883" s="7">
        <f t="shared" si="61"/>
        <v>21638292</v>
      </c>
    </row>
    <row r="3884" spans="1:4" ht="18" customHeight="1" x14ac:dyDescent="0.25">
      <c r="A3884" s="2" t="s">
        <v>4518</v>
      </c>
      <c r="B3884" s="7">
        <v>13000000</v>
      </c>
      <c r="C3884" s="7">
        <v>24000000</v>
      </c>
      <c r="D3884" s="7">
        <f t="shared" si="61"/>
        <v>-11000000</v>
      </c>
    </row>
    <row r="3885" spans="1:4" ht="18" customHeight="1" x14ac:dyDescent="0.25">
      <c r="A3885" s="2" t="s">
        <v>3888</v>
      </c>
      <c r="B3885" s="7">
        <v>22202612</v>
      </c>
      <c r="C3885" s="7">
        <v>2800000</v>
      </c>
      <c r="D3885" s="7">
        <f t="shared" si="61"/>
        <v>19402612</v>
      </c>
    </row>
    <row r="3886" spans="1:4" ht="18" customHeight="1" x14ac:dyDescent="0.25">
      <c r="A3886" s="2" t="s">
        <v>6356</v>
      </c>
      <c r="B3886" s="7">
        <v>110720</v>
      </c>
      <c r="C3886" s="7">
        <v>1200000</v>
      </c>
      <c r="D3886" s="7">
        <f t="shared" si="61"/>
        <v>-1089280</v>
      </c>
    </row>
    <row r="3887" spans="1:4" ht="18" customHeight="1" x14ac:dyDescent="0.25">
      <c r="A3887" s="2" t="s">
        <v>994</v>
      </c>
      <c r="B3887" s="7">
        <v>54322273</v>
      </c>
      <c r="C3887" s="7">
        <v>17000000</v>
      </c>
      <c r="D3887" s="7">
        <f t="shared" si="61"/>
        <v>37322273</v>
      </c>
    </row>
    <row r="3888" spans="1:4" ht="18" customHeight="1" x14ac:dyDescent="0.25">
      <c r="A3888" s="2" t="s">
        <v>3634</v>
      </c>
      <c r="B3888" s="7">
        <v>26896744</v>
      </c>
      <c r="C3888" s="7">
        <v>16500000</v>
      </c>
      <c r="D3888" s="7">
        <f t="shared" si="61"/>
        <v>10396744</v>
      </c>
    </row>
    <row r="3889" spans="1:4" ht="18" customHeight="1" x14ac:dyDescent="0.25">
      <c r="A3889" s="2" t="s">
        <v>3757</v>
      </c>
      <c r="B3889" s="7">
        <v>25047631</v>
      </c>
      <c r="C3889" s="7">
        <v>6000000</v>
      </c>
      <c r="D3889" s="7">
        <f t="shared" si="61"/>
        <v>19047631</v>
      </c>
    </row>
    <row r="3890" spans="1:4" ht="18" customHeight="1" x14ac:dyDescent="0.25">
      <c r="A3890" s="2" t="s">
        <v>4635</v>
      </c>
      <c r="B3890" s="7">
        <v>11434867</v>
      </c>
      <c r="C3890" s="7">
        <v>6000000</v>
      </c>
      <c r="D3890" s="7">
        <f t="shared" si="61"/>
        <v>5434867</v>
      </c>
    </row>
    <row r="3891" spans="1:4" ht="18" customHeight="1" x14ac:dyDescent="0.25">
      <c r="A3891" s="2" t="s">
        <v>5618</v>
      </c>
      <c r="B3891" s="7">
        <v>2024854</v>
      </c>
      <c r="C3891" s="7">
        <v>6500000</v>
      </c>
      <c r="D3891" s="7">
        <f t="shared" si="61"/>
        <v>-4475146</v>
      </c>
    </row>
    <row r="3892" spans="1:4" ht="18" customHeight="1" x14ac:dyDescent="0.25">
      <c r="A3892" s="2" t="s">
        <v>5393</v>
      </c>
      <c r="B3892" s="7">
        <v>3347439</v>
      </c>
      <c r="C3892" s="7">
        <v>7500000</v>
      </c>
      <c r="D3892" s="7">
        <f t="shared" si="61"/>
        <v>-4152561</v>
      </c>
    </row>
    <row r="3893" spans="1:4" ht="18" customHeight="1" x14ac:dyDescent="0.25">
      <c r="A3893" s="2" t="s">
        <v>2670</v>
      </c>
      <c r="B3893" s="7">
        <v>48334413</v>
      </c>
      <c r="C3893" s="7">
        <v>103000</v>
      </c>
      <c r="D3893" s="7">
        <f t="shared" si="61"/>
        <v>48231413</v>
      </c>
    </row>
    <row r="3894" spans="1:4" ht="18" customHeight="1" x14ac:dyDescent="0.25">
      <c r="A3894" s="2" t="s">
        <v>2646</v>
      </c>
      <c r="B3894" s="7">
        <v>48334413</v>
      </c>
      <c r="C3894" s="7">
        <v>168000</v>
      </c>
      <c r="D3894" s="7">
        <f t="shared" si="61"/>
        <v>48166413</v>
      </c>
    </row>
    <row r="3895" spans="1:4" ht="18" customHeight="1" x14ac:dyDescent="0.25">
      <c r="A3895" s="2" t="s">
        <v>3683</v>
      </c>
      <c r="B3895" s="7">
        <v>26003149</v>
      </c>
      <c r="C3895" s="7">
        <v>20000000</v>
      </c>
      <c r="D3895" s="7">
        <f t="shared" si="61"/>
        <v>6003149</v>
      </c>
    </row>
    <row r="3896" spans="1:4" ht="18" customHeight="1" x14ac:dyDescent="0.25">
      <c r="A3896" s="2" t="s">
        <v>5169</v>
      </c>
      <c r="B3896" s="7">
        <v>5128124</v>
      </c>
      <c r="C3896" s="7">
        <v>25000000</v>
      </c>
      <c r="D3896" s="7">
        <f t="shared" si="61"/>
        <v>-19871876</v>
      </c>
    </row>
    <row r="3897" spans="1:4" ht="18" customHeight="1" x14ac:dyDescent="0.25">
      <c r="A3897" s="2" t="s">
        <v>5378</v>
      </c>
      <c r="B3897" s="7">
        <v>3500000</v>
      </c>
      <c r="C3897" s="7">
        <v>2700000</v>
      </c>
      <c r="D3897" s="7">
        <f t="shared" si="61"/>
        <v>800000</v>
      </c>
    </row>
    <row r="3898" spans="1:4" ht="18" customHeight="1" x14ac:dyDescent="0.25">
      <c r="A3898" s="2" t="s">
        <v>3671</v>
      </c>
      <c r="B3898" s="7">
        <v>26236603</v>
      </c>
      <c r="C3898" s="7">
        <v>6000000</v>
      </c>
      <c r="D3898" s="7">
        <f t="shared" si="61"/>
        <v>20236603</v>
      </c>
    </row>
    <row r="3899" spans="1:4" ht="18" customHeight="1" x14ac:dyDescent="0.25">
      <c r="A3899" s="2" t="s">
        <v>3956</v>
      </c>
      <c r="B3899" s="7">
        <v>20981633</v>
      </c>
      <c r="C3899" s="7">
        <v>30000000</v>
      </c>
      <c r="D3899" s="7">
        <f t="shared" si="61"/>
        <v>-9018367</v>
      </c>
    </row>
    <row r="3900" spans="1:4" ht="18" customHeight="1" x14ac:dyDescent="0.25">
      <c r="A3900" s="2" t="s">
        <v>353</v>
      </c>
      <c r="B3900" s="7">
        <v>83892374</v>
      </c>
      <c r="C3900" s="7">
        <v>66000000</v>
      </c>
      <c r="D3900" s="7">
        <f t="shared" si="61"/>
        <v>17892374</v>
      </c>
    </row>
    <row r="3901" spans="1:4" ht="18" customHeight="1" x14ac:dyDescent="0.25">
      <c r="A3901" s="2" t="s">
        <v>5849</v>
      </c>
      <c r="B3901" s="7">
        <v>882710</v>
      </c>
      <c r="C3901" s="7">
        <v>24000000</v>
      </c>
      <c r="D3901" s="7">
        <f t="shared" si="61"/>
        <v>-23117290</v>
      </c>
    </row>
    <row r="3902" spans="1:4" ht="18" customHeight="1" x14ac:dyDescent="0.25">
      <c r="A3902" s="2" t="s">
        <v>6123</v>
      </c>
      <c r="B3902" s="7">
        <v>317040</v>
      </c>
      <c r="C3902" s="7">
        <v>15500000</v>
      </c>
      <c r="D3902" s="7">
        <f t="shared" si="61"/>
        <v>-15182960</v>
      </c>
    </row>
    <row r="3903" spans="1:4" ht="18" customHeight="1" x14ac:dyDescent="0.25">
      <c r="A3903" s="2" t="s">
        <v>6398</v>
      </c>
      <c r="B3903" s="7">
        <v>99462</v>
      </c>
      <c r="C3903" s="7">
        <v>33000000</v>
      </c>
      <c r="D3903" s="7">
        <f t="shared" si="61"/>
        <v>-32900538</v>
      </c>
    </row>
    <row r="3904" spans="1:4" ht="18" customHeight="1" x14ac:dyDescent="0.25">
      <c r="A3904" s="2" t="s">
        <v>5031</v>
      </c>
      <c r="B3904" s="7">
        <v>6462576</v>
      </c>
      <c r="C3904" s="7">
        <v>18500000</v>
      </c>
      <c r="D3904" s="7">
        <f t="shared" si="61"/>
        <v>-12037424</v>
      </c>
    </row>
    <row r="3905" spans="1:4" ht="18" customHeight="1" x14ac:dyDescent="0.25">
      <c r="A3905" s="2" t="s">
        <v>6476</v>
      </c>
      <c r="B3905" s="7">
        <v>58163</v>
      </c>
      <c r="C3905" s="7">
        <v>39751583.5</v>
      </c>
      <c r="D3905" s="7">
        <f t="shared" si="61"/>
        <v>-39693420.5</v>
      </c>
    </row>
    <row r="3906" spans="1:4" ht="18" customHeight="1" x14ac:dyDescent="0.25">
      <c r="A3906" s="2" t="s">
        <v>4656</v>
      </c>
      <c r="B3906" s="7">
        <v>10991381</v>
      </c>
      <c r="C3906" s="7">
        <v>35000000</v>
      </c>
      <c r="D3906" s="7">
        <f t="shared" si="61"/>
        <v>-24008619</v>
      </c>
    </row>
    <row r="3907" spans="1:4" ht="18" customHeight="1" x14ac:dyDescent="0.25">
      <c r="A3907" s="2" t="s">
        <v>5794</v>
      </c>
      <c r="B3907" s="7">
        <v>1068392</v>
      </c>
      <c r="C3907" s="7">
        <v>36000000</v>
      </c>
      <c r="D3907" s="7">
        <f t="shared" si="61"/>
        <v>-34931608</v>
      </c>
    </row>
    <row r="3908" spans="1:4" ht="18" customHeight="1" x14ac:dyDescent="0.25">
      <c r="A3908" s="2" t="s">
        <v>6327</v>
      </c>
      <c r="B3908" s="7">
        <v>125169</v>
      </c>
      <c r="C3908" s="7">
        <v>10500000</v>
      </c>
      <c r="D3908" s="7">
        <f t="shared" si="61"/>
        <v>-10374831</v>
      </c>
    </row>
    <row r="3909" spans="1:4" ht="18" customHeight="1" x14ac:dyDescent="0.25">
      <c r="A3909" s="2" t="s">
        <v>3007</v>
      </c>
      <c r="B3909" s="7">
        <v>40218903</v>
      </c>
      <c r="C3909" s="7">
        <v>25000000</v>
      </c>
      <c r="D3909" s="7">
        <f t="shared" ref="D3909:D3972" si="62">B3909-C3909</f>
        <v>15218903</v>
      </c>
    </row>
    <row r="3910" spans="1:4" ht="18" customHeight="1" x14ac:dyDescent="0.25">
      <c r="A3910" s="2" t="s">
        <v>2636</v>
      </c>
      <c r="B3910" s="7">
        <v>48334413</v>
      </c>
      <c r="C3910" s="7">
        <v>200000</v>
      </c>
      <c r="D3910" s="7">
        <f t="shared" si="62"/>
        <v>48134413</v>
      </c>
    </row>
    <row r="3911" spans="1:4" ht="18" customHeight="1" x14ac:dyDescent="0.25">
      <c r="A3911" s="2" t="s">
        <v>1434</v>
      </c>
      <c r="B3911" s="7">
        <v>48334413</v>
      </c>
      <c r="C3911" s="7">
        <v>39751583.5</v>
      </c>
      <c r="D3911" s="7">
        <f t="shared" si="62"/>
        <v>8582829.5</v>
      </c>
    </row>
    <row r="3912" spans="1:4" ht="18" customHeight="1" x14ac:dyDescent="0.25">
      <c r="A3912" s="2" t="s">
        <v>4515</v>
      </c>
      <c r="B3912" s="7">
        <v>13008928</v>
      </c>
      <c r="C3912" s="7">
        <v>4000000</v>
      </c>
      <c r="D3912" s="7">
        <f t="shared" si="62"/>
        <v>9008928</v>
      </c>
    </row>
    <row r="3913" spans="1:4" ht="18" customHeight="1" x14ac:dyDescent="0.25">
      <c r="A3913" s="2" t="s">
        <v>2572</v>
      </c>
      <c r="B3913" s="7">
        <v>48334413</v>
      </c>
      <c r="C3913" s="7">
        <v>400000</v>
      </c>
      <c r="D3913" s="7">
        <f t="shared" si="62"/>
        <v>47934413</v>
      </c>
    </row>
    <row r="3914" spans="1:4" ht="18" customHeight="1" x14ac:dyDescent="0.25">
      <c r="A3914" s="2" t="s">
        <v>4542</v>
      </c>
      <c r="B3914" s="7">
        <v>12693621</v>
      </c>
      <c r="C3914" s="7">
        <v>17000000</v>
      </c>
      <c r="D3914" s="7">
        <f t="shared" si="62"/>
        <v>-4306379</v>
      </c>
    </row>
    <row r="3915" spans="1:4" ht="18" customHeight="1" x14ac:dyDescent="0.25">
      <c r="A3915" s="2" t="s">
        <v>5991</v>
      </c>
      <c r="B3915" s="7">
        <v>529766</v>
      </c>
      <c r="C3915" s="7">
        <v>7000000</v>
      </c>
      <c r="D3915" s="7">
        <f t="shared" si="62"/>
        <v>-6470234</v>
      </c>
    </row>
    <row r="3916" spans="1:4" ht="18" customHeight="1" x14ac:dyDescent="0.25">
      <c r="A3916" s="2" t="s">
        <v>5491</v>
      </c>
      <c r="B3916" s="7">
        <v>2849142</v>
      </c>
      <c r="C3916" s="7">
        <v>16000000</v>
      </c>
      <c r="D3916" s="7">
        <f t="shared" si="62"/>
        <v>-13150858</v>
      </c>
    </row>
    <row r="3917" spans="1:4" ht="18" customHeight="1" x14ac:dyDescent="0.25">
      <c r="A3917" s="2" t="s">
        <v>721</v>
      </c>
      <c r="B3917" s="7">
        <v>65182182</v>
      </c>
      <c r="C3917" s="7">
        <v>24000000</v>
      </c>
      <c r="D3917" s="7">
        <f t="shared" si="62"/>
        <v>41182182</v>
      </c>
    </row>
    <row r="3918" spans="1:4" ht="18" customHeight="1" x14ac:dyDescent="0.25">
      <c r="A3918" s="2" t="s">
        <v>249</v>
      </c>
      <c r="B3918" s="7">
        <v>91547205</v>
      </c>
      <c r="C3918" s="7">
        <v>12000000</v>
      </c>
      <c r="D3918" s="7">
        <f t="shared" si="62"/>
        <v>79547205</v>
      </c>
    </row>
    <row r="3919" spans="1:4" ht="18" customHeight="1" x14ac:dyDescent="0.25">
      <c r="A3919" s="2" t="s">
        <v>4327</v>
      </c>
      <c r="B3919" s="7">
        <v>15171475</v>
      </c>
      <c r="C3919" s="7">
        <v>8500000</v>
      </c>
      <c r="D3919" s="7">
        <f t="shared" si="62"/>
        <v>6671475</v>
      </c>
    </row>
    <row r="3920" spans="1:4" ht="18" customHeight="1" x14ac:dyDescent="0.25">
      <c r="A3920" s="2" t="s">
        <v>2958</v>
      </c>
      <c r="B3920" s="7">
        <v>41867960</v>
      </c>
      <c r="C3920" s="7">
        <v>20000000</v>
      </c>
      <c r="D3920" s="7">
        <f t="shared" si="62"/>
        <v>21867960</v>
      </c>
    </row>
    <row r="3921" spans="1:4" ht="18" customHeight="1" x14ac:dyDescent="0.25">
      <c r="A3921" s="2" t="s">
        <v>5403</v>
      </c>
      <c r="B3921" s="7">
        <v>3287435</v>
      </c>
      <c r="C3921" s="7">
        <v>4500000</v>
      </c>
      <c r="D3921" s="7">
        <f t="shared" si="62"/>
        <v>-1212565</v>
      </c>
    </row>
    <row r="3922" spans="1:4" ht="18" customHeight="1" x14ac:dyDescent="0.25">
      <c r="A3922" s="2" t="s">
        <v>3271</v>
      </c>
      <c r="B3922" s="7">
        <v>34566746</v>
      </c>
      <c r="C3922" s="7">
        <v>80000000</v>
      </c>
      <c r="D3922" s="7">
        <f t="shared" si="62"/>
        <v>-45433254</v>
      </c>
    </row>
    <row r="3923" spans="1:4" ht="18" customHeight="1" x14ac:dyDescent="0.25">
      <c r="A3923" s="2" t="s">
        <v>5230</v>
      </c>
      <c r="B3923" s="7">
        <v>4599680</v>
      </c>
      <c r="C3923" s="7">
        <v>1500000</v>
      </c>
      <c r="D3923" s="7">
        <f t="shared" si="62"/>
        <v>3099680</v>
      </c>
    </row>
    <row r="3924" spans="1:4" ht="18" customHeight="1" x14ac:dyDescent="0.25">
      <c r="A3924" s="2" t="s">
        <v>1186</v>
      </c>
      <c r="B3924" s="7">
        <v>49121934</v>
      </c>
      <c r="C3924" s="7">
        <v>13000000</v>
      </c>
      <c r="D3924" s="7">
        <f t="shared" si="62"/>
        <v>36121934</v>
      </c>
    </row>
    <row r="3925" spans="1:4" ht="18" customHeight="1" x14ac:dyDescent="0.25">
      <c r="A3925" s="2" t="s">
        <v>665</v>
      </c>
      <c r="B3925" s="7">
        <v>67523385</v>
      </c>
      <c r="C3925" s="7">
        <v>35000000</v>
      </c>
      <c r="D3925" s="7">
        <f t="shared" si="62"/>
        <v>32523385</v>
      </c>
    </row>
    <row r="3926" spans="1:4" ht="18" customHeight="1" x14ac:dyDescent="0.25">
      <c r="A3926" s="2" t="s">
        <v>6113</v>
      </c>
      <c r="B3926" s="7">
        <v>327919</v>
      </c>
      <c r="C3926" s="7">
        <v>1500000</v>
      </c>
      <c r="D3926" s="7">
        <f t="shared" si="62"/>
        <v>-1172081</v>
      </c>
    </row>
    <row r="3927" spans="1:4" ht="18" customHeight="1" x14ac:dyDescent="0.25">
      <c r="A3927" s="2" t="s">
        <v>586</v>
      </c>
      <c r="B3927" s="7">
        <v>71844424</v>
      </c>
      <c r="C3927" s="7">
        <v>60000000</v>
      </c>
      <c r="D3927" s="7">
        <f t="shared" si="62"/>
        <v>11844424</v>
      </c>
    </row>
    <row r="3928" spans="1:4" ht="18" customHeight="1" x14ac:dyDescent="0.25">
      <c r="A3928" s="2" t="s">
        <v>2715</v>
      </c>
      <c r="B3928" s="7">
        <v>48334413</v>
      </c>
      <c r="C3928" s="7">
        <v>42000</v>
      </c>
      <c r="D3928" s="7">
        <f t="shared" si="62"/>
        <v>48292413</v>
      </c>
    </row>
    <row r="3929" spans="1:4" ht="18" customHeight="1" x14ac:dyDescent="0.25">
      <c r="A3929" s="2" t="s">
        <v>150</v>
      </c>
      <c r="B3929" s="7">
        <v>101470202</v>
      </c>
      <c r="C3929" s="7">
        <v>32000000</v>
      </c>
      <c r="D3929" s="7">
        <f t="shared" si="62"/>
        <v>69470202</v>
      </c>
    </row>
    <row r="3930" spans="1:4" ht="18" customHeight="1" x14ac:dyDescent="0.25">
      <c r="A3930" s="2" t="s">
        <v>3284</v>
      </c>
      <c r="B3930" s="7">
        <v>34290142</v>
      </c>
      <c r="C3930" s="7">
        <v>19800000</v>
      </c>
      <c r="D3930" s="7">
        <f t="shared" si="62"/>
        <v>14490142</v>
      </c>
    </row>
    <row r="3931" spans="1:4" ht="18" customHeight="1" x14ac:dyDescent="0.25">
      <c r="A3931" s="2" t="s">
        <v>983</v>
      </c>
      <c r="B3931" s="7">
        <v>54758461</v>
      </c>
      <c r="C3931" s="7">
        <v>65000000</v>
      </c>
      <c r="D3931" s="7">
        <f t="shared" si="62"/>
        <v>-10241539</v>
      </c>
    </row>
    <row r="3932" spans="1:4" ht="18" customHeight="1" x14ac:dyDescent="0.25">
      <c r="A3932" s="2" t="s">
        <v>1458</v>
      </c>
      <c r="B3932" s="7">
        <v>48334413</v>
      </c>
      <c r="C3932" s="7">
        <v>39751583.5</v>
      </c>
      <c r="D3932" s="7">
        <f t="shared" si="62"/>
        <v>8582829.5</v>
      </c>
    </row>
    <row r="3933" spans="1:4" ht="18" customHeight="1" x14ac:dyDescent="0.25">
      <c r="A3933" s="2" t="s">
        <v>4281</v>
      </c>
      <c r="B3933" s="7">
        <v>15911333</v>
      </c>
      <c r="C3933" s="7">
        <v>19000000</v>
      </c>
      <c r="D3933" s="7">
        <f t="shared" si="62"/>
        <v>-3088667</v>
      </c>
    </row>
    <row r="3934" spans="1:4" ht="18" customHeight="1" x14ac:dyDescent="0.25">
      <c r="A3934" s="2" t="s">
        <v>5831</v>
      </c>
      <c r="B3934" s="7">
        <v>978908</v>
      </c>
      <c r="C3934" s="7">
        <v>2400000</v>
      </c>
      <c r="D3934" s="7">
        <f t="shared" si="62"/>
        <v>-1421092</v>
      </c>
    </row>
    <row r="3935" spans="1:4" ht="18" customHeight="1" x14ac:dyDescent="0.25">
      <c r="A3935" s="2" t="s">
        <v>5175</v>
      </c>
      <c r="B3935" s="7">
        <v>5023275</v>
      </c>
      <c r="C3935" s="7">
        <v>15000000</v>
      </c>
      <c r="D3935" s="7">
        <f t="shared" si="62"/>
        <v>-9976725</v>
      </c>
    </row>
    <row r="3936" spans="1:4" ht="18" customHeight="1" x14ac:dyDescent="0.25">
      <c r="A3936" s="2" t="s">
        <v>1652</v>
      </c>
      <c r="B3936" s="7">
        <v>48334413</v>
      </c>
      <c r="C3936" s="7">
        <v>25000000</v>
      </c>
      <c r="D3936" s="7">
        <f t="shared" si="62"/>
        <v>23334413</v>
      </c>
    </row>
    <row r="3937" spans="1:4" ht="18" customHeight="1" x14ac:dyDescent="0.25">
      <c r="A3937" s="2" t="s">
        <v>808</v>
      </c>
      <c r="B3937" s="7">
        <v>60652036</v>
      </c>
      <c r="C3937" s="7">
        <v>48000000</v>
      </c>
      <c r="D3937" s="7">
        <f t="shared" si="62"/>
        <v>12652036</v>
      </c>
    </row>
    <row r="3938" spans="1:4" ht="18" customHeight="1" x14ac:dyDescent="0.25">
      <c r="A3938" s="2" t="s">
        <v>4689</v>
      </c>
      <c r="B3938" s="7">
        <v>10544143</v>
      </c>
      <c r="C3938" s="7">
        <v>20000000</v>
      </c>
      <c r="D3938" s="7">
        <f t="shared" si="62"/>
        <v>-9455857</v>
      </c>
    </row>
    <row r="3939" spans="1:4" ht="18" customHeight="1" x14ac:dyDescent="0.25">
      <c r="A3939" s="2" t="s">
        <v>5719</v>
      </c>
      <c r="B3939" s="7">
        <v>1325073</v>
      </c>
      <c r="C3939" s="7">
        <v>4000000</v>
      </c>
      <c r="D3939" s="7">
        <f t="shared" si="62"/>
        <v>-2674927</v>
      </c>
    </row>
    <row r="3940" spans="1:4" ht="18" customHeight="1" x14ac:dyDescent="0.25">
      <c r="A3940" s="2" t="s">
        <v>6707</v>
      </c>
      <c r="B3940" s="7">
        <v>4091</v>
      </c>
      <c r="C3940" s="7">
        <v>34000000</v>
      </c>
      <c r="D3940" s="7">
        <f t="shared" si="62"/>
        <v>-33995909</v>
      </c>
    </row>
    <row r="3941" spans="1:4" ht="18" customHeight="1" x14ac:dyDescent="0.25">
      <c r="A3941" s="2" t="s">
        <v>755</v>
      </c>
      <c r="B3941" s="7">
        <v>63600000</v>
      </c>
      <c r="C3941" s="7">
        <v>9000000</v>
      </c>
      <c r="D3941" s="7">
        <f t="shared" si="62"/>
        <v>54600000</v>
      </c>
    </row>
    <row r="3942" spans="1:4" ht="18" customHeight="1" x14ac:dyDescent="0.25">
      <c r="A3942" s="2" t="s">
        <v>4987</v>
      </c>
      <c r="B3942" s="7">
        <v>6768055</v>
      </c>
      <c r="C3942" s="7">
        <v>57000000</v>
      </c>
      <c r="D3942" s="7">
        <f t="shared" si="62"/>
        <v>-50231945</v>
      </c>
    </row>
    <row r="3943" spans="1:4" ht="18" customHeight="1" x14ac:dyDescent="0.25">
      <c r="A3943" s="2" t="s">
        <v>1311</v>
      </c>
      <c r="B3943" s="7">
        <v>48334413</v>
      </c>
      <c r="C3943" s="7">
        <v>39751583.5</v>
      </c>
      <c r="D3943" s="7">
        <f t="shared" si="62"/>
        <v>8582829.5</v>
      </c>
    </row>
    <row r="3944" spans="1:4" ht="18" customHeight="1" x14ac:dyDescent="0.25">
      <c r="A3944" s="2" t="s">
        <v>2687</v>
      </c>
      <c r="B3944" s="7">
        <v>48334413</v>
      </c>
      <c r="C3944" s="7">
        <v>100000</v>
      </c>
      <c r="D3944" s="7">
        <f t="shared" si="62"/>
        <v>48234413</v>
      </c>
    </row>
    <row r="3945" spans="1:4" ht="18" customHeight="1" x14ac:dyDescent="0.25">
      <c r="A3945" s="2" t="s">
        <v>6226</v>
      </c>
      <c r="B3945" s="7">
        <v>200803</v>
      </c>
      <c r="C3945" s="7">
        <v>3000000</v>
      </c>
      <c r="D3945" s="7">
        <f t="shared" si="62"/>
        <v>-2799197</v>
      </c>
    </row>
    <row r="3946" spans="1:4" ht="18" customHeight="1" x14ac:dyDescent="0.25">
      <c r="A3946" s="2" t="s">
        <v>2204</v>
      </c>
      <c r="B3946" s="7">
        <v>48334413</v>
      </c>
      <c r="C3946" s="7">
        <v>2600000</v>
      </c>
      <c r="D3946" s="7">
        <f t="shared" si="62"/>
        <v>45734413</v>
      </c>
    </row>
    <row r="3947" spans="1:4" ht="18" customHeight="1" x14ac:dyDescent="0.25">
      <c r="A3947" s="2" t="s">
        <v>2938</v>
      </c>
      <c r="B3947" s="7">
        <v>42365600</v>
      </c>
      <c r="C3947" s="7">
        <v>5000000</v>
      </c>
      <c r="D3947" s="7">
        <f t="shared" si="62"/>
        <v>37365600</v>
      </c>
    </row>
    <row r="3948" spans="1:4" ht="18" customHeight="1" x14ac:dyDescent="0.25">
      <c r="A3948" s="2" t="s">
        <v>6627</v>
      </c>
      <c r="B3948" s="7">
        <v>15278</v>
      </c>
      <c r="C3948" s="7">
        <v>825000</v>
      </c>
      <c r="D3948" s="7">
        <f t="shared" si="62"/>
        <v>-809722</v>
      </c>
    </row>
    <row r="3949" spans="1:4" ht="18" customHeight="1" x14ac:dyDescent="0.25">
      <c r="A3949" s="2" t="s">
        <v>6546</v>
      </c>
      <c r="B3949" s="7">
        <v>29233</v>
      </c>
      <c r="C3949" s="7">
        <v>3500000</v>
      </c>
      <c r="D3949" s="7">
        <f t="shared" si="62"/>
        <v>-3470767</v>
      </c>
    </row>
    <row r="3950" spans="1:4" ht="18" customHeight="1" x14ac:dyDescent="0.25">
      <c r="A3950" s="2" t="s">
        <v>2871</v>
      </c>
      <c r="B3950" s="7">
        <v>44450000</v>
      </c>
      <c r="C3950" s="7">
        <v>27000000</v>
      </c>
      <c r="D3950" s="7">
        <f t="shared" si="62"/>
        <v>17450000</v>
      </c>
    </row>
    <row r="3951" spans="1:4" ht="18" customHeight="1" x14ac:dyDescent="0.25">
      <c r="A3951" s="2" t="s">
        <v>6523</v>
      </c>
      <c r="B3951" s="7">
        <v>38108</v>
      </c>
      <c r="C3951" s="7">
        <v>2600000</v>
      </c>
      <c r="D3951" s="7">
        <f t="shared" si="62"/>
        <v>-2561892</v>
      </c>
    </row>
    <row r="3952" spans="1:4" ht="18" customHeight="1" x14ac:dyDescent="0.25">
      <c r="A3952" s="2" t="s">
        <v>4032</v>
      </c>
      <c r="B3952" s="7">
        <v>19480739</v>
      </c>
      <c r="C3952" s="7">
        <v>80000000</v>
      </c>
      <c r="D3952" s="7">
        <f t="shared" si="62"/>
        <v>-60519261</v>
      </c>
    </row>
    <row r="3953" spans="1:4" ht="18" customHeight="1" x14ac:dyDescent="0.25">
      <c r="A3953" s="2" t="s">
        <v>2739</v>
      </c>
      <c r="B3953" s="7">
        <v>48334413</v>
      </c>
      <c r="C3953" s="7">
        <v>10000</v>
      </c>
      <c r="D3953" s="7">
        <f t="shared" si="62"/>
        <v>48324413</v>
      </c>
    </row>
    <row r="3954" spans="1:4" ht="18" customHeight="1" x14ac:dyDescent="0.25">
      <c r="A3954" s="2" t="s">
        <v>1019</v>
      </c>
      <c r="B3954" s="7">
        <v>53854588</v>
      </c>
      <c r="C3954" s="7">
        <v>45000000</v>
      </c>
      <c r="D3954" s="7">
        <f t="shared" si="62"/>
        <v>8854588</v>
      </c>
    </row>
    <row r="3955" spans="1:4" ht="18" customHeight="1" x14ac:dyDescent="0.25">
      <c r="A3955" s="2" t="s">
        <v>3799</v>
      </c>
      <c r="B3955" s="7">
        <v>24104113</v>
      </c>
      <c r="C3955" s="7">
        <v>20000000</v>
      </c>
      <c r="D3955" s="7">
        <f t="shared" si="62"/>
        <v>4104113</v>
      </c>
    </row>
    <row r="3956" spans="1:4" ht="18" customHeight="1" x14ac:dyDescent="0.25">
      <c r="A3956" s="2" t="s">
        <v>6071</v>
      </c>
      <c r="B3956" s="7">
        <v>389804</v>
      </c>
      <c r="C3956" s="7">
        <v>65000</v>
      </c>
      <c r="D3956" s="7">
        <f t="shared" si="62"/>
        <v>324804</v>
      </c>
    </row>
    <row r="3957" spans="1:4" ht="18" customHeight="1" x14ac:dyDescent="0.25">
      <c r="A3957" s="2" t="s">
        <v>3860</v>
      </c>
      <c r="B3957" s="7">
        <v>22751979</v>
      </c>
      <c r="C3957" s="7">
        <v>75000000</v>
      </c>
      <c r="D3957" s="7">
        <f t="shared" si="62"/>
        <v>-52248021</v>
      </c>
    </row>
    <row r="3958" spans="1:4" ht="18" customHeight="1" x14ac:dyDescent="0.25">
      <c r="A3958" s="2" t="s">
        <v>1006</v>
      </c>
      <c r="B3958" s="7">
        <v>54132596</v>
      </c>
      <c r="C3958" s="7">
        <v>34000000</v>
      </c>
      <c r="D3958" s="7">
        <f t="shared" si="62"/>
        <v>20132596</v>
      </c>
    </row>
    <row r="3959" spans="1:4" ht="18" customHeight="1" x14ac:dyDescent="0.25">
      <c r="A3959" s="2" t="s">
        <v>2270</v>
      </c>
      <c r="B3959" s="7">
        <v>48334413</v>
      </c>
      <c r="C3959" s="7">
        <v>2000000</v>
      </c>
      <c r="D3959" s="7">
        <f t="shared" si="62"/>
        <v>46334413</v>
      </c>
    </row>
    <row r="3960" spans="1:4" ht="18" customHeight="1" x14ac:dyDescent="0.25">
      <c r="A3960" s="2" t="s">
        <v>3938</v>
      </c>
      <c r="B3960" s="7">
        <v>21200000</v>
      </c>
      <c r="C3960" s="7">
        <v>20000000</v>
      </c>
      <c r="D3960" s="7">
        <f t="shared" si="62"/>
        <v>1200000</v>
      </c>
    </row>
    <row r="3961" spans="1:4" ht="18" customHeight="1" x14ac:dyDescent="0.25">
      <c r="A3961" s="2" t="s">
        <v>2256</v>
      </c>
      <c r="B3961" s="7">
        <v>48334413</v>
      </c>
      <c r="C3961" s="7">
        <v>2000000</v>
      </c>
      <c r="D3961" s="7">
        <f t="shared" si="62"/>
        <v>46334413</v>
      </c>
    </row>
    <row r="3962" spans="1:4" ht="18" customHeight="1" x14ac:dyDescent="0.25">
      <c r="A3962" s="2" t="s">
        <v>4222</v>
      </c>
      <c r="B3962" s="7">
        <v>16684352</v>
      </c>
      <c r="C3962" s="7">
        <v>17000000</v>
      </c>
      <c r="D3962" s="7">
        <f t="shared" si="62"/>
        <v>-315648</v>
      </c>
    </row>
    <row r="3963" spans="1:4" ht="18" customHeight="1" x14ac:dyDescent="0.25">
      <c r="A3963" s="2" t="s">
        <v>5347</v>
      </c>
      <c r="B3963" s="7">
        <v>3773863</v>
      </c>
      <c r="C3963" s="7">
        <v>1000000</v>
      </c>
      <c r="D3963" s="7">
        <f t="shared" si="62"/>
        <v>2773863</v>
      </c>
    </row>
    <row r="3964" spans="1:4" ht="18" customHeight="1" x14ac:dyDescent="0.25">
      <c r="A3964" s="2" t="s">
        <v>2421</v>
      </c>
      <c r="B3964" s="7">
        <v>48334413</v>
      </c>
      <c r="C3964" s="7">
        <v>1000000</v>
      </c>
      <c r="D3964" s="7">
        <f t="shared" si="62"/>
        <v>47334413</v>
      </c>
    </row>
    <row r="3965" spans="1:4" ht="18" customHeight="1" x14ac:dyDescent="0.25">
      <c r="A3965" s="2" t="s">
        <v>930</v>
      </c>
      <c r="B3965" s="7">
        <v>56505065</v>
      </c>
      <c r="C3965" s="7">
        <v>25000000</v>
      </c>
      <c r="D3965" s="7">
        <f t="shared" si="62"/>
        <v>31505065</v>
      </c>
    </row>
    <row r="3966" spans="1:4" ht="18" customHeight="1" x14ac:dyDescent="0.25">
      <c r="A3966" s="2" t="s">
        <v>4471</v>
      </c>
      <c r="B3966" s="7">
        <v>13558739</v>
      </c>
      <c r="C3966" s="7">
        <v>11000000</v>
      </c>
      <c r="D3966" s="7">
        <f t="shared" si="62"/>
        <v>2558739</v>
      </c>
    </row>
    <row r="3967" spans="1:4" ht="18" customHeight="1" x14ac:dyDescent="0.25">
      <c r="A3967" s="2" t="s">
        <v>1900</v>
      </c>
      <c r="B3967" s="7">
        <v>48334413</v>
      </c>
      <c r="C3967" s="7">
        <v>8000000</v>
      </c>
      <c r="D3967" s="7">
        <f t="shared" si="62"/>
        <v>40334413</v>
      </c>
    </row>
    <row r="3968" spans="1:4" ht="18" customHeight="1" x14ac:dyDescent="0.25">
      <c r="A3968" s="2" t="s">
        <v>3738</v>
      </c>
      <c r="B3968" s="7">
        <v>25277561</v>
      </c>
      <c r="C3968" s="7">
        <v>12000000</v>
      </c>
      <c r="D3968" s="7">
        <f t="shared" si="62"/>
        <v>13277561</v>
      </c>
    </row>
    <row r="3969" spans="1:4" ht="18" customHeight="1" x14ac:dyDescent="0.25">
      <c r="A3969" s="2" t="s">
        <v>5463</v>
      </c>
      <c r="B3969" s="7">
        <v>3000000</v>
      </c>
      <c r="C3969" s="7">
        <v>609000</v>
      </c>
      <c r="D3969" s="7">
        <f t="shared" si="62"/>
        <v>2391000</v>
      </c>
    </row>
    <row r="3970" spans="1:4" ht="18" customHeight="1" x14ac:dyDescent="0.25">
      <c r="A3970" s="2" t="s">
        <v>6688</v>
      </c>
      <c r="B3970" s="7">
        <v>5858</v>
      </c>
      <c r="C3970" s="7">
        <v>150000</v>
      </c>
      <c r="D3970" s="7">
        <f t="shared" si="62"/>
        <v>-144142</v>
      </c>
    </row>
    <row r="3971" spans="1:4" ht="18" customHeight="1" x14ac:dyDescent="0.25">
      <c r="A3971" s="2" t="s">
        <v>2067</v>
      </c>
      <c r="B3971" s="7">
        <v>48334413</v>
      </c>
      <c r="C3971" s="7">
        <v>4000000</v>
      </c>
      <c r="D3971" s="7">
        <f t="shared" si="62"/>
        <v>44334413</v>
      </c>
    </row>
    <row r="3972" spans="1:4" ht="18" customHeight="1" x14ac:dyDescent="0.25">
      <c r="A3972" s="2" t="s">
        <v>5050</v>
      </c>
      <c r="B3972" s="7">
        <v>6201757</v>
      </c>
      <c r="C3972" s="7">
        <v>10000000</v>
      </c>
      <c r="D3972" s="7">
        <f t="shared" si="62"/>
        <v>-3798243</v>
      </c>
    </row>
    <row r="3973" spans="1:4" ht="18" customHeight="1" x14ac:dyDescent="0.25">
      <c r="A3973" s="2" t="s">
        <v>4381</v>
      </c>
      <c r="B3973" s="7">
        <v>14500000</v>
      </c>
      <c r="C3973" s="7">
        <v>25000000</v>
      </c>
      <c r="D3973" s="7">
        <f t="shared" ref="D3973:D4036" si="63">B3973-C3973</f>
        <v>-10500000</v>
      </c>
    </row>
    <row r="3974" spans="1:4" ht="18" customHeight="1" x14ac:dyDescent="0.25">
      <c r="A3974" s="2" t="s">
        <v>1973</v>
      </c>
      <c r="B3974" s="7">
        <v>48334413</v>
      </c>
      <c r="C3974" s="7">
        <v>6000000</v>
      </c>
      <c r="D3974" s="7">
        <f t="shared" si="63"/>
        <v>42334413</v>
      </c>
    </row>
    <row r="3975" spans="1:4" ht="18" customHeight="1" x14ac:dyDescent="0.25">
      <c r="A3975" s="2" t="s">
        <v>3940</v>
      </c>
      <c r="B3975" s="7">
        <v>21176322</v>
      </c>
      <c r="C3975" s="7">
        <v>40000000</v>
      </c>
      <c r="D3975" s="7">
        <f t="shared" si="63"/>
        <v>-18823678</v>
      </c>
    </row>
    <row r="3976" spans="1:4" ht="18" customHeight="1" x14ac:dyDescent="0.25">
      <c r="A3976" s="2" t="s">
        <v>5233</v>
      </c>
      <c r="B3976" s="7">
        <v>4581222</v>
      </c>
      <c r="C3976" s="7">
        <v>39751583.5</v>
      </c>
      <c r="D3976" s="7">
        <f t="shared" si="63"/>
        <v>-35170361.5</v>
      </c>
    </row>
    <row r="3977" spans="1:4" ht="18" customHeight="1" x14ac:dyDescent="0.25">
      <c r="A3977" s="2" t="s">
        <v>469</v>
      </c>
      <c r="B3977" s="7">
        <v>78009155</v>
      </c>
      <c r="C3977" s="7">
        <v>75000000</v>
      </c>
      <c r="D3977" s="7">
        <f t="shared" si="63"/>
        <v>3009155</v>
      </c>
    </row>
    <row r="3978" spans="1:4" ht="18" customHeight="1" x14ac:dyDescent="0.25">
      <c r="A3978" s="2" t="s">
        <v>1324</v>
      </c>
      <c r="B3978" s="7">
        <v>48334413</v>
      </c>
      <c r="C3978" s="7">
        <v>39751583.5</v>
      </c>
      <c r="D3978" s="7">
        <f t="shared" si="63"/>
        <v>8582829.5</v>
      </c>
    </row>
    <row r="3979" spans="1:4" ht="18" customHeight="1" x14ac:dyDescent="0.25">
      <c r="A3979" s="2" t="s">
        <v>4996</v>
      </c>
      <c r="B3979" s="7">
        <v>6712451</v>
      </c>
      <c r="C3979" s="7">
        <v>90000000</v>
      </c>
      <c r="D3979" s="7">
        <f t="shared" si="63"/>
        <v>-83287549</v>
      </c>
    </row>
    <row r="3980" spans="1:4" ht="18" customHeight="1" x14ac:dyDescent="0.25">
      <c r="A3980" s="2" t="s">
        <v>1958</v>
      </c>
      <c r="B3980" s="7">
        <v>48334413</v>
      </c>
      <c r="C3980" s="7">
        <v>6500000</v>
      </c>
      <c r="D3980" s="7">
        <f t="shared" si="63"/>
        <v>41834413</v>
      </c>
    </row>
    <row r="3981" spans="1:4" ht="18" customHeight="1" x14ac:dyDescent="0.25">
      <c r="A3981" s="2" t="s">
        <v>6629</v>
      </c>
      <c r="B3981" s="7">
        <v>15059</v>
      </c>
      <c r="C3981" s="7">
        <v>39751583.5</v>
      </c>
      <c r="D3981" s="7">
        <f t="shared" si="63"/>
        <v>-39736524.5</v>
      </c>
    </row>
    <row r="3982" spans="1:4" ht="18" customHeight="1" x14ac:dyDescent="0.25">
      <c r="A3982" s="2" t="s">
        <v>6217</v>
      </c>
      <c r="B3982" s="7">
        <v>214202</v>
      </c>
      <c r="C3982" s="7">
        <v>12000000</v>
      </c>
      <c r="D3982" s="7">
        <f t="shared" si="63"/>
        <v>-11785798</v>
      </c>
    </row>
    <row r="3983" spans="1:4" ht="18" customHeight="1" x14ac:dyDescent="0.25">
      <c r="A3983" s="2" t="s">
        <v>282</v>
      </c>
      <c r="B3983" s="7">
        <v>90400000</v>
      </c>
      <c r="C3983" s="7">
        <v>39751583.5</v>
      </c>
      <c r="D3983" s="7">
        <f t="shared" si="63"/>
        <v>50648416.5</v>
      </c>
    </row>
    <row r="3984" spans="1:4" ht="18" customHeight="1" x14ac:dyDescent="0.25">
      <c r="A3984" s="2" t="s">
        <v>1424</v>
      </c>
      <c r="B3984" s="7">
        <v>48334413</v>
      </c>
      <c r="C3984" s="7">
        <v>39751583.5</v>
      </c>
      <c r="D3984" s="7">
        <f t="shared" si="63"/>
        <v>8582829.5</v>
      </c>
    </row>
    <row r="3985" spans="1:4" ht="18" customHeight="1" x14ac:dyDescent="0.25">
      <c r="A3985" s="2" t="s">
        <v>492</v>
      </c>
      <c r="B3985" s="7">
        <v>76261036</v>
      </c>
      <c r="C3985" s="7">
        <v>45000000</v>
      </c>
      <c r="D3985" s="7">
        <f t="shared" si="63"/>
        <v>31261036</v>
      </c>
    </row>
    <row r="3986" spans="1:4" ht="18" customHeight="1" x14ac:dyDescent="0.25">
      <c r="A3986" s="2" t="s">
        <v>4231</v>
      </c>
      <c r="B3986" s="7">
        <v>16501785</v>
      </c>
      <c r="C3986" s="7">
        <v>3500000</v>
      </c>
      <c r="D3986" s="7">
        <f t="shared" si="63"/>
        <v>13001785</v>
      </c>
    </row>
    <row r="3987" spans="1:4" ht="18" customHeight="1" x14ac:dyDescent="0.25">
      <c r="A3987" s="2" t="s">
        <v>26</v>
      </c>
      <c r="B3987" s="7">
        <v>110008260</v>
      </c>
      <c r="C3987" s="7">
        <v>35000000</v>
      </c>
      <c r="D3987" s="7">
        <f t="shared" si="63"/>
        <v>75008260</v>
      </c>
    </row>
    <row r="3988" spans="1:4" ht="18" customHeight="1" x14ac:dyDescent="0.25">
      <c r="A3988" s="2" t="s">
        <v>5557</v>
      </c>
      <c r="B3988" s="7">
        <v>2319187</v>
      </c>
      <c r="C3988" s="7">
        <v>20000000</v>
      </c>
      <c r="D3988" s="7">
        <f t="shared" si="63"/>
        <v>-17680813</v>
      </c>
    </row>
    <row r="3989" spans="1:4" ht="18" customHeight="1" x14ac:dyDescent="0.25">
      <c r="A3989" s="2" t="s">
        <v>4803</v>
      </c>
      <c r="B3989" s="7">
        <v>9013113</v>
      </c>
      <c r="C3989" s="7">
        <v>1000000</v>
      </c>
      <c r="D3989" s="7">
        <f t="shared" si="63"/>
        <v>8013113</v>
      </c>
    </row>
    <row r="3990" spans="1:4" ht="18" customHeight="1" x14ac:dyDescent="0.25">
      <c r="A3990" s="2" t="s">
        <v>2910</v>
      </c>
      <c r="B3990" s="7">
        <v>43095600</v>
      </c>
      <c r="C3990" s="7">
        <v>32000000</v>
      </c>
      <c r="D3990" s="7">
        <f t="shared" si="63"/>
        <v>11095600</v>
      </c>
    </row>
    <row r="3991" spans="1:4" ht="18" customHeight="1" x14ac:dyDescent="0.25">
      <c r="A3991" s="2" t="s">
        <v>5585</v>
      </c>
      <c r="B3991" s="7">
        <v>2203641</v>
      </c>
      <c r="C3991" s="7">
        <v>15000000</v>
      </c>
      <c r="D3991" s="7">
        <f t="shared" si="63"/>
        <v>-12796359</v>
      </c>
    </row>
    <row r="3992" spans="1:4" ht="18" customHeight="1" x14ac:dyDescent="0.25">
      <c r="A3992" s="2" t="s">
        <v>2063</v>
      </c>
      <c r="B3992" s="7">
        <v>48334413</v>
      </c>
      <c r="C3992" s="7">
        <v>4000000</v>
      </c>
      <c r="D3992" s="7">
        <f t="shared" si="63"/>
        <v>44334413</v>
      </c>
    </row>
    <row r="3993" spans="1:4" ht="18" customHeight="1" x14ac:dyDescent="0.25">
      <c r="A3993" s="2" t="s">
        <v>1270</v>
      </c>
      <c r="B3993" s="7">
        <v>48334413</v>
      </c>
      <c r="C3993" s="7">
        <v>39751583.5</v>
      </c>
      <c r="D3993" s="7">
        <f t="shared" si="63"/>
        <v>8582829.5</v>
      </c>
    </row>
    <row r="3994" spans="1:4" ht="18" customHeight="1" x14ac:dyDescent="0.25">
      <c r="A3994" s="2" t="s">
        <v>6663</v>
      </c>
      <c r="B3994" s="7">
        <v>10230</v>
      </c>
      <c r="C3994" s="7">
        <v>39751583.5</v>
      </c>
      <c r="D3994" s="7">
        <f t="shared" si="63"/>
        <v>-39741353.5</v>
      </c>
    </row>
    <row r="3995" spans="1:4" ht="18" customHeight="1" x14ac:dyDescent="0.25">
      <c r="A3995" s="2" t="s">
        <v>6003</v>
      </c>
      <c r="B3995" s="7">
        <v>505295</v>
      </c>
      <c r="C3995" s="7">
        <v>1800000</v>
      </c>
      <c r="D3995" s="7">
        <f t="shared" si="63"/>
        <v>-1294705</v>
      </c>
    </row>
    <row r="3996" spans="1:4" ht="18" customHeight="1" x14ac:dyDescent="0.25">
      <c r="A3996" s="2" t="s">
        <v>2520</v>
      </c>
      <c r="B3996" s="7">
        <v>48334413</v>
      </c>
      <c r="C3996" s="7">
        <v>625000</v>
      </c>
      <c r="D3996" s="7">
        <f t="shared" si="63"/>
        <v>47709413</v>
      </c>
    </row>
    <row r="3997" spans="1:4" ht="18" customHeight="1" x14ac:dyDescent="0.25">
      <c r="A3997" s="2" t="s">
        <v>2034</v>
      </c>
      <c r="B3997" s="7">
        <v>48334413</v>
      </c>
      <c r="C3997" s="7">
        <v>4700000</v>
      </c>
      <c r="D3997" s="7">
        <f t="shared" si="63"/>
        <v>43634413</v>
      </c>
    </row>
    <row r="3998" spans="1:4" ht="18" customHeight="1" x14ac:dyDescent="0.25">
      <c r="A3998" s="2" t="s">
        <v>5910</v>
      </c>
      <c r="B3998" s="7">
        <v>695229</v>
      </c>
      <c r="C3998" s="7">
        <v>1300000</v>
      </c>
      <c r="D3998" s="7">
        <f t="shared" si="63"/>
        <v>-604771</v>
      </c>
    </row>
    <row r="3999" spans="1:4" ht="18" customHeight="1" x14ac:dyDescent="0.25">
      <c r="A3999" s="2" t="s">
        <v>5939</v>
      </c>
      <c r="B3999" s="7">
        <v>617172</v>
      </c>
      <c r="C3999" s="7">
        <v>375000</v>
      </c>
      <c r="D3999" s="7">
        <f t="shared" si="63"/>
        <v>242172</v>
      </c>
    </row>
    <row r="4000" spans="1:4" ht="18" customHeight="1" x14ac:dyDescent="0.25">
      <c r="A4000" s="2" t="s">
        <v>4225</v>
      </c>
      <c r="B4000" s="7">
        <v>16667084</v>
      </c>
      <c r="C4000" s="7">
        <v>11000000</v>
      </c>
      <c r="D4000" s="7">
        <f t="shared" si="63"/>
        <v>5667084</v>
      </c>
    </row>
    <row r="4001" spans="1:4" ht="18" customHeight="1" x14ac:dyDescent="0.25">
      <c r="A4001" s="2" t="s">
        <v>1786</v>
      </c>
      <c r="B4001" s="7">
        <v>48334413</v>
      </c>
      <c r="C4001" s="7">
        <v>12000000</v>
      </c>
      <c r="D4001" s="7">
        <f t="shared" si="63"/>
        <v>36334413</v>
      </c>
    </row>
    <row r="4002" spans="1:4" ht="18" customHeight="1" x14ac:dyDescent="0.25">
      <c r="A4002" s="2" t="s">
        <v>4546</v>
      </c>
      <c r="B4002" s="7">
        <v>12626905</v>
      </c>
      <c r="C4002" s="7">
        <v>20000000</v>
      </c>
      <c r="D4002" s="7">
        <f t="shared" si="63"/>
        <v>-7373095</v>
      </c>
    </row>
    <row r="4003" spans="1:4" ht="18" customHeight="1" x14ac:dyDescent="0.25">
      <c r="A4003" s="2" t="s">
        <v>4801</v>
      </c>
      <c r="B4003" s="7">
        <v>9016377</v>
      </c>
      <c r="C4003" s="7">
        <v>39751583.5</v>
      </c>
      <c r="D4003" s="7">
        <f t="shared" si="63"/>
        <v>-30735206.5</v>
      </c>
    </row>
    <row r="4004" spans="1:4" ht="18" customHeight="1" x14ac:dyDescent="0.25">
      <c r="A4004" s="2" t="s">
        <v>5738</v>
      </c>
      <c r="B4004" s="7">
        <v>1247453</v>
      </c>
      <c r="C4004" s="7">
        <v>2800000</v>
      </c>
      <c r="D4004" s="7">
        <f t="shared" si="63"/>
        <v>-1552547</v>
      </c>
    </row>
    <row r="4005" spans="1:4" ht="18" customHeight="1" x14ac:dyDescent="0.25">
      <c r="A4005" s="2" t="s">
        <v>6167</v>
      </c>
      <c r="B4005" s="7">
        <v>252652</v>
      </c>
      <c r="C4005" s="7">
        <v>19900000</v>
      </c>
      <c r="D4005" s="7">
        <f t="shared" si="63"/>
        <v>-19647348</v>
      </c>
    </row>
    <row r="4006" spans="1:4" ht="18" customHeight="1" x14ac:dyDescent="0.25">
      <c r="A4006" s="2" t="s">
        <v>4829</v>
      </c>
      <c r="B4006" s="7">
        <v>8508843</v>
      </c>
      <c r="C4006" s="7">
        <v>18000000</v>
      </c>
      <c r="D4006" s="7">
        <f t="shared" si="63"/>
        <v>-9491157</v>
      </c>
    </row>
    <row r="4007" spans="1:4" ht="18" customHeight="1" x14ac:dyDescent="0.25">
      <c r="A4007" s="2" t="s">
        <v>3215</v>
      </c>
      <c r="B4007" s="7">
        <v>35754555</v>
      </c>
      <c r="C4007" s="7">
        <v>39751583.5</v>
      </c>
      <c r="D4007" s="7">
        <f t="shared" si="63"/>
        <v>-3997028.5</v>
      </c>
    </row>
    <row r="4008" spans="1:4" ht="18" customHeight="1" x14ac:dyDescent="0.25">
      <c r="A4008" s="2" t="s">
        <v>6491</v>
      </c>
      <c r="B4008" s="7">
        <v>52166</v>
      </c>
      <c r="C4008" s="7">
        <v>2000000</v>
      </c>
      <c r="D4008" s="7">
        <f t="shared" si="63"/>
        <v>-1947834</v>
      </c>
    </row>
    <row r="4009" spans="1:4" ht="18" customHeight="1" x14ac:dyDescent="0.25">
      <c r="A4009" s="2" t="s">
        <v>4569</v>
      </c>
      <c r="B4009" s="7">
        <v>12281500</v>
      </c>
      <c r="C4009" s="7">
        <v>13000000</v>
      </c>
      <c r="D4009" s="7">
        <f t="shared" si="63"/>
        <v>-718500</v>
      </c>
    </row>
    <row r="4010" spans="1:4" ht="18" customHeight="1" x14ac:dyDescent="0.25">
      <c r="A4010" s="2" t="s">
        <v>5688</v>
      </c>
      <c r="B4010" s="7">
        <v>1530535</v>
      </c>
      <c r="C4010" s="7">
        <v>9000000</v>
      </c>
      <c r="D4010" s="7">
        <f t="shared" si="63"/>
        <v>-7469465</v>
      </c>
    </row>
    <row r="4011" spans="1:4" ht="18" customHeight="1" x14ac:dyDescent="0.25">
      <c r="A4011" s="2" t="s">
        <v>6474</v>
      </c>
      <c r="B4011" s="7">
        <v>58214</v>
      </c>
      <c r="C4011" s="7">
        <v>9500000</v>
      </c>
      <c r="D4011" s="7">
        <f t="shared" si="63"/>
        <v>-9441786</v>
      </c>
    </row>
    <row r="4012" spans="1:4" ht="18" customHeight="1" x14ac:dyDescent="0.25">
      <c r="A4012" s="2" t="s">
        <v>2459</v>
      </c>
      <c r="B4012" s="7">
        <v>48334413</v>
      </c>
      <c r="C4012" s="7">
        <v>1000000</v>
      </c>
      <c r="D4012" s="7">
        <f t="shared" si="63"/>
        <v>47334413</v>
      </c>
    </row>
    <row r="4013" spans="1:4" ht="18" customHeight="1" x14ac:dyDescent="0.25">
      <c r="A4013" s="2" t="s">
        <v>5481</v>
      </c>
      <c r="B4013" s="7">
        <v>2912363</v>
      </c>
      <c r="C4013" s="7">
        <v>3000000</v>
      </c>
      <c r="D4013" s="7">
        <f t="shared" si="63"/>
        <v>-87637</v>
      </c>
    </row>
    <row r="4014" spans="1:4" ht="18" customHeight="1" x14ac:dyDescent="0.25">
      <c r="A4014" s="2" t="s">
        <v>4056</v>
      </c>
      <c r="B4014" s="7">
        <v>19158074</v>
      </c>
      <c r="C4014" s="7">
        <v>15000000</v>
      </c>
      <c r="D4014" s="7">
        <f t="shared" si="63"/>
        <v>4158074</v>
      </c>
    </row>
    <row r="4015" spans="1:4" ht="18" customHeight="1" x14ac:dyDescent="0.25">
      <c r="A4015" s="2" t="s">
        <v>6207</v>
      </c>
      <c r="B4015" s="7">
        <v>223615</v>
      </c>
      <c r="C4015" s="7">
        <v>39751583.5</v>
      </c>
      <c r="D4015" s="7">
        <f t="shared" si="63"/>
        <v>-39527968.5</v>
      </c>
    </row>
    <row r="4016" spans="1:4" ht="18" customHeight="1" x14ac:dyDescent="0.25">
      <c r="A4016" s="2" t="s">
        <v>5732</v>
      </c>
      <c r="B4016" s="7">
        <v>1281176</v>
      </c>
      <c r="C4016" s="7">
        <v>312000</v>
      </c>
      <c r="D4016" s="7">
        <f t="shared" si="63"/>
        <v>969176</v>
      </c>
    </row>
    <row r="4017" spans="1:4" ht="18" customHeight="1" x14ac:dyDescent="0.25">
      <c r="A4017" s="2" t="s">
        <v>4900</v>
      </c>
      <c r="B4017" s="7">
        <v>7707563</v>
      </c>
      <c r="C4017" s="7">
        <v>39751583.5</v>
      </c>
      <c r="D4017" s="7">
        <f t="shared" si="63"/>
        <v>-32044020.5</v>
      </c>
    </row>
    <row r="4018" spans="1:4" ht="18" customHeight="1" x14ac:dyDescent="0.25">
      <c r="A4018" s="2" t="s">
        <v>4633</v>
      </c>
      <c r="B4018" s="7">
        <v>11466088</v>
      </c>
      <c r="C4018" s="7">
        <v>71000000</v>
      </c>
      <c r="D4018" s="7">
        <f t="shared" si="63"/>
        <v>-59533912</v>
      </c>
    </row>
    <row r="4019" spans="1:4" ht="18" customHeight="1" x14ac:dyDescent="0.25">
      <c r="A4019" s="2" t="s">
        <v>5648</v>
      </c>
      <c r="B4019" s="7">
        <v>1821983</v>
      </c>
      <c r="C4019" s="7">
        <v>3000000</v>
      </c>
      <c r="D4019" s="7">
        <f t="shared" si="63"/>
        <v>-1178017</v>
      </c>
    </row>
    <row r="4020" spans="1:4" ht="18" customHeight="1" x14ac:dyDescent="0.25">
      <c r="A4020" s="2" t="s">
        <v>3523</v>
      </c>
      <c r="B4020" s="7">
        <v>29500000</v>
      </c>
      <c r="C4020" s="7">
        <v>10000000</v>
      </c>
      <c r="D4020" s="7">
        <f t="shared" si="63"/>
        <v>19500000</v>
      </c>
    </row>
    <row r="4021" spans="1:4" ht="18" customHeight="1" x14ac:dyDescent="0.25">
      <c r="A4021" s="2" t="s">
        <v>5827</v>
      </c>
      <c r="B4021" s="7">
        <v>985341</v>
      </c>
      <c r="C4021" s="7">
        <v>500000</v>
      </c>
      <c r="D4021" s="7">
        <f t="shared" si="63"/>
        <v>485341</v>
      </c>
    </row>
    <row r="4022" spans="1:4" ht="18" customHeight="1" x14ac:dyDescent="0.25">
      <c r="A4022" s="2" t="s">
        <v>1254</v>
      </c>
      <c r="B4022" s="7">
        <v>48334413</v>
      </c>
      <c r="C4022" s="7">
        <v>39751583.5</v>
      </c>
      <c r="D4022" s="7">
        <f t="shared" si="63"/>
        <v>8582829.5</v>
      </c>
    </row>
    <row r="4023" spans="1:4" ht="18" customHeight="1" x14ac:dyDescent="0.25">
      <c r="A4023" s="2" t="s">
        <v>1947</v>
      </c>
      <c r="B4023" s="7">
        <v>48334413</v>
      </c>
      <c r="C4023" s="7">
        <v>7000000</v>
      </c>
      <c r="D4023" s="7">
        <f t="shared" si="63"/>
        <v>41334413</v>
      </c>
    </row>
    <row r="4024" spans="1:4" ht="18" customHeight="1" x14ac:dyDescent="0.25">
      <c r="A4024" s="2" t="s">
        <v>4072</v>
      </c>
      <c r="B4024" s="7">
        <v>18947630</v>
      </c>
      <c r="C4024" s="7">
        <v>59660000</v>
      </c>
      <c r="D4024" s="7">
        <f t="shared" si="63"/>
        <v>-40712370</v>
      </c>
    </row>
    <row r="4025" spans="1:4" ht="18" customHeight="1" x14ac:dyDescent="0.25">
      <c r="A4025" s="2" t="s">
        <v>3887</v>
      </c>
      <c r="B4025" s="7">
        <v>22235901</v>
      </c>
      <c r="C4025" s="7">
        <v>6000000</v>
      </c>
      <c r="D4025" s="7">
        <f t="shared" si="63"/>
        <v>16235901</v>
      </c>
    </row>
    <row r="4026" spans="1:4" ht="18" customHeight="1" x14ac:dyDescent="0.25">
      <c r="A4026" s="2" t="s">
        <v>6100</v>
      </c>
      <c r="B4026" s="7">
        <v>349618</v>
      </c>
      <c r="C4026" s="7">
        <v>9000000</v>
      </c>
      <c r="D4026" s="7">
        <f t="shared" si="63"/>
        <v>-8650382</v>
      </c>
    </row>
    <row r="4027" spans="1:4" ht="18" customHeight="1" x14ac:dyDescent="0.25">
      <c r="A4027" s="2" t="s">
        <v>5636</v>
      </c>
      <c r="B4027" s="7">
        <v>1950218</v>
      </c>
      <c r="C4027" s="7">
        <v>1000000</v>
      </c>
      <c r="D4027" s="7">
        <f t="shared" si="63"/>
        <v>950218</v>
      </c>
    </row>
    <row r="4028" spans="1:4" ht="18" customHeight="1" x14ac:dyDescent="0.25">
      <c r="A4028" s="2" t="s">
        <v>1886</v>
      </c>
      <c r="B4028" s="7">
        <v>48334413</v>
      </c>
      <c r="C4028" s="7">
        <v>8700000</v>
      </c>
      <c r="D4028" s="7">
        <f t="shared" si="63"/>
        <v>39634413</v>
      </c>
    </row>
    <row r="4029" spans="1:4" ht="18" customHeight="1" x14ac:dyDescent="0.25">
      <c r="A4029" s="2" t="s">
        <v>5421</v>
      </c>
      <c r="B4029" s="7">
        <v>3148482</v>
      </c>
      <c r="C4029" s="7">
        <v>12000000</v>
      </c>
      <c r="D4029" s="7">
        <f t="shared" si="63"/>
        <v>-8851518</v>
      </c>
    </row>
    <row r="4030" spans="1:4" ht="18" customHeight="1" x14ac:dyDescent="0.25">
      <c r="A4030" s="2" t="s">
        <v>236</v>
      </c>
      <c r="B4030" s="7">
        <v>93307796</v>
      </c>
      <c r="C4030" s="7">
        <v>60000000</v>
      </c>
      <c r="D4030" s="7">
        <f t="shared" si="63"/>
        <v>33307796</v>
      </c>
    </row>
    <row r="4031" spans="1:4" ht="18" customHeight="1" x14ac:dyDescent="0.25">
      <c r="A4031" s="2" t="s">
        <v>2125</v>
      </c>
      <c r="B4031" s="7">
        <v>48334413</v>
      </c>
      <c r="C4031" s="7">
        <v>3209000</v>
      </c>
      <c r="D4031" s="7">
        <f t="shared" si="63"/>
        <v>45125413</v>
      </c>
    </row>
    <row r="4032" spans="1:4" ht="18" customHeight="1" x14ac:dyDescent="0.25">
      <c r="A4032" s="2" t="s">
        <v>4706</v>
      </c>
      <c r="B4032" s="7">
        <v>10353690</v>
      </c>
      <c r="C4032" s="7">
        <v>39751583.5</v>
      </c>
      <c r="D4032" s="7">
        <f t="shared" si="63"/>
        <v>-29397893.5</v>
      </c>
    </row>
    <row r="4033" spans="1:4" ht="18" customHeight="1" x14ac:dyDescent="0.25">
      <c r="A4033" s="2" t="s">
        <v>478</v>
      </c>
      <c r="B4033" s="7">
        <v>77086030</v>
      </c>
      <c r="C4033" s="7">
        <v>62000000</v>
      </c>
      <c r="D4033" s="7">
        <f t="shared" si="63"/>
        <v>15086030</v>
      </c>
    </row>
    <row r="4034" spans="1:4" ht="18" customHeight="1" x14ac:dyDescent="0.25">
      <c r="A4034" s="2" t="s">
        <v>5058</v>
      </c>
      <c r="B4034" s="7">
        <v>6157157</v>
      </c>
      <c r="C4034" s="7">
        <v>5000000</v>
      </c>
      <c r="D4034" s="7">
        <f t="shared" si="63"/>
        <v>1157157</v>
      </c>
    </row>
    <row r="4035" spans="1:4" ht="18" customHeight="1" x14ac:dyDescent="0.25">
      <c r="A4035" s="2" t="s">
        <v>4798</v>
      </c>
      <c r="B4035" s="7">
        <v>9054736</v>
      </c>
      <c r="C4035" s="7">
        <v>2700000</v>
      </c>
      <c r="D4035" s="7">
        <f t="shared" si="63"/>
        <v>6354736</v>
      </c>
    </row>
    <row r="4036" spans="1:4" ht="18" customHeight="1" x14ac:dyDescent="0.25">
      <c r="A4036" s="2" t="s">
        <v>1358</v>
      </c>
      <c r="B4036" s="7">
        <v>48334413</v>
      </c>
      <c r="C4036" s="7">
        <v>39751583.5</v>
      </c>
      <c r="D4036" s="7">
        <f t="shared" si="63"/>
        <v>8582829.5</v>
      </c>
    </row>
    <row r="4037" spans="1:4" ht="18" customHeight="1" x14ac:dyDescent="0.25">
      <c r="A4037" s="2" t="s">
        <v>4099</v>
      </c>
      <c r="B4037" s="7">
        <v>18500966</v>
      </c>
      <c r="C4037" s="7">
        <v>30000000</v>
      </c>
      <c r="D4037" s="7">
        <f t="shared" ref="D4037:D4100" si="64">B4037-C4037</f>
        <v>-11499034</v>
      </c>
    </row>
    <row r="4038" spans="1:4" ht="18" customHeight="1" x14ac:dyDescent="0.25">
      <c r="A4038" s="2" t="s">
        <v>4227</v>
      </c>
      <c r="B4038" s="7">
        <v>16647384</v>
      </c>
      <c r="C4038" s="7">
        <v>26000000</v>
      </c>
      <c r="D4038" s="7">
        <f t="shared" si="64"/>
        <v>-9352616</v>
      </c>
    </row>
    <row r="4039" spans="1:4" ht="18" customHeight="1" x14ac:dyDescent="0.25">
      <c r="A4039" s="2" t="s">
        <v>211</v>
      </c>
      <c r="B4039" s="7">
        <v>94999143</v>
      </c>
      <c r="C4039" s="7">
        <v>75000000</v>
      </c>
      <c r="D4039" s="7">
        <f t="shared" si="64"/>
        <v>19999143</v>
      </c>
    </row>
    <row r="4040" spans="1:4" ht="18" customHeight="1" x14ac:dyDescent="0.25">
      <c r="A4040" s="2" t="s">
        <v>1163</v>
      </c>
      <c r="B4040" s="7">
        <v>50024083</v>
      </c>
      <c r="C4040" s="7">
        <v>60000000</v>
      </c>
      <c r="D4040" s="7">
        <f t="shared" si="64"/>
        <v>-9975917</v>
      </c>
    </row>
    <row r="4041" spans="1:4" ht="18" customHeight="1" x14ac:dyDescent="0.25">
      <c r="A4041" s="2" t="s">
        <v>4831</v>
      </c>
      <c r="B4041" s="7">
        <v>8500000</v>
      </c>
      <c r="C4041" s="7">
        <v>20000000</v>
      </c>
      <c r="D4041" s="7">
        <f t="shared" si="64"/>
        <v>-11500000</v>
      </c>
    </row>
    <row r="4042" spans="1:4" ht="18" customHeight="1" x14ac:dyDescent="0.25">
      <c r="A4042" s="2" t="s">
        <v>4551</v>
      </c>
      <c r="B4042" s="7">
        <v>12589108</v>
      </c>
      <c r="C4042" s="7">
        <v>39751583.5</v>
      </c>
      <c r="D4042" s="7">
        <f t="shared" si="64"/>
        <v>-27162475.5</v>
      </c>
    </row>
    <row r="4043" spans="1:4" ht="18" customHeight="1" x14ac:dyDescent="0.25">
      <c r="A4043" s="2" t="s">
        <v>5518</v>
      </c>
      <c r="B4043" s="7">
        <v>2605039</v>
      </c>
      <c r="C4043" s="7">
        <v>39751583.5</v>
      </c>
      <c r="D4043" s="7">
        <f t="shared" si="64"/>
        <v>-37146544.5</v>
      </c>
    </row>
    <row r="4044" spans="1:4" ht="18" customHeight="1" x14ac:dyDescent="0.25">
      <c r="A4044" s="2" t="s">
        <v>2896</v>
      </c>
      <c r="B4044" s="7">
        <v>43601508</v>
      </c>
      <c r="C4044" s="7">
        <v>18000000</v>
      </c>
      <c r="D4044" s="7">
        <f t="shared" si="64"/>
        <v>25601508</v>
      </c>
    </row>
    <row r="4045" spans="1:4" ht="18" customHeight="1" x14ac:dyDescent="0.25">
      <c r="A4045" s="2" t="s">
        <v>5126</v>
      </c>
      <c r="B4045" s="7">
        <v>5654777</v>
      </c>
      <c r="C4045" s="7">
        <v>25000000</v>
      </c>
      <c r="D4045" s="7">
        <f t="shared" si="64"/>
        <v>-19345223</v>
      </c>
    </row>
    <row r="4046" spans="1:4" ht="18" customHeight="1" x14ac:dyDescent="0.25">
      <c r="A4046" s="2" t="s">
        <v>3088</v>
      </c>
      <c r="B4046" s="7">
        <v>38230435</v>
      </c>
      <c r="C4046" s="7">
        <v>25000000</v>
      </c>
      <c r="D4046" s="7">
        <f t="shared" si="64"/>
        <v>13230435</v>
      </c>
    </row>
    <row r="4047" spans="1:4" ht="18" customHeight="1" x14ac:dyDescent="0.25">
      <c r="A4047" s="2" t="s">
        <v>1665</v>
      </c>
      <c r="B4047" s="7">
        <v>48334413</v>
      </c>
      <c r="C4047" s="7">
        <v>22000000</v>
      </c>
      <c r="D4047" s="7">
        <f t="shared" si="64"/>
        <v>26334413</v>
      </c>
    </row>
    <row r="4048" spans="1:4" ht="18" customHeight="1" x14ac:dyDescent="0.25">
      <c r="A4048" s="2" t="s">
        <v>786</v>
      </c>
      <c r="B4048" s="7">
        <v>62321039</v>
      </c>
      <c r="C4048" s="7">
        <v>70000000</v>
      </c>
      <c r="D4048" s="7">
        <f t="shared" si="64"/>
        <v>-7678961</v>
      </c>
    </row>
    <row r="4049" spans="1:4" ht="18" customHeight="1" x14ac:dyDescent="0.25">
      <c r="A4049" s="2" t="s">
        <v>788</v>
      </c>
      <c r="B4049" s="7">
        <v>62318875</v>
      </c>
      <c r="C4049" s="7">
        <v>50000000</v>
      </c>
      <c r="D4049" s="7">
        <f t="shared" si="64"/>
        <v>12318875</v>
      </c>
    </row>
    <row r="4050" spans="1:4" ht="18" customHeight="1" x14ac:dyDescent="0.25">
      <c r="A4050" s="2" t="s">
        <v>2822</v>
      </c>
      <c r="B4050" s="7">
        <v>45802315</v>
      </c>
      <c r="C4050" s="7">
        <v>35000000</v>
      </c>
      <c r="D4050" s="7">
        <f t="shared" si="64"/>
        <v>10802315</v>
      </c>
    </row>
    <row r="4051" spans="1:4" ht="18" customHeight="1" x14ac:dyDescent="0.25">
      <c r="A4051" s="2" t="s">
        <v>1092</v>
      </c>
      <c r="B4051" s="7">
        <v>51483949</v>
      </c>
      <c r="C4051" s="7">
        <v>22000000</v>
      </c>
      <c r="D4051" s="7">
        <f t="shared" si="64"/>
        <v>29483949</v>
      </c>
    </row>
    <row r="4052" spans="1:4" ht="18" customHeight="1" x14ac:dyDescent="0.25">
      <c r="A4052" s="2" t="s">
        <v>5806</v>
      </c>
      <c r="B4052" s="7">
        <v>1046166</v>
      </c>
      <c r="C4052" s="7">
        <v>9000000</v>
      </c>
      <c r="D4052" s="7">
        <f t="shared" si="64"/>
        <v>-7953834</v>
      </c>
    </row>
    <row r="4053" spans="1:4" ht="18" customHeight="1" x14ac:dyDescent="0.25">
      <c r="A4053" s="2" t="s">
        <v>4565</v>
      </c>
      <c r="B4053" s="7">
        <v>12398628</v>
      </c>
      <c r="C4053" s="7">
        <v>20000000</v>
      </c>
      <c r="D4053" s="7">
        <f t="shared" si="64"/>
        <v>-7601372</v>
      </c>
    </row>
    <row r="4054" spans="1:4" ht="18" customHeight="1" x14ac:dyDescent="0.25">
      <c r="A4054" s="2" t="s">
        <v>2612</v>
      </c>
      <c r="B4054" s="7">
        <v>48334413</v>
      </c>
      <c r="C4054" s="7">
        <v>250000</v>
      </c>
      <c r="D4054" s="7">
        <f t="shared" si="64"/>
        <v>48084413</v>
      </c>
    </row>
    <row r="4055" spans="1:4" ht="18" customHeight="1" x14ac:dyDescent="0.25">
      <c r="A4055" s="2" t="s">
        <v>2667</v>
      </c>
      <c r="B4055" s="7">
        <v>48334413</v>
      </c>
      <c r="C4055" s="7">
        <v>120000</v>
      </c>
      <c r="D4055" s="7">
        <f t="shared" si="64"/>
        <v>48214413</v>
      </c>
    </row>
    <row r="4056" spans="1:4" ht="18" customHeight="1" x14ac:dyDescent="0.25">
      <c r="A4056" s="2" t="s">
        <v>1046</v>
      </c>
      <c r="B4056" s="7">
        <v>52752475</v>
      </c>
      <c r="C4056" s="7">
        <v>50000000</v>
      </c>
      <c r="D4056" s="7">
        <f t="shared" si="64"/>
        <v>2752475</v>
      </c>
    </row>
    <row r="4057" spans="1:4" ht="18" customHeight="1" x14ac:dyDescent="0.25">
      <c r="A4057" s="2" t="s">
        <v>4719</v>
      </c>
      <c r="B4057" s="7">
        <v>10214013</v>
      </c>
      <c r="C4057" s="7">
        <v>35000000</v>
      </c>
      <c r="D4057" s="7">
        <f t="shared" si="64"/>
        <v>-24785987</v>
      </c>
    </row>
    <row r="4058" spans="1:4" ht="18" customHeight="1" x14ac:dyDescent="0.25">
      <c r="A4058" s="2" t="s">
        <v>1305</v>
      </c>
      <c r="B4058" s="7">
        <v>48334413</v>
      </c>
      <c r="C4058" s="7">
        <v>39751583.5</v>
      </c>
      <c r="D4058" s="7">
        <f t="shared" si="64"/>
        <v>8582829.5</v>
      </c>
    </row>
    <row r="4059" spans="1:4" ht="18" customHeight="1" x14ac:dyDescent="0.25">
      <c r="A4059" s="2" t="s">
        <v>155</v>
      </c>
      <c r="B4059" s="7">
        <v>101157447</v>
      </c>
      <c r="C4059" s="7">
        <v>14400000</v>
      </c>
      <c r="D4059" s="7">
        <f t="shared" si="64"/>
        <v>86757447</v>
      </c>
    </row>
    <row r="4060" spans="1:4" ht="18" customHeight="1" x14ac:dyDescent="0.25">
      <c r="A4060" s="2" t="s">
        <v>1252</v>
      </c>
      <c r="B4060" s="7">
        <v>48334413</v>
      </c>
      <c r="C4060" s="7">
        <v>39751583.5</v>
      </c>
      <c r="D4060" s="7">
        <f t="shared" si="64"/>
        <v>8582829.5</v>
      </c>
    </row>
    <row r="4061" spans="1:4" ht="18" customHeight="1" x14ac:dyDescent="0.25">
      <c r="A4061" s="2" t="s">
        <v>3431</v>
      </c>
      <c r="B4061" s="7">
        <v>31537320</v>
      </c>
      <c r="C4061" s="7">
        <v>1000000</v>
      </c>
      <c r="D4061" s="7">
        <f t="shared" si="64"/>
        <v>30537320</v>
      </c>
    </row>
    <row r="4062" spans="1:4" ht="18" customHeight="1" x14ac:dyDescent="0.25">
      <c r="A4062" s="2" t="s">
        <v>3440</v>
      </c>
      <c r="B4062" s="7">
        <v>31471430</v>
      </c>
      <c r="C4062" s="7">
        <v>15000000</v>
      </c>
      <c r="D4062" s="7">
        <f t="shared" si="64"/>
        <v>16471430</v>
      </c>
    </row>
    <row r="4063" spans="1:4" ht="18" customHeight="1" x14ac:dyDescent="0.25">
      <c r="A4063" s="2" t="s">
        <v>1656</v>
      </c>
      <c r="B4063" s="7">
        <v>48334413</v>
      </c>
      <c r="C4063" s="7">
        <v>24000000</v>
      </c>
      <c r="D4063" s="7">
        <f t="shared" si="64"/>
        <v>24334413</v>
      </c>
    </row>
    <row r="4064" spans="1:4" ht="18" customHeight="1" x14ac:dyDescent="0.25">
      <c r="A4064" s="2" t="s">
        <v>4699</v>
      </c>
      <c r="B4064" s="7">
        <v>10431220</v>
      </c>
      <c r="C4064" s="7">
        <v>24000000</v>
      </c>
      <c r="D4064" s="7">
        <f t="shared" si="64"/>
        <v>-13568780</v>
      </c>
    </row>
    <row r="4065" spans="1:4" ht="18" customHeight="1" x14ac:dyDescent="0.25">
      <c r="A4065" s="2" t="s">
        <v>801</v>
      </c>
      <c r="B4065" s="7">
        <v>122189806</v>
      </c>
      <c r="C4065" s="7">
        <v>60000000</v>
      </c>
      <c r="D4065" s="7">
        <f t="shared" si="64"/>
        <v>62189806</v>
      </c>
    </row>
    <row r="4066" spans="1:4" ht="18" customHeight="1" x14ac:dyDescent="0.25">
      <c r="A4066" s="2" t="s">
        <v>3778</v>
      </c>
      <c r="B4066" s="7">
        <v>24520892</v>
      </c>
      <c r="C4066" s="7">
        <v>45000000</v>
      </c>
      <c r="D4066" s="7">
        <f t="shared" si="64"/>
        <v>-20479108</v>
      </c>
    </row>
    <row r="4067" spans="1:4" ht="18" customHeight="1" x14ac:dyDescent="0.25">
      <c r="A4067" s="2" t="s">
        <v>2186</v>
      </c>
      <c r="B4067" s="7">
        <v>48334413</v>
      </c>
      <c r="C4067" s="7">
        <v>3000000</v>
      </c>
      <c r="D4067" s="7">
        <f t="shared" si="64"/>
        <v>45334413</v>
      </c>
    </row>
    <row r="4068" spans="1:4" ht="18" customHeight="1" x14ac:dyDescent="0.25">
      <c r="A4068" s="2" t="s">
        <v>2338</v>
      </c>
      <c r="B4068" s="7">
        <v>48334413</v>
      </c>
      <c r="C4068" s="7">
        <v>1500000</v>
      </c>
      <c r="D4068" s="7">
        <f t="shared" si="64"/>
        <v>46834413</v>
      </c>
    </row>
    <row r="4069" spans="1:4" ht="18" customHeight="1" x14ac:dyDescent="0.25">
      <c r="A4069" s="2" t="s">
        <v>3555</v>
      </c>
      <c r="B4069" s="7">
        <v>28687835</v>
      </c>
      <c r="C4069" s="7">
        <v>35000000</v>
      </c>
      <c r="D4069" s="7">
        <f t="shared" si="64"/>
        <v>-6312165</v>
      </c>
    </row>
    <row r="4070" spans="1:4" ht="18" customHeight="1" x14ac:dyDescent="0.25">
      <c r="A4070" s="2" t="s">
        <v>1114</v>
      </c>
      <c r="B4070" s="7">
        <v>51045801</v>
      </c>
      <c r="C4070" s="7">
        <v>60000000</v>
      </c>
      <c r="D4070" s="7">
        <f t="shared" si="64"/>
        <v>-8954199</v>
      </c>
    </row>
    <row r="4071" spans="1:4" ht="18" customHeight="1" x14ac:dyDescent="0.25">
      <c r="A4071" s="2" t="s">
        <v>355</v>
      </c>
      <c r="B4071" s="7">
        <v>83813460</v>
      </c>
      <c r="C4071" s="7">
        <v>25000000</v>
      </c>
      <c r="D4071" s="7">
        <f t="shared" si="64"/>
        <v>58813460</v>
      </c>
    </row>
    <row r="4072" spans="1:4" ht="18" customHeight="1" x14ac:dyDescent="0.25">
      <c r="A4072" s="2" t="s">
        <v>3102</v>
      </c>
      <c r="B4072" s="7">
        <v>38048637</v>
      </c>
      <c r="C4072" s="7">
        <v>14000000</v>
      </c>
      <c r="D4072" s="7">
        <f t="shared" si="64"/>
        <v>24048637</v>
      </c>
    </row>
    <row r="4073" spans="1:4" ht="18" customHeight="1" x14ac:dyDescent="0.25">
      <c r="A4073" s="2" t="s">
        <v>3924</v>
      </c>
      <c r="B4073" s="7">
        <v>21468807</v>
      </c>
      <c r="C4073" s="7">
        <v>14000000</v>
      </c>
      <c r="D4073" s="7">
        <f t="shared" si="64"/>
        <v>7468807</v>
      </c>
    </row>
    <row r="4074" spans="1:4" ht="18" customHeight="1" x14ac:dyDescent="0.25">
      <c r="A4074" s="2" t="s">
        <v>5815</v>
      </c>
      <c r="B4074" s="7">
        <v>1027119</v>
      </c>
      <c r="C4074" s="7">
        <v>225000</v>
      </c>
      <c r="D4074" s="7">
        <f t="shared" si="64"/>
        <v>802119</v>
      </c>
    </row>
    <row r="4075" spans="1:4" ht="18" customHeight="1" x14ac:dyDescent="0.25">
      <c r="A4075" s="2" t="s">
        <v>610</v>
      </c>
      <c r="B4075" s="7">
        <v>70496802</v>
      </c>
      <c r="C4075" s="7">
        <v>54000000</v>
      </c>
      <c r="D4075" s="7">
        <f t="shared" si="64"/>
        <v>16496802</v>
      </c>
    </row>
    <row r="4076" spans="1:4" ht="18" customHeight="1" x14ac:dyDescent="0.25">
      <c r="A4076" s="2" t="s">
        <v>861</v>
      </c>
      <c r="B4076" s="7">
        <v>58879132</v>
      </c>
      <c r="C4076" s="7">
        <v>31000000</v>
      </c>
      <c r="D4076" s="7">
        <f t="shared" si="64"/>
        <v>27879132</v>
      </c>
    </row>
    <row r="4077" spans="1:4" ht="18" customHeight="1" x14ac:dyDescent="0.25">
      <c r="A4077" s="2" t="s">
        <v>3988</v>
      </c>
      <c r="B4077" s="7">
        <v>20384136</v>
      </c>
      <c r="C4077" s="7">
        <v>10000000</v>
      </c>
      <c r="D4077" s="7">
        <f t="shared" si="64"/>
        <v>10384136</v>
      </c>
    </row>
    <row r="4078" spans="1:4" ht="18" customHeight="1" x14ac:dyDescent="0.25">
      <c r="A4078" s="2" t="s">
        <v>4036</v>
      </c>
      <c r="B4078" s="7">
        <v>19447478</v>
      </c>
      <c r="C4078" s="7">
        <v>35000000</v>
      </c>
      <c r="D4078" s="7">
        <f t="shared" si="64"/>
        <v>-15552522</v>
      </c>
    </row>
    <row r="4079" spans="1:4" ht="18" customHeight="1" x14ac:dyDescent="0.25">
      <c r="A4079" s="2" t="s">
        <v>368</v>
      </c>
      <c r="B4079" s="7">
        <v>83077470</v>
      </c>
      <c r="C4079" s="7">
        <v>75000000</v>
      </c>
      <c r="D4079" s="7">
        <f t="shared" si="64"/>
        <v>8077470</v>
      </c>
    </row>
    <row r="4080" spans="1:4" ht="18" customHeight="1" x14ac:dyDescent="0.25">
      <c r="A4080" s="2" t="s">
        <v>6343</v>
      </c>
      <c r="B4080" s="7">
        <v>118666</v>
      </c>
      <c r="C4080" s="7">
        <v>2500000</v>
      </c>
      <c r="D4080" s="7">
        <f t="shared" si="64"/>
        <v>-2381334</v>
      </c>
    </row>
    <row r="4081" spans="1:4" ht="18" customHeight="1" x14ac:dyDescent="0.25">
      <c r="A4081" s="2" t="s">
        <v>1892</v>
      </c>
      <c r="B4081" s="7">
        <v>48334413</v>
      </c>
      <c r="C4081" s="7">
        <v>8300000</v>
      </c>
      <c r="D4081" s="7">
        <f t="shared" si="64"/>
        <v>40034413</v>
      </c>
    </row>
    <row r="4082" spans="1:4" ht="18" customHeight="1" x14ac:dyDescent="0.25">
      <c r="A4082" s="2" t="s">
        <v>4018</v>
      </c>
      <c r="B4082" s="7">
        <v>19900000</v>
      </c>
      <c r="C4082" s="7">
        <v>20000000</v>
      </c>
      <c r="D4082" s="7">
        <f t="shared" si="64"/>
        <v>-100000</v>
      </c>
    </row>
    <row r="4083" spans="1:4" ht="18" customHeight="1" x14ac:dyDescent="0.25">
      <c r="A4083" s="2" t="s">
        <v>1462</v>
      </c>
      <c r="B4083" s="7">
        <v>48334413</v>
      </c>
      <c r="C4083" s="7">
        <v>39751583.5</v>
      </c>
      <c r="D4083" s="7">
        <f t="shared" si="64"/>
        <v>8582829.5</v>
      </c>
    </row>
    <row r="4084" spans="1:4" ht="18" customHeight="1" x14ac:dyDescent="0.25">
      <c r="A4084" s="2" t="s">
        <v>3178</v>
      </c>
      <c r="B4084" s="7">
        <v>36658108</v>
      </c>
      <c r="C4084" s="7">
        <v>20000000</v>
      </c>
      <c r="D4084" s="7">
        <f t="shared" si="64"/>
        <v>16658108</v>
      </c>
    </row>
    <row r="4085" spans="1:4" ht="18" customHeight="1" x14ac:dyDescent="0.25">
      <c r="A4085" s="2" t="s">
        <v>4004</v>
      </c>
      <c r="B4085" s="7">
        <v>20241395</v>
      </c>
      <c r="C4085" s="7">
        <v>20000000</v>
      </c>
      <c r="D4085" s="7">
        <f t="shared" si="64"/>
        <v>241395</v>
      </c>
    </row>
    <row r="4086" spans="1:4" ht="18" customHeight="1" x14ac:dyDescent="0.25">
      <c r="A4086" s="2" t="s">
        <v>6718</v>
      </c>
      <c r="B4086" s="7">
        <v>2964</v>
      </c>
      <c r="C4086" s="7">
        <v>16000000</v>
      </c>
      <c r="D4086" s="7">
        <f t="shared" si="64"/>
        <v>-15997036</v>
      </c>
    </row>
    <row r="4087" spans="1:4" ht="18" customHeight="1" x14ac:dyDescent="0.25">
      <c r="A4087" s="2" t="s">
        <v>3949</v>
      </c>
      <c r="B4087" s="7">
        <v>21005329</v>
      </c>
      <c r="C4087" s="7">
        <v>6000000</v>
      </c>
      <c r="D4087" s="7">
        <f t="shared" si="64"/>
        <v>15005329</v>
      </c>
    </row>
    <row r="4088" spans="1:4" ht="18" customHeight="1" x14ac:dyDescent="0.25">
      <c r="A4088" s="2" t="s">
        <v>165</v>
      </c>
      <c r="B4088" s="7">
        <v>100614858</v>
      </c>
      <c r="C4088" s="7">
        <v>68000000</v>
      </c>
      <c r="D4088" s="7">
        <f t="shared" si="64"/>
        <v>32614858</v>
      </c>
    </row>
    <row r="4089" spans="1:4" ht="18" customHeight="1" x14ac:dyDescent="0.25">
      <c r="A4089" s="2" t="s">
        <v>4259</v>
      </c>
      <c r="B4089" s="7">
        <v>16123851</v>
      </c>
      <c r="C4089" s="7">
        <v>23000000</v>
      </c>
      <c r="D4089" s="7">
        <f t="shared" si="64"/>
        <v>-6876149</v>
      </c>
    </row>
    <row r="4090" spans="1:4" ht="18" customHeight="1" x14ac:dyDescent="0.25">
      <c r="A4090" s="2" t="s">
        <v>573</v>
      </c>
      <c r="B4090" s="7">
        <v>72266306</v>
      </c>
      <c r="C4090" s="7">
        <v>40000000</v>
      </c>
      <c r="D4090" s="7">
        <f t="shared" si="64"/>
        <v>32266306</v>
      </c>
    </row>
    <row r="4091" spans="1:4" ht="18" customHeight="1" x14ac:dyDescent="0.25">
      <c r="A4091" s="2" t="s">
        <v>1042</v>
      </c>
      <c r="B4091" s="7">
        <v>52885587</v>
      </c>
      <c r="C4091" s="7">
        <v>16000000</v>
      </c>
      <c r="D4091" s="7">
        <f t="shared" si="64"/>
        <v>36885587</v>
      </c>
    </row>
    <row r="4092" spans="1:4" ht="18" customHeight="1" x14ac:dyDescent="0.25">
      <c r="A4092" s="2" t="s">
        <v>5480</v>
      </c>
      <c r="B4092" s="7">
        <v>2921738</v>
      </c>
      <c r="C4092" s="7">
        <v>7000000</v>
      </c>
      <c r="D4092" s="7">
        <f t="shared" si="64"/>
        <v>-4078262</v>
      </c>
    </row>
    <row r="4093" spans="1:4" ht="18" customHeight="1" x14ac:dyDescent="0.25">
      <c r="A4093" s="2" t="s">
        <v>5807</v>
      </c>
      <c r="B4093" s="7">
        <v>1043487</v>
      </c>
      <c r="C4093" s="7">
        <v>39751583.5</v>
      </c>
      <c r="D4093" s="7">
        <f t="shared" si="64"/>
        <v>-38708096.5</v>
      </c>
    </row>
    <row r="4094" spans="1:4" ht="18" customHeight="1" x14ac:dyDescent="0.25">
      <c r="A4094" s="2" t="s">
        <v>5350</v>
      </c>
      <c r="B4094" s="7">
        <v>3753806</v>
      </c>
      <c r="C4094" s="7">
        <v>11000000</v>
      </c>
      <c r="D4094" s="7">
        <f t="shared" si="64"/>
        <v>-7246194</v>
      </c>
    </row>
    <row r="4095" spans="1:4" ht="18" customHeight="1" x14ac:dyDescent="0.25">
      <c r="A4095" s="2" t="s">
        <v>5685</v>
      </c>
      <c r="B4095" s="7">
        <v>1569918</v>
      </c>
      <c r="C4095" s="7">
        <v>17000000</v>
      </c>
      <c r="D4095" s="7">
        <f t="shared" si="64"/>
        <v>-15430082</v>
      </c>
    </row>
    <row r="4096" spans="1:4" ht="18" customHeight="1" x14ac:dyDescent="0.25">
      <c r="A4096" s="2" t="s">
        <v>1378</v>
      </c>
      <c r="B4096" s="7">
        <v>48334413</v>
      </c>
      <c r="C4096" s="7">
        <v>39751583.5</v>
      </c>
      <c r="D4096" s="7">
        <f t="shared" si="64"/>
        <v>8582829.5</v>
      </c>
    </row>
    <row r="4097" spans="1:4" ht="18" customHeight="1" x14ac:dyDescent="0.25">
      <c r="A4097" s="2" t="s">
        <v>1876</v>
      </c>
      <c r="B4097" s="7">
        <v>48334413</v>
      </c>
      <c r="C4097" s="7">
        <v>9000000</v>
      </c>
      <c r="D4097" s="7">
        <f t="shared" si="64"/>
        <v>39334413</v>
      </c>
    </row>
    <row r="4098" spans="1:4" ht="18" customHeight="1" x14ac:dyDescent="0.25">
      <c r="A4098" s="2" t="s">
        <v>655</v>
      </c>
      <c r="B4098" s="7">
        <v>68473360</v>
      </c>
      <c r="C4098" s="7">
        <v>75000000</v>
      </c>
      <c r="D4098" s="7">
        <f t="shared" si="64"/>
        <v>-6526640</v>
      </c>
    </row>
    <row r="4099" spans="1:4" ht="18" customHeight="1" x14ac:dyDescent="0.25">
      <c r="A4099" s="2" t="s">
        <v>4754</v>
      </c>
      <c r="B4099" s="7">
        <v>9801782</v>
      </c>
      <c r="C4099" s="7">
        <v>10000000</v>
      </c>
      <c r="D4099" s="7">
        <f t="shared" si="64"/>
        <v>-198218</v>
      </c>
    </row>
    <row r="4100" spans="1:4" ht="18" customHeight="1" x14ac:dyDescent="0.25">
      <c r="A4100" s="2" t="s">
        <v>1507</v>
      </c>
      <c r="B4100" s="7">
        <v>48334413</v>
      </c>
      <c r="C4100" s="7">
        <v>39751583.5</v>
      </c>
      <c r="D4100" s="7">
        <f t="shared" si="64"/>
        <v>8582829.5</v>
      </c>
    </row>
    <row r="4101" spans="1:4" ht="18" customHeight="1" x14ac:dyDescent="0.25">
      <c r="A4101" s="2" t="s">
        <v>3830</v>
      </c>
      <c r="B4101" s="7">
        <v>23213577</v>
      </c>
      <c r="C4101" s="7">
        <v>15500000</v>
      </c>
      <c r="D4101" s="7">
        <f t="shared" ref="D4101:D4164" si="65">B4101-C4101</f>
        <v>7713577</v>
      </c>
    </row>
    <row r="4102" spans="1:4" ht="18" customHeight="1" x14ac:dyDescent="0.25">
      <c r="A4102" s="2" t="s">
        <v>5107</v>
      </c>
      <c r="B4102" s="7">
        <v>11547038</v>
      </c>
      <c r="C4102" s="7">
        <v>80000000</v>
      </c>
      <c r="D4102" s="7">
        <f t="shared" si="65"/>
        <v>-68452962</v>
      </c>
    </row>
    <row r="4103" spans="1:4" ht="18" customHeight="1" x14ac:dyDescent="0.25">
      <c r="A4103" s="2" t="s">
        <v>1974</v>
      </c>
      <c r="B4103" s="7">
        <v>48334413</v>
      </c>
      <c r="C4103" s="7">
        <v>5952000</v>
      </c>
      <c r="D4103" s="7">
        <f t="shared" si="65"/>
        <v>42382413</v>
      </c>
    </row>
    <row r="4104" spans="1:4" ht="18" customHeight="1" x14ac:dyDescent="0.25">
      <c r="A4104" s="2" t="s">
        <v>1587</v>
      </c>
      <c r="B4104" s="7">
        <v>48334413</v>
      </c>
      <c r="C4104" s="7">
        <v>38000000</v>
      </c>
      <c r="D4104" s="7">
        <f t="shared" si="65"/>
        <v>10334413</v>
      </c>
    </row>
    <row r="4105" spans="1:4" ht="18" customHeight="1" x14ac:dyDescent="0.25">
      <c r="A4105" s="2" t="s">
        <v>3802</v>
      </c>
      <c r="B4105" s="7">
        <v>24048000</v>
      </c>
      <c r="C4105" s="7">
        <v>30000000</v>
      </c>
      <c r="D4105" s="7">
        <f t="shared" si="65"/>
        <v>-5952000</v>
      </c>
    </row>
    <row r="4106" spans="1:4" ht="18" customHeight="1" x14ac:dyDescent="0.25">
      <c r="A4106" s="2" t="s">
        <v>1631</v>
      </c>
      <c r="B4106" s="7">
        <v>48334413</v>
      </c>
      <c r="C4106" s="7">
        <v>26000000</v>
      </c>
      <c r="D4106" s="7">
        <f t="shared" si="65"/>
        <v>22334413</v>
      </c>
    </row>
    <row r="4107" spans="1:4" ht="18" customHeight="1" x14ac:dyDescent="0.25">
      <c r="A4107" s="2" t="s">
        <v>2776</v>
      </c>
      <c r="B4107" s="7">
        <v>47474112</v>
      </c>
      <c r="C4107" s="7">
        <v>90000000</v>
      </c>
      <c r="D4107" s="7">
        <f t="shared" si="65"/>
        <v>-42525888</v>
      </c>
    </row>
    <row r="4108" spans="1:4" ht="18" customHeight="1" x14ac:dyDescent="0.25">
      <c r="A4108" s="2" t="s">
        <v>4527</v>
      </c>
      <c r="B4108" s="7">
        <v>12899702</v>
      </c>
      <c r="C4108" s="7">
        <v>39751583.5</v>
      </c>
      <c r="D4108" s="7">
        <f t="shared" si="65"/>
        <v>-26851881.5</v>
      </c>
    </row>
    <row r="4109" spans="1:4" ht="18" customHeight="1" x14ac:dyDescent="0.25">
      <c r="A4109" s="2" t="s">
        <v>3721</v>
      </c>
      <c r="B4109" s="7">
        <v>25517500</v>
      </c>
      <c r="C4109" s="7">
        <v>25100000</v>
      </c>
      <c r="D4109" s="7">
        <f t="shared" si="65"/>
        <v>417500</v>
      </c>
    </row>
    <row r="4110" spans="1:4" ht="18" customHeight="1" x14ac:dyDescent="0.25">
      <c r="A4110" s="2" t="s">
        <v>2912</v>
      </c>
      <c r="B4110" s="7">
        <v>43022524</v>
      </c>
      <c r="C4110" s="7">
        <v>15000000</v>
      </c>
      <c r="D4110" s="7">
        <f t="shared" si="65"/>
        <v>28022524</v>
      </c>
    </row>
    <row r="4111" spans="1:4" ht="18" customHeight="1" x14ac:dyDescent="0.25">
      <c r="A4111" s="2" t="s">
        <v>6187</v>
      </c>
      <c r="B4111" s="7">
        <v>233103</v>
      </c>
      <c r="C4111" s="7">
        <v>7000000</v>
      </c>
      <c r="D4111" s="7">
        <f t="shared" si="65"/>
        <v>-6766897</v>
      </c>
    </row>
    <row r="4112" spans="1:4" ht="18" customHeight="1" x14ac:dyDescent="0.25">
      <c r="A4112" s="2" t="s">
        <v>5483</v>
      </c>
      <c r="B4112" s="7">
        <v>2892582</v>
      </c>
      <c r="C4112" s="7">
        <v>4000000</v>
      </c>
      <c r="D4112" s="7">
        <f t="shared" si="65"/>
        <v>-1107418</v>
      </c>
    </row>
    <row r="4113" spans="1:4" ht="18" customHeight="1" x14ac:dyDescent="0.25">
      <c r="A4113" s="2" t="s">
        <v>4265</v>
      </c>
      <c r="B4113" s="7">
        <v>16101109</v>
      </c>
      <c r="C4113" s="7">
        <v>3000000</v>
      </c>
      <c r="D4113" s="7">
        <f t="shared" si="65"/>
        <v>13101109</v>
      </c>
    </row>
    <row r="4114" spans="1:4" ht="18" customHeight="1" x14ac:dyDescent="0.25">
      <c r="A4114" s="2" t="s">
        <v>4063</v>
      </c>
      <c r="B4114" s="7">
        <v>19067631</v>
      </c>
      <c r="C4114" s="7">
        <v>2000000</v>
      </c>
      <c r="D4114" s="7">
        <f t="shared" si="65"/>
        <v>17067631</v>
      </c>
    </row>
    <row r="4115" spans="1:4" ht="18" customHeight="1" x14ac:dyDescent="0.25">
      <c r="A4115" s="2" t="s">
        <v>3772</v>
      </c>
      <c r="B4115" s="7">
        <v>24788807</v>
      </c>
      <c r="C4115" s="7">
        <v>3000000</v>
      </c>
      <c r="D4115" s="7">
        <f t="shared" si="65"/>
        <v>21788807</v>
      </c>
    </row>
    <row r="4116" spans="1:4" ht="18" customHeight="1" x14ac:dyDescent="0.25">
      <c r="A4116" s="2" t="s">
        <v>4111</v>
      </c>
      <c r="B4116" s="7">
        <v>18317151</v>
      </c>
      <c r="C4116" s="7">
        <v>35000000</v>
      </c>
      <c r="D4116" s="7">
        <f t="shared" si="65"/>
        <v>-16682849</v>
      </c>
    </row>
    <row r="4117" spans="1:4" ht="18" customHeight="1" x14ac:dyDescent="0.25">
      <c r="A4117" s="2" t="s">
        <v>5733</v>
      </c>
      <c r="B4117" s="7">
        <v>1277257</v>
      </c>
      <c r="C4117" s="7">
        <v>1000000</v>
      </c>
      <c r="D4117" s="7">
        <f t="shared" si="65"/>
        <v>277257</v>
      </c>
    </row>
    <row r="4118" spans="1:4" ht="18" customHeight="1" x14ac:dyDescent="0.25">
      <c r="A4118" s="2" t="s">
        <v>2817</v>
      </c>
      <c r="B4118" s="7">
        <v>45860039</v>
      </c>
      <c r="C4118" s="7">
        <v>56000000</v>
      </c>
      <c r="D4118" s="7">
        <f t="shared" si="65"/>
        <v>-10139961</v>
      </c>
    </row>
    <row r="4119" spans="1:4" ht="18" customHeight="1" x14ac:dyDescent="0.25">
      <c r="A4119" s="2" t="s">
        <v>3195</v>
      </c>
      <c r="B4119" s="7">
        <v>36073232</v>
      </c>
      <c r="C4119" s="7">
        <v>80000000</v>
      </c>
      <c r="D4119" s="7">
        <f t="shared" si="65"/>
        <v>-43926768</v>
      </c>
    </row>
    <row r="4120" spans="1:4" ht="18" customHeight="1" x14ac:dyDescent="0.25">
      <c r="A4120" s="2" t="s">
        <v>1054</v>
      </c>
      <c r="B4120" s="7">
        <v>52474616</v>
      </c>
      <c r="C4120" s="7">
        <v>70000000</v>
      </c>
      <c r="D4120" s="7">
        <f t="shared" si="65"/>
        <v>-17525384</v>
      </c>
    </row>
    <row r="4121" spans="1:4" ht="18" customHeight="1" x14ac:dyDescent="0.25">
      <c r="A4121" s="2" t="s">
        <v>2886</v>
      </c>
      <c r="B4121" s="7">
        <v>43848100</v>
      </c>
      <c r="C4121" s="7">
        <v>15000000</v>
      </c>
      <c r="D4121" s="7">
        <f t="shared" si="65"/>
        <v>28848100</v>
      </c>
    </row>
    <row r="4122" spans="1:4" ht="18" customHeight="1" x14ac:dyDescent="0.25">
      <c r="A4122" s="2" t="s">
        <v>2346</v>
      </c>
      <c r="B4122" s="7">
        <v>48334413</v>
      </c>
      <c r="C4122" s="7">
        <v>1500000</v>
      </c>
      <c r="D4122" s="7">
        <f t="shared" si="65"/>
        <v>46834413</v>
      </c>
    </row>
    <row r="4123" spans="1:4" ht="18" customHeight="1" x14ac:dyDescent="0.25">
      <c r="A4123" s="2" t="s">
        <v>2512</v>
      </c>
      <c r="B4123" s="7">
        <v>48334413</v>
      </c>
      <c r="C4123" s="7">
        <v>700000</v>
      </c>
      <c r="D4123" s="7">
        <f t="shared" si="65"/>
        <v>47634413</v>
      </c>
    </row>
    <row r="4124" spans="1:4" ht="18" customHeight="1" x14ac:dyDescent="0.25">
      <c r="A4124" s="2" t="s">
        <v>5565</v>
      </c>
      <c r="B4124" s="7">
        <v>2283276</v>
      </c>
      <c r="C4124" s="7">
        <v>1500000</v>
      </c>
      <c r="D4124" s="7">
        <f t="shared" si="65"/>
        <v>783276</v>
      </c>
    </row>
    <row r="4125" spans="1:4" ht="18" customHeight="1" x14ac:dyDescent="0.25">
      <c r="A4125" s="2" t="s">
        <v>4185</v>
      </c>
      <c r="B4125" s="7">
        <v>17225675</v>
      </c>
      <c r="C4125" s="7">
        <v>39751583.5</v>
      </c>
      <c r="D4125" s="7">
        <f t="shared" si="65"/>
        <v>-22525908.5</v>
      </c>
    </row>
    <row r="4126" spans="1:4" ht="18" customHeight="1" x14ac:dyDescent="0.25">
      <c r="A4126" s="2" t="s">
        <v>1377</v>
      </c>
      <c r="B4126" s="7">
        <v>48334413</v>
      </c>
      <c r="C4126" s="7">
        <v>39751583.5</v>
      </c>
      <c r="D4126" s="7">
        <f t="shared" si="65"/>
        <v>8582829.5</v>
      </c>
    </row>
    <row r="4127" spans="1:4" ht="18" customHeight="1" x14ac:dyDescent="0.25">
      <c r="A4127" s="2" t="s">
        <v>443</v>
      </c>
      <c r="B4127" s="7">
        <v>79883359</v>
      </c>
      <c r="C4127" s="7">
        <v>66000000</v>
      </c>
      <c r="D4127" s="7">
        <f t="shared" si="65"/>
        <v>13883359</v>
      </c>
    </row>
    <row r="4128" spans="1:4" ht="18" customHeight="1" x14ac:dyDescent="0.25">
      <c r="A4128" s="2" t="s">
        <v>5960</v>
      </c>
      <c r="B4128" s="7">
        <v>578527</v>
      </c>
      <c r="C4128" s="7">
        <v>10000000</v>
      </c>
      <c r="D4128" s="7">
        <f t="shared" si="65"/>
        <v>-9421473</v>
      </c>
    </row>
    <row r="4129" spans="1:4" ht="18" customHeight="1" x14ac:dyDescent="0.25">
      <c r="A4129" s="2" t="s">
        <v>3872</v>
      </c>
      <c r="B4129" s="7">
        <v>22466994</v>
      </c>
      <c r="C4129" s="7">
        <v>25000000</v>
      </c>
      <c r="D4129" s="7">
        <f t="shared" si="65"/>
        <v>-2533006</v>
      </c>
    </row>
    <row r="4130" spans="1:4" ht="18" customHeight="1" x14ac:dyDescent="0.25">
      <c r="A4130" s="2" t="s">
        <v>447</v>
      </c>
      <c r="B4130" s="7">
        <v>79568000</v>
      </c>
      <c r="C4130" s="7">
        <v>12000000</v>
      </c>
      <c r="D4130" s="7">
        <f t="shared" si="65"/>
        <v>67568000</v>
      </c>
    </row>
    <row r="4131" spans="1:4" ht="18" customHeight="1" x14ac:dyDescent="0.25">
      <c r="A4131" s="2" t="s">
        <v>5334</v>
      </c>
      <c r="B4131" s="7">
        <v>3902679</v>
      </c>
      <c r="C4131" s="7">
        <v>3000000</v>
      </c>
      <c r="D4131" s="7">
        <f t="shared" si="65"/>
        <v>902679</v>
      </c>
    </row>
    <row r="4132" spans="1:4" ht="18" customHeight="1" x14ac:dyDescent="0.25">
      <c r="A4132" s="2" t="s">
        <v>4795</v>
      </c>
      <c r="B4132" s="7">
        <v>9094451</v>
      </c>
      <c r="C4132" s="7">
        <v>7000000</v>
      </c>
      <c r="D4132" s="7">
        <f t="shared" si="65"/>
        <v>2094451</v>
      </c>
    </row>
    <row r="4133" spans="1:4" ht="18" customHeight="1" x14ac:dyDescent="0.25">
      <c r="A4133" s="2" t="s">
        <v>703</v>
      </c>
      <c r="B4133" s="7">
        <v>66359959</v>
      </c>
      <c r="C4133" s="7">
        <v>35000000</v>
      </c>
      <c r="D4133" s="7">
        <f t="shared" si="65"/>
        <v>31359959</v>
      </c>
    </row>
    <row r="4134" spans="1:4" ht="18" customHeight="1" x14ac:dyDescent="0.25">
      <c r="A4134" s="2" t="s">
        <v>4459</v>
      </c>
      <c r="B4134" s="7">
        <v>13651662</v>
      </c>
      <c r="C4134" s="7">
        <v>25000000</v>
      </c>
      <c r="D4134" s="7">
        <f t="shared" si="65"/>
        <v>-11348338</v>
      </c>
    </row>
    <row r="4135" spans="1:4" ht="18" customHeight="1" x14ac:dyDescent="0.25">
      <c r="A4135" s="2" t="s">
        <v>5032</v>
      </c>
      <c r="B4135" s="7">
        <v>6448817</v>
      </c>
      <c r="C4135" s="7">
        <v>35000000</v>
      </c>
      <c r="D4135" s="7">
        <f t="shared" si="65"/>
        <v>-28551183</v>
      </c>
    </row>
    <row r="4136" spans="1:4" ht="18" customHeight="1" x14ac:dyDescent="0.25">
      <c r="A4136" s="2" t="s">
        <v>6427</v>
      </c>
      <c r="B4136" s="7">
        <v>81525</v>
      </c>
      <c r="C4136" s="7">
        <v>15300000</v>
      </c>
      <c r="D4136" s="7">
        <f t="shared" si="65"/>
        <v>-15218475</v>
      </c>
    </row>
    <row r="4137" spans="1:4" ht="18" customHeight="1" x14ac:dyDescent="0.25">
      <c r="A4137" s="2" t="s">
        <v>6429</v>
      </c>
      <c r="B4137" s="7">
        <v>79043</v>
      </c>
      <c r="C4137" s="7">
        <v>39751583.5</v>
      </c>
      <c r="D4137" s="7">
        <f t="shared" si="65"/>
        <v>-39672540.5</v>
      </c>
    </row>
    <row r="4138" spans="1:4" ht="18" customHeight="1" x14ac:dyDescent="0.25">
      <c r="A4138" s="2" t="s">
        <v>866</v>
      </c>
      <c r="B4138" s="7">
        <v>58700247</v>
      </c>
      <c r="C4138" s="7">
        <v>38000000</v>
      </c>
      <c r="D4138" s="7">
        <f t="shared" si="65"/>
        <v>20700247</v>
      </c>
    </row>
    <row r="4139" spans="1:4" ht="18" customHeight="1" x14ac:dyDescent="0.25">
      <c r="A4139" s="2" t="s">
        <v>5412</v>
      </c>
      <c r="B4139" s="7">
        <v>3222857</v>
      </c>
      <c r="C4139" s="7">
        <v>39751583.5</v>
      </c>
      <c r="D4139" s="7">
        <f t="shared" si="65"/>
        <v>-36528726.5</v>
      </c>
    </row>
    <row r="4140" spans="1:4" ht="18" customHeight="1" x14ac:dyDescent="0.25">
      <c r="A4140" s="2" t="s">
        <v>1648</v>
      </c>
      <c r="B4140" s="7">
        <v>48334413</v>
      </c>
      <c r="C4140" s="7">
        <v>25000000</v>
      </c>
      <c r="D4140" s="7">
        <f t="shared" si="65"/>
        <v>23334413</v>
      </c>
    </row>
    <row r="4141" spans="1:4" ht="18" customHeight="1" x14ac:dyDescent="0.25">
      <c r="A4141" s="2" t="s">
        <v>2900</v>
      </c>
      <c r="B4141" s="7">
        <v>43532294</v>
      </c>
      <c r="C4141" s="7">
        <v>65000000</v>
      </c>
      <c r="D4141" s="7">
        <f t="shared" si="65"/>
        <v>-21467706</v>
      </c>
    </row>
    <row r="4142" spans="1:4" ht="18" customHeight="1" x14ac:dyDescent="0.25">
      <c r="A4142" s="2" t="s">
        <v>5365</v>
      </c>
      <c r="B4142" s="7">
        <v>3590010</v>
      </c>
      <c r="C4142" s="7">
        <v>2000000</v>
      </c>
      <c r="D4142" s="7">
        <f t="shared" si="65"/>
        <v>1590010</v>
      </c>
    </row>
    <row r="4143" spans="1:4" ht="18" customHeight="1" x14ac:dyDescent="0.25">
      <c r="A4143" s="2" t="s">
        <v>507</v>
      </c>
      <c r="B4143" s="7">
        <v>75621915</v>
      </c>
      <c r="C4143" s="7">
        <v>39751583.5</v>
      </c>
      <c r="D4143" s="7">
        <f t="shared" si="65"/>
        <v>35870331.5</v>
      </c>
    </row>
    <row r="4144" spans="1:4" ht="18" customHeight="1" x14ac:dyDescent="0.25">
      <c r="A4144" s="2" t="s">
        <v>2009</v>
      </c>
      <c r="B4144" s="7">
        <v>48334413</v>
      </c>
      <c r="C4144" s="7">
        <v>5000000</v>
      </c>
      <c r="D4144" s="7">
        <f t="shared" si="65"/>
        <v>43334413</v>
      </c>
    </row>
    <row r="4145" spans="1:4" ht="18" customHeight="1" x14ac:dyDescent="0.25">
      <c r="A4145" s="2" t="s">
        <v>5661</v>
      </c>
      <c r="B4145" s="7">
        <v>1738692</v>
      </c>
      <c r="C4145" s="7">
        <v>7000000</v>
      </c>
      <c r="D4145" s="7">
        <f t="shared" si="65"/>
        <v>-5261308</v>
      </c>
    </row>
    <row r="4146" spans="1:4" ht="18" customHeight="1" x14ac:dyDescent="0.25">
      <c r="A4146" s="2" t="s">
        <v>3561</v>
      </c>
      <c r="B4146" s="7">
        <v>28563179</v>
      </c>
      <c r="C4146" s="7">
        <v>21000000</v>
      </c>
      <c r="D4146" s="7">
        <f t="shared" si="65"/>
        <v>7563179</v>
      </c>
    </row>
    <row r="4147" spans="1:4" ht="18" customHeight="1" x14ac:dyDescent="0.25">
      <c r="A4147" s="2" t="s">
        <v>466</v>
      </c>
      <c r="B4147" s="7">
        <v>78120196</v>
      </c>
      <c r="C4147" s="7">
        <v>75000000</v>
      </c>
      <c r="D4147" s="7">
        <f t="shared" si="65"/>
        <v>3120196</v>
      </c>
    </row>
    <row r="4148" spans="1:4" ht="18" customHeight="1" x14ac:dyDescent="0.25">
      <c r="A4148" s="2" t="s">
        <v>6019</v>
      </c>
      <c r="B4148" s="7">
        <v>469947</v>
      </c>
      <c r="C4148" s="7">
        <v>120000</v>
      </c>
      <c r="D4148" s="7">
        <f t="shared" si="65"/>
        <v>349947</v>
      </c>
    </row>
    <row r="4149" spans="1:4" ht="18" customHeight="1" x14ac:dyDescent="0.25">
      <c r="A4149" s="2" t="s">
        <v>2945</v>
      </c>
      <c r="B4149" s="7">
        <v>42168445</v>
      </c>
      <c r="C4149" s="7">
        <v>35000000</v>
      </c>
      <c r="D4149" s="7">
        <f t="shared" si="65"/>
        <v>7168445</v>
      </c>
    </row>
    <row r="4150" spans="1:4" ht="18" customHeight="1" x14ac:dyDescent="0.25">
      <c r="A4150" s="2" t="s">
        <v>6111</v>
      </c>
      <c r="B4150" s="7">
        <v>333976</v>
      </c>
      <c r="C4150" s="7">
        <v>12000000</v>
      </c>
      <c r="D4150" s="7">
        <f t="shared" si="65"/>
        <v>-11666024</v>
      </c>
    </row>
    <row r="4151" spans="1:4" ht="18" customHeight="1" x14ac:dyDescent="0.25">
      <c r="A4151" s="2" t="s">
        <v>4383</v>
      </c>
      <c r="B4151" s="7">
        <v>14469428</v>
      </c>
      <c r="C4151" s="7">
        <v>26000000</v>
      </c>
      <c r="D4151" s="7">
        <f t="shared" si="65"/>
        <v>-11530572</v>
      </c>
    </row>
    <row r="4152" spans="1:4" ht="18" customHeight="1" x14ac:dyDescent="0.25">
      <c r="A4152" s="2" t="s">
        <v>5213</v>
      </c>
      <c r="B4152" s="7">
        <v>4771000</v>
      </c>
      <c r="C4152" s="7">
        <v>800000</v>
      </c>
      <c r="D4152" s="7">
        <f t="shared" si="65"/>
        <v>3971000</v>
      </c>
    </row>
    <row r="4153" spans="1:4" ht="18" customHeight="1" x14ac:dyDescent="0.25">
      <c r="A4153" s="2" t="s">
        <v>6279</v>
      </c>
      <c r="B4153" s="7">
        <v>152857</v>
      </c>
      <c r="C4153" s="7">
        <v>39751583.5</v>
      </c>
      <c r="D4153" s="7">
        <f t="shared" si="65"/>
        <v>-39598726.5</v>
      </c>
    </row>
    <row r="4154" spans="1:4" ht="18" customHeight="1" x14ac:dyDescent="0.25">
      <c r="A4154" s="2" t="s">
        <v>1803</v>
      </c>
      <c r="B4154" s="7">
        <v>48334413</v>
      </c>
      <c r="C4154" s="7">
        <v>11000000</v>
      </c>
      <c r="D4154" s="7">
        <f t="shared" si="65"/>
        <v>37334413</v>
      </c>
    </row>
    <row r="4155" spans="1:4" ht="18" customHeight="1" x14ac:dyDescent="0.25">
      <c r="A4155" s="2" t="s">
        <v>5863</v>
      </c>
      <c r="B4155" s="7">
        <v>856942</v>
      </c>
      <c r="C4155" s="7">
        <v>200000</v>
      </c>
      <c r="D4155" s="7">
        <f t="shared" si="65"/>
        <v>656942</v>
      </c>
    </row>
    <row r="4156" spans="1:4" ht="18" customHeight="1" x14ac:dyDescent="0.25">
      <c r="A4156" s="2" t="s">
        <v>4687</v>
      </c>
      <c r="B4156" s="7">
        <v>10555348</v>
      </c>
      <c r="C4156" s="7">
        <v>20000000</v>
      </c>
      <c r="D4156" s="7">
        <f t="shared" si="65"/>
        <v>-9444652</v>
      </c>
    </row>
    <row r="4157" spans="1:4" ht="18" customHeight="1" x14ac:dyDescent="0.25">
      <c r="A4157" s="2" t="s">
        <v>2894</v>
      </c>
      <c r="B4157" s="7">
        <v>43650000</v>
      </c>
      <c r="C4157" s="7">
        <v>6000000</v>
      </c>
      <c r="D4157" s="7">
        <f t="shared" si="65"/>
        <v>37650000</v>
      </c>
    </row>
    <row r="4158" spans="1:4" ht="18" customHeight="1" x14ac:dyDescent="0.25">
      <c r="A4158" s="2" t="s">
        <v>2621</v>
      </c>
      <c r="B4158" s="7">
        <v>48334413</v>
      </c>
      <c r="C4158" s="7">
        <v>250000</v>
      </c>
      <c r="D4158" s="7">
        <f t="shared" si="65"/>
        <v>48084413</v>
      </c>
    </row>
    <row r="4159" spans="1:4" ht="18" customHeight="1" x14ac:dyDescent="0.25">
      <c r="A4159" s="2" t="s">
        <v>3969</v>
      </c>
      <c r="B4159" s="7">
        <v>20772796</v>
      </c>
      <c r="C4159" s="7">
        <v>6000000</v>
      </c>
      <c r="D4159" s="7">
        <f t="shared" si="65"/>
        <v>14772796</v>
      </c>
    </row>
    <row r="4160" spans="1:4" ht="18" customHeight="1" x14ac:dyDescent="0.25">
      <c r="A4160" s="2" t="s">
        <v>3206</v>
      </c>
      <c r="B4160" s="7">
        <v>35990505</v>
      </c>
      <c r="C4160" s="7">
        <v>20000000</v>
      </c>
      <c r="D4160" s="7">
        <f t="shared" si="65"/>
        <v>15990505</v>
      </c>
    </row>
    <row r="4161" spans="1:4" ht="18" customHeight="1" x14ac:dyDescent="0.25">
      <c r="A4161" s="2" t="s">
        <v>969</v>
      </c>
      <c r="B4161" s="7">
        <v>55350897</v>
      </c>
      <c r="C4161" s="7">
        <v>85000000</v>
      </c>
      <c r="D4161" s="7">
        <f t="shared" si="65"/>
        <v>-29649103</v>
      </c>
    </row>
    <row r="4162" spans="1:4" ht="18" customHeight="1" x14ac:dyDescent="0.25">
      <c r="A4162" s="2" t="s">
        <v>420</v>
      </c>
      <c r="B4162" s="7">
        <v>80276912</v>
      </c>
      <c r="C4162" s="7">
        <v>35000000</v>
      </c>
      <c r="D4162" s="7">
        <f t="shared" si="65"/>
        <v>45276912</v>
      </c>
    </row>
    <row r="4163" spans="1:4" ht="18" customHeight="1" x14ac:dyDescent="0.25">
      <c r="A4163" s="2" t="s">
        <v>5790</v>
      </c>
      <c r="B4163" s="7">
        <v>1089365</v>
      </c>
      <c r="C4163" s="7">
        <v>25000000</v>
      </c>
      <c r="D4163" s="7">
        <f t="shared" si="65"/>
        <v>-23910635</v>
      </c>
    </row>
    <row r="4164" spans="1:4" ht="18" customHeight="1" x14ac:dyDescent="0.25">
      <c r="A4164" s="2" t="s">
        <v>5043</v>
      </c>
      <c r="B4164" s="7">
        <v>6291602</v>
      </c>
      <c r="C4164" s="7">
        <v>50000000</v>
      </c>
      <c r="D4164" s="7">
        <f t="shared" si="65"/>
        <v>-43708398</v>
      </c>
    </row>
    <row r="4165" spans="1:4" ht="18" customHeight="1" x14ac:dyDescent="0.25">
      <c r="A4165" s="2" t="s">
        <v>4662</v>
      </c>
      <c r="B4165" s="7">
        <v>10941801</v>
      </c>
      <c r="C4165" s="7">
        <v>39751583.5</v>
      </c>
      <c r="D4165" s="7">
        <f t="shared" ref="D4165:D4228" si="66">B4165-C4165</f>
        <v>-28809782.5</v>
      </c>
    </row>
    <row r="4166" spans="1:4" ht="18" customHeight="1" x14ac:dyDescent="0.25">
      <c r="A4166" s="2" t="s">
        <v>2982</v>
      </c>
      <c r="B4166" s="7">
        <v>41102171</v>
      </c>
      <c r="C4166" s="7">
        <v>40000000</v>
      </c>
      <c r="D4166" s="7">
        <f t="shared" si="66"/>
        <v>1102171</v>
      </c>
    </row>
    <row r="4167" spans="1:4" ht="18" customHeight="1" x14ac:dyDescent="0.25">
      <c r="A4167" s="2" t="s">
        <v>4818</v>
      </c>
      <c r="B4167" s="7">
        <v>8735529</v>
      </c>
      <c r="C4167" s="7">
        <v>15000000</v>
      </c>
      <c r="D4167" s="7">
        <f t="shared" si="66"/>
        <v>-6264471</v>
      </c>
    </row>
    <row r="4168" spans="1:4" ht="18" customHeight="1" x14ac:dyDescent="0.25">
      <c r="A4168" s="2" t="s">
        <v>5157</v>
      </c>
      <c r="B4168" s="7">
        <v>5306447</v>
      </c>
      <c r="C4168" s="7">
        <v>15000000</v>
      </c>
      <c r="D4168" s="7">
        <f t="shared" si="66"/>
        <v>-9693553</v>
      </c>
    </row>
    <row r="4169" spans="1:4" ht="18" customHeight="1" x14ac:dyDescent="0.25">
      <c r="A4169" s="2" t="s">
        <v>4789</v>
      </c>
      <c r="B4169" s="7">
        <v>9170214</v>
      </c>
      <c r="C4169" s="7">
        <v>11000000</v>
      </c>
      <c r="D4169" s="7">
        <f t="shared" si="66"/>
        <v>-1829786</v>
      </c>
    </row>
    <row r="4170" spans="1:4" ht="18" customHeight="1" x14ac:dyDescent="0.25">
      <c r="A4170" s="2" t="s">
        <v>3062</v>
      </c>
      <c r="B4170" s="7">
        <v>39100956</v>
      </c>
      <c r="C4170" s="7">
        <v>39751583.5</v>
      </c>
      <c r="D4170" s="7">
        <f t="shared" si="66"/>
        <v>-650627.5</v>
      </c>
    </row>
    <row r="4171" spans="1:4" ht="18" customHeight="1" x14ac:dyDescent="0.25">
      <c r="A4171" s="2" t="s">
        <v>3392</v>
      </c>
      <c r="B4171" s="7">
        <v>32095318</v>
      </c>
      <c r="C4171" s="7">
        <v>45000000</v>
      </c>
      <c r="D4171" s="7">
        <f t="shared" si="66"/>
        <v>-12904682</v>
      </c>
    </row>
    <row r="4172" spans="1:4" ht="18" customHeight="1" x14ac:dyDescent="0.25">
      <c r="A4172" s="2" t="s">
        <v>4430</v>
      </c>
      <c r="B4172" s="7">
        <v>13987482</v>
      </c>
      <c r="C4172" s="7">
        <v>20000000</v>
      </c>
      <c r="D4172" s="7">
        <f t="shared" si="66"/>
        <v>-6012518</v>
      </c>
    </row>
    <row r="4173" spans="1:4" ht="18" customHeight="1" x14ac:dyDescent="0.25">
      <c r="A4173" s="2" t="s">
        <v>2760</v>
      </c>
      <c r="B4173" s="7">
        <v>47860214</v>
      </c>
      <c r="C4173" s="7">
        <v>15000000</v>
      </c>
      <c r="D4173" s="7">
        <f t="shared" si="66"/>
        <v>32860214</v>
      </c>
    </row>
    <row r="4174" spans="1:4" ht="18" customHeight="1" x14ac:dyDescent="0.25">
      <c r="A4174" s="2" t="s">
        <v>5793</v>
      </c>
      <c r="B4174" s="7">
        <v>1071240</v>
      </c>
      <c r="C4174" s="7">
        <v>8000000</v>
      </c>
      <c r="D4174" s="7">
        <f t="shared" si="66"/>
        <v>-6928760</v>
      </c>
    </row>
    <row r="4175" spans="1:4" ht="18" customHeight="1" x14ac:dyDescent="0.25">
      <c r="A4175" s="2" t="s">
        <v>242</v>
      </c>
      <c r="B4175" s="7">
        <v>92823600</v>
      </c>
      <c r="C4175" s="7">
        <v>16000000</v>
      </c>
      <c r="D4175" s="7">
        <f t="shared" si="66"/>
        <v>76823600</v>
      </c>
    </row>
    <row r="4176" spans="1:4" ht="18" customHeight="1" x14ac:dyDescent="0.25">
      <c r="A4176" s="2" t="s">
        <v>5676</v>
      </c>
      <c r="B4176" s="7">
        <v>1652472</v>
      </c>
      <c r="C4176" s="7">
        <v>300000</v>
      </c>
      <c r="D4176" s="7">
        <f t="shared" si="66"/>
        <v>1352472</v>
      </c>
    </row>
    <row r="4177" spans="1:4" ht="18" customHeight="1" x14ac:dyDescent="0.25">
      <c r="A4177" s="2" t="s">
        <v>3494</v>
      </c>
      <c r="B4177" s="7">
        <v>30127963</v>
      </c>
      <c r="C4177" s="7">
        <v>15000000</v>
      </c>
      <c r="D4177" s="7">
        <f t="shared" si="66"/>
        <v>15127963</v>
      </c>
    </row>
    <row r="4178" spans="1:4" ht="18" customHeight="1" x14ac:dyDescent="0.25">
      <c r="A4178" s="2" t="s">
        <v>1555</v>
      </c>
      <c r="B4178" s="7">
        <v>48334413</v>
      </c>
      <c r="C4178" s="7">
        <v>39751583.5</v>
      </c>
      <c r="D4178" s="7">
        <f t="shared" si="66"/>
        <v>8582829.5</v>
      </c>
    </row>
    <row r="4179" spans="1:4" ht="18" customHeight="1" x14ac:dyDescent="0.25">
      <c r="A4179" s="2" t="s">
        <v>3303</v>
      </c>
      <c r="B4179" s="7">
        <v>33771174</v>
      </c>
      <c r="C4179" s="7">
        <v>15000000</v>
      </c>
      <c r="D4179" s="7">
        <f t="shared" si="66"/>
        <v>18771174</v>
      </c>
    </row>
    <row r="4180" spans="1:4" ht="18" customHeight="1" x14ac:dyDescent="0.25">
      <c r="A4180" s="2" t="s">
        <v>5856</v>
      </c>
      <c r="B4180" s="7">
        <v>871527</v>
      </c>
      <c r="C4180" s="7">
        <v>25000000</v>
      </c>
      <c r="D4180" s="7">
        <f t="shared" si="66"/>
        <v>-24128473</v>
      </c>
    </row>
    <row r="4181" spans="1:4" ht="18" customHeight="1" x14ac:dyDescent="0.25">
      <c r="A4181" s="2" t="s">
        <v>4908</v>
      </c>
      <c r="B4181" s="7">
        <v>7574066</v>
      </c>
      <c r="C4181" s="7">
        <v>10000000</v>
      </c>
      <c r="D4181" s="7">
        <f t="shared" si="66"/>
        <v>-2425934</v>
      </c>
    </row>
    <row r="4182" spans="1:4" ht="18" customHeight="1" x14ac:dyDescent="0.25">
      <c r="A4182" s="2" t="s">
        <v>4512</v>
      </c>
      <c r="B4182" s="7">
        <v>13034417</v>
      </c>
      <c r="C4182" s="7">
        <v>15000000</v>
      </c>
      <c r="D4182" s="7">
        <f t="shared" si="66"/>
        <v>-1965583</v>
      </c>
    </row>
    <row r="4183" spans="1:4" ht="18" customHeight="1" x14ac:dyDescent="0.25">
      <c r="A4183" s="2" t="s">
        <v>4505</v>
      </c>
      <c r="B4183" s="7">
        <v>13092000</v>
      </c>
      <c r="C4183" s="7">
        <v>3300000</v>
      </c>
      <c r="D4183" s="7">
        <f t="shared" si="66"/>
        <v>9792000</v>
      </c>
    </row>
    <row r="4184" spans="1:4" ht="18" customHeight="1" x14ac:dyDescent="0.25">
      <c r="A4184" s="2" t="s">
        <v>5294</v>
      </c>
      <c r="B4184" s="7">
        <v>4142507</v>
      </c>
      <c r="C4184" s="7">
        <v>3000000</v>
      </c>
      <c r="D4184" s="7">
        <f t="shared" si="66"/>
        <v>1142507</v>
      </c>
    </row>
    <row r="4185" spans="1:4" ht="18" customHeight="1" x14ac:dyDescent="0.25">
      <c r="A4185" s="2" t="s">
        <v>647</v>
      </c>
      <c r="B4185" s="7">
        <v>69148997</v>
      </c>
      <c r="C4185" s="7">
        <v>37000000</v>
      </c>
      <c r="D4185" s="7">
        <f t="shared" si="66"/>
        <v>32148997</v>
      </c>
    </row>
    <row r="4186" spans="1:4" ht="18" customHeight="1" x14ac:dyDescent="0.25">
      <c r="A4186" s="2" t="s">
        <v>3260</v>
      </c>
      <c r="B4186" s="7">
        <v>34793160</v>
      </c>
      <c r="C4186" s="7">
        <v>14000000</v>
      </c>
      <c r="D4186" s="7">
        <f t="shared" si="66"/>
        <v>20793160</v>
      </c>
    </row>
    <row r="4187" spans="1:4" ht="18" customHeight="1" x14ac:dyDescent="0.25">
      <c r="A4187" s="2" t="s">
        <v>1834</v>
      </c>
      <c r="B4187" s="7">
        <v>48334413</v>
      </c>
      <c r="C4187" s="7">
        <v>10000000</v>
      </c>
      <c r="D4187" s="7">
        <f t="shared" si="66"/>
        <v>38334413</v>
      </c>
    </row>
    <row r="4188" spans="1:4" ht="18" customHeight="1" x14ac:dyDescent="0.25">
      <c r="A4188" s="2" t="s">
        <v>951</v>
      </c>
      <c r="B4188" s="7">
        <v>55865715</v>
      </c>
      <c r="C4188" s="7">
        <v>10000000</v>
      </c>
      <c r="D4188" s="7">
        <f t="shared" si="66"/>
        <v>45865715</v>
      </c>
    </row>
    <row r="4189" spans="1:4" ht="18" customHeight="1" x14ac:dyDescent="0.25">
      <c r="A4189" s="2" t="s">
        <v>4236</v>
      </c>
      <c r="B4189" s="7">
        <v>16346122</v>
      </c>
      <c r="C4189" s="7">
        <v>16000000</v>
      </c>
      <c r="D4189" s="7">
        <f t="shared" si="66"/>
        <v>346122</v>
      </c>
    </row>
    <row r="4190" spans="1:4" ht="18" customHeight="1" x14ac:dyDescent="0.25">
      <c r="A4190" s="2" t="s">
        <v>4711</v>
      </c>
      <c r="B4190" s="7">
        <v>10300000</v>
      </c>
      <c r="C4190" s="7">
        <v>38000000</v>
      </c>
      <c r="D4190" s="7">
        <f t="shared" si="66"/>
        <v>-27700000</v>
      </c>
    </row>
    <row r="4191" spans="1:4" ht="18" customHeight="1" x14ac:dyDescent="0.25">
      <c r="A4191" s="2" t="s">
        <v>4716</v>
      </c>
      <c r="B4191" s="7">
        <v>10268846</v>
      </c>
      <c r="C4191" s="7">
        <v>35000000</v>
      </c>
      <c r="D4191" s="7">
        <f t="shared" si="66"/>
        <v>-24731154</v>
      </c>
    </row>
    <row r="4192" spans="1:4" ht="18" customHeight="1" x14ac:dyDescent="0.25">
      <c r="A4192" s="2" t="s">
        <v>5672</v>
      </c>
      <c r="B4192" s="7">
        <v>1677838</v>
      </c>
      <c r="C4192" s="7">
        <v>1000000</v>
      </c>
      <c r="D4192" s="7">
        <f t="shared" si="66"/>
        <v>677838</v>
      </c>
    </row>
    <row r="4193" spans="1:4" ht="18" customHeight="1" x14ac:dyDescent="0.25">
      <c r="A4193" s="2" t="s">
        <v>5119</v>
      </c>
      <c r="B4193" s="7">
        <v>5694308</v>
      </c>
      <c r="C4193" s="7">
        <v>7000000</v>
      </c>
      <c r="D4193" s="7">
        <f t="shared" si="66"/>
        <v>-1305692</v>
      </c>
    </row>
    <row r="4194" spans="1:4" ht="18" customHeight="1" x14ac:dyDescent="0.25">
      <c r="A4194" s="2" t="s">
        <v>825</v>
      </c>
      <c r="B4194" s="7">
        <v>60072596</v>
      </c>
      <c r="C4194" s="7">
        <v>20000000</v>
      </c>
      <c r="D4194" s="7">
        <f t="shared" si="66"/>
        <v>40072596</v>
      </c>
    </row>
    <row r="4195" spans="1:4" ht="18" customHeight="1" x14ac:dyDescent="0.25">
      <c r="A4195" s="2" t="s">
        <v>973</v>
      </c>
      <c r="B4195" s="7">
        <v>55184721</v>
      </c>
      <c r="C4195" s="7">
        <v>15000000</v>
      </c>
      <c r="D4195" s="7">
        <f t="shared" si="66"/>
        <v>40184721</v>
      </c>
    </row>
    <row r="4196" spans="1:4" ht="18" customHeight="1" x14ac:dyDescent="0.25">
      <c r="A4196" s="2" t="s">
        <v>2112</v>
      </c>
      <c r="B4196" s="7">
        <v>48334413</v>
      </c>
      <c r="C4196" s="7">
        <v>3500000</v>
      </c>
      <c r="D4196" s="7">
        <f t="shared" si="66"/>
        <v>44834413</v>
      </c>
    </row>
    <row r="4197" spans="1:4" ht="18" customHeight="1" x14ac:dyDescent="0.25">
      <c r="A4197" s="2" t="s">
        <v>4530</v>
      </c>
      <c r="B4197" s="7">
        <v>12831121</v>
      </c>
      <c r="C4197" s="7">
        <v>30000000</v>
      </c>
      <c r="D4197" s="7">
        <f t="shared" si="66"/>
        <v>-17168879</v>
      </c>
    </row>
    <row r="4198" spans="1:4" ht="18" customHeight="1" x14ac:dyDescent="0.25">
      <c r="A4198" s="2" t="s">
        <v>1601</v>
      </c>
      <c r="B4198" s="7">
        <v>48334413</v>
      </c>
      <c r="C4198" s="7">
        <v>30000000</v>
      </c>
      <c r="D4198" s="7">
        <f t="shared" si="66"/>
        <v>18334413</v>
      </c>
    </row>
    <row r="4199" spans="1:4" ht="18" customHeight="1" x14ac:dyDescent="0.25">
      <c r="A4199" s="2" t="s">
        <v>6058</v>
      </c>
      <c r="B4199" s="7">
        <v>403649</v>
      </c>
      <c r="C4199" s="7">
        <v>39751583.5</v>
      </c>
      <c r="D4199" s="7">
        <f t="shared" si="66"/>
        <v>-39347934.5</v>
      </c>
    </row>
    <row r="4200" spans="1:4" ht="18" customHeight="1" x14ac:dyDescent="0.25">
      <c r="A4200" s="2" t="s">
        <v>6346</v>
      </c>
      <c r="B4200" s="7">
        <v>117190</v>
      </c>
      <c r="C4200" s="7">
        <v>8000000</v>
      </c>
      <c r="D4200" s="7">
        <f t="shared" si="66"/>
        <v>-7882810</v>
      </c>
    </row>
    <row r="4201" spans="1:4" ht="18" customHeight="1" x14ac:dyDescent="0.25">
      <c r="A4201" s="2" t="s">
        <v>3519</v>
      </c>
      <c r="B4201" s="7">
        <v>29753944</v>
      </c>
      <c r="C4201" s="7">
        <v>20000000</v>
      </c>
      <c r="D4201" s="7">
        <f t="shared" si="66"/>
        <v>9753944</v>
      </c>
    </row>
    <row r="4202" spans="1:4" ht="18" customHeight="1" x14ac:dyDescent="0.25">
      <c r="A4202" s="2" t="s">
        <v>3112</v>
      </c>
      <c r="B4202" s="7">
        <v>37877959</v>
      </c>
      <c r="C4202" s="7">
        <v>15000000</v>
      </c>
      <c r="D4202" s="7">
        <f t="shared" si="66"/>
        <v>22877959</v>
      </c>
    </row>
    <row r="4203" spans="1:4" ht="18" customHeight="1" x14ac:dyDescent="0.25">
      <c r="A4203" s="2" t="s">
        <v>4978</v>
      </c>
      <c r="B4203" s="7">
        <v>6852144</v>
      </c>
      <c r="C4203" s="7">
        <v>22000000</v>
      </c>
      <c r="D4203" s="7">
        <f t="shared" si="66"/>
        <v>-15147856</v>
      </c>
    </row>
    <row r="4204" spans="1:4" ht="18" customHeight="1" x14ac:dyDescent="0.25">
      <c r="A4204" s="2" t="s">
        <v>2153</v>
      </c>
      <c r="B4204" s="7">
        <v>48334413</v>
      </c>
      <c r="C4204" s="7">
        <v>3000000</v>
      </c>
      <c r="D4204" s="7">
        <f t="shared" si="66"/>
        <v>45334413</v>
      </c>
    </row>
    <row r="4205" spans="1:4" ht="18" customHeight="1" x14ac:dyDescent="0.25">
      <c r="A4205" s="2" t="s">
        <v>4214</v>
      </c>
      <c r="B4205" s="7">
        <v>16831505</v>
      </c>
      <c r="C4205" s="7">
        <v>31000000</v>
      </c>
      <c r="D4205" s="7">
        <f t="shared" si="66"/>
        <v>-14168495</v>
      </c>
    </row>
    <row r="4206" spans="1:4" ht="18" customHeight="1" x14ac:dyDescent="0.25">
      <c r="A4206" s="2" t="s">
        <v>4206</v>
      </c>
      <c r="B4206" s="7">
        <v>16964743</v>
      </c>
      <c r="C4206" s="7">
        <v>24000000</v>
      </c>
      <c r="D4206" s="7">
        <f t="shared" si="66"/>
        <v>-7035257</v>
      </c>
    </row>
    <row r="4207" spans="1:4" ht="18" customHeight="1" x14ac:dyDescent="0.25">
      <c r="A4207" s="2" t="s">
        <v>2295</v>
      </c>
      <c r="B4207" s="7">
        <v>48334413</v>
      </c>
      <c r="C4207" s="7">
        <v>2000000</v>
      </c>
      <c r="D4207" s="7">
        <f t="shared" si="66"/>
        <v>46334413</v>
      </c>
    </row>
    <row r="4208" spans="1:4" ht="18" customHeight="1" x14ac:dyDescent="0.25">
      <c r="A4208" s="2" t="s">
        <v>2674</v>
      </c>
      <c r="B4208" s="7">
        <v>48334413</v>
      </c>
      <c r="C4208" s="7">
        <v>100000</v>
      </c>
      <c r="D4208" s="7">
        <f t="shared" si="66"/>
        <v>48234413</v>
      </c>
    </row>
    <row r="4209" spans="1:4" ht="18" customHeight="1" x14ac:dyDescent="0.25">
      <c r="A4209" s="2" t="s">
        <v>4620</v>
      </c>
      <c r="B4209" s="7">
        <v>11576087</v>
      </c>
      <c r="C4209" s="7">
        <v>30000000</v>
      </c>
      <c r="D4209" s="7">
        <f t="shared" si="66"/>
        <v>-18423913</v>
      </c>
    </row>
    <row r="4210" spans="1:4" ht="18" customHeight="1" x14ac:dyDescent="0.25">
      <c r="A4210" s="2" t="s">
        <v>1466</v>
      </c>
      <c r="B4210" s="7">
        <v>48334413</v>
      </c>
      <c r="C4210" s="7">
        <v>39751583.5</v>
      </c>
      <c r="D4210" s="7">
        <f t="shared" si="66"/>
        <v>8582829.5</v>
      </c>
    </row>
    <row r="4211" spans="1:4" ht="18" customHeight="1" x14ac:dyDescent="0.25">
      <c r="A4211" s="2" t="s">
        <v>1736</v>
      </c>
      <c r="B4211" s="7">
        <v>48334413</v>
      </c>
      <c r="C4211" s="7">
        <v>15000000</v>
      </c>
      <c r="D4211" s="7">
        <f t="shared" si="66"/>
        <v>33334413</v>
      </c>
    </row>
    <row r="4212" spans="1:4" ht="18" customHeight="1" x14ac:dyDescent="0.25">
      <c r="A4212" s="2" t="s">
        <v>3647</v>
      </c>
      <c r="B4212" s="7">
        <v>26687172</v>
      </c>
      <c r="C4212" s="7">
        <v>30000000</v>
      </c>
      <c r="D4212" s="7">
        <f t="shared" si="66"/>
        <v>-3312828</v>
      </c>
    </row>
    <row r="4213" spans="1:4" ht="18" customHeight="1" x14ac:dyDescent="0.25">
      <c r="A4213" s="2" t="s">
        <v>5978</v>
      </c>
      <c r="B4213" s="7">
        <v>542860</v>
      </c>
      <c r="C4213" s="7">
        <v>4000000</v>
      </c>
      <c r="D4213" s="7">
        <f t="shared" si="66"/>
        <v>-3457140</v>
      </c>
    </row>
    <row r="4214" spans="1:4" ht="18" customHeight="1" x14ac:dyDescent="0.25">
      <c r="A4214" s="2" t="s">
        <v>6380</v>
      </c>
      <c r="B4214" s="7">
        <v>101228</v>
      </c>
      <c r="C4214" s="7">
        <v>3500000</v>
      </c>
      <c r="D4214" s="7">
        <f t="shared" si="66"/>
        <v>-3398772</v>
      </c>
    </row>
    <row r="4215" spans="1:4" ht="18" customHeight="1" x14ac:dyDescent="0.25">
      <c r="A4215" s="2" t="s">
        <v>5016</v>
      </c>
      <c r="B4215" s="7">
        <v>6531491</v>
      </c>
      <c r="C4215" s="7">
        <v>2000000</v>
      </c>
      <c r="D4215" s="7">
        <f t="shared" si="66"/>
        <v>4531491</v>
      </c>
    </row>
    <row r="4216" spans="1:4" ht="18" customHeight="1" x14ac:dyDescent="0.25">
      <c r="A4216" s="2" t="s">
        <v>6581</v>
      </c>
      <c r="B4216" s="7">
        <v>22451</v>
      </c>
      <c r="C4216" s="7">
        <v>60000000</v>
      </c>
      <c r="D4216" s="7">
        <f t="shared" si="66"/>
        <v>-59977549</v>
      </c>
    </row>
    <row r="4217" spans="1:4" ht="18" customHeight="1" x14ac:dyDescent="0.25">
      <c r="A4217" s="2" t="s">
        <v>5366</v>
      </c>
      <c r="B4217" s="7">
        <v>3588432</v>
      </c>
      <c r="C4217" s="7">
        <v>6000000</v>
      </c>
      <c r="D4217" s="7">
        <f t="shared" si="66"/>
        <v>-2411568</v>
      </c>
    </row>
    <row r="4218" spans="1:4" ht="18" customHeight="1" x14ac:dyDescent="0.25">
      <c r="A4218" s="2" t="s">
        <v>4933</v>
      </c>
      <c r="B4218" s="7">
        <v>7369373</v>
      </c>
      <c r="C4218" s="7">
        <v>2000000</v>
      </c>
      <c r="D4218" s="7">
        <f t="shared" si="66"/>
        <v>5369373</v>
      </c>
    </row>
    <row r="4219" spans="1:4" ht="18" customHeight="1" x14ac:dyDescent="0.25">
      <c r="A4219" s="2" t="s">
        <v>880</v>
      </c>
      <c r="B4219" s="7">
        <v>58156435</v>
      </c>
      <c r="C4219" s="7">
        <v>19000000</v>
      </c>
      <c r="D4219" s="7">
        <f t="shared" si="66"/>
        <v>39156435</v>
      </c>
    </row>
    <row r="4220" spans="1:4" ht="18" customHeight="1" x14ac:dyDescent="0.25">
      <c r="A4220" s="2" t="s">
        <v>5886</v>
      </c>
      <c r="B4220" s="7">
        <v>777423</v>
      </c>
      <c r="C4220" s="7">
        <v>25000000</v>
      </c>
      <c r="D4220" s="7">
        <f t="shared" si="66"/>
        <v>-24222577</v>
      </c>
    </row>
    <row r="4221" spans="1:4" ht="18" customHeight="1" x14ac:dyDescent="0.25">
      <c r="A4221" s="2" t="s">
        <v>2032</v>
      </c>
      <c r="B4221" s="7">
        <v>48334413</v>
      </c>
      <c r="C4221" s="7">
        <v>4700000</v>
      </c>
      <c r="D4221" s="7">
        <f t="shared" si="66"/>
        <v>43634413</v>
      </c>
    </row>
    <row r="4222" spans="1:4" ht="18" customHeight="1" x14ac:dyDescent="0.25">
      <c r="A4222" s="2" t="s">
        <v>5296</v>
      </c>
      <c r="B4222" s="7">
        <v>4131640</v>
      </c>
      <c r="C4222" s="7">
        <v>7500000</v>
      </c>
      <c r="D4222" s="7">
        <f t="shared" si="66"/>
        <v>-3368360</v>
      </c>
    </row>
    <row r="4223" spans="1:4" ht="18" customHeight="1" x14ac:dyDescent="0.25">
      <c r="A4223" s="2" t="s">
        <v>719</v>
      </c>
      <c r="B4223" s="7">
        <v>65500000</v>
      </c>
      <c r="C4223" s="7">
        <v>12000000</v>
      </c>
      <c r="D4223" s="7">
        <f t="shared" si="66"/>
        <v>53500000</v>
      </c>
    </row>
    <row r="4224" spans="1:4" ht="18" customHeight="1" x14ac:dyDescent="0.25">
      <c r="A4224" s="2" t="s">
        <v>1490</v>
      </c>
      <c r="B4224" s="7">
        <v>48334413</v>
      </c>
      <c r="C4224" s="7">
        <v>39751583.5</v>
      </c>
      <c r="D4224" s="7">
        <f t="shared" si="66"/>
        <v>8582829.5</v>
      </c>
    </row>
    <row r="4225" spans="1:4" ht="18" customHeight="1" x14ac:dyDescent="0.25">
      <c r="A4225" s="2" t="s">
        <v>723</v>
      </c>
      <c r="B4225" s="7">
        <v>65012000</v>
      </c>
      <c r="C4225" s="7">
        <v>70000000</v>
      </c>
      <c r="D4225" s="7">
        <f t="shared" si="66"/>
        <v>-4988000</v>
      </c>
    </row>
    <row r="4226" spans="1:4" ht="18" customHeight="1" x14ac:dyDescent="0.25">
      <c r="A4226" s="2" t="s">
        <v>1708</v>
      </c>
      <c r="B4226" s="7">
        <v>48334413</v>
      </c>
      <c r="C4226" s="7">
        <v>18000000</v>
      </c>
      <c r="D4226" s="7">
        <f t="shared" si="66"/>
        <v>30334413</v>
      </c>
    </row>
    <row r="4227" spans="1:4" ht="18" customHeight="1" x14ac:dyDescent="0.25">
      <c r="A4227" s="2" t="s">
        <v>3335</v>
      </c>
      <c r="B4227" s="7">
        <v>33305037</v>
      </c>
      <c r="C4227" s="7">
        <v>11000000</v>
      </c>
      <c r="D4227" s="7">
        <f t="shared" si="66"/>
        <v>22305037</v>
      </c>
    </row>
    <row r="4228" spans="1:4" ht="18" customHeight="1" x14ac:dyDescent="0.25">
      <c r="A4228" s="2" t="s">
        <v>5177</v>
      </c>
      <c r="B4228" s="7">
        <v>5018450</v>
      </c>
      <c r="C4228" s="7">
        <v>8000000</v>
      </c>
      <c r="D4228" s="7">
        <f t="shared" si="66"/>
        <v>-2981550</v>
      </c>
    </row>
    <row r="4229" spans="1:4" ht="18" customHeight="1" x14ac:dyDescent="0.25">
      <c r="A4229" s="2" t="s">
        <v>4974</v>
      </c>
      <c r="B4229" s="7">
        <v>6879730</v>
      </c>
      <c r="C4229" s="7">
        <v>39751583.5</v>
      </c>
      <c r="D4229" s="7">
        <f t="shared" ref="D4229:D4289" si="67">B4229-C4229</f>
        <v>-32871853.5</v>
      </c>
    </row>
    <row r="4230" spans="1:4" ht="18" customHeight="1" x14ac:dyDescent="0.25">
      <c r="A4230" s="2" t="s">
        <v>2096</v>
      </c>
      <c r="B4230" s="7">
        <v>48334413</v>
      </c>
      <c r="C4230" s="7">
        <v>3660000</v>
      </c>
      <c r="D4230" s="7">
        <f t="shared" si="67"/>
        <v>44674413</v>
      </c>
    </row>
    <row r="4231" spans="1:4" ht="18" customHeight="1" x14ac:dyDescent="0.25">
      <c r="A4231" s="2" t="s">
        <v>4042</v>
      </c>
      <c r="B4231" s="7">
        <v>19389454</v>
      </c>
      <c r="C4231" s="7">
        <v>55000000</v>
      </c>
      <c r="D4231" s="7">
        <f t="shared" si="67"/>
        <v>-35610546</v>
      </c>
    </row>
    <row r="4232" spans="1:4" ht="18" customHeight="1" x14ac:dyDescent="0.25">
      <c r="A4232" s="2" t="s">
        <v>5800</v>
      </c>
      <c r="B4232" s="7">
        <v>1056102</v>
      </c>
      <c r="C4232" s="7">
        <v>5000000</v>
      </c>
      <c r="D4232" s="7">
        <f t="shared" si="67"/>
        <v>-3943898</v>
      </c>
    </row>
    <row r="4233" spans="1:4" ht="18" customHeight="1" x14ac:dyDescent="0.25">
      <c r="A4233" s="2" t="s">
        <v>5156</v>
      </c>
      <c r="B4233" s="7">
        <v>5308553</v>
      </c>
      <c r="C4233" s="7">
        <v>39751583.5</v>
      </c>
      <c r="D4233" s="7">
        <f t="shared" si="67"/>
        <v>-34443030.5</v>
      </c>
    </row>
    <row r="4234" spans="1:4" ht="18" customHeight="1" x14ac:dyDescent="0.25">
      <c r="A4234" s="2" t="s">
        <v>4868</v>
      </c>
      <c r="B4234" s="7">
        <v>8026971</v>
      </c>
      <c r="C4234" s="7">
        <v>13000000</v>
      </c>
      <c r="D4234" s="7">
        <f t="shared" si="67"/>
        <v>-4973029</v>
      </c>
    </row>
    <row r="4235" spans="1:4" ht="18" customHeight="1" x14ac:dyDescent="0.25">
      <c r="A4235" s="2" t="s">
        <v>4491</v>
      </c>
      <c r="B4235" s="7">
        <v>13300000</v>
      </c>
      <c r="C4235" s="7">
        <v>600000</v>
      </c>
      <c r="D4235" s="7">
        <f t="shared" si="67"/>
        <v>12700000</v>
      </c>
    </row>
    <row r="4236" spans="1:4" ht="18" customHeight="1" x14ac:dyDescent="0.25">
      <c r="A4236" s="2" t="s">
        <v>5428</v>
      </c>
      <c r="B4236" s="7">
        <v>3117666</v>
      </c>
      <c r="C4236" s="7">
        <v>39751583.5</v>
      </c>
      <c r="D4236" s="7">
        <f t="shared" si="67"/>
        <v>-36633917.5</v>
      </c>
    </row>
    <row r="4237" spans="1:4" ht="18" customHeight="1" x14ac:dyDescent="0.25">
      <c r="A4237" s="2" t="s">
        <v>619</v>
      </c>
      <c r="B4237" s="7">
        <v>70236496</v>
      </c>
      <c r="C4237" s="7">
        <v>63000000</v>
      </c>
      <c r="D4237" s="7">
        <f t="shared" si="67"/>
        <v>7236496</v>
      </c>
    </row>
    <row r="4238" spans="1:4" ht="18" customHeight="1" x14ac:dyDescent="0.25">
      <c r="A4238" s="2" t="s">
        <v>6209</v>
      </c>
      <c r="B4238" s="7">
        <v>221210</v>
      </c>
      <c r="C4238" s="7">
        <v>39751583.5</v>
      </c>
      <c r="D4238" s="7">
        <f t="shared" si="67"/>
        <v>-39530373.5</v>
      </c>
    </row>
    <row r="4239" spans="1:4" ht="18" customHeight="1" x14ac:dyDescent="0.25">
      <c r="A4239" s="2" t="s">
        <v>6378</v>
      </c>
      <c r="B4239" s="7">
        <v>104077</v>
      </c>
      <c r="C4239" s="7">
        <v>1000000</v>
      </c>
      <c r="D4239" s="7">
        <f t="shared" si="67"/>
        <v>-895923</v>
      </c>
    </row>
    <row r="4240" spans="1:4" ht="18" customHeight="1" x14ac:dyDescent="0.25">
      <c r="A4240" s="2" t="s">
        <v>4315</v>
      </c>
      <c r="B4240" s="7">
        <v>15417771</v>
      </c>
      <c r="C4240" s="7">
        <v>12600000</v>
      </c>
      <c r="D4240" s="7">
        <f t="shared" si="67"/>
        <v>2817771</v>
      </c>
    </row>
    <row r="4241" spans="1:4" ht="18" customHeight="1" x14ac:dyDescent="0.25">
      <c r="A4241" s="2" t="s">
        <v>1366</v>
      </c>
      <c r="B4241" s="7">
        <v>48334413</v>
      </c>
      <c r="C4241" s="7">
        <v>39751583.5</v>
      </c>
      <c r="D4241" s="7">
        <f t="shared" si="67"/>
        <v>8582829.5</v>
      </c>
    </row>
    <row r="4242" spans="1:4" ht="18" customHeight="1" x14ac:dyDescent="0.25">
      <c r="A4242" s="2" t="s">
        <v>3756</v>
      </c>
      <c r="B4242" s="7">
        <v>25052000</v>
      </c>
      <c r="C4242" s="7">
        <v>63000000</v>
      </c>
      <c r="D4242" s="7">
        <f t="shared" si="67"/>
        <v>-37948000</v>
      </c>
    </row>
    <row r="4243" spans="1:4" ht="18" customHeight="1" x14ac:dyDescent="0.25">
      <c r="A4243" s="2" t="s">
        <v>1205</v>
      </c>
      <c r="B4243" s="7">
        <v>48334413</v>
      </c>
      <c r="C4243" s="7">
        <v>68005000</v>
      </c>
      <c r="D4243" s="7">
        <f t="shared" si="67"/>
        <v>-19670587</v>
      </c>
    </row>
    <row r="4244" spans="1:4" ht="18" customHeight="1" x14ac:dyDescent="0.25">
      <c r="A4244" s="2" t="s">
        <v>3678</v>
      </c>
      <c r="B4244" s="7">
        <v>26082914</v>
      </c>
      <c r="C4244" s="7">
        <v>87000000</v>
      </c>
      <c r="D4244" s="7">
        <f t="shared" si="67"/>
        <v>-60917086</v>
      </c>
    </row>
    <row r="4245" spans="1:4" ht="18" customHeight="1" x14ac:dyDescent="0.25">
      <c r="A4245" s="2" t="s">
        <v>4463</v>
      </c>
      <c r="B4245" s="7">
        <v>13622333</v>
      </c>
      <c r="C4245" s="7">
        <v>2000000</v>
      </c>
      <c r="D4245" s="7">
        <f t="shared" si="67"/>
        <v>11622333</v>
      </c>
    </row>
    <row r="4246" spans="1:4" ht="18" customHeight="1" x14ac:dyDescent="0.25">
      <c r="A4246" s="2" t="s">
        <v>2903</v>
      </c>
      <c r="B4246" s="7">
        <v>43337279</v>
      </c>
      <c r="C4246" s="7">
        <v>60000000</v>
      </c>
      <c r="D4246" s="7">
        <f t="shared" si="67"/>
        <v>-16662721</v>
      </c>
    </row>
    <row r="4247" spans="1:4" ht="18" customHeight="1" x14ac:dyDescent="0.25">
      <c r="A4247" s="2" t="s">
        <v>5340</v>
      </c>
      <c r="B4247" s="7">
        <v>3827466</v>
      </c>
      <c r="C4247" s="7">
        <v>39751583.5</v>
      </c>
      <c r="D4247" s="7">
        <f t="shared" si="67"/>
        <v>-35924117.5</v>
      </c>
    </row>
    <row r="4248" spans="1:4" ht="18" customHeight="1" x14ac:dyDescent="0.25">
      <c r="A4248" s="2" t="s">
        <v>3478</v>
      </c>
      <c r="B4248" s="7">
        <v>30400000</v>
      </c>
      <c r="C4248" s="7">
        <v>12000000</v>
      </c>
      <c r="D4248" s="7">
        <f t="shared" si="67"/>
        <v>18400000</v>
      </c>
    </row>
    <row r="4249" spans="1:4" ht="18" customHeight="1" x14ac:dyDescent="0.25">
      <c r="A4249" s="2" t="s">
        <v>190</v>
      </c>
      <c r="B4249" s="7">
        <v>97680195</v>
      </c>
      <c r="C4249" s="7">
        <v>70000000</v>
      </c>
      <c r="D4249" s="7">
        <f t="shared" si="67"/>
        <v>27680195</v>
      </c>
    </row>
    <row r="4250" spans="1:4" ht="18" customHeight="1" x14ac:dyDescent="0.25">
      <c r="A4250" s="2" t="s">
        <v>6067</v>
      </c>
      <c r="B4250" s="7">
        <v>396035</v>
      </c>
      <c r="C4250" s="7">
        <v>1000000</v>
      </c>
      <c r="D4250" s="7">
        <f t="shared" si="67"/>
        <v>-603965</v>
      </c>
    </row>
    <row r="4251" spans="1:4" ht="18" customHeight="1" x14ac:dyDescent="0.25">
      <c r="A4251" s="2" t="s">
        <v>2228</v>
      </c>
      <c r="B4251" s="7">
        <v>48334413</v>
      </c>
      <c r="C4251" s="7">
        <v>2500000</v>
      </c>
      <c r="D4251" s="7">
        <f t="shared" si="67"/>
        <v>45834413</v>
      </c>
    </row>
    <row r="4252" spans="1:4" ht="18" customHeight="1" x14ac:dyDescent="0.25">
      <c r="A4252" s="2" t="s">
        <v>2020</v>
      </c>
      <c r="B4252" s="7">
        <v>48334413</v>
      </c>
      <c r="C4252" s="7">
        <v>5000000</v>
      </c>
      <c r="D4252" s="7">
        <f t="shared" si="67"/>
        <v>43334413</v>
      </c>
    </row>
    <row r="4253" spans="1:4" ht="18" customHeight="1" x14ac:dyDescent="0.25">
      <c r="A4253" s="2" t="s">
        <v>179</v>
      </c>
      <c r="B4253" s="7">
        <v>100169068</v>
      </c>
      <c r="C4253" s="7">
        <v>80000000</v>
      </c>
      <c r="D4253" s="7">
        <f t="shared" si="67"/>
        <v>20169068</v>
      </c>
    </row>
    <row r="4254" spans="1:4" ht="18" customHeight="1" x14ac:dyDescent="0.25">
      <c r="A4254" s="2" t="s">
        <v>3704</v>
      </c>
      <c r="B4254" s="7">
        <v>25677801</v>
      </c>
      <c r="C4254" s="7">
        <v>20000000</v>
      </c>
      <c r="D4254" s="7">
        <f t="shared" si="67"/>
        <v>5677801</v>
      </c>
    </row>
    <row r="4255" spans="1:4" ht="18" customHeight="1" x14ac:dyDescent="0.25">
      <c r="A4255" s="2" t="s">
        <v>4785</v>
      </c>
      <c r="B4255" s="7">
        <v>9180275</v>
      </c>
      <c r="C4255" s="7">
        <v>1200000</v>
      </c>
      <c r="D4255" s="7">
        <f t="shared" si="67"/>
        <v>7980275</v>
      </c>
    </row>
    <row r="4256" spans="1:4" ht="18" customHeight="1" x14ac:dyDescent="0.25">
      <c r="A4256" s="2" t="s">
        <v>2322</v>
      </c>
      <c r="B4256" s="7">
        <v>48334413</v>
      </c>
      <c r="C4256" s="7">
        <v>1644736</v>
      </c>
      <c r="D4256" s="7">
        <f t="shared" si="67"/>
        <v>46689677</v>
      </c>
    </row>
    <row r="4257" spans="1:4" ht="18" customHeight="1" x14ac:dyDescent="0.25">
      <c r="A4257" s="2" t="s">
        <v>181</v>
      </c>
      <c r="B4257" s="7">
        <v>100018837</v>
      </c>
      <c r="C4257" s="7">
        <v>90000000</v>
      </c>
      <c r="D4257" s="7">
        <f t="shared" si="67"/>
        <v>10018837</v>
      </c>
    </row>
    <row r="4258" spans="1:4" ht="18" customHeight="1" x14ac:dyDescent="0.25">
      <c r="A4258" s="2" t="s">
        <v>1836</v>
      </c>
      <c r="B4258" s="7">
        <v>48334413</v>
      </c>
      <c r="C4258" s="7">
        <v>10000000</v>
      </c>
      <c r="D4258" s="7">
        <f t="shared" si="67"/>
        <v>38334413</v>
      </c>
    </row>
    <row r="4259" spans="1:4" ht="18" customHeight="1" x14ac:dyDescent="0.25">
      <c r="A4259" s="2" t="s">
        <v>3017</v>
      </c>
      <c r="B4259" s="7">
        <v>40066497</v>
      </c>
      <c r="C4259" s="7">
        <v>8000000</v>
      </c>
      <c r="D4259" s="7">
        <f t="shared" si="67"/>
        <v>32066497</v>
      </c>
    </row>
    <row r="4260" spans="1:4" ht="18" customHeight="1" x14ac:dyDescent="0.25">
      <c r="A4260" s="2" t="s">
        <v>5540</v>
      </c>
      <c r="B4260" s="7">
        <v>2426851</v>
      </c>
      <c r="C4260" s="7">
        <v>4000000</v>
      </c>
      <c r="D4260" s="7">
        <f t="shared" si="67"/>
        <v>-1573149</v>
      </c>
    </row>
    <row r="4261" spans="1:4" ht="18" customHeight="1" x14ac:dyDescent="0.25">
      <c r="A4261" s="2" t="s">
        <v>2907</v>
      </c>
      <c r="B4261" s="7">
        <v>43100000</v>
      </c>
      <c r="C4261" s="7">
        <v>9500000</v>
      </c>
      <c r="D4261" s="7">
        <f t="shared" si="67"/>
        <v>33600000</v>
      </c>
    </row>
    <row r="4262" spans="1:4" ht="18" customHeight="1" x14ac:dyDescent="0.25">
      <c r="A4262" s="2" t="s">
        <v>5410</v>
      </c>
      <c r="B4262" s="7">
        <v>3247816</v>
      </c>
      <c r="C4262" s="7">
        <v>22000000</v>
      </c>
      <c r="D4262" s="7">
        <f t="shared" si="67"/>
        <v>-18752184</v>
      </c>
    </row>
    <row r="4263" spans="1:4" ht="18" customHeight="1" x14ac:dyDescent="0.25">
      <c r="A4263" s="2" t="s">
        <v>511</v>
      </c>
      <c r="B4263" s="7">
        <v>75604320</v>
      </c>
      <c r="C4263" s="7">
        <v>54000000</v>
      </c>
      <c r="D4263" s="7">
        <f t="shared" si="67"/>
        <v>21604320</v>
      </c>
    </row>
    <row r="4264" spans="1:4" ht="18" customHeight="1" x14ac:dyDescent="0.25">
      <c r="A4264" s="2" t="s">
        <v>4239</v>
      </c>
      <c r="B4264" s="7">
        <v>16300302</v>
      </c>
      <c r="C4264" s="7">
        <v>12000000</v>
      </c>
      <c r="D4264" s="7">
        <f t="shared" si="67"/>
        <v>4300302</v>
      </c>
    </row>
    <row r="4265" spans="1:4" ht="18" customHeight="1" x14ac:dyDescent="0.25">
      <c r="A4265" s="2" t="s">
        <v>318</v>
      </c>
      <c r="B4265" s="7">
        <v>86300000</v>
      </c>
      <c r="C4265" s="7">
        <v>2800000</v>
      </c>
      <c r="D4265" s="7">
        <f t="shared" si="67"/>
        <v>83500000</v>
      </c>
    </row>
    <row r="4266" spans="1:4" ht="18" customHeight="1" x14ac:dyDescent="0.25">
      <c r="A4266" s="2" t="s">
        <v>2855</v>
      </c>
      <c r="B4266" s="7">
        <v>44726644</v>
      </c>
      <c r="C4266" s="7">
        <v>13000000</v>
      </c>
      <c r="D4266" s="7">
        <f t="shared" si="67"/>
        <v>31726644</v>
      </c>
    </row>
    <row r="4267" spans="1:4" ht="18" customHeight="1" x14ac:dyDescent="0.25">
      <c r="A4267" s="2" t="s">
        <v>5276</v>
      </c>
      <c r="B4267" s="7">
        <v>4250320</v>
      </c>
      <c r="C4267" s="7">
        <v>18000000</v>
      </c>
      <c r="D4267" s="7">
        <f t="shared" si="67"/>
        <v>-13749680</v>
      </c>
    </row>
    <row r="4268" spans="1:4" ht="18" customHeight="1" x14ac:dyDescent="0.25">
      <c r="A4268" s="2" t="s">
        <v>3912</v>
      </c>
      <c r="B4268" s="7">
        <v>21557240</v>
      </c>
      <c r="C4268" s="7">
        <v>49900000</v>
      </c>
      <c r="D4268" s="7">
        <f t="shared" si="67"/>
        <v>-28342760</v>
      </c>
    </row>
    <row r="4269" spans="1:4" ht="18" customHeight="1" x14ac:dyDescent="0.25">
      <c r="A4269" s="2" t="s">
        <v>5684</v>
      </c>
      <c r="B4269" s="7">
        <v>1573712</v>
      </c>
      <c r="C4269" s="7">
        <v>125000</v>
      </c>
      <c r="D4269" s="7">
        <f t="shared" si="67"/>
        <v>1448712</v>
      </c>
    </row>
    <row r="4270" spans="1:4" ht="18" customHeight="1" x14ac:dyDescent="0.25">
      <c r="A4270" s="2" t="s">
        <v>2208</v>
      </c>
      <c r="B4270" s="7">
        <v>48334413</v>
      </c>
      <c r="C4270" s="7">
        <v>2500000</v>
      </c>
      <c r="D4270" s="7">
        <f t="shared" si="67"/>
        <v>45834413</v>
      </c>
    </row>
    <row r="4271" spans="1:4" ht="18" customHeight="1" x14ac:dyDescent="0.25">
      <c r="A4271" s="2" t="s">
        <v>4323</v>
      </c>
      <c r="B4271" s="7">
        <v>15281286</v>
      </c>
      <c r="C4271" s="7">
        <v>18000000</v>
      </c>
      <c r="D4271" s="7">
        <f t="shared" si="67"/>
        <v>-2718714</v>
      </c>
    </row>
    <row r="4272" spans="1:4" ht="18" customHeight="1" x14ac:dyDescent="0.25">
      <c r="A4272" s="2" t="s">
        <v>1290</v>
      </c>
      <c r="B4272" s="7">
        <v>48334413</v>
      </c>
      <c r="C4272" s="7">
        <v>39751583.5</v>
      </c>
      <c r="D4272" s="7">
        <f t="shared" si="67"/>
        <v>8582829.5</v>
      </c>
    </row>
    <row r="4273" spans="1:4" ht="18" customHeight="1" x14ac:dyDescent="0.25">
      <c r="A4273" s="2" t="s">
        <v>1945</v>
      </c>
      <c r="B4273" s="7">
        <v>48334413</v>
      </c>
      <c r="C4273" s="7">
        <v>7000000</v>
      </c>
      <c r="D4273" s="7">
        <f t="shared" si="67"/>
        <v>41334413</v>
      </c>
    </row>
    <row r="4274" spans="1:4" ht="18" customHeight="1" x14ac:dyDescent="0.25">
      <c r="A4274" s="2" t="s">
        <v>3441</v>
      </c>
      <c r="B4274" s="7">
        <v>31452765</v>
      </c>
      <c r="C4274" s="7">
        <v>24000000</v>
      </c>
      <c r="D4274" s="7">
        <f t="shared" si="67"/>
        <v>7452765</v>
      </c>
    </row>
    <row r="4275" spans="1:4" ht="18" customHeight="1" x14ac:dyDescent="0.25">
      <c r="A4275" s="2" t="s">
        <v>1681</v>
      </c>
      <c r="B4275" s="7">
        <v>48334413</v>
      </c>
      <c r="C4275" s="7">
        <v>20000000</v>
      </c>
      <c r="D4275" s="7">
        <f t="shared" si="67"/>
        <v>28334413</v>
      </c>
    </row>
    <row r="4276" spans="1:4" ht="18" customHeight="1" x14ac:dyDescent="0.25">
      <c r="A4276" s="2" t="s">
        <v>3579</v>
      </c>
      <c r="B4276" s="7">
        <v>28045540</v>
      </c>
      <c r="C4276" s="7">
        <v>65000000</v>
      </c>
      <c r="D4276" s="7">
        <f t="shared" si="67"/>
        <v>-36954460</v>
      </c>
    </row>
    <row r="4277" spans="1:4" ht="18" customHeight="1" x14ac:dyDescent="0.25">
      <c r="A4277" s="2" t="s">
        <v>201</v>
      </c>
      <c r="B4277" s="7">
        <v>95720716</v>
      </c>
      <c r="C4277" s="7">
        <v>40000000</v>
      </c>
      <c r="D4277" s="7">
        <f t="shared" si="67"/>
        <v>55720716</v>
      </c>
    </row>
    <row r="4278" spans="1:4" ht="18" customHeight="1" x14ac:dyDescent="0.25">
      <c r="A4278" s="2" t="s">
        <v>5628</v>
      </c>
      <c r="B4278" s="7">
        <v>1980338</v>
      </c>
      <c r="C4278" s="7">
        <v>5000000</v>
      </c>
      <c r="D4278" s="7">
        <f t="shared" si="67"/>
        <v>-3019662</v>
      </c>
    </row>
    <row r="4279" spans="1:4" ht="18" customHeight="1" x14ac:dyDescent="0.25">
      <c r="A4279" s="2" t="s">
        <v>2047</v>
      </c>
      <c r="B4279" s="7">
        <v>48334413</v>
      </c>
      <c r="C4279" s="7">
        <v>4500000</v>
      </c>
      <c r="D4279" s="7">
        <f t="shared" si="67"/>
        <v>43834413</v>
      </c>
    </row>
    <row r="4280" spans="1:4" ht="18" customHeight="1" x14ac:dyDescent="0.25">
      <c r="A4280" s="2" t="s">
        <v>2530</v>
      </c>
      <c r="B4280" s="7">
        <v>48334413</v>
      </c>
      <c r="C4280" s="7">
        <v>500000</v>
      </c>
      <c r="D4280" s="7">
        <f t="shared" si="67"/>
        <v>47834413</v>
      </c>
    </row>
    <row r="4281" spans="1:4" ht="18" customHeight="1" x14ac:dyDescent="0.25">
      <c r="A4281" s="2" t="s">
        <v>3342</v>
      </c>
      <c r="B4281" s="7">
        <v>33048353</v>
      </c>
      <c r="C4281" s="7">
        <v>65000000</v>
      </c>
      <c r="D4281" s="7">
        <f t="shared" si="67"/>
        <v>-31951647</v>
      </c>
    </row>
    <row r="4282" spans="1:4" ht="18" customHeight="1" x14ac:dyDescent="0.25">
      <c r="A4282" s="2" t="s">
        <v>2467</v>
      </c>
      <c r="B4282" s="7">
        <v>48334413</v>
      </c>
      <c r="C4282" s="7">
        <v>1000000</v>
      </c>
      <c r="D4282" s="7">
        <f t="shared" si="67"/>
        <v>47334413</v>
      </c>
    </row>
    <row r="4283" spans="1:4" ht="18" customHeight="1" x14ac:dyDescent="0.25">
      <c r="A4283" s="2" t="s">
        <v>516</v>
      </c>
      <c r="B4283" s="7">
        <v>75590286</v>
      </c>
      <c r="C4283" s="7">
        <v>23600000</v>
      </c>
      <c r="D4283" s="7">
        <f t="shared" si="67"/>
        <v>51990286</v>
      </c>
    </row>
    <row r="4284" spans="1:4" ht="18" customHeight="1" x14ac:dyDescent="0.25">
      <c r="A4284" s="2" t="s">
        <v>416</v>
      </c>
      <c r="B4284" s="7">
        <v>80360866</v>
      </c>
      <c r="C4284" s="7">
        <v>80000000</v>
      </c>
      <c r="D4284" s="7">
        <f t="shared" si="67"/>
        <v>360866</v>
      </c>
    </row>
    <row r="4285" spans="1:4" ht="18" customHeight="1" x14ac:dyDescent="0.25">
      <c r="A4285" s="2" t="s">
        <v>3549</v>
      </c>
      <c r="B4285" s="7">
        <v>28837115</v>
      </c>
      <c r="C4285" s="7">
        <v>50000000</v>
      </c>
      <c r="D4285" s="7">
        <f t="shared" si="67"/>
        <v>-21162885</v>
      </c>
    </row>
    <row r="4286" spans="1:4" ht="18" customHeight="1" x14ac:dyDescent="0.25">
      <c r="A4286" s="2" t="s">
        <v>2838</v>
      </c>
      <c r="B4286" s="7">
        <v>45162741</v>
      </c>
      <c r="C4286" s="7">
        <v>28000000</v>
      </c>
      <c r="D4286" s="7">
        <f t="shared" si="67"/>
        <v>17162741</v>
      </c>
    </row>
    <row r="4287" spans="1:4" ht="18" customHeight="1" x14ac:dyDescent="0.25">
      <c r="A4287" s="2" t="s">
        <v>4616</v>
      </c>
      <c r="B4287" s="7">
        <v>11631245</v>
      </c>
      <c r="C4287" s="7">
        <v>35000000</v>
      </c>
      <c r="D4287" s="7">
        <f t="shared" si="67"/>
        <v>-23368755</v>
      </c>
    </row>
    <row r="4288" spans="1:4" ht="18" customHeight="1" x14ac:dyDescent="0.25">
      <c r="A4288" s="2" t="s">
        <v>1730</v>
      </c>
      <c r="B4288" s="7">
        <v>48334413</v>
      </c>
      <c r="C4288" s="7">
        <v>16000000</v>
      </c>
      <c r="D4288" s="7">
        <f t="shared" si="67"/>
        <v>32334413</v>
      </c>
    </row>
    <row r="4289" spans="1:4" ht="18" customHeight="1" x14ac:dyDescent="0.25">
      <c r="A4289" s="2" t="s">
        <v>6747</v>
      </c>
      <c r="B4289" s="7">
        <v>134992348522</v>
      </c>
      <c r="C4289" s="7">
        <v>102303381252</v>
      </c>
      <c r="D4289" s="7">
        <f t="shared" si="67"/>
        <v>32688967270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858D-3794-4195-BC04-C45C38FB868D}">
  <dimension ref="A1:S4334"/>
  <sheetViews>
    <sheetView tabSelected="1" topLeftCell="F7" workbookViewId="0">
      <selection activeCell="R1" sqref="R1:S27"/>
    </sheetView>
  </sheetViews>
  <sheetFormatPr defaultRowHeight="15" x14ac:dyDescent="0.25"/>
  <cols>
    <col min="1" max="1" width="32.28515625" bestFit="1" customWidth="1"/>
    <col min="2" max="2" width="8.5703125" bestFit="1" customWidth="1"/>
    <col min="3" max="3" width="10" bestFit="1" customWidth="1"/>
    <col min="4" max="4" width="79.7109375" bestFit="1" customWidth="1"/>
    <col min="5" max="5" width="11.7109375" bestFit="1" customWidth="1"/>
    <col min="6" max="6" width="20" bestFit="1" customWidth="1"/>
    <col min="7" max="7" width="11" bestFit="1" customWidth="1"/>
    <col min="8" max="8" width="11.28515625" bestFit="1" customWidth="1"/>
    <col min="9" max="11" width="12.85546875" bestFit="1" customWidth="1"/>
    <col min="18" max="18" width="12.85546875" bestFit="1" customWidth="1"/>
    <col min="19" max="19" width="14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8</v>
      </c>
      <c r="R1" t="s">
        <v>9</v>
      </c>
      <c r="S1" t="s">
        <v>10</v>
      </c>
    </row>
    <row r="2" spans="1:19" x14ac:dyDescent="0.25">
      <c r="A2" t="s">
        <v>11</v>
      </c>
      <c r="B2">
        <v>97</v>
      </c>
      <c r="C2">
        <v>110222438</v>
      </c>
      <c r="D2" t="s">
        <v>12</v>
      </c>
      <c r="E2" t="s">
        <v>13</v>
      </c>
      <c r="F2" t="s">
        <v>14</v>
      </c>
      <c r="G2">
        <v>26000000</v>
      </c>
      <c r="H2">
        <v>6.1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R2" t="s">
        <v>15</v>
      </c>
      <c r="S2">
        <v>1614</v>
      </c>
    </row>
    <row r="3" spans="1:19" x14ac:dyDescent="0.25">
      <c r="A3" t="s">
        <v>20</v>
      </c>
      <c r="B3">
        <v>98</v>
      </c>
      <c r="C3">
        <v>110175871</v>
      </c>
      <c r="D3" t="s">
        <v>21</v>
      </c>
      <c r="E3" t="s">
        <v>13</v>
      </c>
      <c r="F3" t="s">
        <v>14</v>
      </c>
      <c r="G3">
        <v>10000000</v>
      </c>
      <c r="H3">
        <v>5.9</v>
      </c>
      <c r="I3" t="s">
        <v>22</v>
      </c>
      <c r="J3" t="s">
        <v>23</v>
      </c>
      <c r="K3" t="s">
        <v>24</v>
      </c>
      <c r="R3" t="s">
        <v>22</v>
      </c>
      <c r="S3">
        <v>543</v>
      </c>
    </row>
    <row r="4" spans="1:19" x14ac:dyDescent="0.25">
      <c r="A4" t="s">
        <v>25</v>
      </c>
      <c r="B4">
        <v>129</v>
      </c>
      <c r="C4">
        <v>110008260</v>
      </c>
      <c r="D4" t="s">
        <v>26</v>
      </c>
      <c r="E4" t="s">
        <v>13</v>
      </c>
      <c r="F4" t="s">
        <v>27</v>
      </c>
      <c r="G4">
        <v>35000000</v>
      </c>
      <c r="H4">
        <v>6.3</v>
      </c>
      <c r="I4" t="s">
        <v>15</v>
      </c>
      <c r="J4" t="s">
        <v>19</v>
      </c>
      <c r="R4" t="s">
        <v>28</v>
      </c>
      <c r="S4">
        <v>570</v>
      </c>
    </row>
    <row r="5" spans="1:19" x14ac:dyDescent="0.25">
      <c r="A5" t="s">
        <v>29</v>
      </c>
      <c r="B5">
        <v>84</v>
      </c>
      <c r="C5">
        <v>110000082</v>
      </c>
      <c r="D5" t="s">
        <v>30</v>
      </c>
      <c r="E5" t="s">
        <v>13</v>
      </c>
      <c r="F5" t="s">
        <v>14</v>
      </c>
      <c r="G5">
        <v>48000000</v>
      </c>
      <c r="H5">
        <v>5.5</v>
      </c>
      <c r="I5" t="s">
        <v>15</v>
      </c>
      <c r="R5" t="s">
        <v>31</v>
      </c>
      <c r="S5">
        <v>2363</v>
      </c>
    </row>
    <row r="6" spans="1:19" x14ac:dyDescent="0.25">
      <c r="A6" t="s">
        <v>32</v>
      </c>
      <c r="B6">
        <v>99</v>
      </c>
      <c r="C6">
        <v>109993847</v>
      </c>
      <c r="D6" t="s">
        <v>33</v>
      </c>
      <c r="E6" t="s">
        <v>13</v>
      </c>
      <c r="F6" t="s">
        <v>14</v>
      </c>
      <c r="G6">
        <v>80000000</v>
      </c>
      <c r="H6">
        <v>6.1</v>
      </c>
      <c r="I6" t="s">
        <v>15</v>
      </c>
      <c r="J6" t="s">
        <v>16</v>
      </c>
      <c r="K6" t="s">
        <v>17</v>
      </c>
      <c r="L6" t="s">
        <v>19</v>
      </c>
      <c r="R6" t="s">
        <v>34</v>
      </c>
      <c r="S6">
        <v>826</v>
      </c>
    </row>
    <row r="7" spans="1:19" x14ac:dyDescent="0.25">
      <c r="A7" t="s">
        <v>35</v>
      </c>
      <c r="B7">
        <v>119</v>
      </c>
      <c r="C7">
        <v>109713132</v>
      </c>
      <c r="D7" t="s">
        <v>36</v>
      </c>
      <c r="E7" t="s">
        <v>13</v>
      </c>
      <c r="F7" t="s">
        <v>14</v>
      </c>
      <c r="G7">
        <v>25000000</v>
      </c>
      <c r="H7">
        <v>7.3</v>
      </c>
      <c r="I7" t="s">
        <v>28</v>
      </c>
      <c r="J7" t="s">
        <v>15</v>
      </c>
      <c r="K7" t="s">
        <v>37</v>
      </c>
      <c r="R7" t="s">
        <v>38</v>
      </c>
      <c r="S7">
        <v>805</v>
      </c>
    </row>
    <row r="8" spans="1:19" x14ac:dyDescent="0.25">
      <c r="A8" t="s">
        <v>39</v>
      </c>
      <c r="B8">
        <v>133</v>
      </c>
      <c r="C8">
        <v>109712885</v>
      </c>
      <c r="D8" t="s">
        <v>40</v>
      </c>
      <c r="E8" t="s">
        <v>13</v>
      </c>
      <c r="F8" t="s">
        <v>14</v>
      </c>
      <c r="G8">
        <v>35000000</v>
      </c>
      <c r="H8">
        <v>7.7</v>
      </c>
      <c r="I8" t="s">
        <v>31</v>
      </c>
      <c r="J8" t="s">
        <v>41</v>
      </c>
      <c r="R8" t="s">
        <v>42</v>
      </c>
      <c r="S8">
        <v>265</v>
      </c>
    </row>
    <row r="9" spans="1:19" x14ac:dyDescent="0.25">
      <c r="A9" t="s">
        <v>43</v>
      </c>
      <c r="B9">
        <v>108</v>
      </c>
      <c r="C9">
        <v>109306210</v>
      </c>
      <c r="D9" t="s">
        <v>44</v>
      </c>
      <c r="E9" t="s">
        <v>13</v>
      </c>
      <c r="F9" t="s">
        <v>45</v>
      </c>
      <c r="G9">
        <v>15800000</v>
      </c>
      <c r="H9">
        <v>5.5</v>
      </c>
      <c r="I9" t="s">
        <v>34</v>
      </c>
      <c r="J9" t="s">
        <v>28</v>
      </c>
      <c r="K9" t="s">
        <v>15</v>
      </c>
      <c r="R9" t="s">
        <v>46</v>
      </c>
      <c r="S9">
        <v>137</v>
      </c>
    </row>
    <row r="10" spans="1:19" x14ac:dyDescent="0.25">
      <c r="A10" t="s">
        <v>25</v>
      </c>
      <c r="B10">
        <v>133</v>
      </c>
      <c r="C10">
        <v>109243478</v>
      </c>
      <c r="D10" t="s">
        <v>47</v>
      </c>
      <c r="E10" t="s">
        <v>13</v>
      </c>
      <c r="F10" t="s">
        <v>14</v>
      </c>
      <c r="G10">
        <v>26000000</v>
      </c>
      <c r="H10">
        <v>7.1</v>
      </c>
      <c r="I10" t="s">
        <v>15</v>
      </c>
      <c r="J10" t="s">
        <v>19</v>
      </c>
      <c r="R10" t="s">
        <v>17</v>
      </c>
      <c r="S10">
        <v>428</v>
      </c>
    </row>
    <row r="11" spans="1:19" x14ac:dyDescent="0.25">
      <c r="A11" t="s">
        <v>48</v>
      </c>
      <c r="B11">
        <v>113</v>
      </c>
      <c r="C11">
        <v>109176215</v>
      </c>
      <c r="D11" t="s">
        <v>49</v>
      </c>
      <c r="E11" t="s">
        <v>13</v>
      </c>
      <c r="F11" t="s">
        <v>14</v>
      </c>
      <c r="G11">
        <v>60000000</v>
      </c>
      <c r="H11">
        <v>5.5</v>
      </c>
      <c r="I11" t="s">
        <v>15</v>
      </c>
      <c r="R11" t="s">
        <v>37</v>
      </c>
      <c r="S11">
        <v>443</v>
      </c>
    </row>
    <row r="12" spans="1:19" x14ac:dyDescent="0.25">
      <c r="A12" t="s">
        <v>50</v>
      </c>
      <c r="B12">
        <v>149</v>
      </c>
      <c r="C12">
        <v>108706165</v>
      </c>
      <c r="D12" t="s">
        <v>51</v>
      </c>
      <c r="E12" t="s">
        <v>13</v>
      </c>
      <c r="F12" t="s">
        <v>14</v>
      </c>
      <c r="G12">
        <v>40000000</v>
      </c>
      <c r="H12">
        <v>7.4</v>
      </c>
      <c r="I12" t="s">
        <v>38</v>
      </c>
      <c r="J12" t="s">
        <v>31</v>
      </c>
      <c r="K12" t="s">
        <v>24</v>
      </c>
      <c r="R12" t="s">
        <v>52</v>
      </c>
      <c r="S12">
        <v>118</v>
      </c>
    </row>
    <row r="13" spans="1:19" x14ac:dyDescent="0.25">
      <c r="A13" t="s">
        <v>53</v>
      </c>
      <c r="B13">
        <v>90</v>
      </c>
      <c r="C13">
        <v>108360000</v>
      </c>
      <c r="D13" t="s">
        <v>54</v>
      </c>
      <c r="E13" t="s">
        <v>13</v>
      </c>
      <c r="F13" t="s">
        <v>14</v>
      </c>
      <c r="G13">
        <v>30000000</v>
      </c>
      <c r="H13">
        <v>6.3</v>
      </c>
      <c r="I13" t="s">
        <v>28</v>
      </c>
      <c r="J13" t="s">
        <v>15</v>
      </c>
      <c r="R13" t="s">
        <v>19</v>
      </c>
      <c r="S13">
        <v>975</v>
      </c>
    </row>
    <row r="14" spans="1:19" x14ac:dyDescent="0.25">
      <c r="A14" t="s">
        <v>55</v>
      </c>
      <c r="B14">
        <v>111</v>
      </c>
      <c r="C14">
        <v>108244774</v>
      </c>
      <c r="D14" t="s">
        <v>56</v>
      </c>
      <c r="E14" t="s">
        <v>13</v>
      </c>
      <c r="F14" t="s">
        <v>14</v>
      </c>
      <c r="G14">
        <v>37000000</v>
      </c>
      <c r="H14">
        <v>6.2</v>
      </c>
      <c r="I14" t="s">
        <v>15</v>
      </c>
      <c r="J14" t="s">
        <v>16</v>
      </c>
      <c r="K14" t="s">
        <v>19</v>
      </c>
      <c r="R14" t="s">
        <v>23</v>
      </c>
      <c r="S14">
        <v>448</v>
      </c>
    </row>
    <row r="15" spans="1:19" x14ac:dyDescent="0.25">
      <c r="A15" t="s">
        <v>57</v>
      </c>
      <c r="B15">
        <v>116</v>
      </c>
      <c r="C15">
        <v>108200000</v>
      </c>
      <c r="D15" t="s">
        <v>58</v>
      </c>
      <c r="E15" t="s">
        <v>13</v>
      </c>
      <c r="F15" t="s">
        <v>14</v>
      </c>
      <c r="G15">
        <v>54000000</v>
      </c>
      <c r="H15">
        <v>6.8</v>
      </c>
      <c r="I15" t="s">
        <v>34</v>
      </c>
      <c r="J15" t="s">
        <v>28</v>
      </c>
      <c r="K15" t="s">
        <v>19</v>
      </c>
      <c r="L15" t="s">
        <v>37</v>
      </c>
      <c r="R15" t="s">
        <v>59</v>
      </c>
      <c r="S15">
        <v>111</v>
      </c>
    </row>
    <row r="16" spans="1:19" x14ac:dyDescent="0.25">
      <c r="A16" t="s">
        <v>60</v>
      </c>
      <c r="B16">
        <v>95</v>
      </c>
      <c r="C16">
        <v>108012170</v>
      </c>
      <c r="D16" t="s">
        <v>61</v>
      </c>
      <c r="E16" t="s">
        <v>13</v>
      </c>
      <c r="F16" t="s">
        <v>14</v>
      </c>
      <c r="G16">
        <v>63000000</v>
      </c>
      <c r="H16">
        <v>5.5</v>
      </c>
      <c r="I16" t="s">
        <v>28</v>
      </c>
      <c r="J16" t="s">
        <v>46</v>
      </c>
      <c r="K16" t="s">
        <v>15</v>
      </c>
      <c r="L16" t="s">
        <v>16</v>
      </c>
      <c r="M16" t="s">
        <v>17</v>
      </c>
      <c r="R16" t="s">
        <v>24</v>
      </c>
      <c r="S16">
        <v>1231</v>
      </c>
    </row>
    <row r="17" spans="1:19" x14ac:dyDescent="0.25">
      <c r="A17" t="s">
        <v>62</v>
      </c>
      <c r="B17">
        <v>178</v>
      </c>
      <c r="C17">
        <v>107930000</v>
      </c>
      <c r="D17" t="s">
        <v>63</v>
      </c>
      <c r="E17" t="s">
        <v>13</v>
      </c>
      <c r="F17" t="s">
        <v>14</v>
      </c>
      <c r="G17">
        <v>8000000</v>
      </c>
      <c r="H17">
        <v>8.9</v>
      </c>
      <c r="I17" t="s">
        <v>38</v>
      </c>
      <c r="J17" t="s">
        <v>31</v>
      </c>
      <c r="R17" t="s">
        <v>64</v>
      </c>
      <c r="S17">
        <v>178</v>
      </c>
    </row>
    <row r="18" spans="1:19" x14ac:dyDescent="0.25">
      <c r="A18" t="s">
        <v>65</v>
      </c>
      <c r="B18">
        <v>84</v>
      </c>
      <c r="C18">
        <v>107917283</v>
      </c>
      <c r="D18" t="s">
        <v>66</v>
      </c>
      <c r="E18" t="s">
        <v>13</v>
      </c>
      <c r="F18" t="s">
        <v>14</v>
      </c>
      <c r="G18">
        <v>15000</v>
      </c>
      <c r="H18">
        <v>6.3</v>
      </c>
      <c r="I18" t="s">
        <v>22</v>
      </c>
      <c r="R18" t="s">
        <v>16</v>
      </c>
      <c r="S18">
        <v>371</v>
      </c>
    </row>
    <row r="19" spans="1:19" x14ac:dyDescent="0.25">
      <c r="A19" t="s">
        <v>67</v>
      </c>
      <c r="B19">
        <v>128</v>
      </c>
      <c r="C19">
        <v>107458785</v>
      </c>
      <c r="D19" t="s">
        <v>68</v>
      </c>
      <c r="E19" t="s">
        <v>13</v>
      </c>
      <c r="F19" t="s">
        <v>14</v>
      </c>
      <c r="G19">
        <v>40000000</v>
      </c>
      <c r="H19">
        <v>7.2</v>
      </c>
      <c r="I19" t="s">
        <v>15</v>
      </c>
      <c r="J19" t="s">
        <v>31</v>
      </c>
      <c r="K19" t="s">
        <v>41</v>
      </c>
      <c r="R19" t="s">
        <v>69</v>
      </c>
      <c r="S19">
        <v>83</v>
      </c>
    </row>
    <row r="20" spans="1:19" x14ac:dyDescent="0.25">
      <c r="A20" t="s">
        <v>70</v>
      </c>
      <c r="B20">
        <v>97</v>
      </c>
      <c r="C20">
        <v>107225164</v>
      </c>
      <c r="D20" t="s">
        <v>71</v>
      </c>
      <c r="E20" t="s">
        <v>13</v>
      </c>
      <c r="F20" t="s">
        <v>14</v>
      </c>
      <c r="G20">
        <v>73000000</v>
      </c>
      <c r="H20">
        <v>6.3</v>
      </c>
      <c r="I20" t="s">
        <v>34</v>
      </c>
      <c r="J20" t="s">
        <v>46</v>
      </c>
      <c r="K20" t="s">
        <v>15</v>
      </c>
      <c r="L20" t="s">
        <v>16</v>
      </c>
      <c r="R20" t="s">
        <v>72</v>
      </c>
      <c r="S20">
        <v>1</v>
      </c>
    </row>
    <row r="21" spans="1:19" x14ac:dyDescent="0.25">
      <c r="A21" t="s">
        <v>73</v>
      </c>
      <c r="B21">
        <v>134</v>
      </c>
      <c r="C21">
        <v>107100855</v>
      </c>
      <c r="D21" t="s">
        <v>74</v>
      </c>
      <c r="E21" t="s">
        <v>13</v>
      </c>
      <c r="F21" t="s">
        <v>14</v>
      </c>
      <c r="G21">
        <v>55000000</v>
      </c>
      <c r="H21">
        <v>7.9</v>
      </c>
      <c r="I21" t="s">
        <v>42</v>
      </c>
      <c r="J21" t="s">
        <v>31</v>
      </c>
      <c r="K21" t="s">
        <v>24</v>
      </c>
      <c r="R21" t="s">
        <v>75</v>
      </c>
      <c r="S21">
        <v>6</v>
      </c>
    </row>
    <row r="22" spans="1:19" x14ac:dyDescent="0.25">
      <c r="A22" t="s">
        <v>76</v>
      </c>
      <c r="B22">
        <v>108</v>
      </c>
      <c r="C22">
        <v>106952327</v>
      </c>
      <c r="D22" t="s">
        <v>77</v>
      </c>
      <c r="E22" t="s">
        <v>13</v>
      </c>
      <c r="F22" t="s">
        <v>14</v>
      </c>
      <c r="G22">
        <v>13000000</v>
      </c>
      <c r="H22">
        <v>8</v>
      </c>
      <c r="I22" t="s">
        <v>31</v>
      </c>
      <c r="J22" t="s">
        <v>24</v>
      </c>
      <c r="R22" t="s">
        <v>18</v>
      </c>
      <c r="S22">
        <v>197</v>
      </c>
    </row>
    <row r="23" spans="1:19" x14ac:dyDescent="0.25">
      <c r="A23" t="s">
        <v>78</v>
      </c>
      <c r="B23">
        <v>109</v>
      </c>
      <c r="C23">
        <v>106807667</v>
      </c>
      <c r="D23" t="s">
        <v>79</v>
      </c>
      <c r="E23" t="s">
        <v>13</v>
      </c>
      <c r="F23" t="s">
        <v>14</v>
      </c>
      <c r="G23">
        <v>45000000</v>
      </c>
      <c r="H23">
        <v>6.2</v>
      </c>
      <c r="I23" t="s">
        <v>34</v>
      </c>
      <c r="J23" t="s">
        <v>15</v>
      </c>
      <c r="K23" t="s">
        <v>38</v>
      </c>
      <c r="L23" t="s">
        <v>19</v>
      </c>
      <c r="R23" t="s">
        <v>41</v>
      </c>
      <c r="S23">
        <v>158</v>
      </c>
    </row>
    <row r="24" spans="1:19" x14ac:dyDescent="0.25">
      <c r="A24" t="s">
        <v>80</v>
      </c>
      <c r="B24">
        <v>84</v>
      </c>
      <c r="C24">
        <v>106793915</v>
      </c>
      <c r="D24" t="s">
        <v>81</v>
      </c>
      <c r="E24" t="s">
        <v>13</v>
      </c>
      <c r="F24" t="s">
        <v>82</v>
      </c>
      <c r="G24">
        <v>45000000</v>
      </c>
      <c r="H24">
        <v>7</v>
      </c>
      <c r="I24" t="s">
        <v>28</v>
      </c>
      <c r="J24" t="s">
        <v>46</v>
      </c>
      <c r="K24" t="s">
        <v>15</v>
      </c>
      <c r="L24" t="s">
        <v>31</v>
      </c>
      <c r="M24" t="s">
        <v>16</v>
      </c>
      <c r="R24" t="s">
        <v>83</v>
      </c>
      <c r="S24">
        <v>177</v>
      </c>
    </row>
    <row r="25" spans="1:19" x14ac:dyDescent="0.25">
      <c r="A25" t="s">
        <v>84</v>
      </c>
      <c r="B25">
        <v>103</v>
      </c>
      <c r="C25">
        <v>106694016</v>
      </c>
      <c r="D25" t="s">
        <v>85</v>
      </c>
      <c r="E25" t="s">
        <v>13</v>
      </c>
      <c r="F25" t="s">
        <v>14</v>
      </c>
      <c r="G25">
        <v>30000000</v>
      </c>
      <c r="H25">
        <v>6.7</v>
      </c>
      <c r="I25" t="s">
        <v>15</v>
      </c>
      <c r="J25" t="s">
        <v>38</v>
      </c>
      <c r="R25" t="s">
        <v>86</v>
      </c>
      <c r="S25">
        <v>5</v>
      </c>
    </row>
    <row r="26" spans="1:19" x14ac:dyDescent="0.25">
      <c r="A26" t="s">
        <v>87</v>
      </c>
      <c r="B26">
        <v>130</v>
      </c>
      <c r="C26">
        <v>106635996</v>
      </c>
      <c r="D26" t="s">
        <v>88</v>
      </c>
      <c r="E26" t="s">
        <v>13</v>
      </c>
      <c r="F26" t="s">
        <v>82</v>
      </c>
      <c r="G26">
        <v>58000000</v>
      </c>
      <c r="H26">
        <v>7.2</v>
      </c>
      <c r="I26" t="s">
        <v>34</v>
      </c>
      <c r="J26" t="s">
        <v>28</v>
      </c>
      <c r="K26" t="s">
        <v>24</v>
      </c>
      <c r="R26" t="s">
        <v>89</v>
      </c>
      <c r="S26">
        <v>2</v>
      </c>
    </row>
    <row r="27" spans="1:19" x14ac:dyDescent="0.25">
      <c r="A27" t="s">
        <v>90</v>
      </c>
      <c r="B27">
        <v>99</v>
      </c>
      <c r="C27">
        <v>106593296</v>
      </c>
      <c r="D27" t="s">
        <v>91</v>
      </c>
      <c r="E27" t="s">
        <v>13</v>
      </c>
      <c r="F27" t="s">
        <v>14</v>
      </c>
      <c r="G27">
        <v>7500000</v>
      </c>
      <c r="H27">
        <v>7.4</v>
      </c>
      <c r="I27" t="s">
        <v>15</v>
      </c>
      <c r="J27" t="s">
        <v>31</v>
      </c>
      <c r="K27" t="s">
        <v>16</v>
      </c>
      <c r="R27" t="s">
        <v>92</v>
      </c>
      <c r="S27">
        <v>3</v>
      </c>
    </row>
    <row r="28" spans="1:19" x14ac:dyDescent="0.25">
      <c r="A28" t="s">
        <v>93</v>
      </c>
      <c r="B28">
        <v>111</v>
      </c>
      <c r="C28">
        <v>106126012</v>
      </c>
      <c r="D28" t="s">
        <v>94</v>
      </c>
      <c r="E28" t="s">
        <v>13</v>
      </c>
      <c r="F28" t="s">
        <v>14</v>
      </c>
      <c r="G28">
        <v>60000000</v>
      </c>
      <c r="H28">
        <v>7</v>
      </c>
      <c r="I28" t="s">
        <v>34</v>
      </c>
      <c r="J28" t="s">
        <v>38</v>
      </c>
      <c r="K28" t="s">
        <v>24</v>
      </c>
    </row>
    <row r="29" spans="1:19" x14ac:dyDescent="0.25">
      <c r="A29" t="s">
        <v>78</v>
      </c>
      <c r="B29">
        <v>116</v>
      </c>
      <c r="C29">
        <v>105807520</v>
      </c>
      <c r="D29" t="s">
        <v>95</v>
      </c>
      <c r="E29" t="s">
        <v>13</v>
      </c>
      <c r="F29" t="s">
        <v>14</v>
      </c>
      <c r="G29">
        <v>50000000</v>
      </c>
      <c r="H29">
        <v>6.4</v>
      </c>
      <c r="I29" t="s">
        <v>15</v>
      </c>
      <c r="J29" t="s">
        <v>19</v>
      </c>
    </row>
    <row r="30" spans="1:19" x14ac:dyDescent="0.25">
      <c r="A30" t="s">
        <v>96</v>
      </c>
      <c r="B30">
        <v>94</v>
      </c>
      <c r="C30">
        <v>105500000</v>
      </c>
      <c r="D30" t="s">
        <v>97</v>
      </c>
      <c r="E30" t="s">
        <v>13</v>
      </c>
      <c r="F30" t="s">
        <v>98</v>
      </c>
      <c r="G30">
        <v>4000000</v>
      </c>
      <c r="H30">
        <v>6.2</v>
      </c>
      <c r="I30" t="s">
        <v>15</v>
      </c>
    </row>
    <row r="31" spans="1:19" x14ac:dyDescent="0.25">
      <c r="A31" t="s">
        <v>99</v>
      </c>
      <c r="B31">
        <v>103</v>
      </c>
      <c r="C31">
        <v>105444419</v>
      </c>
      <c r="D31" t="s">
        <v>100</v>
      </c>
      <c r="E31" t="s">
        <v>13</v>
      </c>
      <c r="F31" t="s">
        <v>14</v>
      </c>
      <c r="G31">
        <v>26000000</v>
      </c>
      <c r="H31">
        <v>6.2</v>
      </c>
      <c r="I31" t="s">
        <v>15</v>
      </c>
    </row>
    <row r="32" spans="1:19" x14ac:dyDescent="0.25">
      <c r="A32" t="s">
        <v>101</v>
      </c>
      <c r="B32">
        <v>123</v>
      </c>
      <c r="C32">
        <v>105264608</v>
      </c>
      <c r="D32" t="s">
        <v>102</v>
      </c>
      <c r="E32" t="s">
        <v>13</v>
      </c>
      <c r="F32" t="s">
        <v>14</v>
      </c>
      <c r="G32">
        <v>60000000</v>
      </c>
      <c r="H32">
        <v>7.6</v>
      </c>
      <c r="I32" t="s">
        <v>31</v>
      </c>
      <c r="J32" t="s">
        <v>17</v>
      </c>
      <c r="K32" t="s">
        <v>22</v>
      </c>
    </row>
    <row r="33" spans="1:14" x14ac:dyDescent="0.25">
      <c r="A33" t="s">
        <v>103</v>
      </c>
      <c r="B33">
        <v>92</v>
      </c>
      <c r="C33">
        <v>105263257</v>
      </c>
      <c r="D33" t="s">
        <v>104</v>
      </c>
      <c r="E33" t="s">
        <v>13</v>
      </c>
      <c r="F33" t="s">
        <v>14</v>
      </c>
      <c r="G33">
        <v>55000000</v>
      </c>
      <c r="H33">
        <v>5.4</v>
      </c>
      <c r="I33" t="s">
        <v>34</v>
      </c>
      <c r="J33" t="s">
        <v>28</v>
      </c>
      <c r="K33" t="s">
        <v>15</v>
      </c>
      <c r="L33" t="s">
        <v>16</v>
      </c>
      <c r="M33" t="s">
        <v>19</v>
      </c>
    </row>
    <row r="34" spans="1:14" x14ac:dyDescent="0.25">
      <c r="A34" t="s">
        <v>105</v>
      </c>
      <c r="B34">
        <v>123</v>
      </c>
      <c r="C34">
        <v>104632573</v>
      </c>
      <c r="D34" t="s">
        <v>106</v>
      </c>
      <c r="E34" t="s">
        <v>13</v>
      </c>
      <c r="F34" t="s">
        <v>14</v>
      </c>
      <c r="G34">
        <v>32000000</v>
      </c>
      <c r="H34">
        <v>6.4</v>
      </c>
      <c r="I34" t="s">
        <v>31</v>
      </c>
      <c r="J34" t="s">
        <v>17</v>
      </c>
      <c r="K34" t="s">
        <v>19</v>
      </c>
      <c r="L34" t="s">
        <v>37</v>
      </c>
    </row>
    <row r="35" spans="1:14" x14ac:dyDescent="0.25">
      <c r="A35" t="s">
        <v>107</v>
      </c>
      <c r="B35">
        <v>74</v>
      </c>
      <c r="C35">
        <v>104354205</v>
      </c>
      <c r="D35" t="s">
        <v>108</v>
      </c>
      <c r="E35" t="s">
        <v>13</v>
      </c>
      <c r="F35" t="s">
        <v>14</v>
      </c>
      <c r="G35">
        <v>55000000</v>
      </c>
      <c r="H35">
        <v>6.3</v>
      </c>
      <c r="I35" t="s">
        <v>15</v>
      </c>
      <c r="J35" t="s">
        <v>19</v>
      </c>
    </row>
    <row r="36" spans="1:14" x14ac:dyDescent="0.25">
      <c r="A36" t="s">
        <v>109</v>
      </c>
      <c r="B36">
        <v>92</v>
      </c>
      <c r="C36">
        <v>104148781</v>
      </c>
      <c r="D36" t="s">
        <v>110</v>
      </c>
      <c r="E36" t="s">
        <v>13</v>
      </c>
      <c r="F36" t="s">
        <v>14</v>
      </c>
      <c r="G36">
        <v>60000000</v>
      </c>
      <c r="H36">
        <v>5.5</v>
      </c>
      <c r="I36" t="s">
        <v>15</v>
      </c>
      <c r="J36" t="s">
        <v>16</v>
      </c>
    </row>
    <row r="37" spans="1:14" x14ac:dyDescent="0.25">
      <c r="A37" t="s">
        <v>111</v>
      </c>
      <c r="B37">
        <v>117</v>
      </c>
      <c r="C37">
        <v>104054514</v>
      </c>
      <c r="D37" t="s">
        <v>112</v>
      </c>
      <c r="E37" t="s">
        <v>13</v>
      </c>
      <c r="F37" t="s">
        <v>14</v>
      </c>
      <c r="G37">
        <v>80000000</v>
      </c>
      <c r="H37">
        <v>7.7</v>
      </c>
      <c r="I37" t="s">
        <v>38</v>
      </c>
      <c r="J37" t="s">
        <v>31</v>
      </c>
      <c r="K37" t="s">
        <v>24</v>
      </c>
    </row>
    <row r="38" spans="1:14" x14ac:dyDescent="0.25">
      <c r="A38" t="s">
        <v>113</v>
      </c>
      <c r="B38">
        <v>94</v>
      </c>
      <c r="C38">
        <v>104007828</v>
      </c>
      <c r="D38" t="s">
        <v>114</v>
      </c>
      <c r="E38" t="s">
        <v>13</v>
      </c>
      <c r="F38" t="s">
        <v>14</v>
      </c>
      <c r="G38">
        <v>5000000</v>
      </c>
      <c r="H38">
        <v>5.8</v>
      </c>
      <c r="I38" t="s">
        <v>22</v>
      </c>
    </row>
    <row r="39" spans="1:14" x14ac:dyDescent="0.25">
      <c r="A39" t="s">
        <v>115</v>
      </c>
      <c r="B39">
        <v>94</v>
      </c>
      <c r="C39">
        <v>103812241</v>
      </c>
      <c r="D39" t="s">
        <v>116</v>
      </c>
      <c r="E39" t="s">
        <v>13</v>
      </c>
      <c r="F39" t="s">
        <v>14</v>
      </c>
      <c r="G39">
        <v>79000000</v>
      </c>
      <c r="H39">
        <v>5.8</v>
      </c>
      <c r="I39" t="s">
        <v>34</v>
      </c>
      <c r="J39" t="s">
        <v>28</v>
      </c>
      <c r="K39" t="s">
        <v>15</v>
      </c>
      <c r="L39" t="s">
        <v>16</v>
      </c>
      <c r="M39" t="s">
        <v>17</v>
      </c>
      <c r="N39" t="s">
        <v>37</v>
      </c>
    </row>
    <row r="40" spans="1:14" x14ac:dyDescent="0.25">
      <c r="A40" t="s">
        <v>117</v>
      </c>
      <c r="B40">
        <v>130</v>
      </c>
      <c r="C40">
        <v>103338338</v>
      </c>
      <c r="D40" t="s">
        <v>118</v>
      </c>
      <c r="E40" t="s">
        <v>13</v>
      </c>
      <c r="F40" t="s">
        <v>14</v>
      </c>
      <c r="G40">
        <v>70000000</v>
      </c>
      <c r="H40">
        <v>6.5</v>
      </c>
      <c r="I40" t="s">
        <v>31</v>
      </c>
      <c r="J40" t="s">
        <v>18</v>
      </c>
      <c r="K40" t="s">
        <v>59</v>
      </c>
    </row>
    <row r="41" spans="1:14" x14ac:dyDescent="0.25">
      <c r="A41" t="s">
        <v>119</v>
      </c>
      <c r="B41">
        <v>117</v>
      </c>
      <c r="C41">
        <v>103028109</v>
      </c>
      <c r="D41" t="s">
        <v>120</v>
      </c>
      <c r="E41" t="s">
        <v>13</v>
      </c>
      <c r="F41" t="s">
        <v>14</v>
      </c>
      <c r="G41">
        <v>80000000</v>
      </c>
      <c r="H41">
        <v>6.4</v>
      </c>
      <c r="I41" t="s">
        <v>15</v>
      </c>
      <c r="J41" t="s">
        <v>19</v>
      </c>
    </row>
    <row r="42" spans="1:14" x14ac:dyDescent="0.25">
      <c r="A42" t="s">
        <v>121</v>
      </c>
      <c r="B42">
        <v>103</v>
      </c>
      <c r="C42">
        <v>103001286</v>
      </c>
      <c r="D42" t="s">
        <v>122</v>
      </c>
      <c r="E42" t="s">
        <v>13</v>
      </c>
      <c r="F42" t="s">
        <v>14</v>
      </c>
      <c r="G42">
        <v>15000000</v>
      </c>
      <c r="H42">
        <v>7.2</v>
      </c>
      <c r="I42" t="s">
        <v>22</v>
      </c>
      <c r="J42" t="s">
        <v>23</v>
      </c>
    </row>
    <row r="43" spans="1:14" x14ac:dyDescent="0.25">
      <c r="A43" t="s">
        <v>123</v>
      </c>
      <c r="B43">
        <v>113</v>
      </c>
      <c r="C43">
        <v>102981571</v>
      </c>
      <c r="D43" t="s">
        <v>124</v>
      </c>
      <c r="E43" t="s">
        <v>13</v>
      </c>
      <c r="F43" t="s">
        <v>14</v>
      </c>
      <c r="G43">
        <v>80000000</v>
      </c>
      <c r="H43">
        <v>6.5</v>
      </c>
      <c r="I43" t="s">
        <v>34</v>
      </c>
      <c r="J43" t="s">
        <v>28</v>
      </c>
      <c r="K43" t="s">
        <v>24</v>
      </c>
    </row>
    <row r="44" spans="1:14" x14ac:dyDescent="0.25">
      <c r="A44" t="s">
        <v>125</v>
      </c>
      <c r="B44">
        <v>131</v>
      </c>
      <c r="C44">
        <v>102922376</v>
      </c>
      <c r="D44" t="s">
        <v>126</v>
      </c>
      <c r="E44" t="s">
        <v>13</v>
      </c>
      <c r="F44" t="s">
        <v>14</v>
      </c>
      <c r="G44">
        <v>20000000</v>
      </c>
      <c r="H44">
        <v>5.7</v>
      </c>
      <c r="I44" t="s">
        <v>28</v>
      </c>
      <c r="J44" t="s">
        <v>22</v>
      </c>
      <c r="K44" t="s">
        <v>24</v>
      </c>
    </row>
    <row r="45" spans="1:14" x14ac:dyDescent="0.25">
      <c r="A45" t="s">
        <v>127</v>
      </c>
      <c r="B45">
        <v>70</v>
      </c>
      <c r="C45">
        <v>102797150</v>
      </c>
      <c r="D45" t="s">
        <v>128</v>
      </c>
      <c r="E45" t="s">
        <v>13</v>
      </c>
      <c r="F45" t="s">
        <v>14</v>
      </c>
      <c r="G45">
        <v>39751583.5</v>
      </c>
      <c r="H45">
        <v>7.4</v>
      </c>
      <c r="I45" t="s">
        <v>46</v>
      </c>
      <c r="J45" t="s">
        <v>31</v>
      </c>
      <c r="K45" t="s">
        <v>16</v>
      </c>
    </row>
    <row r="46" spans="1:14" x14ac:dyDescent="0.25">
      <c r="A46" t="s">
        <v>129</v>
      </c>
      <c r="B46">
        <v>158</v>
      </c>
      <c r="C46">
        <v>102515793</v>
      </c>
      <c r="D46" t="s">
        <v>130</v>
      </c>
      <c r="E46" t="s">
        <v>13</v>
      </c>
      <c r="F46" t="s">
        <v>14</v>
      </c>
      <c r="G46">
        <v>90000000</v>
      </c>
      <c r="H46">
        <v>7.8</v>
      </c>
      <c r="I46" t="s">
        <v>38</v>
      </c>
      <c r="J46" t="s">
        <v>31</v>
      </c>
      <c r="K46" t="s">
        <v>23</v>
      </c>
      <c r="L46" t="s">
        <v>24</v>
      </c>
    </row>
    <row r="47" spans="1:14" x14ac:dyDescent="0.25">
      <c r="A47" t="s">
        <v>131</v>
      </c>
      <c r="B47">
        <v>113</v>
      </c>
      <c r="C47">
        <v>102413606</v>
      </c>
      <c r="D47" t="s">
        <v>132</v>
      </c>
      <c r="E47" t="s">
        <v>13</v>
      </c>
      <c r="F47" t="s">
        <v>14</v>
      </c>
      <c r="G47">
        <v>34000000</v>
      </c>
      <c r="H47">
        <v>6.8</v>
      </c>
      <c r="I47" t="s">
        <v>34</v>
      </c>
      <c r="J47" t="s">
        <v>23</v>
      </c>
      <c r="K47" t="s">
        <v>37</v>
      </c>
      <c r="L47" t="s">
        <v>24</v>
      </c>
    </row>
    <row r="48" spans="1:14" x14ac:dyDescent="0.25">
      <c r="A48" t="s">
        <v>133</v>
      </c>
      <c r="B48">
        <v>134</v>
      </c>
      <c r="C48">
        <v>102310175</v>
      </c>
      <c r="D48" t="s">
        <v>134</v>
      </c>
      <c r="E48" t="s">
        <v>13</v>
      </c>
      <c r="F48" t="s">
        <v>14</v>
      </c>
      <c r="G48">
        <v>40000000</v>
      </c>
      <c r="H48">
        <v>7.8</v>
      </c>
      <c r="I48" t="s">
        <v>22</v>
      </c>
      <c r="J48" t="s">
        <v>23</v>
      </c>
      <c r="K48" t="s">
        <v>24</v>
      </c>
    </row>
    <row r="49" spans="1:15" x14ac:dyDescent="0.25">
      <c r="A49" t="s">
        <v>135</v>
      </c>
      <c r="B49">
        <v>110</v>
      </c>
      <c r="C49">
        <v>102308900</v>
      </c>
      <c r="D49" t="s">
        <v>136</v>
      </c>
      <c r="E49" t="s">
        <v>13</v>
      </c>
      <c r="F49" t="s">
        <v>14</v>
      </c>
      <c r="G49">
        <v>6000000</v>
      </c>
      <c r="H49">
        <v>8.1</v>
      </c>
      <c r="I49" t="s">
        <v>42</v>
      </c>
      <c r="J49" t="s">
        <v>38</v>
      </c>
      <c r="K49" t="s">
        <v>31</v>
      </c>
      <c r="L49" t="s">
        <v>69</v>
      </c>
    </row>
    <row r="50" spans="1:15" x14ac:dyDescent="0.25">
      <c r="A50" t="s">
        <v>137</v>
      </c>
      <c r="B50">
        <v>139</v>
      </c>
      <c r="C50">
        <v>102300000</v>
      </c>
      <c r="D50" t="s">
        <v>138</v>
      </c>
      <c r="E50" t="s">
        <v>13</v>
      </c>
      <c r="F50" t="s">
        <v>14</v>
      </c>
      <c r="G50">
        <v>6000000</v>
      </c>
      <c r="H50">
        <v>7.8</v>
      </c>
      <c r="I50" t="s">
        <v>15</v>
      </c>
      <c r="J50" t="s">
        <v>16</v>
      </c>
      <c r="K50" t="s">
        <v>17</v>
      </c>
      <c r="L50" t="s">
        <v>59</v>
      </c>
    </row>
    <row r="51" spans="1:15" x14ac:dyDescent="0.25">
      <c r="A51" t="s">
        <v>139</v>
      </c>
      <c r="B51">
        <v>102</v>
      </c>
      <c r="C51">
        <v>101978840</v>
      </c>
      <c r="D51" t="s">
        <v>140</v>
      </c>
      <c r="E51" t="s">
        <v>13</v>
      </c>
      <c r="F51" t="s">
        <v>14</v>
      </c>
      <c r="G51">
        <v>15000000</v>
      </c>
      <c r="H51">
        <v>6.6</v>
      </c>
      <c r="I51" t="s">
        <v>15</v>
      </c>
    </row>
    <row r="52" spans="1:15" x14ac:dyDescent="0.25">
      <c r="A52" t="s">
        <v>141</v>
      </c>
      <c r="B52">
        <v>95</v>
      </c>
      <c r="C52">
        <v>101736215</v>
      </c>
      <c r="D52" t="s">
        <v>142</v>
      </c>
      <c r="E52" t="s">
        <v>13</v>
      </c>
      <c r="F52" t="s">
        <v>14</v>
      </c>
      <c r="G52">
        <v>11000000</v>
      </c>
      <c r="H52">
        <v>7</v>
      </c>
      <c r="I52" t="s">
        <v>15</v>
      </c>
    </row>
    <row r="53" spans="1:15" x14ac:dyDescent="0.25">
      <c r="A53" t="s">
        <v>143</v>
      </c>
      <c r="B53">
        <v>93</v>
      </c>
      <c r="C53">
        <v>101702060</v>
      </c>
      <c r="D53" t="s">
        <v>144</v>
      </c>
      <c r="E53" t="s">
        <v>13</v>
      </c>
      <c r="F53" t="s">
        <v>14</v>
      </c>
      <c r="G53">
        <v>45000000</v>
      </c>
      <c r="H53">
        <v>5.8</v>
      </c>
      <c r="I53" t="s">
        <v>34</v>
      </c>
      <c r="J53" t="s">
        <v>28</v>
      </c>
      <c r="K53" t="s">
        <v>16</v>
      </c>
      <c r="L53" t="s">
        <v>17</v>
      </c>
      <c r="M53" t="s">
        <v>37</v>
      </c>
    </row>
    <row r="54" spans="1:15" x14ac:dyDescent="0.25">
      <c r="A54" t="s">
        <v>145</v>
      </c>
      <c r="B54">
        <v>127</v>
      </c>
      <c r="C54">
        <v>101643008</v>
      </c>
      <c r="D54" t="s">
        <v>146</v>
      </c>
      <c r="E54" t="s">
        <v>13</v>
      </c>
      <c r="F54" t="s">
        <v>14</v>
      </c>
      <c r="G54">
        <v>90000000</v>
      </c>
      <c r="H54">
        <v>6.5</v>
      </c>
      <c r="I54" t="s">
        <v>34</v>
      </c>
      <c r="J54" t="s">
        <v>38</v>
      </c>
      <c r="K54" t="s">
        <v>24</v>
      </c>
    </row>
    <row r="55" spans="1:15" x14ac:dyDescent="0.25">
      <c r="A55" t="s">
        <v>147</v>
      </c>
      <c r="B55">
        <v>132</v>
      </c>
      <c r="C55">
        <v>101530738</v>
      </c>
      <c r="D55" t="s">
        <v>148</v>
      </c>
      <c r="E55" t="s">
        <v>13</v>
      </c>
      <c r="F55" t="s">
        <v>14</v>
      </c>
      <c r="G55">
        <v>55000000</v>
      </c>
      <c r="H55">
        <v>7.2</v>
      </c>
      <c r="I55" t="s">
        <v>34</v>
      </c>
      <c r="J55" t="s">
        <v>38</v>
      </c>
      <c r="K55" t="s">
        <v>24</v>
      </c>
    </row>
    <row r="56" spans="1:15" x14ac:dyDescent="0.25">
      <c r="A56" t="s">
        <v>149</v>
      </c>
      <c r="B56">
        <v>107</v>
      </c>
      <c r="C56">
        <v>101470202</v>
      </c>
      <c r="D56" t="s">
        <v>150</v>
      </c>
      <c r="E56" t="s">
        <v>13</v>
      </c>
      <c r="F56" t="s">
        <v>14</v>
      </c>
      <c r="G56">
        <v>32000000</v>
      </c>
      <c r="H56">
        <v>6.7</v>
      </c>
      <c r="I56" t="s">
        <v>15</v>
      </c>
      <c r="J56" t="s">
        <v>17</v>
      </c>
    </row>
    <row r="57" spans="1:15" x14ac:dyDescent="0.25">
      <c r="A57" t="s">
        <v>121</v>
      </c>
      <c r="B57">
        <v>120</v>
      </c>
      <c r="C57">
        <v>101334374</v>
      </c>
      <c r="D57" t="s">
        <v>151</v>
      </c>
      <c r="E57" t="s">
        <v>13</v>
      </c>
      <c r="F57" t="s">
        <v>14</v>
      </c>
      <c r="G57">
        <v>24000000</v>
      </c>
      <c r="H57">
        <v>6.1</v>
      </c>
      <c r="I57" t="s">
        <v>22</v>
      </c>
      <c r="J57" t="s">
        <v>23</v>
      </c>
    </row>
    <row r="58" spans="1:15" x14ac:dyDescent="0.25">
      <c r="A58" t="s">
        <v>152</v>
      </c>
      <c r="B58">
        <v>99</v>
      </c>
      <c r="C58">
        <v>101217900</v>
      </c>
      <c r="D58" t="s">
        <v>153</v>
      </c>
      <c r="E58" t="s">
        <v>13</v>
      </c>
      <c r="F58" t="s">
        <v>14</v>
      </c>
      <c r="G58">
        <v>70000000</v>
      </c>
      <c r="H58">
        <v>7</v>
      </c>
      <c r="I58" t="s">
        <v>28</v>
      </c>
      <c r="J58" t="s">
        <v>46</v>
      </c>
      <c r="K58" t="s">
        <v>42</v>
      </c>
      <c r="L58" t="s">
        <v>31</v>
      </c>
      <c r="M58" t="s">
        <v>16</v>
      </c>
      <c r="N58" t="s">
        <v>17</v>
      </c>
      <c r="O58" t="s">
        <v>59</v>
      </c>
    </row>
    <row r="59" spans="1:15" x14ac:dyDescent="0.25">
      <c r="A59" t="s">
        <v>154</v>
      </c>
      <c r="B59">
        <v>131</v>
      </c>
      <c r="C59">
        <v>101157447</v>
      </c>
      <c r="D59" t="s">
        <v>155</v>
      </c>
      <c r="E59" t="s">
        <v>13</v>
      </c>
      <c r="F59" t="s">
        <v>14</v>
      </c>
      <c r="G59">
        <v>14400000</v>
      </c>
      <c r="H59">
        <v>8.3000000000000007</v>
      </c>
      <c r="I59" t="s">
        <v>31</v>
      </c>
      <c r="J59" t="s">
        <v>69</v>
      </c>
    </row>
    <row r="60" spans="1:15" x14ac:dyDescent="0.25">
      <c r="A60" t="s">
        <v>156</v>
      </c>
      <c r="B60">
        <v>118</v>
      </c>
      <c r="C60">
        <v>101111837</v>
      </c>
      <c r="D60" t="s">
        <v>157</v>
      </c>
      <c r="E60" t="s">
        <v>13</v>
      </c>
      <c r="F60" t="s">
        <v>14</v>
      </c>
      <c r="G60">
        <v>80000000</v>
      </c>
      <c r="H60">
        <v>6.6</v>
      </c>
      <c r="I60" t="s">
        <v>34</v>
      </c>
      <c r="J60" t="s">
        <v>23</v>
      </c>
      <c r="K60" t="s">
        <v>24</v>
      </c>
    </row>
    <row r="61" spans="1:15" x14ac:dyDescent="0.25">
      <c r="A61" t="s">
        <v>158</v>
      </c>
      <c r="B61">
        <v>123</v>
      </c>
      <c r="C61">
        <v>101087161</v>
      </c>
      <c r="D61" t="s">
        <v>159</v>
      </c>
      <c r="E61" t="s">
        <v>13</v>
      </c>
      <c r="F61" t="s">
        <v>14</v>
      </c>
      <c r="G61">
        <v>75000000</v>
      </c>
      <c r="H61">
        <v>6.8</v>
      </c>
      <c r="I61" t="s">
        <v>34</v>
      </c>
      <c r="J61" t="s">
        <v>38</v>
      </c>
      <c r="K61" t="s">
        <v>24</v>
      </c>
    </row>
    <row r="62" spans="1:15" x14ac:dyDescent="0.25">
      <c r="A62" t="s">
        <v>160</v>
      </c>
      <c r="B62">
        <v>150</v>
      </c>
      <c r="C62">
        <v>100853835</v>
      </c>
      <c r="D62" t="s">
        <v>161</v>
      </c>
      <c r="E62" t="s">
        <v>13</v>
      </c>
      <c r="F62" t="s">
        <v>14</v>
      </c>
      <c r="G62">
        <v>90000000</v>
      </c>
      <c r="H62">
        <v>7.4</v>
      </c>
      <c r="I62" t="s">
        <v>31</v>
      </c>
      <c r="J62" t="s">
        <v>23</v>
      </c>
      <c r="K62" t="s">
        <v>37</v>
      </c>
      <c r="L62" t="s">
        <v>24</v>
      </c>
    </row>
    <row r="63" spans="1:15" x14ac:dyDescent="0.25">
      <c r="A63" t="s">
        <v>162</v>
      </c>
      <c r="B63">
        <v>141</v>
      </c>
      <c r="C63">
        <v>100768056</v>
      </c>
      <c r="D63" t="s">
        <v>163</v>
      </c>
      <c r="E63" t="s">
        <v>13</v>
      </c>
      <c r="F63" t="s">
        <v>14</v>
      </c>
      <c r="G63">
        <v>45000000</v>
      </c>
      <c r="H63">
        <v>6.5</v>
      </c>
      <c r="I63" t="s">
        <v>38</v>
      </c>
      <c r="J63" t="s">
        <v>31</v>
      </c>
      <c r="K63" t="s">
        <v>23</v>
      </c>
      <c r="L63" t="s">
        <v>24</v>
      </c>
    </row>
    <row r="64" spans="1:15" x14ac:dyDescent="0.25">
      <c r="A64" t="s">
        <v>164</v>
      </c>
      <c r="B64">
        <v>141</v>
      </c>
      <c r="C64">
        <v>100614858</v>
      </c>
      <c r="D64" t="s">
        <v>165</v>
      </c>
      <c r="E64" t="s">
        <v>13</v>
      </c>
      <c r="F64" t="s">
        <v>14</v>
      </c>
      <c r="G64">
        <v>68000000</v>
      </c>
      <c r="H64">
        <v>6.9</v>
      </c>
      <c r="I64" t="s">
        <v>17</v>
      </c>
      <c r="J64" t="s">
        <v>23</v>
      </c>
      <c r="K64" t="s">
        <v>19</v>
      </c>
      <c r="L64" t="s">
        <v>37</v>
      </c>
      <c r="M64" t="s">
        <v>24</v>
      </c>
    </row>
    <row r="65" spans="1:14" x14ac:dyDescent="0.25">
      <c r="A65" t="s">
        <v>166</v>
      </c>
      <c r="B65">
        <v>83</v>
      </c>
      <c r="C65">
        <v>100491683</v>
      </c>
      <c r="D65" t="s">
        <v>167</v>
      </c>
      <c r="E65" t="s">
        <v>13</v>
      </c>
      <c r="F65" t="s">
        <v>14</v>
      </c>
      <c r="G65">
        <v>24000000</v>
      </c>
      <c r="H65">
        <v>5.9</v>
      </c>
      <c r="I65" t="s">
        <v>28</v>
      </c>
      <c r="J65" t="s">
        <v>46</v>
      </c>
      <c r="K65" t="s">
        <v>15</v>
      </c>
      <c r="L65" t="s">
        <v>31</v>
      </c>
      <c r="M65" t="s">
        <v>16</v>
      </c>
      <c r="N65" t="s">
        <v>59</v>
      </c>
    </row>
    <row r="66" spans="1:14" x14ac:dyDescent="0.25">
      <c r="A66" t="s">
        <v>168</v>
      </c>
      <c r="B66">
        <v>106</v>
      </c>
      <c r="C66">
        <v>100468793</v>
      </c>
      <c r="D66" t="s">
        <v>169</v>
      </c>
      <c r="E66" t="s">
        <v>13</v>
      </c>
      <c r="F66" t="s">
        <v>14</v>
      </c>
      <c r="G66">
        <v>65000000</v>
      </c>
      <c r="H66">
        <v>6.9</v>
      </c>
      <c r="I66" t="s">
        <v>15</v>
      </c>
    </row>
    <row r="67" spans="1:14" x14ac:dyDescent="0.25">
      <c r="A67" t="s">
        <v>170</v>
      </c>
      <c r="B67">
        <v>95</v>
      </c>
      <c r="C67">
        <v>100448498</v>
      </c>
      <c r="D67" t="s">
        <v>171</v>
      </c>
      <c r="E67" t="s">
        <v>13</v>
      </c>
      <c r="F67" t="s">
        <v>14</v>
      </c>
      <c r="G67">
        <v>65000000</v>
      </c>
      <c r="H67">
        <v>6.6</v>
      </c>
      <c r="I67" t="s">
        <v>15</v>
      </c>
      <c r="J67" t="s">
        <v>31</v>
      </c>
    </row>
    <row r="68" spans="1:14" x14ac:dyDescent="0.25">
      <c r="A68" t="s">
        <v>154</v>
      </c>
      <c r="B68">
        <v>132</v>
      </c>
      <c r="C68">
        <v>100422786</v>
      </c>
      <c r="D68" t="s">
        <v>172</v>
      </c>
      <c r="E68" t="s">
        <v>13</v>
      </c>
      <c r="F68" t="s">
        <v>14</v>
      </c>
      <c r="G68">
        <v>30000000</v>
      </c>
      <c r="H68">
        <v>8.1</v>
      </c>
      <c r="I68" t="s">
        <v>31</v>
      </c>
      <c r="J68" t="s">
        <v>41</v>
      </c>
    </row>
    <row r="69" spans="1:14" x14ac:dyDescent="0.25">
      <c r="A69" t="s">
        <v>173</v>
      </c>
      <c r="B69">
        <v>100</v>
      </c>
      <c r="C69">
        <v>100328194</v>
      </c>
      <c r="D69" t="s">
        <v>174</v>
      </c>
      <c r="E69" t="s">
        <v>13</v>
      </c>
      <c r="F69" t="s">
        <v>14</v>
      </c>
      <c r="G69">
        <v>50000000</v>
      </c>
      <c r="H69">
        <v>6</v>
      </c>
      <c r="I69" t="s">
        <v>15</v>
      </c>
      <c r="J69" t="s">
        <v>16</v>
      </c>
      <c r="K69" t="s">
        <v>17</v>
      </c>
    </row>
    <row r="70" spans="1:14" x14ac:dyDescent="0.25">
      <c r="A70" t="s">
        <v>175</v>
      </c>
      <c r="B70">
        <v>97</v>
      </c>
      <c r="C70">
        <v>100292856</v>
      </c>
      <c r="D70" t="s">
        <v>176</v>
      </c>
      <c r="E70" t="s">
        <v>13</v>
      </c>
      <c r="F70" t="s">
        <v>14</v>
      </c>
      <c r="G70">
        <v>20000000</v>
      </c>
      <c r="H70">
        <v>5.7</v>
      </c>
      <c r="I70" t="s">
        <v>15</v>
      </c>
    </row>
    <row r="71" spans="1:14" x14ac:dyDescent="0.25">
      <c r="A71" t="s">
        <v>177</v>
      </c>
      <c r="B71">
        <v>123</v>
      </c>
      <c r="C71">
        <v>100241322</v>
      </c>
      <c r="D71" t="s">
        <v>178</v>
      </c>
      <c r="E71" t="s">
        <v>13</v>
      </c>
      <c r="F71" t="s">
        <v>14</v>
      </c>
      <c r="G71">
        <v>25000000</v>
      </c>
      <c r="H71">
        <v>7.2</v>
      </c>
      <c r="I71" t="s">
        <v>15</v>
      </c>
      <c r="J71" t="s">
        <v>31</v>
      </c>
      <c r="K71" t="s">
        <v>19</v>
      </c>
    </row>
    <row r="72" spans="1:14" x14ac:dyDescent="0.25">
      <c r="A72" t="s">
        <v>143</v>
      </c>
      <c r="B72">
        <v>80</v>
      </c>
      <c r="C72">
        <v>100169068</v>
      </c>
      <c r="D72" t="s">
        <v>179</v>
      </c>
      <c r="E72" t="s">
        <v>13</v>
      </c>
      <c r="F72" t="s">
        <v>14</v>
      </c>
      <c r="G72">
        <v>80000000</v>
      </c>
      <c r="H72">
        <v>4.5999999999999996</v>
      </c>
      <c r="I72" t="s">
        <v>28</v>
      </c>
      <c r="J72" t="s">
        <v>46</v>
      </c>
      <c r="K72" t="s">
        <v>15</v>
      </c>
      <c r="L72" t="s">
        <v>16</v>
      </c>
    </row>
    <row r="73" spans="1:14" x14ac:dyDescent="0.25">
      <c r="A73" t="s">
        <v>129</v>
      </c>
      <c r="B73">
        <v>127</v>
      </c>
      <c r="C73">
        <v>100125340</v>
      </c>
      <c r="D73" t="s">
        <v>180</v>
      </c>
      <c r="E73" t="s">
        <v>13</v>
      </c>
      <c r="F73" t="s">
        <v>14</v>
      </c>
      <c r="G73">
        <v>33000000</v>
      </c>
      <c r="H73">
        <v>8.6</v>
      </c>
      <c r="I73" t="s">
        <v>38</v>
      </c>
      <c r="J73" t="s">
        <v>31</v>
      </c>
      <c r="K73" t="s">
        <v>23</v>
      </c>
      <c r="L73" t="s">
        <v>24</v>
      </c>
    </row>
    <row r="74" spans="1:14" x14ac:dyDescent="0.25">
      <c r="A74" t="s">
        <v>119</v>
      </c>
      <c r="B74">
        <v>113</v>
      </c>
      <c r="C74">
        <v>100018837</v>
      </c>
      <c r="D74" t="s">
        <v>181</v>
      </c>
      <c r="E74" t="s">
        <v>13</v>
      </c>
      <c r="F74" t="s">
        <v>14</v>
      </c>
      <c r="G74">
        <v>90000000</v>
      </c>
      <c r="H74">
        <v>5.5</v>
      </c>
      <c r="I74" t="s">
        <v>34</v>
      </c>
      <c r="J74" t="s">
        <v>15</v>
      </c>
    </row>
    <row r="75" spans="1:14" x14ac:dyDescent="0.25">
      <c r="A75" t="s">
        <v>182</v>
      </c>
      <c r="B75">
        <v>128</v>
      </c>
      <c r="C75">
        <v>100012500</v>
      </c>
      <c r="D75" t="s">
        <v>183</v>
      </c>
      <c r="E75" t="s">
        <v>13</v>
      </c>
      <c r="F75" t="s">
        <v>14</v>
      </c>
      <c r="G75">
        <v>90000000</v>
      </c>
      <c r="H75">
        <v>7.6</v>
      </c>
      <c r="I75" t="s">
        <v>34</v>
      </c>
      <c r="J75" t="s">
        <v>28</v>
      </c>
      <c r="K75" t="s">
        <v>24</v>
      </c>
    </row>
    <row r="76" spans="1:14" x14ac:dyDescent="0.25">
      <c r="A76" t="s">
        <v>184</v>
      </c>
      <c r="B76">
        <v>120</v>
      </c>
      <c r="C76">
        <v>100003492</v>
      </c>
      <c r="D76" t="s">
        <v>185</v>
      </c>
      <c r="E76" t="s">
        <v>13</v>
      </c>
      <c r="F76" t="s">
        <v>14</v>
      </c>
      <c r="G76">
        <v>65000000</v>
      </c>
      <c r="H76">
        <v>7.6</v>
      </c>
      <c r="I76" t="s">
        <v>38</v>
      </c>
      <c r="J76" t="s">
        <v>31</v>
      </c>
      <c r="K76" t="s">
        <v>24</v>
      </c>
    </row>
    <row r="77" spans="1:14" x14ac:dyDescent="0.25">
      <c r="A77" t="s">
        <v>147</v>
      </c>
      <c r="B77">
        <v>119</v>
      </c>
      <c r="C77">
        <v>98895417</v>
      </c>
      <c r="D77" t="s">
        <v>186</v>
      </c>
      <c r="E77" t="s">
        <v>13</v>
      </c>
      <c r="F77" t="s">
        <v>14</v>
      </c>
      <c r="G77">
        <v>70000000</v>
      </c>
      <c r="H77">
        <v>6.5</v>
      </c>
      <c r="I77" t="s">
        <v>34</v>
      </c>
      <c r="J77" t="s">
        <v>24</v>
      </c>
    </row>
    <row r="78" spans="1:14" x14ac:dyDescent="0.25">
      <c r="A78" t="s">
        <v>187</v>
      </c>
      <c r="B78">
        <v>101</v>
      </c>
      <c r="C78">
        <v>98711404</v>
      </c>
      <c r="D78" t="s">
        <v>188</v>
      </c>
      <c r="E78" t="s">
        <v>13</v>
      </c>
      <c r="F78" t="s">
        <v>14</v>
      </c>
      <c r="G78">
        <v>55000000</v>
      </c>
      <c r="H78">
        <v>6.3</v>
      </c>
      <c r="I78" t="s">
        <v>15</v>
      </c>
      <c r="J78" t="s">
        <v>38</v>
      </c>
      <c r="K78" t="s">
        <v>19</v>
      </c>
      <c r="L78" t="s">
        <v>24</v>
      </c>
    </row>
    <row r="79" spans="1:14" x14ac:dyDescent="0.25">
      <c r="A79" t="s">
        <v>189</v>
      </c>
      <c r="B79">
        <v>104</v>
      </c>
      <c r="C79">
        <v>97680195</v>
      </c>
      <c r="D79" t="s">
        <v>190</v>
      </c>
      <c r="E79" t="s">
        <v>13</v>
      </c>
      <c r="F79" t="s">
        <v>14</v>
      </c>
      <c r="G79">
        <v>70000000</v>
      </c>
      <c r="H79">
        <v>6.8</v>
      </c>
      <c r="I79" t="s">
        <v>15</v>
      </c>
      <c r="J79" t="s">
        <v>19</v>
      </c>
    </row>
    <row r="80" spans="1:14" x14ac:dyDescent="0.25">
      <c r="A80" t="s">
        <v>191</v>
      </c>
      <c r="B80">
        <v>110</v>
      </c>
      <c r="C80">
        <v>97360069</v>
      </c>
      <c r="D80" t="s">
        <v>192</v>
      </c>
      <c r="E80" t="s">
        <v>13</v>
      </c>
      <c r="F80" t="s">
        <v>14</v>
      </c>
      <c r="G80">
        <v>75000000</v>
      </c>
      <c r="H80">
        <v>4.0999999999999996</v>
      </c>
      <c r="I80" t="s">
        <v>34</v>
      </c>
      <c r="J80" t="s">
        <v>28</v>
      </c>
      <c r="K80" t="s">
        <v>15</v>
      </c>
      <c r="L80" t="s">
        <v>16</v>
      </c>
      <c r="M80" t="s">
        <v>37</v>
      </c>
    </row>
    <row r="81" spans="1:13" x14ac:dyDescent="0.25">
      <c r="A81" t="s">
        <v>129</v>
      </c>
      <c r="B81">
        <v>120</v>
      </c>
      <c r="C81">
        <v>96917897</v>
      </c>
      <c r="D81" t="s">
        <v>193</v>
      </c>
      <c r="E81" t="s">
        <v>13</v>
      </c>
      <c r="F81" t="s">
        <v>14</v>
      </c>
      <c r="G81">
        <v>40000000</v>
      </c>
      <c r="H81">
        <v>7.7</v>
      </c>
      <c r="I81" t="s">
        <v>42</v>
      </c>
      <c r="J81" t="s">
        <v>31</v>
      </c>
    </row>
    <row r="82" spans="1:13" x14ac:dyDescent="0.25">
      <c r="A82" t="s">
        <v>194</v>
      </c>
      <c r="B82">
        <v>101</v>
      </c>
      <c r="C82">
        <v>96471845</v>
      </c>
      <c r="D82" t="s">
        <v>195</v>
      </c>
      <c r="E82" t="s">
        <v>13</v>
      </c>
      <c r="F82" t="s">
        <v>14</v>
      </c>
      <c r="G82">
        <v>17000000</v>
      </c>
      <c r="H82">
        <v>7.6</v>
      </c>
      <c r="I82" t="s">
        <v>17</v>
      </c>
      <c r="J82" t="s">
        <v>22</v>
      </c>
      <c r="K82" t="s">
        <v>24</v>
      </c>
    </row>
    <row r="83" spans="1:13" x14ac:dyDescent="0.25">
      <c r="A83" t="s">
        <v>196</v>
      </c>
      <c r="B83">
        <v>185</v>
      </c>
      <c r="C83">
        <v>96067179</v>
      </c>
      <c r="D83" t="s">
        <v>197</v>
      </c>
      <c r="E83" t="s">
        <v>13</v>
      </c>
      <c r="F83" t="s">
        <v>14</v>
      </c>
      <c r="G83">
        <v>22000000</v>
      </c>
      <c r="H83">
        <v>8.9</v>
      </c>
      <c r="I83" t="s">
        <v>42</v>
      </c>
      <c r="J83" t="s">
        <v>31</v>
      </c>
      <c r="K83" t="s">
        <v>64</v>
      </c>
    </row>
    <row r="84" spans="1:13" x14ac:dyDescent="0.25">
      <c r="A84" t="s">
        <v>198</v>
      </c>
      <c r="B84">
        <v>128</v>
      </c>
      <c r="C84">
        <v>95860116</v>
      </c>
      <c r="D84" t="s">
        <v>199</v>
      </c>
      <c r="E84" t="s">
        <v>13</v>
      </c>
      <c r="F84" t="s">
        <v>14</v>
      </c>
      <c r="G84">
        <v>16400000</v>
      </c>
      <c r="H84">
        <v>8</v>
      </c>
      <c r="I84" t="s">
        <v>15</v>
      </c>
      <c r="J84" t="s">
        <v>31</v>
      </c>
    </row>
    <row r="85" spans="1:13" x14ac:dyDescent="0.25">
      <c r="A85" t="s">
        <v>200</v>
      </c>
      <c r="B85">
        <v>157</v>
      </c>
      <c r="C85">
        <v>95720716</v>
      </c>
      <c r="D85" t="s">
        <v>201</v>
      </c>
      <c r="E85" t="s">
        <v>13</v>
      </c>
      <c r="F85" t="s">
        <v>14</v>
      </c>
      <c r="G85">
        <v>40000000</v>
      </c>
      <c r="H85">
        <v>7.4</v>
      </c>
      <c r="I85" t="s">
        <v>31</v>
      </c>
      <c r="J85" t="s">
        <v>64</v>
      </c>
      <c r="K85" t="s">
        <v>24</v>
      </c>
    </row>
    <row r="86" spans="1:13" x14ac:dyDescent="0.25">
      <c r="A86" t="s">
        <v>202</v>
      </c>
      <c r="B86">
        <v>154</v>
      </c>
      <c r="C86">
        <v>95632614</v>
      </c>
      <c r="D86" t="s">
        <v>203</v>
      </c>
      <c r="E86" t="s">
        <v>13</v>
      </c>
      <c r="F86" t="s">
        <v>14</v>
      </c>
      <c r="G86">
        <v>79000000</v>
      </c>
      <c r="H86">
        <v>7.2</v>
      </c>
      <c r="I86" t="s">
        <v>28</v>
      </c>
      <c r="J86" t="s">
        <v>31</v>
      </c>
      <c r="K86" t="s">
        <v>64</v>
      </c>
      <c r="L86" t="s">
        <v>19</v>
      </c>
      <c r="M86" t="s">
        <v>83</v>
      </c>
    </row>
    <row r="87" spans="1:13" x14ac:dyDescent="0.25">
      <c r="A87" t="s">
        <v>129</v>
      </c>
      <c r="B87">
        <v>112</v>
      </c>
      <c r="C87">
        <v>95308367</v>
      </c>
      <c r="D87" t="s">
        <v>204</v>
      </c>
      <c r="E87" t="s">
        <v>13</v>
      </c>
      <c r="F87" t="s">
        <v>14</v>
      </c>
      <c r="G87">
        <v>48000000</v>
      </c>
      <c r="H87">
        <v>6.8</v>
      </c>
      <c r="I87" t="s">
        <v>38</v>
      </c>
      <c r="J87" t="s">
        <v>31</v>
      </c>
      <c r="K87" t="s">
        <v>24</v>
      </c>
    </row>
    <row r="88" spans="1:13" x14ac:dyDescent="0.25">
      <c r="A88" t="s">
        <v>55</v>
      </c>
      <c r="B88">
        <v>113</v>
      </c>
      <c r="C88">
        <v>95149435</v>
      </c>
      <c r="D88" t="s">
        <v>205</v>
      </c>
      <c r="E88" t="s">
        <v>13</v>
      </c>
      <c r="F88" t="s">
        <v>14</v>
      </c>
      <c r="G88">
        <v>40000000</v>
      </c>
      <c r="H88">
        <v>5.7</v>
      </c>
      <c r="I88" t="s">
        <v>15</v>
      </c>
      <c r="J88" t="s">
        <v>16</v>
      </c>
      <c r="K88" t="s">
        <v>19</v>
      </c>
    </row>
    <row r="89" spans="1:13" x14ac:dyDescent="0.25">
      <c r="A89" t="s">
        <v>206</v>
      </c>
      <c r="B89">
        <v>96</v>
      </c>
      <c r="C89">
        <v>95001351</v>
      </c>
      <c r="D89" t="s">
        <v>207</v>
      </c>
      <c r="E89" t="s">
        <v>13</v>
      </c>
      <c r="F89" t="s">
        <v>14</v>
      </c>
      <c r="G89">
        <v>18000000</v>
      </c>
      <c r="H89">
        <v>6.2</v>
      </c>
      <c r="I89" t="s">
        <v>15</v>
      </c>
      <c r="J89" t="s">
        <v>19</v>
      </c>
    </row>
    <row r="90" spans="1:13" x14ac:dyDescent="0.25">
      <c r="A90" t="s">
        <v>208</v>
      </c>
      <c r="B90">
        <v>128</v>
      </c>
      <c r="C90">
        <v>95001343</v>
      </c>
      <c r="D90" t="s">
        <v>209</v>
      </c>
      <c r="E90" t="s">
        <v>13</v>
      </c>
      <c r="F90" t="s">
        <v>14</v>
      </c>
      <c r="G90">
        <v>40000000</v>
      </c>
      <c r="H90">
        <v>7.5</v>
      </c>
      <c r="I90" t="s">
        <v>42</v>
      </c>
      <c r="J90" t="s">
        <v>31</v>
      </c>
      <c r="K90" t="s">
        <v>41</v>
      </c>
    </row>
    <row r="91" spans="1:13" x14ac:dyDescent="0.25">
      <c r="A91" t="s">
        <v>210</v>
      </c>
      <c r="B91">
        <v>106</v>
      </c>
      <c r="C91">
        <v>94999143</v>
      </c>
      <c r="D91" t="s">
        <v>211</v>
      </c>
      <c r="E91" t="s">
        <v>13</v>
      </c>
      <c r="F91" t="s">
        <v>14</v>
      </c>
      <c r="G91">
        <v>75000000</v>
      </c>
      <c r="H91">
        <v>7.2</v>
      </c>
      <c r="I91" t="s">
        <v>31</v>
      </c>
      <c r="J91" t="s">
        <v>23</v>
      </c>
      <c r="K91" t="s">
        <v>37</v>
      </c>
      <c r="L91" t="s">
        <v>24</v>
      </c>
    </row>
    <row r="92" spans="1:13" x14ac:dyDescent="0.25">
      <c r="A92" t="s">
        <v>212</v>
      </c>
      <c r="B92">
        <v>95</v>
      </c>
      <c r="C92">
        <v>94900000</v>
      </c>
      <c r="D92" t="s">
        <v>213</v>
      </c>
      <c r="E92" t="s">
        <v>13</v>
      </c>
      <c r="F92" t="s">
        <v>14</v>
      </c>
      <c r="G92">
        <v>4000000</v>
      </c>
      <c r="H92">
        <v>6.1</v>
      </c>
      <c r="I92" t="s">
        <v>31</v>
      </c>
      <c r="J92" t="s">
        <v>18</v>
      </c>
      <c r="K92" t="s">
        <v>19</v>
      </c>
    </row>
    <row r="93" spans="1:13" x14ac:dyDescent="0.25">
      <c r="A93" t="s">
        <v>214</v>
      </c>
      <c r="B93">
        <v>118</v>
      </c>
      <c r="C93">
        <v>94822707</v>
      </c>
      <c r="D93" t="s">
        <v>215</v>
      </c>
      <c r="E93" t="s">
        <v>13</v>
      </c>
      <c r="F93" t="s">
        <v>14</v>
      </c>
      <c r="G93">
        <v>80000000</v>
      </c>
      <c r="H93">
        <v>6.9</v>
      </c>
      <c r="I93" t="s">
        <v>34</v>
      </c>
      <c r="J93" t="s">
        <v>28</v>
      </c>
      <c r="K93" t="s">
        <v>31</v>
      </c>
      <c r="L93" t="s">
        <v>24</v>
      </c>
    </row>
    <row r="94" spans="1:13" x14ac:dyDescent="0.25">
      <c r="A94" t="s">
        <v>216</v>
      </c>
      <c r="B94">
        <v>91</v>
      </c>
      <c r="C94">
        <v>94497271</v>
      </c>
      <c r="D94" t="s">
        <v>217</v>
      </c>
      <c r="E94" t="s">
        <v>13</v>
      </c>
      <c r="F94" t="s">
        <v>14</v>
      </c>
      <c r="G94">
        <v>20000000</v>
      </c>
      <c r="H94">
        <v>3.7</v>
      </c>
      <c r="I94" t="s">
        <v>28</v>
      </c>
      <c r="J94" t="s">
        <v>15</v>
      </c>
      <c r="K94" t="s">
        <v>31</v>
      </c>
      <c r="L94" t="s">
        <v>16</v>
      </c>
      <c r="M94" t="s">
        <v>19</v>
      </c>
    </row>
    <row r="95" spans="1:13" x14ac:dyDescent="0.25">
      <c r="A95" t="s">
        <v>196</v>
      </c>
      <c r="B95">
        <v>154</v>
      </c>
      <c r="C95">
        <v>94175854</v>
      </c>
      <c r="D95" t="s">
        <v>218</v>
      </c>
      <c r="E95" t="s">
        <v>13</v>
      </c>
      <c r="F95" t="s">
        <v>14</v>
      </c>
      <c r="G95">
        <v>15000000</v>
      </c>
      <c r="H95">
        <v>7.8</v>
      </c>
      <c r="I95" t="s">
        <v>31</v>
      </c>
    </row>
    <row r="96" spans="1:13" x14ac:dyDescent="0.25">
      <c r="A96" t="s">
        <v>219</v>
      </c>
      <c r="B96">
        <v>123</v>
      </c>
      <c r="C96">
        <v>94125426</v>
      </c>
      <c r="D96" t="s">
        <v>220</v>
      </c>
      <c r="E96" t="s">
        <v>13</v>
      </c>
      <c r="F96" t="s">
        <v>14</v>
      </c>
      <c r="G96">
        <v>40000000</v>
      </c>
      <c r="H96">
        <v>7</v>
      </c>
      <c r="I96" t="s">
        <v>42</v>
      </c>
      <c r="J96" t="s">
        <v>31</v>
      </c>
      <c r="K96" t="s">
        <v>19</v>
      </c>
    </row>
    <row r="97" spans="1:14" x14ac:dyDescent="0.25">
      <c r="A97" t="s">
        <v>221</v>
      </c>
      <c r="B97">
        <v>129</v>
      </c>
      <c r="C97">
        <v>93952276</v>
      </c>
      <c r="D97" t="s">
        <v>222</v>
      </c>
      <c r="E97" t="s">
        <v>13</v>
      </c>
      <c r="F97" t="s">
        <v>14</v>
      </c>
      <c r="G97">
        <v>40000000</v>
      </c>
      <c r="H97">
        <v>6.4</v>
      </c>
      <c r="I97" t="s">
        <v>15</v>
      </c>
      <c r="J97" t="s">
        <v>31</v>
      </c>
      <c r="K97" t="s">
        <v>19</v>
      </c>
    </row>
    <row r="98" spans="1:14" x14ac:dyDescent="0.25">
      <c r="A98" t="s">
        <v>223</v>
      </c>
      <c r="B98">
        <v>105</v>
      </c>
      <c r="C98">
        <v>93815117</v>
      </c>
      <c r="D98" t="s">
        <v>224</v>
      </c>
      <c r="E98" t="s">
        <v>13</v>
      </c>
      <c r="F98" t="s">
        <v>14</v>
      </c>
      <c r="G98">
        <v>55000000</v>
      </c>
      <c r="H98">
        <v>5.0999999999999996</v>
      </c>
      <c r="I98" t="s">
        <v>15</v>
      </c>
      <c r="J98" t="s">
        <v>31</v>
      </c>
      <c r="K98" t="s">
        <v>19</v>
      </c>
    </row>
    <row r="99" spans="1:14" x14ac:dyDescent="0.25">
      <c r="A99" t="s">
        <v>87</v>
      </c>
      <c r="B99">
        <v>136</v>
      </c>
      <c r="C99">
        <v>93771072</v>
      </c>
      <c r="D99" t="s">
        <v>225</v>
      </c>
      <c r="E99" t="s">
        <v>13</v>
      </c>
      <c r="F99" t="s">
        <v>14</v>
      </c>
      <c r="G99">
        <v>65000000</v>
      </c>
      <c r="H99">
        <v>6.7</v>
      </c>
      <c r="I99" t="s">
        <v>34</v>
      </c>
      <c r="J99" t="s">
        <v>28</v>
      </c>
      <c r="K99" t="s">
        <v>15</v>
      </c>
      <c r="L99" t="s">
        <v>19</v>
      </c>
      <c r="M99" t="s">
        <v>24</v>
      </c>
      <c r="N99" t="s">
        <v>69</v>
      </c>
    </row>
    <row r="100" spans="1:14" x14ac:dyDescent="0.25">
      <c r="A100" t="s">
        <v>160</v>
      </c>
      <c r="B100">
        <v>138</v>
      </c>
      <c r="C100">
        <v>93749203</v>
      </c>
      <c r="D100" t="s">
        <v>226</v>
      </c>
      <c r="E100" t="s">
        <v>13</v>
      </c>
      <c r="F100" t="s">
        <v>14</v>
      </c>
      <c r="G100">
        <v>31000000</v>
      </c>
      <c r="H100">
        <v>7.3</v>
      </c>
      <c r="I100" t="s">
        <v>31</v>
      </c>
      <c r="J100" t="s">
        <v>24</v>
      </c>
    </row>
    <row r="101" spans="1:14" x14ac:dyDescent="0.25">
      <c r="A101" t="s">
        <v>227</v>
      </c>
      <c r="B101">
        <v>102</v>
      </c>
      <c r="C101">
        <v>93607673</v>
      </c>
      <c r="D101" t="s">
        <v>228</v>
      </c>
      <c r="E101" t="s">
        <v>13</v>
      </c>
      <c r="F101" t="s">
        <v>14</v>
      </c>
      <c r="G101">
        <v>48000000</v>
      </c>
      <c r="H101">
        <v>5.7</v>
      </c>
      <c r="I101" t="s">
        <v>15</v>
      </c>
      <c r="J101" t="s">
        <v>19</v>
      </c>
    </row>
    <row r="102" spans="1:14" x14ac:dyDescent="0.25">
      <c r="A102" t="s">
        <v>229</v>
      </c>
      <c r="B102">
        <v>116</v>
      </c>
      <c r="C102">
        <v>93571803</v>
      </c>
      <c r="D102" t="s">
        <v>230</v>
      </c>
      <c r="E102" t="s">
        <v>13</v>
      </c>
      <c r="F102" t="s">
        <v>14</v>
      </c>
      <c r="G102">
        <v>25000000</v>
      </c>
      <c r="H102">
        <v>7.9</v>
      </c>
      <c r="I102" t="s">
        <v>42</v>
      </c>
      <c r="J102" t="s">
        <v>31</v>
      </c>
      <c r="K102" t="s">
        <v>41</v>
      </c>
    </row>
    <row r="103" spans="1:14" x14ac:dyDescent="0.25">
      <c r="A103" t="s">
        <v>231</v>
      </c>
      <c r="B103">
        <v>97</v>
      </c>
      <c r="C103">
        <v>93452056</v>
      </c>
      <c r="D103" t="s">
        <v>232</v>
      </c>
      <c r="E103" t="s">
        <v>13</v>
      </c>
      <c r="F103" t="s">
        <v>14</v>
      </c>
      <c r="G103">
        <v>45000000</v>
      </c>
      <c r="H103">
        <v>7.4</v>
      </c>
      <c r="I103" t="s">
        <v>28</v>
      </c>
      <c r="J103" t="s">
        <v>15</v>
      </c>
      <c r="K103" t="s">
        <v>31</v>
      </c>
    </row>
    <row r="104" spans="1:14" x14ac:dyDescent="0.25">
      <c r="A104" t="s">
        <v>233</v>
      </c>
      <c r="B104">
        <v>87</v>
      </c>
      <c r="C104">
        <v>93375151</v>
      </c>
      <c r="D104" t="s">
        <v>234</v>
      </c>
      <c r="E104" t="s">
        <v>13</v>
      </c>
      <c r="F104" t="s">
        <v>14</v>
      </c>
      <c r="G104">
        <v>60000000</v>
      </c>
      <c r="H104">
        <v>5.2</v>
      </c>
      <c r="I104" t="s">
        <v>34</v>
      </c>
      <c r="J104" t="s">
        <v>15</v>
      </c>
      <c r="K104" t="s">
        <v>16</v>
      </c>
      <c r="L104" t="s">
        <v>17</v>
      </c>
    </row>
    <row r="105" spans="1:14" x14ac:dyDescent="0.25">
      <c r="A105" t="s">
        <v>235</v>
      </c>
      <c r="B105">
        <v>101</v>
      </c>
      <c r="C105">
        <v>93307796</v>
      </c>
      <c r="D105" t="s">
        <v>236</v>
      </c>
      <c r="E105" t="s">
        <v>13</v>
      </c>
      <c r="F105" t="s">
        <v>14</v>
      </c>
      <c r="G105">
        <v>60000000</v>
      </c>
      <c r="H105">
        <v>6.1</v>
      </c>
      <c r="I105" t="s">
        <v>15</v>
      </c>
      <c r="J105" t="s">
        <v>19</v>
      </c>
    </row>
    <row r="106" spans="1:14" x14ac:dyDescent="0.25">
      <c r="A106" t="s">
        <v>237</v>
      </c>
      <c r="B106">
        <v>90</v>
      </c>
      <c r="C106">
        <v>92969824</v>
      </c>
      <c r="D106" t="s">
        <v>238</v>
      </c>
      <c r="E106" t="s">
        <v>13</v>
      </c>
      <c r="F106" t="s">
        <v>14</v>
      </c>
      <c r="G106">
        <v>80000000</v>
      </c>
      <c r="H106">
        <v>5.2</v>
      </c>
      <c r="I106" t="s">
        <v>15</v>
      </c>
      <c r="J106" t="s">
        <v>16</v>
      </c>
      <c r="K106" t="s">
        <v>37</v>
      </c>
    </row>
    <row r="107" spans="1:14" x14ac:dyDescent="0.25">
      <c r="A107" t="s">
        <v>239</v>
      </c>
      <c r="B107">
        <v>124</v>
      </c>
      <c r="C107">
        <v>92930005</v>
      </c>
      <c r="D107" t="s">
        <v>240</v>
      </c>
      <c r="E107" t="s">
        <v>13</v>
      </c>
      <c r="F107" t="s">
        <v>241</v>
      </c>
      <c r="G107">
        <v>78000000</v>
      </c>
      <c r="H107">
        <v>7.2</v>
      </c>
      <c r="I107" t="s">
        <v>38</v>
      </c>
      <c r="J107" t="s">
        <v>31</v>
      </c>
      <c r="K107" t="s">
        <v>24</v>
      </c>
    </row>
    <row r="108" spans="1:14" x14ac:dyDescent="0.25">
      <c r="A108" t="s">
        <v>231</v>
      </c>
      <c r="B108">
        <v>89</v>
      </c>
      <c r="C108">
        <v>92823600</v>
      </c>
      <c r="D108" t="s">
        <v>242</v>
      </c>
      <c r="E108" t="s">
        <v>13</v>
      </c>
      <c r="F108" t="s">
        <v>14</v>
      </c>
      <c r="G108">
        <v>16000000</v>
      </c>
      <c r="H108">
        <v>7.6</v>
      </c>
      <c r="I108" t="s">
        <v>15</v>
      </c>
      <c r="J108" t="s">
        <v>31</v>
      </c>
      <c r="K108" t="s">
        <v>19</v>
      </c>
    </row>
    <row r="109" spans="1:14" x14ac:dyDescent="0.25">
      <c r="A109" t="s">
        <v>243</v>
      </c>
      <c r="B109">
        <v>150</v>
      </c>
      <c r="C109">
        <v>92173235</v>
      </c>
      <c r="D109" t="s">
        <v>244</v>
      </c>
      <c r="E109" t="s">
        <v>13</v>
      </c>
      <c r="F109" t="s">
        <v>14</v>
      </c>
      <c r="G109">
        <v>37000000</v>
      </c>
      <c r="H109">
        <v>7.6</v>
      </c>
      <c r="I109" t="s">
        <v>38</v>
      </c>
      <c r="J109" t="s">
        <v>31</v>
      </c>
      <c r="K109" t="s">
        <v>24</v>
      </c>
    </row>
    <row r="110" spans="1:14" x14ac:dyDescent="0.25">
      <c r="A110" t="s">
        <v>50</v>
      </c>
      <c r="B110">
        <v>119</v>
      </c>
      <c r="C110">
        <v>92115211</v>
      </c>
      <c r="D110" t="s">
        <v>245</v>
      </c>
      <c r="E110" t="s">
        <v>13</v>
      </c>
      <c r="F110" t="s">
        <v>14</v>
      </c>
      <c r="G110">
        <v>45000000</v>
      </c>
      <c r="H110">
        <v>6.7</v>
      </c>
      <c r="I110" t="s">
        <v>38</v>
      </c>
      <c r="J110" t="s">
        <v>31</v>
      </c>
      <c r="K110" t="s">
        <v>23</v>
      </c>
      <c r="L110" t="s">
        <v>24</v>
      </c>
    </row>
    <row r="111" spans="1:14" x14ac:dyDescent="0.25">
      <c r="A111" t="s">
        <v>246</v>
      </c>
      <c r="B111">
        <v>111</v>
      </c>
      <c r="C111">
        <v>92001027</v>
      </c>
      <c r="D111" t="s">
        <v>247</v>
      </c>
      <c r="E111" t="s">
        <v>13</v>
      </c>
      <c r="F111" t="s">
        <v>14</v>
      </c>
      <c r="G111">
        <v>45000000</v>
      </c>
      <c r="H111">
        <v>7.6</v>
      </c>
      <c r="I111" t="s">
        <v>34</v>
      </c>
      <c r="J111" t="s">
        <v>28</v>
      </c>
      <c r="K111" t="s">
        <v>31</v>
      </c>
      <c r="L111" t="s">
        <v>37</v>
      </c>
      <c r="M111" t="s">
        <v>24</v>
      </c>
    </row>
    <row r="112" spans="1:14" x14ac:dyDescent="0.25">
      <c r="A112" t="s">
        <v>248</v>
      </c>
      <c r="B112">
        <v>122</v>
      </c>
      <c r="C112">
        <v>91547205</v>
      </c>
      <c r="D112" t="s">
        <v>249</v>
      </c>
      <c r="E112" t="s">
        <v>13</v>
      </c>
      <c r="F112" t="s">
        <v>14</v>
      </c>
      <c r="G112">
        <v>12000000</v>
      </c>
      <c r="H112">
        <v>6.6</v>
      </c>
      <c r="I112" t="s">
        <v>15</v>
      </c>
      <c r="J112" t="s">
        <v>19</v>
      </c>
    </row>
    <row r="113" spans="1:14" x14ac:dyDescent="0.25">
      <c r="A113" t="s">
        <v>250</v>
      </c>
      <c r="B113">
        <v>111</v>
      </c>
      <c r="C113">
        <v>91457688</v>
      </c>
      <c r="D113" t="s">
        <v>251</v>
      </c>
      <c r="E113" t="s">
        <v>13</v>
      </c>
      <c r="F113" t="s">
        <v>14</v>
      </c>
      <c r="G113">
        <v>26000000</v>
      </c>
      <c r="H113">
        <v>6</v>
      </c>
      <c r="I113" t="s">
        <v>34</v>
      </c>
      <c r="J113" t="s">
        <v>15</v>
      </c>
      <c r="K113" t="s">
        <v>38</v>
      </c>
    </row>
    <row r="114" spans="1:14" x14ac:dyDescent="0.25">
      <c r="A114" t="s">
        <v>252</v>
      </c>
      <c r="B114">
        <v>99</v>
      </c>
      <c r="C114">
        <v>91443253</v>
      </c>
      <c r="D114" t="s">
        <v>253</v>
      </c>
      <c r="E114" t="s">
        <v>13</v>
      </c>
      <c r="F114" t="s">
        <v>14</v>
      </c>
      <c r="G114">
        <v>12000000</v>
      </c>
      <c r="H114">
        <v>5.8</v>
      </c>
      <c r="I114" t="s">
        <v>42</v>
      </c>
      <c r="J114" t="s">
        <v>31</v>
      </c>
    </row>
    <row r="115" spans="1:14" x14ac:dyDescent="0.25">
      <c r="A115" t="s">
        <v>254</v>
      </c>
      <c r="B115">
        <v>106</v>
      </c>
      <c r="C115">
        <v>91439400</v>
      </c>
      <c r="D115" t="s">
        <v>255</v>
      </c>
      <c r="E115" t="s">
        <v>13</v>
      </c>
      <c r="F115" t="s">
        <v>82</v>
      </c>
      <c r="G115">
        <v>50000000</v>
      </c>
      <c r="H115">
        <v>7</v>
      </c>
      <c r="I115" t="s">
        <v>34</v>
      </c>
      <c r="J115" t="s">
        <v>23</v>
      </c>
      <c r="K115" t="s">
        <v>24</v>
      </c>
    </row>
    <row r="116" spans="1:14" x14ac:dyDescent="0.25">
      <c r="A116" t="s">
        <v>256</v>
      </c>
      <c r="B116">
        <v>123</v>
      </c>
      <c r="C116">
        <v>91400000</v>
      </c>
      <c r="D116" t="s">
        <v>257</v>
      </c>
      <c r="E116" t="s">
        <v>13</v>
      </c>
      <c r="F116" t="s">
        <v>14</v>
      </c>
      <c r="G116">
        <v>53000000</v>
      </c>
      <c r="H116">
        <v>7.3</v>
      </c>
      <c r="I116" t="s">
        <v>34</v>
      </c>
      <c r="J116" t="s">
        <v>31</v>
      </c>
      <c r="K116" t="s">
        <v>24</v>
      </c>
      <c r="L116" t="s">
        <v>83</v>
      </c>
    </row>
    <row r="117" spans="1:14" x14ac:dyDescent="0.25">
      <c r="A117" t="s">
        <v>258</v>
      </c>
      <c r="B117">
        <v>113</v>
      </c>
      <c r="C117">
        <v>91188905</v>
      </c>
      <c r="D117" t="s">
        <v>259</v>
      </c>
      <c r="E117" t="s">
        <v>13</v>
      </c>
      <c r="F117" t="s">
        <v>14</v>
      </c>
      <c r="G117">
        <v>80000000</v>
      </c>
      <c r="H117">
        <v>4.9000000000000004</v>
      </c>
      <c r="I117" t="s">
        <v>17</v>
      </c>
      <c r="J117" t="s">
        <v>22</v>
      </c>
      <c r="K117" t="s">
        <v>23</v>
      </c>
      <c r="L117" t="s">
        <v>24</v>
      </c>
    </row>
    <row r="118" spans="1:14" x14ac:dyDescent="0.25">
      <c r="A118" t="s">
        <v>260</v>
      </c>
      <c r="B118">
        <v>114</v>
      </c>
      <c r="C118">
        <v>91121452</v>
      </c>
      <c r="D118" t="s">
        <v>261</v>
      </c>
      <c r="E118" t="s">
        <v>13</v>
      </c>
      <c r="F118" t="s">
        <v>82</v>
      </c>
      <c r="G118">
        <v>14000000</v>
      </c>
      <c r="H118">
        <v>8.1</v>
      </c>
      <c r="I118" t="s">
        <v>42</v>
      </c>
      <c r="J118" t="s">
        <v>31</v>
      </c>
      <c r="K118" t="s">
        <v>24</v>
      </c>
      <c r="L118" t="s">
        <v>83</v>
      </c>
    </row>
    <row r="119" spans="1:14" x14ac:dyDescent="0.25">
      <c r="A119" t="s">
        <v>262</v>
      </c>
      <c r="B119">
        <v>112</v>
      </c>
      <c r="C119">
        <v>91038276</v>
      </c>
      <c r="D119" t="s">
        <v>263</v>
      </c>
      <c r="E119" t="s">
        <v>13</v>
      </c>
      <c r="F119" t="s">
        <v>14</v>
      </c>
      <c r="G119">
        <v>13000000</v>
      </c>
      <c r="H119">
        <v>6.1</v>
      </c>
      <c r="I119" t="s">
        <v>31</v>
      </c>
      <c r="J119" t="s">
        <v>18</v>
      </c>
      <c r="K119" t="s">
        <v>19</v>
      </c>
    </row>
    <row r="120" spans="1:14" x14ac:dyDescent="0.25">
      <c r="A120" t="s">
        <v>264</v>
      </c>
      <c r="B120">
        <v>124</v>
      </c>
      <c r="C120">
        <v>91030827</v>
      </c>
      <c r="D120" t="s">
        <v>265</v>
      </c>
      <c r="E120" t="s">
        <v>13</v>
      </c>
      <c r="F120" t="s">
        <v>14</v>
      </c>
      <c r="G120">
        <v>50000000</v>
      </c>
      <c r="H120">
        <v>6.7</v>
      </c>
      <c r="I120" t="s">
        <v>15</v>
      </c>
      <c r="J120" t="s">
        <v>31</v>
      </c>
    </row>
    <row r="121" spans="1:14" x14ac:dyDescent="0.25">
      <c r="A121" t="s">
        <v>248</v>
      </c>
      <c r="B121">
        <v>102</v>
      </c>
      <c r="C121">
        <v>90835030</v>
      </c>
      <c r="D121" t="s">
        <v>266</v>
      </c>
      <c r="E121" t="s">
        <v>13</v>
      </c>
      <c r="F121" t="s">
        <v>14</v>
      </c>
      <c r="G121">
        <v>40000000</v>
      </c>
      <c r="H121">
        <v>5.9</v>
      </c>
      <c r="I121" t="s">
        <v>34</v>
      </c>
      <c r="J121" t="s">
        <v>15</v>
      </c>
    </row>
    <row r="122" spans="1:14" x14ac:dyDescent="0.25">
      <c r="A122" t="s">
        <v>267</v>
      </c>
      <c r="B122">
        <v>126</v>
      </c>
      <c r="C122">
        <v>90800000</v>
      </c>
      <c r="D122" t="s">
        <v>268</v>
      </c>
      <c r="E122" t="s">
        <v>13</v>
      </c>
      <c r="F122" t="s">
        <v>14</v>
      </c>
      <c r="G122">
        <v>8000000</v>
      </c>
      <c r="H122">
        <v>7.2</v>
      </c>
      <c r="I122" t="s">
        <v>34</v>
      </c>
      <c r="J122" t="s">
        <v>31</v>
      </c>
      <c r="K122" t="s">
        <v>16</v>
      </c>
      <c r="L122" t="s">
        <v>41</v>
      </c>
    </row>
    <row r="123" spans="1:14" x14ac:dyDescent="0.25">
      <c r="A123" t="s">
        <v>267</v>
      </c>
      <c r="B123">
        <v>126</v>
      </c>
      <c r="C123">
        <v>90800000</v>
      </c>
      <c r="D123" t="s">
        <v>268</v>
      </c>
      <c r="E123" t="s">
        <v>13</v>
      </c>
      <c r="F123" t="s">
        <v>14</v>
      </c>
      <c r="G123">
        <v>8000000</v>
      </c>
      <c r="H123">
        <v>7.2</v>
      </c>
      <c r="I123" t="s">
        <v>34</v>
      </c>
      <c r="J123" t="s">
        <v>31</v>
      </c>
      <c r="K123" t="s">
        <v>16</v>
      </c>
      <c r="L123" t="s">
        <v>41</v>
      </c>
    </row>
    <row r="124" spans="1:14" x14ac:dyDescent="0.25">
      <c r="A124" t="s">
        <v>29</v>
      </c>
      <c r="B124">
        <v>89</v>
      </c>
      <c r="C124">
        <v>90703745</v>
      </c>
      <c r="D124" t="s">
        <v>269</v>
      </c>
      <c r="E124" t="s">
        <v>13</v>
      </c>
      <c r="F124" t="s">
        <v>14</v>
      </c>
      <c r="G124">
        <v>45000000</v>
      </c>
      <c r="H124">
        <v>5.0999999999999996</v>
      </c>
      <c r="I124" t="s">
        <v>15</v>
      </c>
    </row>
    <row r="125" spans="1:14" x14ac:dyDescent="0.25">
      <c r="A125" t="s">
        <v>270</v>
      </c>
      <c r="B125">
        <v>110</v>
      </c>
      <c r="C125">
        <v>90636983</v>
      </c>
      <c r="D125" t="s">
        <v>271</v>
      </c>
      <c r="E125" t="s">
        <v>13</v>
      </c>
      <c r="F125" t="s">
        <v>14</v>
      </c>
      <c r="G125">
        <v>22000000</v>
      </c>
      <c r="H125">
        <v>6.2</v>
      </c>
      <c r="I125" t="s">
        <v>15</v>
      </c>
      <c r="J125" t="s">
        <v>16</v>
      </c>
      <c r="K125" t="s">
        <v>41</v>
      </c>
    </row>
    <row r="126" spans="1:14" x14ac:dyDescent="0.25">
      <c r="A126" t="s">
        <v>272</v>
      </c>
      <c r="B126">
        <v>116</v>
      </c>
      <c r="C126">
        <v>90567722</v>
      </c>
      <c r="D126" t="s">
        <v>273</v>
      </c>
      <c r="E126" t="s">
        <v>13</v>
      </c>
      <c r="F126" t="s">
        <v>14</v>
      </c>
      <c r="G126">
        <v>51000000</v>
      </c>
      <c r="H126">
        <v>6.5</v>
      </c>
      <c r="I126" t="s">
        <v>15</v>
      </c>
    </row>
    <row r="127" spans="1:14" x14ac:dyDescent="0.25">
      <c r="A127" t="s">
        <v>274</v>
      </c>
      <c r="B127">
        <v>112</v>
      </c>
      <c r="C127">
        <v>90556401</v>
      </c>
      <c r="D127" t="s">
        <v>275</v>
      </c>
      <c r="E127" t="s">
        <v>13</v>
      </c>
      <c r="F127" t="s">
        <v>14</v>
      </c>
      <c r="G127">
        <v>11000000</v>
      </c>
      <c r="H127">
        <v>4.5</v>
      </c>
      <c r="I127" t="s">
        <v>15</v>
      </c>
      <c r="J127" t="s">
        <v>31</v>
      </c>
      <c r="K127" t="s">
        <v>16</v>
      </c>
      <c r="L127" t="s">
        <v>18</v>
      </c>
      <c r="M127" t="s">
        <v>59</v>
      </c>
      <c r="N127" t="s">
        <v>19</v>
      </c>
    </row>
    <row r="128" spans="1:14" x14ac:dyDescent="0.25">
      <c r="A128" t="s">
        <v>276</v>
      </c>
      <c r="B128">
        <v>103</v>
      </c>
      <c r="C128">
        <v>90485233</v>
      </c>
      <c r="D128" t="s">
        <v>277</v>
      </c>
      <c r="E128" t="s">
        <v>13</v>
      </c>
      <c r="F128" t="s">
        <v>14</v>
      </c>
      <c r="G128">
        <v>39751583.5</v>
      </c>
      <c r="H128">
        <v>4.0999999999999996</v>
      </c>
      <c r="I128" t="s">
        <v>15</v>
      </c>
      <c r="J128" t="s">
        <v>38</v>
      </c>
      <c r="K128" t="s">
        <v>31</v>
      </c>
    </row>
    <row r="129" spans="1:15" x14ac:dyDescent="0.25">
      <c r="A129" t="s">
        <v>154</v>
      </c>
      <c r="B129">
        <v>130</v>
      </c>
      <c r="C129">
        <v>90454043</v>
      </c>
      <c r="D129" t="s">
        <v>278</v>
      </c>
      <c r="E129" t="s">
        <v>13</v>
      </c>
      <c r="F129" t="s">
        <v>14</v>
      </c>
      <c r="G129">
        <v>65000000</v>
      </c>
      <c r="H129">
        <v>6.4</v>
      </c>
      <c r="I129" t="s">
        <v>34</v>
      </c>
      <c r="J129" t="s">
        <v>28</v>
      </c>
      <c r="K129" t="s">
        <v>24</v>
      </c>
    </row>
    <row r="130" spans="1:15" x14ac:dyDescent="0.25">
      <c r="A130" t="s">
        <v>279</v>
      </c>
      <c r="B130">
        <v>88</v>
      </c>
      <c r="C130">
        <v>90443603</v>
      </c>
      <c r="D130" t="s">
        <v>280</v>
      </c>
      <c r="E130" t="s">
        <v>13</v>
      </c>
      <c r="F130" t="s">
        <v>14</v>
      </c>
      <c r="G130">
        <v>80000000</v>
      </c>
      <c r="H130">
        <v>6.3</v>
      </c>
      <c r="I130" t="s">
        <v>28</v>
      </c>
      <c r="J130" t="s">
        <v>46</v>
      </c>
      <c r="K130" t="s">
        <v>15</v>
      </c>
      <c r="L130" t="s">
        <v>16</v>
      </c>
      <c r="M130" t="s">
        <v>17</v>
      </c>
      <c r="N130" t="s">
        <v>37</v>
      </c>
      <c r="O130" t="s">
        <v>41</v>
      </c>
    </row>
    <row r="131" spans="1:15" x14ac:dyDescent="0.25">
      <c r="A131" t="s">
        <v>281</v>
      </c>
      <c r="B131">
        <v>116</v>
      </c>
      <c r="C131">
        <v>90400000</v>
      </c>
      <c r="D131" t="s">
        <v>282</v>
      </c>
      <c r="E131" t="s">
        <v>13</v>
      </c>
      <c r="F131" t="s">
        <v>14</v>
      </c>
      <c r="G131">
        <v>39751583.5</v>
      </c>
      <c r="H131">
        <v>7.5</v>
      </c>
      <c r="I131" t="s">
        <v>15</v>
      </c>
    </row>
    <row r="132" spans="1:15" x14ac:dyDescent="0.25">
      <c r="A132" t="s">
        <v>283</v>
      </c>
      <c r="B132">
        <v>111</v>
      </c>
      <c r="C132">
        <v>90356857</v>
      </c>
      <c r="D132" t="s">
        <v>284</v>
      </c>
      <c r="E132" t="s">
        <v>13</v>
      </c>
      <c r="F132" t="s">
        <v>14</v>
      </c>
      <c r="G132">
        <v>58000000</v>
      </c>
      <c r="H132">
        <v>7.1</v>
      </c>
      <c r="I132" t="s">
        <v>34</v>
      </c>
      <c r="J132" t="s">
        <v>15</v>
      </c>
      <c r="K132" t="s">
        <v>38</v>
      </c>
      <c r="L132" t="s">
        <v>24</v>
      </c>
    </row>
    <row r="133" spans="1:15" x14ac:dyDescent="0.25">
      <c r="A133" t="s">
        <v>285</v>
      </c>
      <c r="B133">
        <v>107</v>
      </c>
      <c r="C133">
        <v>90353764</v>
      </c>
      <c r="D133" t="s">
        <v>286</v>
      </c>
      <c r="E133" t="s">
        <v>13</v>
      </c>
      <c r="F133" t="s">
        <v>14</v>
      </c>
      <c r="G133">
        <v>40000000</v>
      </c>
      <c r="H133">
        <v>6</v>
      </c>
      <c r="I133" t="s">
        <v>15</v>
      </c>
      <c r="J133" t="s">
        <v>38</v>
      </c>
    </row>
    <row r="134" spans="1:15" x14ac:dyDescent="0.25">
      <c r="A134" t="s">
        <v>287</v>
      </c>
      <c r="B134">
        <v>100</v>
      </c>
      <c r="C134">
        <v>90341670</v>
      </c>
      <c r="D134" t="s">
        <v>288</v>
      </c>
      <c r="E134" t="s">
        <v>13</v>
      </c>
      <c r="F134" t="s">
        <v>14</v>
      </c>
      <c r="G134">
        <v>60000000</v>
      </c>
      <c r="H134">
        <v>5.5</v>
      </c>
      <c r="I134" t="s">
        <v>34</v>
      </c>
      <c r="J134" t="s">
        <v>28</v>
      </c>
      <c r="K134" t="s">
        <v>17</v>
      </c>
      <c r="L134" t="s">
        <v>24</v>
      </c>
    </row>
    <row r="135" spans="1:15" x14ac:dyDescent="0.25">
      <c r="A135" t="s">
        <v>154</v>
      </c>
      <c r="B135">
        <v>138</v>
      </c>
      <c r="C135">
        <v>90135191</v>
      </c>
      <c r="D135" t="s">
        <v>289</v>
      </c>
      <c r="E135" t="s">
        <v>13</v>
      </c>
      <c r="F135" t="s">
        <v>14</v>
      </c>
      <c r="G135">
        <v>25000000</v>
      </c>
      <c r="H135">
        <v>8</v>
      </c>
      <c r="I135" t="s">
        <v>38</v>
      </c>
      <c r="J135" t="s">
        <v>31</v>
      </c>
      <c r="K135" t="s">
        <v>23</v>
      </c>
      <c r="L135" t="s">
        <v>24</v>
      </c>
    </row>
    <row r="136" spans="1:15" x14ac:dyDescent="0.25">
      <c r="A136" t="s">
        <v>290</v>
      </c>
      <c r="B136">
        <v>95</v>
      </c>
      <c r="C136">
        <v>89808372</v>
      </c>
      <c r="D136" t="s">
        <v>291</v>
      </c>
      <c r="E136" t="s">
        <v>13</v>
      </c>
      <c r="F136" t="s">
        <v>14</v>
      </c>
      <c r="G136">
        <v>45000000</v>
      </c>
      <c r="H136">
        <v>4.5999999999999996</v>
      </c>
      <c r="I136" t="s">
        <v>15</v>
      </c>
    </row>
    <row r="137" spans="1:15" x14ac:dyDescent="0.25">
      <c r="A137" t="s">
        <v>283</v>
      </c>
      <c r="B137">
        <v>98</v>
      </c>
      <c r="C137">
        <v>89706988</v>
      </c>
      <c r="D137" t="s">
        <v>292</v>
      </c>
      <c r="E137" t="s">
        <v>13</v>
      </c>
      <c r="F137" t="s">
        <v>14</v>
      </c>
      <c r="G137">
        <v>55000000</v>
      </c>
      <c r="H137">
        <v>6.2</v>
      </c>
      <c r="I137" t="s">
        <v>31</v>
      </c>
      <c r="J137" t="s">
        <v>23</v>
      </c>
      <c r="K137" t="s">
        <v>24</v>
      </c>
    </row>
    <row r="138" spans="1:15" x14ac:dyDescent="0.25">
      <c r="A138" t="s">
        <v>293</v>
      </c>
      <c r="B138">
        <v>115</v>
      </c>
      <c r="C138">
        <v>89253340</v>
      </c>
      <c r="D138" t="s">
        <v>294</v>
      </c>
      <c r="E138" t="s">
        <v>13</v>
      </c>
      <c r="F138" t="s">
        <v>295</v>
      </c>
      <c r="G138">
        <v>48000000</v>
      </c>
      <c r="H138">
        <v>6</v>
      </c>
      <c r="I138" t="s">
        <v>34</v>
      </c>
      <c r="J138" t="s">
        <v>24</v>
      </c>
    </row>
    <row r="139" spans="1:15" x14ac:dyDescent="0.25">
      <c r="A139" t="s">
        <v>121</v>
      </c>
      <c r="B139">
        <v>116</v>
      </c>
      <c r="C139">
        <v>89138076</v>
      </c>
      <c r="D139" t="s">
        <v>296</v>
      </c>
      <c r="E139" t="s">
        <v>13</v>
      </c>
      <c r="F139" t="s">
        <v>14</v>
      </c>
      <c r="G139">
        <v>40000000</v>
      </c>
      <c r="H139">
        <v>5.5</v>
      </c>
      <c r="I139" t="s">
        <v>22</v>
      </c>
      <c r="J139" t="s">
        <v>23</v>
      </c>
    </row>
    <row r="140" spans="1:15" x14ac:dyDescent="0.25">
      <c r="A140" t="s">
        <v>206</v>
      </c>
      <c r="B140">
        <v>96</v>
      </c>
      <c r="C140">
        <v>88915214</v>
      </c>
      <c r="D140" t="s">
        <v>297</v>
      </c>
      <c r="E140" t="s">
        <v>13</v>
      </c>
      <c r="F140" t="s">
        <v>14</v>
      </c>
      <c r="G140">
        <v>38000000</v>
      </c>
      <c r="H140">
        <v>6.5</v>
      </c>
      <c r="I140" t="s">
        <v>15</v>
      </c>
      <c r="J140" t="s">
        <v>19</v>
      </c>
    </row>
    <row r="141" spans="1:15" x14ac:dyDescent="0.25">
      <c r="A141" t="s">
        <v>298</v>
      </c>
      <c r="B141">
        <v>95</v>
      </c>
      <c r="C141">
        <v>88658172</v>
      </c>
      <c r="D141" t="s">
        <v>299</v>
      </c>
      <c r="E141" t="s">
        <v>13</v>
      </c>
      <c r="F141" t="s">
        <v>14</v>
      </c>
      <c r="G141">
        <v>50000000</v>
      </c>
      <c r="H141">
        <v>5.6</v>
      </c>
      <c r="I141" t="s">
        <v>15</v>
      </c>
      <c r="J141" t="s">
        <v>19</v>
      </c>
    </row>
    <row r="142" spans="1:15" x14ac:dyDescent="0.25">
      <c r="A142" t="s">
        <v>300</v>
      </c>
      <c r="B142">
        <v>103</v>
      </c>
      <c r="C142">
        <v>88625922</v>
      </c>
      <c r="D142" t="s">
        <v>301</v>
      </c>
      <c r="E142" t="s">
        <v>13</v>
      </c>
      <c r="F142" t="s">
        <v>14</v>
      </c>
      <c r="G142">
        <v>45000000</v>
      </c>
      <c r="H142">
        <v>7.1</v>
      </c>
      <c r="I142" t="s">
        <v>28</v>
      </c>
      <c r="J142" t="s">
        <v>15</v>
      </c>
      <c r="K142" t="s">
        <v>16</v>
      </c>
      <c r="L142" t="s">
        <v>59</v>
      </c>
    </row>
    <row r="143" spans="1:15" x14ac:dyDescent="0.25">
      <c r="A143" t="s">
        <v>302</v>
      </c>
      <c r="B143">
        <v>129</v>
      </c>
      <c r="C143">
        <v>88504640</v>
      </c>
      <c r="D143" t="s">
        <v>303</v>
      </c>
      <c r="E143" t="s">
        <v>13</v>
      </c>
      <c r="F143" t="s">
        <v>14</v>
      </c>
      <c r="G143">
        <v>45000000</v>
      </c>
      <c r="H143">
        <v>7.6</v>
      </c>
      <c r="I143" t="s">
        <v>38</v>
      </c>
      <c r="J143" t="s">
        <v>31</v>
      </c>
      <c r="K143" t="s">
        <v>23</v>
      </c>
      <c r="L143" t="s">
        <v>24</v>
      </c>
    </row>
    <row r="144" spans="1:15" x14ac:dyDescent="0.25">
      <c r="A144" t="s">
        <v>170</v>
      </c>
      <c r="B144">
        <v>101</v>
      </c>
      <c r="C144">
        <v>88200225</v>
      </c>
      <c r="D144" t="s">
        <v>304</v>
      </c>
      <c r="E144" t="s">
        <v>13</v>
      </c>
      <c r="F144" t="s">
        <v>14</v>
      </c>
      <c r="G144">
        <v>60000000</v>
      </c>
      <c r="H144">
        <v>6.1</v>
      </c>
      <c r="I144" t="s">
        <v>15</v>
      </c>
      <c r="J144" t="s">
        <v>38</v>
      </c>
    </row>
    <row r="145" spans="1:14" x14ac:dyDescent="0.25">
      <c r="A145" t="s">
        <v>305</v>
      </c>
      <c r="B145">
        <v>90</v>
      </c>
      <c r="C145">
        <v>87856565</v>
      </c>
      <c r="D145" t="s">
        <v>306</v>
      </c>
      <c r="E145" t="s">
        <v>13</v>
      </c>
      <c r="F145" t="s">
        <v>14</v>
      </c>
      <c r="G145">
        <v>42000000</v>
      </c>
      <c r="H145">
        <v>5.9</v>
      </c>
      <c r="I145" t="s">
        <v>15</v>
      </c>
      <c r="J145" t="s">
        <v>19</v>
      </c>
    </row>
    <row r="146" spans="1:14" x14ac:dyDescent="0.25">
      <c r="A146" t="s">
        <v>307</v>
      </c>
      <c r="B146">
        <v>113</v>
      </c>
      <c r="C146">
        <v>87704396</v>
      </c>
      <c r="D146" t="s">
        <v>308</v>
      </c>
      <c r="E146" t="s">
        <v>13</v>
      </c>
      <c r="F146" t="s">
        <v>14</v>
      </c>
      <c r="G146">
        <v>66000000</v>
      </c>
      <c r="H146">
        <v>6.2</v>
      </c>
      <c r="I146" t="s">
        <v>34</v>
      </c>
      <c r="J146" t="s">
        <v>38</v>
      </c>
      <c r="K146" t="s">
        <v>19</v>
      </c>
      <c r="L146" t="s">
        <v>24</v>
      </c>
    </row>
    <row r="147" spans="1:14" x14ac:dyDescent="0.25">
      <c r="A147" t="s">
        <v>160</v>
      </c>
      <c r="B147">
        <v>118</v>
      </c>
      <c r="C147">
        <v>87666629</v>
      </c>
      <c r="D147" t="s">
        <v>309</v>
      </c>
      <c r="E147" t="s">
        <v>13</v>
      </c>
      <c r="F147" t="s">
        <v>14</v>
      </c>
      <c r="G147">
        <v>40000000</v>
      </c>
      <c r="H147">
        <v>7.4</v>
      </c>
      <c r="I147" t="s">
        <v>28</v>
      </c>
      <c r="J147" t="s">
        <v>15</v>
      </c>
      <c r="K147" t="s">
        <v>37</v>
      </c>
      <c r="L147" t="s">
        <v>69</v>
      </c>
    </row>
    <row r="148" spans="1:14" x14ac:dyDescent="0.25">
      <c r="A148" t="s">
        <v>310</v>
      </c>
      <c r="B148">
        <v>117</v>
      </c>
      <c r="C148">
        <v>87341380</v>
      </c>
      <c r="D148" t="s">
        <v>311</v>
      </c>
      <c r="E148" t="s">
        <v>13</v>
      </c>
      <c r="F148" t="s">
        <v>14</v>
      </c>
      <c r="G148">
        <v>27000000</v>
      </c>
      <c r="H148">
        <v>7</v>
      </c>
      <c r="I148" t="s">
        <v>34</v>
      </c>
      <c r="J148" t="s">
        <v>15</v>
      </c>
      <c r="K148" t="s">
        <v>38</v>
      </c>
    </row>
    <row r="149" spans="1:14" x14ac:dyDescent="0.25">
      <c r="A149" t="s">
        <v>312</v>
      </c>
      <c r="B149">
        <v>161</v>
      </c>
      <c r="C149">
        <v>87100000</v>
      </c>
      <c r="D149" t="s">
        <v>313</v>
      </c>
      <c r="E149" t="s">
        <v>13</v>
      </c>
      <c r="F149" t="s">
        <v>14</v>
      </c>
      <c r="G149">
        <v>31000000</v>
      </c>
      <c r="H149">
        <v>7.2</v>
      </c>
      <c r="I149" t="s">
        <v>42</v>
      </c>
      <c r="J149" t="s">
        <v>31</v>
      </c>
      <c r="K149" t="s">
        <v>19</v>
      </c>
    </row>
    <row r="150" spans="1:14" x14ac:dyDescent="0.25">
      <c r="A150" t="s">
        <v>314</v>
      </c>
      <c r="B150">
        <v>95</v>
      </c>
      <c r="C150">
        <v>87025093</v>
      </c>
      <c r="D150" t="s">
        <v>315</v>
      </c>
      <c r="E150" t="s">
        <v>13</v>
      </c>
      <c r="F150" t="s">
        <v>14</v>
      </c>
      <c r="G150">
        <v>4000000</v>
      </c>
      <c r="H150">
        <v>6.6</v>
      </c>
      <c r="I150" t="s">
        <v>22</v>
      </c>
      <c r="J150" t="s">
        <v>23</v>
      </c>
    </row>
    <row r="151" spans="1:14" x14ac:dyDescent="0.25">
      <c r="A151" t="s">
        <v>29</v>
      </c>
      <c r="B151">
        <v>85</v>
      </c>
      <c r="C151">
        <v>86930411</v>
      </c>
      <c r="D151" t="s">
        <v>316</v>
      </c>
      <c r="E151" t="s">
        <v>13</v>
      </c>
      <c r="F151" t="s">
        <v>14</v>
      </c>
      <c r="G151">
        <v>23000000</v>
      </c>
      <c r="H151">
        <v>6.8</v>
      </c>
      <c r="I151" t="s">
        <v>15</v>
      </c>
      <c r="J151" t="s">
        <v>38</v>
      </c>
    </row>
    <row r="152" spans="1:14" x14ac:dyDescent="0.25">
      <c r="A152" t="s">
        <v>317</v>
      </c>
      <c r="B152">
        <v>106</v>
      </c>
      <c r="C152">
        <v>86300000</v>
      </c>
      <c r="D152" t="s">
        <v>318</v>
      </c>
      <c r="E152" t="s">
        <v>13</v>
      </c>
      <c r="F152" t="s">
        <v>14</v>
      </c>
      <c r="G152">
        <v>2800000</v>
      </c>
      <c r="H152">
        <v>8</v>
      </c>
      <c r="I152" t="s">
        <v>15</v>
      </c>
    </row>
    <row r="153" spans="1:14" x14ac:dyDescent="0.25">
      <c r="A153" t="s">
        <v>272</v>
      </c>
      <c r="B153">
        <v>109</v>
      </c>
      <c r="C153">
        <v>86208010</v>
      </c>
      <c r="D153" t="s">
        <v>319</v>
      </c>
      <c r="E153" t="s">
        <v>13</v>
      </c>
      <c r="F153" t="s">
        <v>14</v>
      </c>
      <c r="G153">
        <v>35000000</v>
      </c>
      <c r="H153">
        <v>5.7</v>
      </c>
      <c r="I153" t="s">
        <v>15</v>
      </c>
    </row>
    <row r="154" spans="1:14" x14ac:dyDescent="0.25">
      <c r="A154" t="s">
        <v>11</v>
      </c>
      <c r="B154">
        <v>97</v>
      </c>
      <c r="C154">
        <v>86049418</v>
      </c>
      <c r="D154" t="s">
        <v>320</v>
      </c>
      <c r="E154" t="s">
        <v>13</v>
      </c>
      <c r="F154" t="s">
        <v>14</v>
      </c>
      <c r="G154">
        <v>17000000</v>
      </c>
      <c r="H154">
        <v>7</v>
      </c>
      <c r="I154" t="s">
        <v>15</v>
      </c>
    </row>
    <row r="155" spans="1:14" x14ac:dyDescent="0.25">
      <c r="A155" t="s">
        <v>321</v>
      </c>
      <c r="B155">
        <v>118</v>
      </c>
      <c r="C155">
        <v>85911262</v>
      </c>
      <c r="D155" t="s">
        <v>322</v>
      </c>
      <c r="E155" t="s">
        <v>13</v>
      </c>
      <c r="F155" t="s">
        <v>14</v>
      </c>
      <c r="G155">
        <v>65000000</v>
      </c>
      <c r="H155">
        <v>5.2</v>
      </c>
      <c r="I155" t="s">
        <v>15</v>
      </c>
      <c r="J155" t="s">
        <v>31</v>
      </c>
      <c r="K155" t="s">
        <v>16</v>
      </c>
      <c r="L155" t="s">
        <v>59</v>
      </c>
    </row>
    <row r="156" spans="1:14" x14ac:dyDescent="0.25">
      <c r="A156" t="s">
        <v>323</v>
      </c>
      <c r="B156">
        <v>92</v>
      </c>
      <c r="C156">
        <v>85884815</v>
      </c>
      <c r="D156" t="s">
        <v>324</v>
      </c>
      <c r="E156" t="s">
        <v>13</v>
      </c>
      <c r="F156" t="s">
        <v>14</v>
      </c>
      <c r="G156">
        <v>90000000</v>
      </c>
      <c r="H156">
        <v>5</v>
      </c>
      <c r="I156" t="s">
        <v>28</v>
      </c>
      <c r="J156" t="s">
        <v>46</v>
      </c>
      <c r="K156" t="s">
        <v>15</v>
      </c>
      <c r="L156" t="s">
        <v>16</v>
      </c>
      <c r="M156" t="s">
        <v>17</v>
      </c>
      <c r="N156" t="s">
        <v>18</v>
      </c>
    </row>
    <row r="157" spans="1:14" x14ac:dyDescent="0.25">
      <c r="A157" t="s">
        <v>325</v>
      </c>
      <c r="B157">
        <v>134</v>
      </c>
      <c r="C157">
        <v>85707116</v>
      </c>
      <c r="D157" t="s">
        <v>326</v>
      </c>
      <c r="E157" t="s">
        <v>13</v>
      </c>
      <c r="F157" t="s">
        <v>14</v>
      </c>
      <c r="G157">
        <v>68000000</v>
      </c>
      <c r="H157">
        <v>7.6</v>
      </c>
      <c r="I157" t="s">
        <v>34</v>
      </c>
      <c r="J157" t="s">
        <v>31</v>
      </c>
      <c r="K157" t="s">
        <v>83</v>
      </c>
    </row>
    <row r="158" spans="1:14" x14ac:dyDescent="0.25">
      <c r="A158" t="s">
        <v>327</v>
      </c>
      <c r="B158">
        <v>100</v>
      </c>
      <c r="C158">
        <v>85570368</v>
      </c>
      <c r="D158" t="s">
        <v>328</v>
      </c>
      <c r="E158" t="s">
        <v>13</v>
      </c>
      <c r="F158" t="s">
        <v>14</v>
      </c>
      <c r="G158">
        <v>38000000</v>
      </c>
      <c r="H158">
        <v>5.0999999999999996</v>
      </c>
      <c r="I158" t="s">
        <v>34</v>
      </c>
      <c r="J158" t="s">
        <v>28</v>
      </c>
      <c r="K158" t="s">
        <v>15</v>
      </c>
      <c r="L158" t="s">
        <v>16</v>
      </c>
      <c r="M158" t="s">
        <v>37</v>
      </c>
    </row>
    <row r="159" spans="1:14" x14ac:dyDescent="0.25">
      <c r="A159" t="s">
        <v>329</v>
      </c>
      <c r="B159">
        <v>87</v>
      </c>
      <c r="C159">
        <v>85416609</v>
      </c>
      <c r="D159" t="s">
        <v>330</v>
      </c>
      <c r="E159" t="s">
        <v>13</v>
      </c>
      <c r="F159" t="s">
        <v>14</v>
      </c>
      <c r="G159">
        <v>30000000</v>
      </c>
      <c r="H159">
        <v>7</v>
      </c>
      <c r="I159" t="s">
        <v>28</v>
      </c>
      <c r="J159" t="s">
        <v>46</v>
      </c>
      <c r="K159" t="s">
        <v>15</v>
      </c>
      <c r="L159" t="s">
        <v>16</v>
      </c>
      <c r="M159" t="s">
        <v>17</v>
      </c>
    </row>
    <row r="160" spans="1:14" x14ac:dyDescent="0.25">
      <c r="A160" t="s">
        <v>250</v>
      </c>
      <c r="B160">
        <v>117</v>
      </c>
      <c r="C160">
        <v>85300000</v>
      </c>
      <c r="D160" t="s">
        <v>331</v>
      </c>
      <c r="E160" t="s">
        <v>13</v>
      </c>
      <c r="F160" t="s">
        <v>14</v>
      </c>
      <c r="G160">
        <v>10000000</v>
      </c>
      <c r="H160">
        <v>6.9</v>
      </c>
      <c r="I160" t="s">
        <v>34</v>
      </c>
      <c r="J160" t="s">
        <v>15</v>
      </c>
      <c r="K160" t="s">
        <v>83</v>
      </c>
    </row>
    <row r="161" spans="1:14" x14ac:dyDescent="0.25">
      <c r="A161" t="s">
        <v>332</v>
      </c>
      <c r="B161">
        <v>154</v>
      </c>
      <c r="C161">
        <v>85200000</v>
      </c>
      <c r="D161" t="s">
        <v>333</v>
      </c>
      <c r="E161" t="s">
        <v>13</v>
      </c>
      <c r="F161" t="s">
        <v>14</v>
      </c>
      <c r="G161">
        <v>18500000</v>
      </c>
      <c r="H161">
        <v>8.4</v>
      </c>
      <c r="I161" t="s">
        <v>34</v>
      </c>
      <c r="J161" t="s">
        <v>28</v>
      </c>
      <c r="K161" t="s">
        <v>37</v>
      </c>
    </row>
    <row r="162" spans="1:14" x14ac:dyDescent="0.25">
      <c r="A162" t="s">
        <v>334</v>
      </c>
      <c r="B162">
        <v>98</v>
      </c>
      <c r="C162">
        <v>84749884</v>
      </c>
      <c r="D162" t="s">
        <v>335</v>
      </c>
      <c r="E162" t="s">
        <v>13</v>
      </c>
      <c r="F162" t="s">
        <v>14</v>
      </c>
      <c r="G162">
        <v>3000000</v>
      </c>
      <c r="H162">
        <v>5.7</v>
      </c>
      <c r="I162" t="s">
        <v>22</v>
      </c>
    </row>
    <row r="163" spans="1:14" x14ac:dyDescent="0.25">
      <c r="A163" t="s">
        <v>336</v>
      </c>
      <c r="B163">
        <v>100</v>
      </c>
      <c r="C163">
        <v>84518155</v>
      </c>
      <c r="D163" t="s">
        <v>337</v>
      </c>
      <c r="E163" t="s">
        <v>13</v>
      </c>
      <c r="F163" t="s">
        <v>14</v>
      </c>
      <c r="G163">
        <v>20000000</v>
      </c>
      <c r="H163">
        <v>4.9000000000000004</v>
      </c>
      <c r="I163" t="s">
        <v>15</v>
      </c>
    </row>
    <row r="164" spans="1:14" x14ac:dyDescent="0.25">
      <c r="A164" t="s">
        <v>338</v>
      </c>
      <c r="B164">
        <v>83</v>
      </c>
      <c r="C164">
        <v>84303558</v>
      </c>
      <c r="D164" t="s">
        <v>339</v>
      </c>
      <c r="E164" t="s">
        <v>13</v>
      </c>
      <c r="F164" t="s">
        <v>14</v>
      </c>
      <c r="G164">
        <v>85000000</v>
      </c>
      <c r="H164">
        <v>6.2</v>
      </c>
      <c r="I164" t="s">
        <v>28</v>
      </c>
      <c r="J164" t="s">
        <v>46</v>
      </c>
      <c r="K164" t="s">
        <v>15</v>
      </c>
      <c r="L164" t="s">
        <v>16</v>
      </c>
    </row>
    <row r="165" spans="1:14" x14ac:dyDescent="0.25">
      <c r="A165" t="s">
        <v>340</v>
      </c>
      <c r="B165">
        <v>88</v>
      </c>
      <c r="C165">
        <v>84300000</v>
      </c>
      <c r="D165" t="s">
        <v>341</v>
      </c>
      <c r="E165" t="s">
        <v>13</v>
      </c>
      <c r="F165" t="s">
        <v>14</v>
      </c>
      <c r="G165">
        <v>2600000</v>
      </c>
      <c r="H165">
        <v>7.5</v>
      </c>
      <c r="I165" t="s">
        <v>46</v>
      </c>
      <c r="J165" t="s">
        <v>16</v>
      </c>
      <c r="K165" t="s">
        <v>17</v>
      </c>
      <c r="L165" t="s">
        <v>59</v>
      </c>
    </row>
    <row r="166" spans="1:14" x14ac:dyDescent="0.25">
      <c r="A166" t="s">
        <v>342</v>
      </c>
      <c r="B166">
        <v>99</v>
      </c>
      <c r="C166">
        <v>84263837</v>
      </c>
      <c r="D166" t="s">
        <v>343</v>
      </c>
      <c r="E166" t="s">
        <v>13</v>
      </c>
      <c r="F166" t="s">
        <v>14</v>
      </c>
      <c r="G166">
        <v>6500000</v>
      </c>
      <c r="H166">
        <v>5.4</v>
      </c>
      <c r="I166" t="s">
        <v>22</v>
      </c>
      <c r="J166" t="s">
        <v>23</v>
      </c>
    </row>
    <row r="167" spans="1:14" x14ac:dyDescent="0.25">
      <c r="A167" t="s">
        <v>344</v>
      </c>
      <c r="B167">
        <v>118</v>
      </c>
      <c r="C167">
        <v>84244877</v>
      </c>
      <c r="D167" t="s">
        <v>345</v>
      </c>
      <c r="E167" t="s">
        <v>13</v>
      </c>
      <c r="F167" t="s">
        <v>14</v>
      </c>
      <c r="G167">
        <v>50000000</v>
      </c>
      <c r="H167">
        <v>7.4</v>
      </c>
      <c r="I167" t="s">
        <v>15</v>
      </c>
      <c r="J167" t="s">
        <v>31</v>
      </c>
      <c r="K167" t="s">
        <v>19</v>
      </c>
    </row>
    <row r="168" spans="1:14" x14ac:dyDescent="0.25">
      <c r="A168" t="s">
        <v>216</v>
      </c>
      <c r="B168">
        <v>93</v>
      </c>
      <c r="C168">
        <v>84185387</v>
      </c>
      <c r="D168" t="s">
        <v>346</v>
      </c>
      <c r="E168" t="s">
        <v>13</v>
      </c>
      <c r="F168" t="s">
        <v>14</v>
      </c>
      <c r="G168">
        <v>80000000</v>
      </c>
      <c r="H168">
        <v>4.9000000000000004</v>
      </c>
      <c r="I168" t="s">
        <v>28</v>
      </c>
      <c r="J168" t="s">
        <v>15</v>
      </c>
      <c r="K168" t="s">
        <v>16</v>
      </c>
      <c r="L168" t="s">
        <v>17</v>
      </c>
      <c r="M168" t="s">
        <v>22</v>
      </c>
      <c r="N168" t="s">
        <v>23</v>
      </c>
    </row>
    <row r="169" spans="1:14" x14ac:dyDescent="0.25">
      <c r="A169" t="s">
        <v>168</v>
      </c>
      <c r="B169">
        <v>98</v>
      </c>
      <c r="C169">
        <v>84136909</v>
      </c>
      <c r="D169" t="s">
        <v>347</v>
      </c>
      <c r="E169" t="s">
        <v>13</v>
      </c>
      <c r="F169" t="s">
        <v>14</v>
      </c>
      <c r="G169">
        <v>26000000</v>
      </c>
      <c r="H169">
        <v>7.2</v>
      </c>
      <c r="I169" t="s">
        <v>15</v>
      </c>
    </row>
    <row r="170" spans="1:14" x14ac:dyDescent="0.25">
      <c r="A170" t="s">
        <v>348</v>
      </c>
      <c r="B170">
        <v>124</v>
      </c>
      <c r="C170">
        <v>84049211</v>
      </c>
      <c r="D170" t="s">
        <v>349</v>
      </c>
      <c r="E170" t="s">
        <v>13</v>
      </c>
      <c r="F170" t="s">
        <v>14</v>
      </c>
      <c r="G170">
        <v>70000000</v>
      </c>
      <c r="H170">
        <v>6.4</v>
      </c>
      <c r="I170" t="s">
        <v>34</v>
      </c>
      <c r="J170" t="s">
        <v>28</v>
      </c>
      <c r="K170" t="s">
        <v>24</v>
      </c>
    </row>
    <row r="171" spans="1:14" x14ac:dyDescent="0.25">
      <c r="A171" t="s">
        <v>350</v>
      </c>
      <c r="B171">
        <v>109</v>
      </c>
      <c r="C171">
        <v>83906114</v>
      </c>
      <c r="D171" t="s">
        <v>351</v>
      </c>
      <c r="E171" t="s">
        <v>13</v>
      </c>
      <c r="F171" t="s">
        <v>14</v>
      </c>
      <c r="G171">
        <v>40000000</v>
      </c>
      <c r="H171">
        <v>6</v>
      </c>
      <c r="I171" t="s">
        <v>15</v>
      </c>
      <c r="J171" t="s">
        <v>19</v>
      </c>
    </row>
    <row r="172" spans="1:14" x14ac:dyDescent="0.25">
      <c r="A172" t="s">
        <v>352</v>
      </c>
      <c r="B172">
        <v>121</v>
      </c>
      <c r="C172">
        <v>83892374</v>
      </c>
      <c r="D172" t="s">
        <v>353</v>
      </c>
      <c r="E172" t="s">
        <v>13</v>
      </c>
      <c r="F172" t="s">
        <v>14</v>
      </c>
      <c r="G172">
        <v>66000000</v>
      </c>
      <c r="H172">
        <v>7</v>
      </c>
      <c r="I172" t="s">
        <v>31</v>
      </c>
      <c r="J172" t="s">
        <v>23</v>
      </c>
      <c r="K172" t="s">
        <v>37</v>
      </c>
      <c r="L172" t="s">
        <v>24</v>
      </c>
    </row>
    <row r="173" spans="1:14" x14ac:dyDescent="0.25">
      <c r="A173" t="s">
        <v>354</v>
      </c>
      <c r="B173">
        <v>108</v>
      </c>
      <c r="C173">
        <v>83813460</v>
      </c>
      <c r="D173" t="s">
        <v>355</v>
      </c>
      <c r="E173" t="s">
        <v>13</v>
      </c>
      <c r="F173" t="s">
        <v>14</v>
      </c>
      <c r="G173">
        <v>25000000</v>
      </c>
      <c r="H173">
        <v>7.4</v>
      </c>
      <c r="I173" t="s">
        <v>31</v>
      </c>
      <c r="J173" t="s">
        <v>19</v>
      </c>
    </row>
    <row r="174" spans="1:14" x14ac:dyDescent="0.25">
      <c r="A174" t="s">
        <v>133</v>
      </c>
      <c r="B174">
        <v>106</v>
      </c>
      <c r="C174">
        <v>83574831</v>
      </c>
      <c r="D174" t="s">
        <v>356</v>
      </c>
      <c r="E174" t="s">
        <v>13</v>
      </c>
      <c r="F174" t="s">
        <v>14</v>
      </c>
      <c r="G174">
        <v>5000000</v>
      </c>
      <c r="H174">
        <v>6.6</v>
      </c>
      <c r="I174" t="s">
        <v>17</v>
      </c>
      <c r="J174" t="s">
        <v>22</v>
      </c>
      <c r="K174" t="s">
        <v>24</v>
      </c>
    </row>
    <row r="175" spans="1:14" x14ac:dyDescent="0.25">
      <c r="A175" t="s">
        <v>357</v>
      </c>
      <c r="B175">
        <v>116</v>
      </c>
      <c r="C175">
        <v>83552429</v>
      </c>
      <c r="D175" t="s">
        <v>358</v>
      </c>
      <c r="E175" t="s">
        <v>13</v>
      </c>
      <c r="F175" t="s">
        <v>14</v>
      </c>
      <c r="G175">
        <v>70000000</v>
      </c>
      <c r="H175">
        <v>5.8</v>
      </c>
      <c r="I175" t="s">
        <v>34</v>
      </c>
      <c r="J175" t="s">
        <v>37</v>
      </c>
    </row>
    <row r="176" spans="1:14" x14ac:dyDescent="0.25">
      <c r="A176" t="s">
        <v>359</v>
      </c>
      <c r="B176">
        <v>110</v>
      </c>
      <c r="C176">
        <v>83503161</v>
      </c>
      <c r="D176" t="s">
        <v>360</v>
      </c>
      <c r="E176" t="s">
        <v>13</v>
      </c>
      <c r="F176" t="s">
        <v>14</v>
      </c>
      <c r="G176">
        <v>75000000</v>
      </c>
      <c r="H176">
        <v>6.1</v>
      </c>
      <c r="I176" t="s">
        <v>34</v>
      </c>
      <c r="J176" t="s">
        <v>31</v>
      </c>
      <c r="K176" t="s">
        <v>17</v>
      </c>
      <c r="L176" t="s">
        <v>19</v>
      </c>
    </row>
    <row r="177" spans="1:13" x14ac:dyDescent="0.25">
      <c r="A177" t="s">
        <v>361</v>
      </c>
      <c r="B177">
        <v>88</v>
      </c>
      <c r="C177">
        <v>83400000</v>
      </c>
      <c r="D177" t="s">
        <v>362</v>
      </c>
      <c r="E177" t="s">
        <v>13</v>
      </c>
      <c r="F177" t="s">
        <v>14</v>
      </c>
      <c r="G177">
        <v>3500000</v>
      </c>
      <c r="H177">
        <v>7.8</v>
      </c>
      <c r="I177" t="s">
        <v>15</v>
      </c>
    </row>
    <row r="178" spans="1:13" x14ac:dyDescent="0.25">
      <c r="A178" t="s">
        <v>363</v>
      </c>
      <c r="B178">
        <v>125</v>
      </c>
      <c r="C178">
        <v>83299761</v>
      </c>
      <c r="D178" t="s">
        <v>364</v>
      </c>
      <c r="E178" t="s">
        <v>13</v>
      </c>
      <c r="F178" t="s">
        <v>14</v>
      </c>
      <c r="G178">
        <v>35000000</v>
      </c>
      <c r="H178">
        <v>7.5</v>
      </c>
      <c r="I178" t="s">
        <v>42</v>
      </c>
      <c r="J178" t="s">
        <v>15</v>
      </c>
      <c r="K178" t="s">
        <v>31</v>
      </c>
      <c r="L178" t="s">
        <v>64</v>
      </c>
      <c r="M178" t="s">
        <v>18</v>
      </c>
    </row>
    <row r="179" spans="1:13" x14ac:dyDescent="0.25">
      <c r="A179" t="s">
        <v>365</v>
      </c>
      <c r="B179">
        <v>117</v>
      </c>
      <c r="C179">
        <v>83287363</v>
      </c>
      <c r="D179" t="s">
        <v>366</v>
      </c>
      <c r="E179" t="s">
        <v>13</v>
      </c>
      <c r="F179" t="s">
        <v>14</v>
      </c>
      <c r="G179">
        <v>45000000</v>
      </c>
      <c r="H179">
        <v>6.9</v>
      </c>
      <c r="I179" t="s">
        <v>34</v>
      </c>
      <c r="J179" t="s">
        <v>24</v>
      </c>
    </row>
    <row r="180" spans="1:13" x14ac:dyDescent="0.25">
      <c r="A180" t="s">
        <v>367</v>
      </c>
      <c r="B180">
        <v>121</v>
      </c>
      <c r="C180">
        <v>83077470</v>
      </c>
      <c r="D180" t="s">
        <v>368</v>
      </c>
      <c r="E180" t="s">
        <v>13</v>
      </c>
      <c r="F180" t="s">
        <v>14</v>
      </c>
      <c r="G180">
        <v>75000000</v>
      </c>
      <c r="H180">
        <v>7.1</v>
      </c>
      <c r="I180" t="s">
        <v>31</v>
      </c>
      <c r="J180" t="s">
        <v>64</v>
      </c>
      <c r="K180" t="s">
        <v>24</v>
      </c>
      <c r="L180" t="s">
        <v>83</v>
      </c>
    </row>
    <row r="181" spans="1:13" x14ac:dyDescent="0.25">
      <c r="A181" t="s">
        <v>369</v>
      </c>
      <c r="B181">
        <v>134</v>
      </c>
      <c r="C181">
        <v>83025853</v>
      </c>
      <c r="D181" t="s">
        <v>370</v>
      </c>
      <c r="E181" t="s">
        <v>13</v>
      </c>
      <c r="F181" t="s">
        <v>14</v>
      </c>
      <c r="G181">
        <v>14000000</v>
      </c>
      <c r="H181">
        <v>7.7</v>
      </c>
      <c r="I181" t="s">
        <v>31</v>
      </c>
      <c r="J181" t="s">
        <v>19</v>
      </c>
    </row>
    <row r="182" spans="1:13" x14ac:dyDescent="0.25">
      <c r="A182" t="s">
        <v>371</v>
      </c>
      <c r="B182">
        <v>128</v>
      </c>
      <c r="C182">
        <v>83000000</v>
      </c>
      <c r="D182" t="s">
        <v>372</v>
      </c>
      <c r="E182" t="s">
        <v>13</v>
      </c>
      <c r="F182" t="s">
        <v>14</v>
      </c>
      <c r="G182">
        <v>55000000</v>
      </c>
      <c r="H182">
        <v>6</v>
      </c>
      <c r="I182" t="s">
        <v>31</v>
      </c>
      <c r="J182" t="s">
        <v>24</v>
      </c>
    </row>
    <row r="183" spans="1:13" x14ac:dyDescent="0.25">
      <c r="A183" t="s">
        <v>206</v>
      </c>
      <c r="B183">
        <v>101</v>
      </c>
      <c r="C183">
        <v>82931301</v>
      </c>
      <c r="D183" t="s">
        <v>373</v>
      </c>
      <c r="E183" t="s">
        <v>13</v>
      </c>
      <c r="F183" t="s">
        <v>241</v>
      </c>
      <c r="G183">
        <v>60000000</v>
      </c>
      <c r="H183">
        <v>5.5</v>
      </c>
      <c r="I183" t="s">
        <v>15</v>
      </c>
      <c r="J183" t="s">
        <v>19</v>
      </c>
    </row>
    <row r="184" spans="1:13" x14ac:dyDescent="0.25">
      <c r="A184" t="s">
        <v>256</v>
      </c>
      <c r="B184">
        <v>107</v>
      </c>
      <c r="C184">
        <v>82670733</v>
      </c>
      <c r="D184" t="s">
        <v>374</v>
      </c>
      <c r="E184" t="s">
        <v>13</v>
      </c>
      <c r="F184" t="s">
        <v>14</v>
      </c>
      <c r="G184">
        <v>60000000</v>
      </c>
      <c r="H184">
        <v>5.9</v>
      </c>
      <c r="I184" t="s">
        <v>34</v>
      </c>
      <c r="J184" t="s">
        <v>31</v>
      </c>
      <c r="K184" t="s">
        <v>41</v>
      </c>
    </row>
    <row r="185" spans="1:13" x14ac:dyDescent="0.25">
      <c r="A185" t="s">
        <v>375</v>
      </c>
      <c r="B185">
        <v>115</v>
      </c>
      <c r="C185">
        <v>82624961</v>
      </c>
      <c r="D185" t="s">
        <v>376</v>
      </c>
      <c r="E185" t="s">
        <v>13</v>
      </c>
      <c r="F185" t="s">
        <v>14</v>
      </c>
      <c r="G185">
        <v>20000000</v>
      </c>
      <c r="H185">
        <v>7.3</v>
      </c>
      <c r="I185" t="s">
        <v>15</v>
      </c>
      <c r="J185" t="s">
        <v>31</v>
      </c>
    </row>
    <row r="186" spans="1:13" x14ac:dyDescent="0.25">
      <c r="A186" t="s">
        <v>32</v>
      </c>
      <c r="B186">
        <v>94</v>
      </c>
      <c r="C186">
        <v>82569532</v>
      </c>
      <c r="D186" t="s">
        <v>377</v>
      </c>
      <c r="E186" t="s">
        <v>13</v>
      </c>
      <c r="F186" t="s">
        <v>14</v>
      </c>
      <c r="G186">
        <v>60000000</v>
      </c>
      <c r="H186">
        <v>5.4</v>
      </c>
      <c r="I186" t="s">
        <v>28</v>
      </c>
      <c r="J186" t="s">
        <v>15</v>
      </c>
      <c r="K186" t="s">
        <v>16</v>
      </c>
    </row>
    <row r="187" spans="1:13" x14ac:dyDescent="0.25">
      <c r="A187" t="s">
        <v>378</v>
      </c>
      <c r="B187">
        <v>143</v>
      </c>
      <c r="C187">
        <v>82528097</v>
      </c>
      <c r="D187" t="s">
        <v>379</v>
      </c>
      <c r="E187" t="s">
        <v>13</v>
      </c>
      <c r="F187" t="s">
        <v>14</v>
      </c>
      <c r="G187">
        <v>6500000</v>
      </c>
      <c r="H187">
        <v>7.3</v>
      </c>
      <c r="I187" t="s">
        <v>31</v>
      </c>
      <c r="J187" t="s">
        <v>18</v>
      </c>
    </row>
    <row r="188" spans="1:13" x14ac:dyDescent="0.25">
      <c r="A188" t="s">
        <v>380</v>
      </c>
      <c r="B188">
        <v>155</v>
      </c>
      <c r="C188">
        <v>82522790</v>
      </c>
      <c r="D188" t="s">
        <v>381</v>
      </c>
      <c r="E188" t="s">
        <v>13</v>
      </c>
      <c r="F188" t="s">
        <v>14</v>
      </c>
      <c r="G188">
        <v>40000000</v>
      </c>
      <c r="H188">
        <v>7.5</v>
      </c>
      <c r="I188" t="s">
        <v>17</v>
      </c>
      <c r="J188" t="s">
        <v>22</v>
      </c>
      <c r="K188" t="s">
        <v>19</v>
      </c>
    </row>
    <row r="189" spans="1:13" x14ac:dyDescent="0.25">
      <c r="A189" t="s">
        <v>382</v>
      </c>
      <c r="B189">
        <v>97</v>
      </c>
      <c r="C189">
        <v>82506325</v>
      </c>
      <c r="D189" t="s">
        <v>383</v>
      </c>
      <c r="E189" t="s">
        <v>13</v>
      </c>
      <c r="F189" t="s">
        <v>14</v>
      </c>
      <c r="G189">
        <v>39751583.5</v>
      </c>
      <c r="H189">
        <v>6.4</v>
      </c>
      <c r="I189" t="s">
        <v>15</v>
      </c>
      <c r="J189" t="s">
        <v>16</v>
      </c>
      <c r="K189" t="s">
        <v>17</v>
      </c>
    </row>
    <row r="190" spans="1:13" x14ac:dyDescent="0.25">
      <c r="A190" t="s">
        <v>384</v>
      </c>
      <c r="B190">
        <v>104</v>
      </c>
      <c r="C190">
        <v>82389560</v>
      </c>
      <c r="D190" t="s">
        <v>385</v>
      </c>
      <c r="E190" t="s">
        <v>13</v>
      </c>
      <c r="F190" t="s">
        <v>14</v>
      </c>
      <c r="G190">
        <v>17000000</v>
      </c>
      <c r="H190">
        <v>6.5</v>
      </c>
      <c r="I190" t="s">
        <v>15</v>
      </c>
    </row>
    <row r="191" spans="1:13" x14ac:dyDescent="0.25">
      <c r="A191" t="s">
        <v>386</v>
      </c>
      <c r="B191">
        <v>95</v>
      </c>
      <c r="C191">
        <v>82301521</v>
      </c>
      <c r="D191" t="s">
        <v>387</v>
      </c>
      <c r="E191" t="s">
        <v>13</v>
      </c>
      <c r="F191" t="s">
        <v>14</v>
      </c>
      <c r="G191">
        <v>32000000</v>
      </c>
      <c r="H191">
        <v>4.5999999999999996</v>
      </c>
      <c r="I191" t="s">
        <v>28</v>
      </c>
      <c r="J191" t="s">
        <v>15</v>
      </c>
      <c r="K191" t="s">
        <v>16</v>
      </c>
      <c r="L191" t="s">
        <v>19</v>
      </c>
    </row>
    <row r="192" spans="1:13" x14ac:dyDescent="0.25">
      <c r="A192" t="s">
        <v>388</v>
      </c>
      <c r="B192">
        <v>143</v>
      </c>
      <c r="C192">
        <v>82300000</v>
      </c>
      <c r="D192" t="s">
        <v>389</v>
      </c>
      <c r="E192" t="s">
        <v>13</v>
      </c>
      <c r="F192" t="s">
        <v>14</v>
      </c>
      <c r="G192">
        <v>35000000</v>
      </c>
      <c r="H192">
        <v>6.4</v>
      </c>
      <c r="I192" t="s">
        <v>28</v>
      </c>
      <c r="J192" t="s">
        <v>23</v>
      </c>
      <c r="K192" t="s">
        <v>37</v>
      </c>
    </row>
    <row r="193" spans="1:14" x14ac:dyDescent="0.25">
      <c r="A193" t="s">
        <v>390</v>
      </c>
      <c r="B193">
        <v>96</v>
      </c>
      <c r="C193">
        <v>82234139</v>
      </c>
      <c r="D193" t="s">
        <v>391</v>
      </c>
      <c r="E193" t="s">
        <v>13</v>
      </c>
      <c r="F193" t="s">
        <v>14</v>
      </c>
      <c r="G193">
        <v>17000000</v>
      </c>
      <c r="H193">
        <v>7.2</v>
      </c>
      <c r="I193" t="s">
        <v>28</v>
      </c>
      <c r="J193" t="s">
        <v>31</v>
      </c>
      <c r="K193" t="s">
        <v>16</v>
      </c>
      <c r="L193" t="s">
        <v>17</v>
      </c>
    </row>
    <row r="194" spans="1:14" x14ac:dyDescent="0.25">
      <c r="A194" t="s">
        <v>187</v>
      </c>
      <c r="B194">
        <v>93</v>
      </c>
      <c r="C194">
        <v>82226474</v>
      </c>
      <c r="D194" t="s">
        <v>392</v>
      </c>
      <c r="E194" t="s">
        <v>13</v>
      </c>
      <c r="F194" t="s">
        <v>14</v>
      </c>
      <c r="G194">
        <v>65000000</v>
      </c>
      <c r="H194">
        <v>5.6</v>
      </c>
      <c r="I194" t="s">
        <v>28</v>
      </c>
      <c r="J194" t="s">
        <v>15</v>
      </c>
      <c r="K194" t="s">
        <v>38</v>
      </c>
      <c r="L194" t="s">
        <v>16</v>
      </c>
      <c r="M194" t="s">
        <v>23</v>
      </c>
    </row>
    <row r="195" spans="1:14" x14ac:dyDescent="0.25">
      <c r="A195" t="s">
        <v>393</v>
      </c>
      <c r="B195">
        <v>97</v>
      </c>
      <c r="C195">
        <v>82163317</v>
      </c>
      <c r="D195" t="s">
        <v>394</v>
      </c>
      <c r="E195" t="s">
        <v>13</v>
      </c>
      <c r="F195" t="s">
        <v>14</v>
      </c>
      <c r="G195">
        <v>30000000</v>
      </c>
      <c r="H195">
        <v>5.8</v>
      </c>
      <c r="I195" t="s">
        <v>34</v>
      </c>
      <c r="J195" t="s">
        <v>22</v>
      </c>
      <c r="K195" t="s">
        <v>24</v>
      </c>
    </row>
    <row r="196" spans="1:14" x14ac:dyDescent="0.25">
      <c r="A196" t="s">
        <v>131</v>
      </c>
      <c r="B196">
        <v>132</v>
      </c>
      <c r="C196">
        <v>81687587</v>
      </c>
      <c r="D196" t="s">
        <v>395</v>
      </c>
      <c r="E196" t="s">
        <v>13</v>
      </c>
      <c r="F196" t="s">
        <v>14</v>
      </c>
      <c r="G196">
        <v>61000000</v>
      </c>
      <c r="H196">
        <v>6.4</v>
      </c>
      <c r="I196" t="s">
        <v>34</v>
      </c>
      <c r="J196" t="s">
        <v>37</v>
      </c>
      <c r="K196" t="s">
        <v>24</v>
      </c>
    </row>
    <row r="197" spans="1:14" x14ac:dyDescent="0.25">
      <c r="A197" t="s">
        <v>396</v>
      </c>
      <c r="B197">
        <v>117</v>
      </c>
      <c r="C197">
        <v>81645152</v>
      </c>
      <c r="D197" t="s">
        <v>397</v>
      </c>
      <c r="E197" t="s">
        <v>13</v>
      </c>
      <c r="F197" t="s">
        <v>14</v>
      </c>
      <c r="G197">
        <v>54000000</v>
      </c>
      <c r="H197">
        <v>6.7</v>
      </c>
      <c r="I197" t="s">
        <v>34</v>
      </c>
      <c r="J197" t="s">
        <v>22</v>
      </c>
      <c r="K197" t="s">
        <v>37</v>
      </c>
      <c r="L197" t="s">
        <v>24</v>
      </c>
    </row>
    <row r="198" spans="1:14" x14ac:dyDescent="0.25">
      <c r="A198" t="s">
        <v>398</v>
      </c>
      <c r="B198">
        <v>120</v>
      </c>
      <c r="C198">
        <v>81593527</v>
      </c>
      <c r="D198" t="s">
        <v>399</v>
      </c>
      <c r="E198" t="s">
        <v>13</v>
      </c>
      <c r="F198" t="s">
        <v>14</v>
      </c>
      <c r="G198">
        <v>40000000</v>
      </c>
      <c r="H198">
        <v>7.3</v>
      </c>
      <c r="I198" t="s">
        <v>28</v>
      </c>
      <c r="J198" t="s">
        <v>31</v>
      </c>
      <c r="K198" t="s">
        <v>16</v>
      </c>
    </row>
    <row r="199" spans="1:14" x14ac:dyDescent="0.25">
      <c r="A199" t="s">
        <v>208</v>
      </c>
      <c r="B199">
        <v>90</v>
      </c>
      <c r="C199">
        <v>81517441</v>
      </c>
      <c r="D199" t="s">
        <v>400</v>
      </c>
      <c r="E199" t="s">
        <v>13</v>
      </c>
      <c r="F199" t="s">
        <v>14</v>
      </c>
      <c r="G199">
        <v>50000000</v>
      </c>
      <c r="H199">
        <v>7.1</v>
      </c>
      <c r="I199" t="s">
        <v>34</v>
      </c>
      <c r="J199" t="s">
        <v>38</v>
      </c>
      <c r="K199" t="s">
        <v>31</v>
      </c>
      <c r="L199" t="s">
        <v>24</v>
      </c>
    </row>
    <row r="200" spans="1:14" x14ac:dyDescent="0.25">
      <c r="A200" t="s">
        <v>182</v>
      </c>
      <c r="B200">
        <v>131</v>
      </c>
      <c r="C200">
        <v>81350242</v>
      </c>
      <c r="D200" t="s">
        <v>401</v>
      </c>
      <c r="E200" t="s">
        <v>13</v>
      </c>
      <c r="F200" t="s">
        <v>14</v>
      </c>
      <c r="G200">
        <v>28000000</v>
      </c>
      <c r="H200">
        <v>8.1999999999999993</v>
      </c>
      <c r="I200" t="s">
        <v>34</v>
      </c>
      <c r="J200" t="s">
        <v>24</v>
      </c>
    </row>
    <row r="201" spans="1:14" x14ac:dyDescent="0.25">
      <c r="A201" t="s">
        <v>202</v>
      </c>
      <c r="B201">
        <v>139</v>
      </c>
      <c r="C201">
        <v>81292135</v>
      </c>
      <c r="D201" t="s">
        <v>402</v>
      </c>
      <c r="E201" t="s">
        <v>13</v>
      </c>
      <c r="F201" t="s">
        <v>14</v>
      </c>
      <c r="G201">
        <v>40000000</v>
      </c>
      <c r="H201">
        <v>7.3</v>
      </c>
      <c r="I201" t="s">
        <v>38</v>
      </c>
      <c r="J201" t="s">
        <v>31</v>
      </c>
      <c r="K201" t="s">
        <v>24</v>
      </c>
    </row>
    <row r="202" spans="1:14" x14ac:dyDescent="0.25">
      <c r="A202" t="s">
        <v>403</v>
      </c>
      <c r="B202">
        <v>108</v>
      </c>
      <c r="C202">
        <v>81257845</v>
      </c>
      <c r="D202" t="s">
        <v>404</v>
      </c>
      <c r="E202" t="s">
        <v>13</v>
      </c>
      <c r="F202" t="s">
        <v>14</v>
      </c>
      <c r="G202">
        <v>35000000</v>
      </c>
      <c r="H202">
        <v>7.1</v>
      </c>
      <c r="I202" t="s">
        <v>15</v>
      </c>
      <c r="J202" t="s">
        <v>18</v>
      </c>
    </row>
    <row r="203" spans="1:14" x14ac:dyDescent="0.25">
      <c r="A203" t="s">
        <v>405</v>
      </c>
      <c r="B203">
        <v>125</v>
      </c>
      <c r="C203">
        <v>81257500</v>
      </c>
      <c r="D203" t="s">
        <v>406</v>
      </c>
      <c r="E203" t="s">
        <v>13</v>
      </c>
      <c r="F203" t="s">
        <v>14</v>
      </c>
      <c r="G203">
        <v>68000000</v>
      </c>
      <c r="H203">
        <v>6.4</v>
      </c>
      <c r="I203" t="s">
        <v>15</v>
      </c>
    </row>
    <row r="204" spans="1:14" x14ac:dyDescent="0.25">
      <c r="A204" t="s">
        <v>99</v>
      </c>
      <c r="B204">
        <v>96</v>
      </c>
      <c r="C204">
        <v>81200000</v>
      </c>
      <c r="D204" t="s">
        <v>407</v>
      </c>
      <c r="E204" t="s">
        <v>13</v>
      </c>
      <c r="F204" t="s">
        <v>14</v>
      </c>
      <c r="G204">
        <v>4500000</v>
      </c>
      <c r="H204">
        <v>6.7</v>
      </c>
      <c r="I204" t="s">
        <v>15</v>
      </c>
    </row>
    <row r="205" spans="1:14" x14ac:dyDescent="0.25">
      <c r="A205" t="s">
        <v>206</v>
      </c>
      <c r="B205">
        <v>123</v>
      </c>
      <c r="C205">
        <v>81159365</v>
      </c>
      <c r="D205" t="s">
        <v>408</v>
      </c>
      <c r="E205" t="s">
        <v>13</v>
      </c>
      <c r="F205" t="s">
        <v>14</v>
      </c>
      <c r="G205">
        <v>35000000</v>
      </c>
      <c r="H205">
        <v>6.8</v>
      </c>
      <c r="I205" t="s">
        <v>38</v>
      </c>
      <c r="J205" t="s">
        <v>31</v>
      </c>
      <c r="K205" t="s">
        <v>24</v>
      </c>
    </row>
    <row r="206" spans="1:14" x14ac:dyDescent="0.25">
      <c r="A206" t="s">
        <v>386</v>
      </c>
      <c r="B206">
        <v>99</v>
      </c>
      <c r="C206">
        <v>81150692</v>
      </c>
      <c r="D206" t="s">
        <v>409</v>
      </c>
      <c r="E206" t="s">
        <v>13</v>
      </c>
      <c r="F206" t="s">
        <v>98</v>
      </c>
      <c r="G206">
        <v>35000000</v>
      </c>
      <c r="H206">
        <v>5.0999999999999996</v>
      </c>
      <c r="I206" t="s">
        <v>28</v>
      </c>
      <c r="J206" t="s">
        <v>15</v>
      </c>
      <c r="K206" t="s">
        <v>16</v>
      </c>
      <c r="L206" t="s">
        <v>41</v>
      </c>
    </row>
    <row r="207" spans="1:14" x14ac:dyDescent="0.25">
      <c r="A207" t="s">
        <v>398</v>
      </c>
      <c r="B207">
        <v>109</v>
      </c>
      <c r="C207">
        <v>81022333</v>
      </c>
      <c r="D207" t="s">
        <v>410</v>
      </c>
      <c r="E207" t="s">
        <v>13</v>
      </c>
      <c r="F207" t="s">
        <v>14</v>
      </c>
      <c r="G207">
        <v>50000000</v>
      </c>
      <c r="H207">
        <v>5</v>
      </c>
      <c r="I207" t="s">
        <v>34</v>
      </c>
      <c r="J207" t="s">
        <v>28</v>
      </c>
      <c r="K207" t="s">
        <v>23</v>
      </c>
      <c r="L207" t="s">
        <v>37</v>
      </c>
    </row>
    <row r="208" spans="1:14" x14ac:dyDescent="0.25">
      <c r="A208" t="s">
        <v>411</v>
      </c>
      <c r="B208">
        <v>82</v>
      </c>
      <c r="C208">
        <v>80920948</v>
      </c>
      <c r="D208" t="s">
        <v>412</v>
      </c>
      <c r="E208" t="s">
        <v>13</v>
      </c>
      <c r="F208" t="s">
        <v>14</v>
      </c>
      <c r="G208">
        <v>30000000</v>
      </c>
      <c r="H208">
        <v>6</v>
      </c>
      <c r="I208" t="s">
        <v>34</v>
      </c>
      <c r="J208" t="s">
        <v>28</v>
      </c>
      <c r="K208" t="s">
        <v>46</v>
      </c>
      <c r="L208" t="s">
        <v>15</v>
      </c>
      <c r="M208" t="s">
        <v>16</v>
      </c>
      <c r="N208" t="s">
        <v>37</v>
      </c>
    </row>
    <row r="209" spans="1:13" x14ac:dyDescent="0.25">
      <c r="A209" t="s">
        <v>413</v>
      </c>
      <c r="B209">
        <v>140</v>
      </c>
      <c r="C209">
        <v>80574010</v>
      </c>
      <c r="D209" t="s">
        <v>414</v>
      </c>
      <c r="E209" t="s">
        <v>13</v>
      </c>
      <c r="F209" t="s">
        <v>14</v>
      </c>
      <c r="G209">
        <v>60000000</v>
      </c>
      <c r="H209">
        <v>5.7</v>
      </c>
      <c r="I209" t="s">
        <v>31</v>
      </c>
      <c r="J209" t="s">
        <v>19</v>
      </c>
    </row>
    <row r="210" spans="1:13" x14ac:dyDescent="0.25">
      <c r="A210" t="s">
        <v>415</v>
      </c>
      <c r="B210">
        <v>102</v>
      </c>
      <c r="C210">
        <v>80360866</v>
      </c>
      <c r="D210" t="s">
        <v>416</v>
      </c>
      <c r="E210" t="s">
        <v>13</v>
      </c>
      <c r="F210" t="s">
        <v>14</v>
      </c>
      <c r="G210">
        <v>80000000</v>
      </c>
      <c r="H210">
        <v>5.2</v>
      </c>
      <c r="I210" t="s">
        <v>15</v>
      </c>
      <c r="J210" t="s">
        <v>16</v>
      </c>
      <c r="K210" t="s">
        <v>19</v>
      </c>
    </row>
    <row r="211" spans="1:13" x14ac:dyDescent="0.25">
      <c r="A211" t="s">
        <v>417</v>
      </c>
      <c r="B211">
        <v>109</v>
      </c>
      <c r="C211">
        <v>80281096</v>
      </c>
      <c r="D211" t="s">
        <v>418</v>
      </c>
      <c r="E211" t="s">
        <v>13</v>
      </c>
      <c r="F211" t="s">
        <v>14</v>
      </c>
      <c r="G211">
        <v>60000000</v>
      </c>
      <c r="H211">
        <v>5.6</v>
      </c>
      <c r="I211" t="s">
        <v>34</v>
      </c>
      <c r="J211" t="s">
        <v>22</v>
      </c>
      <c r="K211" t="s">
        <v>37</v>
      </c>
      <c r="L211" t="s">
        <v>24</v>
      </c>
    </row>
    <row r="212" spans="1:13" x14ac:dyDescent="0.25">
      <c r="A212" t="s">
        <v>419</v>
      </c>
      <c r="B212">
        <v>101</v>
      </c>
      <c r="C212">
        <v>80276912</v>
      </c>
      <c r="D212" t="s">
        <v>420</v>
      </c>
      <c r="E212" t="s">
        <v>13</v>
      </c>
      <c r="F212" t="s">
        <v>14</v>
      </c>
      <c r="G212">
        <v>35000000</v>
      </c>
      <c r="H212">
        <v>6.1</v>
      </c>
      <c r="I212" t="s">
        <v>15</v>
      </c>
      <c r="J212" t="s">
        <v>19</v>
      </c>
    </row>
    <row r="213" spans="1:13" x14ac:dyDescent="0.25">
      <c r="A213" t="s">
        <v>421</v>
      </c>
      <c r="B213">
        <v>107</v>
      </c>
      <c r="C213">
        <v>80270227</v>
      </c>
      <c r="D213" t="s">
        <v>422</v>
      </c>
      <c r="E213" t="s">
        <v>13</v>
      </c>
      <c r="F213" t="s">
        <v>14</v>
      </c>
      <c r="G213">
        <v>50000000</v>
      </c>
      <c r="H213">
        <v>5.0999999999999996</v>
      </c>
      <c r="I213" t="s">
        <v>34</v>
      </c>
      <c r="J213" t="s">
        <v>28</v>
      </c>
      <c r="K213" t="s">
        <v>15</v>
      </c>
    </row>
    <row r="214" spans="1:13" x14ac:dyDescent="0.25">
      <c r="A214" t="s">
        <v>423</v>
      </c>
      <c r="B214">
        <v>92</v>
      </c>
      <c r="C214">
        <v>80197993</v>
      </c>
      <c r="D214" t="s">
        <v>424</v>
      </c>
      <c r="E214" t="s">
        <v>13</v>
      </c>
      <c r="F214" t="s">
        <v>241</v>
      </c>
      <c r="G214">
        <v>32000000</v>
      </c>
      <c r="H214">
        <v>5.7</v>
      </c>
      <c r="I214" t="s">
        <v>15</v>
      </c>
      <c r="J214" t="s">
        <v>16</v>
      </c>
      <c r="K214" t="s">
        <v>41</v>
      </c>
    </row>
    <row r="215" spans="1:13" x14ac:dyDescent="0.25">
      <c r="A215" t="s">
        <v>425</v>
      </c>
      <c r="B215">
        <v>88</v>
      </c>
      <c r="C215">
        <v>80170146</v>
      </c>
      <c r="D215" t="s">
        <v>426</v>
      </c>
      <c r="E215" t="s">
        <v>13</v>
      </c>
      <c r="F215" t="s">
        <v>14</v>
      </c>
      <c r="G215">
        <v>85000000</v>
      </c>
      <c r="H215">
        <v>6.1</v>
      </c>
      <c r="I215" t="s">
        <v>34</v>
      </c>
      <c r="J215" t="s">
        <v>28</v>
      </c>
      <c r="K215" t="s">
        <v>37</v>
      </c>
      <c r="L215" t="s">
        <v>24</v>
      </c>
    </row>
    <row r="216" spans="1:13" x14ac:dyDescent="0.25">
      <c r="A216" t="s">
        <v>314</v>
      </c>
      <c r="B216">
        <v>121</v>
      </c>
      <c r="C216">
        <v>80150343</v>
      </c>
      <c r="D216" t="s">
        <v>427</v>
      </c>
      <c r="E216" t="s">
        <v>13</v>
      </c>
      <c r="F216" t="s">
        <v>14</v>
      </c>
      <c r="G216">
        <v>10000000</v>
      </c>
      <c r="H216">
        <v>6.2</v>
      </c>
      <c r="I216" t="s">
        <v>22</v>
      </c>
      <c r="J216" t="s">
        <v>23</v>
      </c>
    </row>
    <row r="217" spans="1:13" x14ac:dyDescent="0.25">
      <c r="A217" t="s">
        <v>156</v>
      </c>
      <c r="B217">
        <v>105</v>
      </c>
      <c r="C217">
        <v>80050171</v>
      </c>
      <c r="D217" t="s">
        <v>428</v>
      </c>
      <c r="E217" t="s">
        <v>13</v>
      </c>
      <c r="F217" t="s">
        <v>14</v>
      </c>
      <c r="G217">
        <v>20000000</v>
      </c>
      <c r="H217">
        <v>6.9</v>
      </c>
      <c r="I217" t="s">
        <v>31</v>
      </c>
      <c r="J217" t="s">
        <v>23</v>
      </c>
      <c r="K217" t="s">
        <v>24</v>
      </c>
    </row>
    <row r="218" spans="1:13" x14ac:dyDescent="0.25">
      <c r="A218" t="s">
        <v>156</v>
      </c>
      <c r="B218">
        <v>105</v>
      </c>
      <c r="C218">
        <v>80050171</v>
      </c>
      <c r="D218" t="s">
        <v>428</v>
      </c>
      <c r="E218" t="s">
        <v>13</v>
      </c>
      <c r="F218" t="s">
        <v>14</v>
      </c>
      <c r="G218">
        <v>20000000</v>
      </c>
      <c r="H218">
        <v>6.9</v>
      </c>
      <c r="I218" t="s">
        <v>31</v>
      </c>
      <c r="J218" t="s">
        <v>23</v>
      </c>
      <c r="K218" t="s">
        <v>24</v>
      </c>
    </row>
    <row r="219" spans="1:13" x14ac:dyDescent="0.25">
      <c r="A219" t="s">
        <v>429</v>
      </c>
      <c r="B219">
        <v>85</v>
      </c>
      <c r="C219">
        <v>80034302</v>
      </c>
      <c r="D219" t="s">
        <v>430</v>
      </c>
      <c r="E219" t="s">
        <v>13</v>
      </c>
      <c r="F219" t="s">
        <v>14</v>
      </c>
      <c r="G219">
        <v>25000000</v>
      </c>
      <c r="H219">
        <v>7</v>
      </c>
      <c r="I219" t="s">
        <v>34</v>
      </c>
      <c r="J219" t="s">
        <v>28</v>
      </c>
      <c r="K219" t="s">
        <v>22</v>
      </c>
      <c r="L219" t="s">
        <v>37</v>
      </c>
    </row>
    <row r="220" spans="1:13" x14ac:dyDescent="0.25">
      <c r="A220" t="s">
        <v>431</v>
      </c>
      <c r="B220">
        <v>130</v>
      </c>
      <c r="C220">
        <v>80033643</v>
      </c>
      <c r="D220" t="s">
        <v>432</v>
      </c>
      <c r="E220" t="s">
        <v>13</v>
      </c>
      <c r="F220" t="s">
        <v>14</v>
      </c>
      <c r="G220">
        <v>60000000</v>
      </c>
      <c r="H220">
        <v>7</v>
      </c>
      <c r="I220" t="s">
        <v>34</v>
      </c>
      <c r="J220" t="s">
        <v>38</v>
      </c>
      <c r="K220" t="s">
        <v>23</v>
      </c>
      <c r="L220" t="s">
        <v>24</v>
      </c>
    </row>
    <row r="221" spans="1:13" x14ac:dyDescent="0.25">
      <c r="A221" t="s">
        <v>431</v>
      </c>
      <c r="B221">
        <v>130</v>
      </c>
      <c r="C221">
        <v>80033643</v>
      </c>
      <c r="D221" t="s">
        <v>432</v>
      </c>
      <c r="E221" t="s">
        <v>13</v>
      </c>
      <c r="F221" t="s">
        <v>14</v>
      </c>
      <c r="G221">
        <v>60000000</v>
      </c>
      <c r="H221">
        <v>7</v>
      </c>
      <c r="I221" t="s">
        <v>34</v>
      </c>
      <c r="J221" t="s">
        <v>38</v>
      </c>
      <c r="K221" t="s">
        <v>23</v>
      </c>
      <c r="L221" t="s">
        <v>24</v>
      </c>
    </row>
    <row r="222" spans="1:13" x14ac:dyDescent="0.25">
      <c r="A222" t="s">
        <v>433</v>
      </c>
      <c r="B222">
        <v>103</v>
      </c>
      <c r="C222">
        <v>80021740</v>
      </c>
      <c r="D222" t="s">
        <v>434</v>
      </c>
      <c r="E222" t="s">
        <v>13</v>
      </c>
      <c r="F222" t="s">
        <v>14</v>
      </c>
      <c r="G222">
        <v>58000000</v>
      </c>
      <c r="H222">
        <v>6.4</v>
      </c>
      <c r="I222" t="s">
        <v>28</v>
      </c>
      <c r="J222" t="s">
        <v>15</v>
      </c>
      <c r="K222" t="s">
        <v>16</v>
      </c>
      <c r="L222" t="s">
        <v>17</v>
      </c>
      <c r="M222" t="s">
        <v>22</v>
      </c>
    </row>
    <row r="223" spans="1:13" x14ac:dyDescent="0.25">
      <c r="A223" t="s">
        <v>433</v>
      </c>
      <c r="B223">
        <v>103</v>
      </c>
      <c r="C223">
        <v>80021740</v>
      </c>
      <c r="D223" t="s">
        <v>434</v>
      </c>
      <c r="E223" t="s">
        <v>13</v>
      </c>
      <c r="F223" t="s">
        <v>14</v>
      </c>
      <c r="G223">
        <v>58000000</v>
      </c>
      <c r="H223">
        <v>6.4</v>
      </c>
      <c r="I223" t="s">
        <v>28</v>
      </c>
      <c r="J223" t="s">
        <v>15</v>
      </c>
      <c r="K223" t="s">
        <v>16</v>
      </c>
      <c r="L223" t="s">
        <v>17</v>
      </c>
      <c r="M223" t="s">
        <v>22</v>
      </c>
    </row>
    <row r="224" spans="1:13" x14ac:dyDescent="0.25">
      <c r="A224" t="s">
        <v>435</v>
      </c>
      <c r="B224">
        <v>108</v>
      </c>
      <c r="C224">
        <v>80014842</v>
      </c>
      <c r="D224" t="s">
        <v>436</v>
      </c>
      <c r="E224" t="s">
        <v>13</v>
      </c>
      <c r="F224" t="s">
        <v>14</v>
      </c>
      <c r="G224">
        <v>25000000</v>
      </c>
      <c r="H224">
        <v>6.3</v>
      </c>
      <c r="I224" t="s">
        <v>31</v>
      </c>
      <c r="J224" t="s">
        <v>19</v>
      </c>
      <c r="K224" t="s">
        <v>83</v>
      </c>
    </row>
    <row r="225" spans="1:13" x14ac:dyDescent="0.25">
      <c r="A225" t="s">
        <v>437</v>
      </c>
      <c r="B225">
        <v>107</v>
      </c>
      <c r="C225">
        <v>80000000</v>
      </c>
      <c r="D225" t="s">
        <v>438</v>
      </c>
      <c r="E225" t="s">
        <v>13</v>
      </c>
      <c r="F225" t="s">
        <v>14</v>
      </c>
      <c r="G225">
        <v>8200000</v>
      </c>
      <c r="H225">
        <v>6.5</v>
      </c>
      <c r="I225" t="s">
        <v>31</v>
      </c>
      <c r="J225" t="s">
        <v>18</v>
      </c>
      <c r="K225" t="s">
        <v>19</v>
      </c>
    </row>
    <row r="226" spans="1:13" x14ac:dyDescent="0.25">
      <c r="A226" t="s">
        <v>439</v>
      </c>
      <c r="B226">
        <v>121</v>
      </c>
      <c r="C226">
        <v>79948113</v>
      </c>
      <c r="D226" t="s">
        <v>440</v>
      </c>
      <c r="E226" t="s">
        <v>13</v>
      </c>
      <c r="F226" t="s">
        <v>14</v>
      </c>
      <c r="G226">
        <v>50000000</v>
      </c>
      <c r="H226">
        <v>6.2</v>
      </c>
      <c r="I226" t="s">
        <v>31</v>
      </c>
      <c r="J226" t="s">
        <v>23</v>
      </c>
      <c r="K226" t="s">
        <v>37</v>
      </c>
      <c r="L226" t="s">
        <v>24</v>
      </c>
    </row>
    <row r="227" spans="1:13" x14ac:dyDescent="0.25">
      <c r="A227" t="s">
        <v>441</v>
      </c>
      <c r="B227">
        <v>124</v>
      </c>
      <c r="C227">
        <v>79900000</v>
      </c>
      <c r="D227" t="s">
        <v>442</v>
      </c>
      <c r="E227" t="s">
        <v>13</v>
      </c>
      <c r="F227" t="s">
        <v>14</v>
      </c>
      <c r="G227">
        <v>39751583.5</v>
      </c>
      <c r="H227">
        <v>7.5</v>
      </c>
      <c r="I227" t="s">
        <v>42</v>
      </c>
      <c r="J227" t="s">
        <v>31</v>
      </c>
      <c r="K227" t="s">
        <v>18</v>
      </c>
      <c r="L227" t="s">
        <v>59</v>
      </c>
    </row>
    <row r="228" spans="1:13" x14ac:dyDescent="0.25">
      <c r="A228" t="s">
        <v>196</v>
      </c>
      <c r="B228">
        <v>146</v>
      </c>
      <c r="C228">
        <v>79883359</v>
      </c>
      <c r="D228" t="s">
        <v>443</v>
      </c>
      <c r="E228" t="s">
        <v>13</v>
      </c>
      <c r="F228" t="s">
        <v>14</v>
      </c>
      <c r="G228">
        <v>66000000</v>
      </c>
      <c r="H228">
        <v>7.2</v>
      </c>
      <c r="I228" t="s">
        <v>31</v>
      </c>
      <c r="J228" t="s">
        <v>83</v>
      </c>
    </row>
    <row r="229" spans="1:13" x14ac:dyDescent="0.25">
      <c r="A229" t="s">
        <v>444</v>
      </c>
      <c r="B229">
        <v>94</v>
      </c>
      <c r="C229">
        <v>79817937</v>
      </c>
      <c r="D229" t="s">
        <v>445</v>
      </c>
      <c r="E229" t="s">
        <v>13</v>
      </c>
      <c r="F229" t="s">
        <v>14</v>
      </c>
      <c r="G229">
        <v>25000000</v>
      </c>
      <c r="H229">
        <v>5.9</v>
      </c>
      <c r="I229" t="s">
        <v>34</v>
      </c>
      <c r="J229" t="s">
        <v>28</v>
      </c>
      <c r="K229" t="s">
        <v>15</v>
      </c>
      <c r="L229" t="s">
        <v>17</v>
      </c>
      <c r="M229" t="s">
        <v>23</v>
      </c>
    </row>
    <row r="230" spans="1:13" x14ac:dyDescent="0.25">
      <c r="A230" t="s">
        <v>446</v>
      </c>
      <c r="B230">
        <v>114</v>
      </c>
      <c r="C230">
        <v>79568000</v>
      </c>
      <c r="D230" t="s">
        <v>447</v>
      </c>
      <c r="E230" t="s">
        <v>13</v>
      </c>
      <c r="F230" t="s">
        <v>14</v>
      </c>
      <c r="G230">
        <v>12000000</v>
      </c>
      <c r="H230">
        <v>7.1</v>
      </c>
      <c r="I230" t="s">
        <v>37</v>
      </c>
      <c r="J230" t="s">
        <v>24</v>
      </c>
    </row>
    <row r="231" spans="1:13" x14ac:dyDescent="0.25">
      <c r="A231" t="s">
        <v>448</v>
      </c>
      <c r="B231">
        <v>102</v>
      </c>
      <c r="C231">
        <v>79566871</v>
      </c>
      <c r="D231" t="s">
        <v>449</v>
      </c>
      <c r="E231" t="s">
        <v>13</v>
      </c>
      <c r="F231" t="s">
        <v>14</v>
      </c>
      <c r="G231">
        <v>30000000</v>
      </c>
      <c r="H231">
        <v>4.2</v>
      </c>
      <c r="I231" t="s">
        <v>15</v>
      </c>
      <c r="J231" t="s">
        <v>31</v>
      </c>
      <c r="K231" t="s">
        <v>16</v>
      </c>
      <c r="L231" t="s">
        <v>18</v>
      </c>
      <c r="M231" t="s">
        <v>19</v>
      </c>
    </row>
    <row r="232" spans="1:13" x14ac:dyDescent="0.25">
      <c r="A232" t="s">
        <v>450</v>
      </c>
      <c r="B232">
        <v>104</v>
      </c>
      <c r="C232">
        <v>79363785</v>
      </c>
      <c r="D232" t="s">
        <v>451</v>
      </c>
      <c r="E232" t="s">
        <v>13</v>
      </c>
      <c r="F232" t="s">
        <v>14</v>
      </c>
      <c r="G232">
        <v>80000000</v>
      </c>
      <c r="H232">
        <v>5.5</v>
      </c>
      <c r="I232" t="s">
        <v>31</v>
      </c>
      <c r="J232" t="s">
        <v>37</v>
      </c>
      <c r="K232" t="s">
        <v>24</v>
      </c>
    </row>
    <row r="233" spans="1:13" x14ac:dyDescent="0.25">
      <c r="A233" t="s">
        <v>450</v>
      </c>
      <c r="B233">
        <v>104</v>
      </c>
      <c r="C233">
        <v>79363785</v>
      </c>
      <c r="D233" t="s">
        <v>451</v>
      </c>
      <c r="E233" t="s">
        <v>13</v>
      </c>
      <c r="F233" t="s">
        <v>14</v>
      </c>
      <c r="G233">
        <v>80000000</v>
      </c>
      <c r="H233">
        <v>5.5</v>
      </c>
      <c r="I233" t="s">
        <v>31</v>
      </c>
      <c r="J233" t="s">
        <v>37</v>
      </c>
      <c r="K233" t="s">
        <v>24</v>
      </c>
    </row>
    <row r="234" spans="1:13" x14ac:dyDescent="0.25">
      <c r="A234" t="s">
        <v>452</v>
      </c>
      <c r="B234">
        <v>128</v>
      </c>
      <c r="C234">
        <v>79100000</v>
      </c>
      <c r="D234" t="s">
        <v>453</v>
      </c>
      <c r="E234" t="s">
        <v>13</v>
      </c>
      <c r="F234" t="s">
        <v>14</v>
      </c>
      <c r="G234">
        <v>35000000</v>
      </c>
      <c r="H234">
        <v>7.3</v>
      </c>
      <c r="I234" t="s">
        <v>38</v>
      </c>
      <c r="J234" t="s">
        <v>24</v>
      </c>
    </row>
    <row r="235" spans="1:13" x14ac:dyDescent="0.25">
      <c r="A235" t="s">
        <v>454</v>
      </c>
      <c r="B235">
        <v>116</v>
      </c>
      <c r="C235">
        <v>78900000</v>
      </c>
      <c r="D235" t="s">
        <v>455</v>
      </c>
      <c r="E235" t="s">
        <v>13</v>
      </c>
      <c r="F235" t="s">
        <v>14</v>
      </c>
      <c r="G235">
        <v>11000000</v>
      </c>
      <c r="H235">
        <v>7.7</v>
      </c>
      <c r="I235" t="s">
        <v>34</v>
      </c>
      <c r="J235" t="s">
        <v>28</v>
      </c>
      <c r="K235" t="s">
        <v>37</v>
      </c>
    </row>
    <row r="236" spans="1:13" x14ac:dyDescent="0.25">
      <c r="A236" t="s">
        <v>456</v>
      </c>
      <c r="B236">
        <v>116</v>
      </c>
      <c r="C236">
        <v>78900000</v>
      </c>
      <c r="D236" t="s">
        <v>457</v>
      </c>
      <c r="E236" t="s">
        <v>13</v>
      </c>
      <c r="F236" t="s">
        <v>82</v>
      </c>
      <c r="G236">
        <v>11000000</v>
      </c>
      <c r="H236">
        <v>8.5</v>
      </c>
      <c r="I236" t="s">
        <v>22</v>
      </c>
      <c r="J236" t="s">
        <v>37</v>
      </c>
    </row>
    <row r="237" spans="1:13" x14ac:dyDescent="0.25">
      <c r="A237" t="s">
        <v>458</v>
      </c>
      <c r="B237">
        <v>109</v>
      </c>
      <c r="C237">
        <v>78845130</v>
      </c>
      <c r="D237" t="s">
        <v>459</v>
      </c>
      <c r="E237" t="s">
        <v>13</v>
      </c>
      <c r="F237" t="s">
        <v>295</v>
      </c>
      <c r="G237">
        <v>10000000</v>
      </c>
      <c r="H237">
        <v>6.1</v>
      </c>
      <c r="I237" t="s">
        <v>34</v>
      </c>
      <c r="J237" t="s">
        <v>22</v>
      </c>
      <c r="K237" t="s">
        <v>37</v>
      </c>
      <c r="L237" t="s">
        <v>24</v>
      </c>
    </row>
    <row r="238" spans="1:13" x14ac:dyDescent="0.25">
      <c r="A238" t="s">
        <v>380</v>
      </c>
      <c r="B238">
        <v>289</v>
      </c>
      <c r="C238">
        <v>78800000</v>
      </c>
      <c r="D238" t="s">
        <v>460</v>
      </c>
      <c r="E238" t="s">
        <v>13</v>
      </c>
      <c r="F238" t="s">
        <v>14</v>
      </c>
      <c r="G238">
        <v>31500000</v>
      </c>
      <c r="H238">
        <v>8.5</v>
      </c>
      <c r="I238" t="s">
        <v>31</v>
      </c>
      <c r="J238" t="s">
        <v>83</v>
      </c>
    </row>
    <row r="239" spans="1:13" x14ac:dyDescent="0.25">
      <c r="A239" t="s">
        <v>264</v>
      </c>
      <c r="B239">
        <v>106</v>
      </c>
      <c r="C239">
        <v>78747585</v>
      </c>
      <c r="D239" t="s">
        <v>461</v>
      </c>
      <c r="E239" t="s">
        <v>13</v>
      </c>
      <c r="F239" t="s">
        <v>14</v>
      </c>
      <c r="G239">
        <v>88000000</v>
      </c>
      <c r="H239">
        <v>5.6</v>
      </c>
      <c r="I239" t="s">
        <v>34</v>
      </c>
      <c r="J239" t="s">
        <v>46</v>
      </c>
      <c r="K239" t="s">
        <v>15</v>
      </c>
      <c r="L239" t="s">
        <v>37</v>
      </c>
    </row>
    <row r="240" spans="1:13" x14ac:dyDescent="0.25">
      <c r="A240" t="s">
        <v>173</v>
      </c>
      <c r="B240">
        <v>114</v>
      </c>
      <c r="C240">
        <v>78745923</v>
      </c>
      <c r="D240" t="s">
        <v>462</v>
      </c>
      <c r="E240" t="s">
        <v>13</v>
      </c>
      <c r="F240" t="s">
        <v>241</v>
      </c>
      <c r="G240">
        <v>55000000</v>
      </c>
      <c r="H240">
        <v>6.7</v>
      </c>
      <c r="I240" t="s">
        <v>31</v>
      </c>
      <c r="J240" t="s">
        <v>17</v>
      </c>
      <c r="K240" t="s">
        <v>19</v>
      </c>
    </row>
    <row r="241" spans="1:13" x14ac:dyDescent="0.25">
      <c r="A241" t="s">
        <v>463</v>
      </c>
      <c r="B241">
        <v>88</v>
      </c>
      <c r="C241">
        <v>78656813</v>
      </c>
      <c r="D241" t="s">
        <v>464</v>
      </c>
      <c r="E241" t="s">
        <v>13</v>
      </c>
      <c r="F241" t="s">
        <v>14</v>
      </c>
      <c r="G241">
        <v>25000000</v>
      </c>
      <c r="H241">
        <v>6</v>
      </c>
      <c r="I241" t="s">
        <v>34</v>
      </c>
      <c r="J241" t="s">
        <v>28</v>
      </c>
      <c r="K241" t="s">
        <v>15</v>
      </c>
      <c r="L241" t="s">
        <v>16</v>
      </c>
      <c r="M241" t="s">
        <v>37</v>
      </c>
    </row>
    <row r="242" spans="1:13" x14ac:dyDescent="0.25">
      <c r="A242" t="s">
        <v>202</v>
      </c>
      <c r="B242">
        <v>162</v>
      </c>
      <c r="C242">
        <v>78651430</v>
      </c>
      <c r="D242" t="s">
        <v>465</v>
      </c>
      <c r="E242" t="s">
        <v>13</v>
      </c>
      <c r="F242" t="s">
        <v>14</v>
      </c>
      <c r="G242">
        <v>27000000</v>
      </c>
      <c r="H242">
        <v>7.4</v>
      </c>
      <c r="I242" t="s">
        <v>31</v>
      </c>
      <c r="J242" t="s">
        <v>19</v>
      </c>
      <c r="K242" t="s">
        <v>83</v>
      </c>
    </row>
    <row r="243" spans="1:13" x14ac:dyDescent="0.25">
      <c r="A243" t="s">
        <v>252</v>
      </c>
      <c r="B243">
        <v>124</v>
      </c>
      <c r="C243">
        <v>78120196</v>
      </c>
      <c r="D243" t="s">
        <v>466</v>
      </c>
      <c r="E243" t="s">
        <v>13</v>
      </c>
      <c r="F243" t="s">
        <v>14</v>
      </c>
      <c r="G243">
        <v>75000000</v>
      </c>
      <c r="H243">
        <v>7.1</v>
      </c>
      <c r="I243" t="s">
        <v>34</v>
      </c>
      <c r="J243" t="s">
        <v>31</v>
      </c>
      <c r="K243" t="s">
        <v>64</v>
      </c>
      <c r="L243" t="s">
        <v>83</v>
      </c>
    </row>
    <row r="244" spans="1:13" x14ac:dyDescent="0.25">
      <c r="A244" t="s">
        <v>467</v>
      </c>
      <c r="B244">
        <v>118</v>
      </c>
      <c r="C244">
        <v>78031620</v>
      </c>
      <c r="D244" t="s">
        <v>468</v>
      </c>
      <c r="E244" t="s">
        <v>13</v>
      </c>
      <c r="F244" t="s">
        <v>14</v>
      </c>
      <c r="G244">
        <v>70000000</v>
      </c>
      <c r="H244">
        <v>6.1</v>
      </c>
      <c r="I244" t="s">
        <v>31</v>
      </c>
      <c r="J244" t="s">
        <v>83</v>
      </c>
    </row>
    <row r="245" spans="1:13" x14ac:dyDescent="0.25">
      <c r="A245" t="s">
        <v>239</v>
      </c>
      <c r="B245">
        <v>104</v>
      </c>
      <c r="C245">
        <v>78009155</v>
      </c>
      <c r="D245" t="s">
        <v>469</v>
      </c>
      <c r="E245" t="s">
        <v>13</v>
      </c>
      <c r="F245" t="s">
        <v>14</v>
      </c>
      <c r="G245">
        <v>75000000</v>
      </c>
      <c r="H245">
        <v>6.2</v>
      </c>
      <c r="I245" t="s">
        <v>34</v>
      </c>
      <c r="J245" t="s">
        <v>15</v>
      </c>
      <c r="K245" t="s">
        <v>38</v>
      </c>
    </row>
    <row r="246" spans="1:13" x14ac:dyDescent="0.25">
      <c r="A246" t="s">
        <v>256</v>
      </c>
      <c r="B246">
        <v>146</v>
      </c>
      <c r="C246">
        <v>77862546</v>
      </c>
      <c r="D246" t="s">
        <v>470</v>
      </c>
      <c r="E246" t="s">
        <v>13</v>
      </c>
      <c r="F246" t="s">
        <v>14</v>
      </c>
      <c r="G246">
        <v>70000000</v>
      </c>
      <c r="H246">
        <v>7.7</v>
      </c>
      <c r="I246" t="s">
        <v>34</v>
      </c>
      <c r="J246" t="s">
        <v>38</v>
      </c>
      <c r="K246" t="s">
        <v>31</v>
      </c>
      <c r="L246" t="s">
        <v>24</v>
      </c>
    </row>
    <row r="247" spans="1:13" x14ac:dyDescent="0.25">
      <c r="A247" t="s">
        <v>471</v>
      </c>
      <c r="B247">
        <v>80</v>
      </c>
      <c r="C247">
        <v>77413017</v>
      </c>
      <c r="D247" t="s">
        <v>472</v>
      </c>
      <c r="E247" t="s">
        <v>473</v>
      </c>
      <c r="F247" t="s">
        <v>295</v>
      </c>
      <c r="G247">
        <v>8000000</v>
      </c>
      <c r="H247">
        <v>7.6</v>
      </c>
      <c r="I247" t="s">
        <v>52</v>
      </c>
    </row>
    <row r="248" spans="1:13" x14ac:dyDescent="0.25">
      <c r="A248" t="s">
        <v>474</v>
      </c>
      <c r="B248">
        <v>125</v>
      </c>
      <c r="C248">
        <v>77324422</v>
      </c>
      <c r="D248" t="s">
        <v>475</v>
      </c>
      <c r="E248" t="s">
        <v>13</v>
      </c>
      <c r="F248" t="s">
        <v>14</v>
      </c>
      <c r="G248">
        <v>26000000</v>
      </c>
      <c r="H248">
        <v>7.7</v>
      </c>
      <c r="I248" t="s">
        <v>31</v>
      </c>
    </row>
    <row r="249" spans="1:13" x14ac:dyDescent="0.25">
      <c r="A249" t="s">
        <v>270</v>
      </c>
      <c r="B249">
        <v>105</v>
      </c>
      <c r="C249">
        <v>77264926</v>
      </c>
      <c r="D249" t="s">
        <v>476</v>
      </c>
      <c r="E249" t="s">
        <v>13</v>
      </c>
      <c r="F249" t="s">
        <v>14</v>
      </c>
      <c r="G249">
        <v>25000000</v>
      </c>
      <c r="H249">
        <v>6.1</v>
      </c>
      <c r="I249" t="s">
        <v>15</v>
      </c>
      <c r="J249" t="s">
        <v>16</v>
      </c>
    </row>
    <row r="250" spans="1:13" x14ac:dyDescent="0.25">
      <c r="A250" t="s">
        <v>477</v>
      </c>
      <c r="B250">
        <v>116</v>
      </c>
      <c r="C250">
        <v>77086030</v>
      </c>
      <c r="D250" t="s">
        <v>478</v>
      </c>
      <c r="E250" t="s">
        <v>13</v>
      </c>
      <c r="F250" t="s">
        <v>295</v>
      </c>
      <c r="G250">
        <v>62000000</v>
      </c>
      <c r="H250">
        <v>6.6</v>
      </c>
      <c r="I250" t="s">
        <v>34</v>
      </c>
      <c r="J250" t="s">
        <v>83</v>
      </c>
    </row>
    <row r="251" spans="1:13" x14ac:dyDescent="0.25">
      <c r="A251" t="s">
        <v>196</v>
      </c>
      <c r="B251">
        <v>128</v>
      </c>
      <c r="C251">
        <v>77032279</v>
      </c>
      <c r="D251" t="s">
        <v>479</v>
      </c>
      <c r="E251" t="s">
        <v>13</v>
      </c>
      <c r="F251" t="s">
        <v>14</v>
      </c>
      <c r="G251">
        <v>60000000</v>
      </c>
      <c r="H251">
        <v>7.3</v>
      </c>
      <c r="I251" t="s">
        <v>15</v>
      </c>
      <c r="J251" t="s">
        <v>31</v>
      </c>
    </row>
    <row r="252" spans="1:13" x14ac:dyDescent="0.25">
      <c r="A252" t="s">
        <v>480</v>
      </c>
      <c r="B252">
        <v>111</v>
      </c>
      <c r="C252">
        <v>76806312</v>
      </c>
      <c r="D252" t="s">
        <v>481</v>
      </c>
      <c r="E252" t="s">
        <v>13</v>
      </c>
      <c r="F252" t="s">
        <v>14</v>
      </c>
      <c r="G252">
        <v>30000000</v>
      </c>
      <c r="H252">
        <v>6.1</v>
      </c>
      <c r="I252" t="s">
        <v>15</v>
      </c>
      <c r="J252" t="s">
        <v>19</v>
      </c>
    </row>
    <row r="253" spans="1:13" x14ac:dyDescent="0.25">
      <c r="A253" t="s">
        <v>482</v>
      </c>
      <c r="B253">
        <v>95</v>
      </c>
      <c r="C253">
        <v>76657000</v>
      </c>
      <c r="D253" t="s">
        <v>483</v>
      </c>
      <c r="E253" t="s">
        <v>13</v>
      </c>
      <c r="F253" t="s">
        <v>82</v>
      </c>
      <c r="G253">
        <v>39751583.5</v>
      </c>
      <c r="H253">
        <v>7.7</v>
      </c>
      <c r="I253" t="s">
        <v>28</v>
      </c>
      <c r="J253" t="s">
        <v>15</v>
      </c>
      <c r="K253" t="s">
        <v>16</v>
      </c>
      <c r="L253" t="s">
        <v>59</v>
      </c>
    </row>
    <row r="254" spans="1:13" x14ac:dyDescent="0.25">
      <c r="A254" t="s">
        <v>484</v>
      </c>
      <c r="B254">
        <v>120</v>
      </c>
      <c r="C254">
        <v>76600000</v>
      </c>
      <c r="D254" t="s">
        <v>485</v>
      </c>
      <c r="E254" t="s">
        <v>13</v>
      </c>
      <c r="F254" t="s">
        <v>14</v>
      </c>
      <c r="G254">
        <v>10700000</v>
      </c>
      <c r="H254">
        <v>7.4</v>
      </c>
      <c r="I254" t="s">
        <v>17</v>
      </c>
      <c r="J254" t="s">
        <v>22</v>
      </c>
    </row>
    <row r="255" spans="1:13" x14ac:dyDescent="0.25">
      <c r="A255" t="s">
        <v>484</v>
      </c>
      <c r="B255">
        <v>120</v>
      </c>
      <c r="C255">
        <v>76600000</v>
      </c>
      <c r="D255" t="s">
        <v>485</v>
      </c>
      <c r="E255" t="s">
        <v>13</v>
      </c>
      <c r="F255" t="s">
        <v>14</v>
      </c>
      <c r="G255">
        <v>10700000</v>
      </c>
      <c r="H255">
        <v>7.4</v>
      </c>
      <c r="I255" t="s">
        <v>17</v>
      </c>
      <c r="J255" t="s">
        <v>22</v>
      </c>
    </row>
    <row r="256" spans="1:13" x14ac:dyDescent="0.25">
      <c r="A256" t="s">
        <v>486</v>
      </c>
      <c r="B256">
        <v>78</v>
      </c>
      <c r="C256">
        <v>76501438</v>
      </c>
      <c r="D256" t="s">
        <v>487</v>
      </c>
      <c r="E256" t="s">
        <v>13</v>
      </c>
      <c r="F256" t="s">
        <v>241</v>
      </c>
      <c r="G256">
        <v>30000000</v>
      </c>
      <c r="H256">
        <v>6.1</v>
      </c>
      <c r="I256" t="s">
        <v>28</v>
      </c>
      <c r="J256" t="s">
        <v>46</v>
      </c>
      <c r="K256" t="s">
        <v>15</v>
      </c>
      <c r="L256" t="s">
        <v>16</v>
      </c>
      <c r="M256" t="s">
        <v>19</v>
      </c>
    </row>
    <row r="257" spans="1:13" x14ac:dyDescent="0.25">
      <c r="A257" t="s">
        <v>35</v>
      </c>
      <c r="B257">
        <v>105</v>
      </c>
      <c r="C257">
        <v>76400000</v>
      </c>
      <c r="D257" t="s">
        <v>488</v>
      </c>
      <c r="E257" t="s">
        <v>13</v>
      </c>
      <c r="F257" t="s">
        <v>14</v>
      </c>
      <c r="G257">
        <v>17000000</v>
      </c>
      <c r="H257">
        <v>6.6</v>
      </c>
      <c r="I257" t="s">
        <v>34</v>
      </c>
      <c r="J257" t="s">
        <v>28</v>
      </c>
      <c r="K257" t="s">
        <v>37</v>
      </c>
    </row>
    <row r="258" spans="1:13" x14ac:dyDescent="0.25">
      <c r="A258" t="s">
        <v>127</v>
      </c>
      <c r="B258">
        <v>120</v>
      </c>
      <c r="C258">
        <v>76400000</v>
      </c>
      <c r="D258" t="s">
        <v>489</v>
      </c>
      <c r="E258" t="s">
        <v>13</v>
      </c>
      <c r="F258" t="s">
        <v>14</v>
      </c>
      <c r="G258">
        <v>2280000</v>
      </c>
      <c r="H258">
        <v>7.8</v>
      </c>
      <c r="I258" t="s">
        <v>46</v>
      </c>
      <c r="J258" t="s">
        <v>16</v>
      </c>
      <c r="K258" t="s">
        <v>17</v>
      </c>
      <c r="L258" t="s">
        <v>18</v>
      </c>
    </row>
    <row r="259" spans="1:13" x14ac:dyDescent="0.25">
      <c r="A259" t="s">
        <v>490</v>
      </c>
      <c r="B259">
        <v>119</v>
      </c>
      <c r="C259">
        <v>76270454</v>
      </c>
      <c r="D259" t="s">
        <v>491</v>
      </c>
      <c r="E259" t="s">
        <v>13</v>
      </c>
      <c r="F259" t="s">
        <v>14</v>
      </c>
      <c r="G259">
        <v>25000000</v>
      </c>
      <c r="H259">
        <v>7.9</v>
      </c>
      <c r="I259" t="s">
        <v>38</v>
      </c>
      <c r="J259" t="s">
        <v>31</v>
      </c>
      <c r="K259" t="s">
        <v>24</v>
      </c>
    </row>
    <row r="260" spans="1:13" x14ac:dyDescent="0.25">
      <c r="A260" t="s">
        <v>147</v>
      </c>
      <c r="B260">
        <v>122</v>
      </c>
      <c r="C260">
        <v>76261036</v>
      </c>
      <c r="D260" t="s">
        <v>492</v>
      </c>
      <c r="E260" t="s">
        <v>13</v>
      </c>
      <c r="F260" t="s">
        <v>14</v>
      </c>
      <c r="G260">
        <v>45000000</v>
      </c>
      <c r="H260">
        <v>7.7</v>
      </c>
      <c r="I260" t="s">
        <v>38</v>
      </c>
      <c r="J260" t="s">
        <v>31</v>
      </c>
      <c r="K260" t="s">
        <v>24</v>
      </c>
    </row>
    <row r="261" spans="1:13" x14ac:dyDescent="0.25">
      <c r="A261" t="s">
        <v>493</v>
      </c>
      <c r="B261">
        <v>95</v>
      </c>
      <c r="C261">
        <v>76137505</v>
      </c>
      <c r="D261" t="s">
        <v>494</v>
      </c>
      <c r="E261" t="s">
        <v>13</v>
      </c>
      <c r="F261" t="s">
        <v>82</v>
      </c>
      <c r="G261">
        <v>55000000</v>
      </c>
      <c r="H261">
        <v>7.2</v>
      </c>
      <c r="I261" t="s">
        <v>46</v>
      </c>
      <c r="J261" t="s">
        <v>15</v>
      </c>
      <c r="K261" t="s">
        <v>16</v>
      </c>
      <c r="L261" t="s">
        <v>17</v>
      </c>
    </row>
    <row r="262" spans="1:13" x14ac:dyDescent="0.25">
      <c r="A262" t="s">
        <v>495</v>
      </c>
      <c r="B262">
        <v>135</v>
      </c>
      <c r="C262">
        <v>76081498</v>
      </c>
      <c r="D262" t="s">
        <v>496</v>
      </c>
      <c r="E262" t="s">
        <v>13</v>
      </c>
      <c r="F262" t="s">
        <v>14</v>
      </c>
      <c r="G262">
        <v>75000000</v>
      </c>
      <c r="H262">
        <v>6.7</v>
      </c>
      <c r="I262" t="s">
        <v>34</v>
      </c>
      <c r="J262" t="s">
        <v>38</v>
      </c>
      <c r="K262" t="s">
        <v>23</v>
      </c>
      <c r="L262" t="s">
        <v>19</v>
      </c>
      <c r="M262" t="s">
        <v>24</v>
      </c>
    </row>
    <row r="263" spans="1:13" x14ac:dyDescent="0.25">
      <c r="A263" t="s">
        <v>497</v>
      </c>
      <c r="B263">
        <v>128</v>
      </c>
      <c r="C263">
        <v>75888270</v>
      </c>
      <c r="D263" t="s">
        <v>498</v>
      </c>
      <c r="E263" t="s">
        <v>13</v>
      </c>
      <c r="F263" t="s">
        <v>14</v>
      </c>
      <c r="G263">
        <v>39751583.5</v>
      </c>
      <c r="H263">
        <v>5.4</v>
      </c>
      <c r="I263" t="s">
        <v>22</v>
      </c>
      <c r="J263" t="s">
        <v>23</v>
      </c>
    </row>
    <row r="264" spans="1:13" x14ac:dyDescent="0.25">
      <c r="A264" t="s">
        <v>499</v>
      </c>
      <c r="B264">
        <v>88</v>
      </c>
      <c r="C264">
        <v>75817994</v>
      </c>
      <c r="D264" t="s">
        <v>500</v>
      </c>
      <c r="E264" t="s">
        <v>13</v>
      </c>
      <c r="F264" t="s">
        <v>14</v>
      </c>
      <c r="G264">
        <v>90000000</v>
      </c>
      <c r="H264">
        <v>4.9000000000000004</v>
      </c>
      <c r="I264" t="s">
        <v>15</v>
      </c>
      <c r="J264" t="s">
        <v>16</v>
      </c>
      <c r="K264" t="s">
        <v>17</v>
      </c>
      <c r="L264" t="s">
        <v>22</v>
      </c>
      <c r="M264" t="s">
        <v>23</v>
      </c>
    </row>
    <row r="265" spans="1:13" x14ac:dyDescent="0.25">
      <c r="A265" t="s">
        <v>239</v>
      </c>
      <c r="B265">
        <v>125</v>
      </c>
      <c r="C265">
        <v>75764085</v>
      </c>
      <c r="D265" t="s">
        <v>501</v>
      </c>
      <c r="E265" t="s">
        <v>13</v>
      </c>
      <c r="F265" t="s">
        <v>14</v>
      </c>
      <c r="G265">
        <v>60000000</v>
      </c>
      <c r="H265">
        <v>6.7</v>
      </c>
      <c r="I265" t="s">
        <v>15</v>
      </c>
      <c r="J265" t="s">
        <v>31</v>
      </c>
      <c r="K265" t="s">
        <v>17</v>
      </c>
      <c r="L265" t="s">
        <v>19</v>
      </c>
    </row>
    <row r="266" spans="1:13" x14ac:dyDescent="0.25">
      <c r="A266" t="s">
        <v>396</v>
      </c>
      <c r="B266">
        <v>120</v>
      </c>
      <c r="C266">
        <v>75754670</v>
      </c>
      <c r="D266" t="s">
        <v>502</v>
      </c>
      <c r="E266" t="s">
        <v>13</v>
      </c>
      <c r="F266" t="s">
        <v>14</v>
      </c>
      <c r="G266">
        <v>85000000</v>
      </c>
      <c r="H266">
        <v>7</v>
      </c>
      <c r="I266" t="s">
        <v>34</v>
      </c>
      <c r="J266" t="s">
        <v>28</v>
      </c>
      <c r="K266" t="s">
        <v>17</v>
      </c>
      <c r="L266" t="s">
        <v>22</v>
      </c>
      <c r="M266" t="s">
        <v>37</v>
      </c>
    </row>
    <row r="267" spans="1:13" x14ac:dyDescent="0.25">
      <c r="A267" t="s">
        <v>503</v>
      </c>
      <c r="B267">
        <v>118</v>
      </c>
      <c r="C267">
        <v>75668868</v>
      </c>
      <c r="D267" t="s">
        <v>504</v>
      </c>
      <c r="E267" t="s">
        <v>13</v>
      </c>
      <c r="F267" t="s">
        <v>14</v>
      </c>
      <c r="G267">
        <v>35000000</v>
      </c>
      <c r="H267">
        <v>6.6</v>
      </c>
      <c r="I267" t="s">
        <v>34</v>
      </c>
      <c r="J267" t="s">
        <v>28</v>
      </c>
      <c r="K267" t="s">
        <v>23</v>
      </c>
      <c r="L267" t="s">
        <v>37</v>
      </c>
      <c r="M267" t="s">
        <v>24</v>
      </c>
    </row>
    <row r="268" spans="1:13" x14ac:dyDescent="0.25">
      <c r="A268" t="s">
        <v>505</v>
      </c>
      <c r="B268">
        <v>106</v>
      </c>
      <c r="C268">
        <v>75638743</v>
      </c>
      <c r="D268" t="s">
        <v>506</v>
      </c>
      <c r="E268" t="s">
        <v>13</v>
      </c>
      <c r="F268" t="s">
        <v>14</v>
      </c>
      <c r="G268">
        <v>60000000</v>
      </c>
      <c r="H268">
        <v>6.6</v>
      </c>
      <c r="I268" t="s">
        <v>31</v>
      </c>
      <c r="J268" t="s">
        <v>24</v>
      </c>
    </row>
    <row r="269" spans="1:13" x14ac:dyDescent="0.25">
      <c r="A269" t="s">
        <v>164</v>
      </c>
      <c r="B269">
        <v>124</v>
      </c>
      <c r="C269">
        <v>75621915</v>
      </c>
      <c r="D269" t="s">
        <v>507</v>
      </c>
      <c r="E269" t="s">
        <v>13</v>
      </c>
      <c r="F269" t="s">
        <v>14</v>
      </c>
      <c r="G269">
        <v>39751583.5</v>
      </c>
      <c r="H269">
        <v>7.1</v>
      </c>
      <c r="I269" t="s">
        <v>15</v>
      </c>
      <c r="J269" t="s">
        <v>31</v>
      </c>
      <c r="K269" t="s">
        <v>16</v>
      </c>
    </row>
    <row r="270" spans="1:13" x14ac:dyDescent="0.25">
      <c r="A270" t="s">
        <v>508</v>
      </c>
      <c r="B270">
        <v>133</v>
      </c>
      <c r="C270">
        <v>75605492</v>
      </c>
      <c r="D270" t="s">
        <v>509</v>
      </c>
      <c r="E270" t="s">
        <v>13</v>
      </c>
      <c r="F270" t="s">
        <v>14</v>
      </c>
      <c r="G270">
        <v>50000000</v>
      </c>
      <c r="H270">
        <v>7.6</v>
      </c>
      <c r="I270" t="s">
        <v>42</v>
      </c>
      <c r="J270" t="s">
        <v>31</v>
      </c>
      <c r="K270" t="s">
        <v>41</v>
      </c>
    </row>
    <row r="271" spans="1:13" x14ac:dyDescent="0.25">
      <c r="A271" t="s">
        <v>510</v>
      </c>
      <c r="B271">
        <v>110</v>
      </c>
      <c r="C271">
        <v>75604320</v>
      </c>
      <c r="D271" t="s">
        <v>511</v>
      </c>
      <c r="E271" t="s">
        <v>13</v>
      </c>
      <c r="F271" t="s">
        <v>14</v>
      </c>
      <c r="G271">
        <v>54000000</v>
      </c>
      <c r="H271">
        <v>5.6</v>
      </c>
      <c r="I271" t="s">
        <v>15</v>
      </c>
      <c r="J271" t="s">
        <v>19</v>
      </c>
    </row>
    <row r="272" spans="1:13" x14ac:dyDescent="0.25">
      <c r="A272" t="s">
        <v>512</v>
      </c>
      <c r="B272">
        <v>178</v>
      </c>
      <c r="C272">
        <v>75600000</v>
      </c>
      <c r="D272" t="s">
        <v>513</v>
      </c>
      <c r="E272" t="s">
        <v>13</v>
      </c>
      <c r="F272" t="s">
        <v>14</v>
      </c>
      <c r="G272">
        <v>72000000</v>
      </c>
      <c r="H272">
        <v>8.4</v>
      </c>
      <c r="I272" t="s">
        <v>42</v>
      </c>
      <c r="J272" t="s">
        <v>31</v>
      </c>
      <c r="K272" t="s">
        <v>64</v>
      </c>
      <c r="L272" t="s">
        <v>83</v>
      </c>
    </row>
    <row r="273" spans="1:13" x14ac:dyDescent="0.25">
      <c r="A273" t="s">
        <v>363</v>
      </c>
      <c r="B273">
        <v>127</v>
      </c>
      <c r="C273">
        <v>75597042</v>
      </c>
      <c r="D273" t="s">
        <v>514</v>
      </c>
      <c r="E273" t="s">
        <v>13</v>
      </c>
      <c r="F273" t="s">
        <v>14</v>
      </c>
      <c r="G273">
        <v>20000000</v>
      </c>
      <c r="H273">
        <v>7</v>
      </c>
      <c r="I273" t="s">
        <v>31</v>
      </c>
      <c r="J273" t="s">
        <v>16</v>
      </c>
      <c r="K273" t="s">
        <v>41</v>
      </c>
    </row>
    <row r="274" spans="1:13" x14ac:dyDescent="0.25">
      <c r="A274" t="s">
        <v>515</v>
      </c>
      <c r="B274">
        <v>88</v>
      </c>
      <c r="C274">
        <v>75590286</v>
      </c>
      <c r="D274" t="s">
        <v>516</v>
      </c>
      <c r="E274" t="s">
        <v>13</v>
      </c>
      <c r="F274" t="s">
        <v>14</v>
      </c>
      <c r="G274">
        <v>23600000</v>
      </c>
      <c r="H274">
        <v>7.7</v>
      </c>
      <c r="I274" t="s">
        <v>28</v>
      </c>
      <c r="J274" t="s">
        <v>15</v>
      </c>
      <c r="K274" t="s">
        <v>22</v>
      </c>
      <c r="L274" t="s">
        <v>37</v>
      </c>
    </row>
    <row r="275" spans="1:13" x14ac:dyDescent="0.25">
      <c r="A275" t="s">
        <v>517</v>
      </c>
      <c r="B275">
        <v>109</v>
      </c>
      <c r="C275">
        <v>75573300</v>
      </c>
      <c r="D275" t="s">
        <v>518</v>
      </c>
      <c r="E275" t="s">
        <v>13</v>
      </c>
      <c r="F275" t="s">
        <v>14</v>
      </c>
      <c r="G275">
        <v>61000000</v>
      </c>
      <c r="H275">
        <v>6.7</v>
      </c>
      <c r="I275" t="s">
        <v>34</v>
      </c>
      <c r="J275" t="s">
        <v>15</v>
      </c>
      <c r="K275" t="s">
        <v>38</v>
      </c>
      <c r="L275" t="s">
        <v>31</v>
      </c>
      <c r="M275" t="s">
        <v>24</v>
      </c>
    </row>
    <row r="276" spans="1:13" x14ac:dyDescent="0.25">
      <c r="A276" t="s">
        <v>519</v>
      </c>
      <c r="B276">
        <v>156</v>
      </c>
      <c r="C276">
        <v>75530832</v>
      </c>
      <c r="D276" t="s">
        <v>520</v>
      </c>
      <c r="E276" t="s">
        <v>13</v>
      </c>
      <c r="F276" t="s">
        <v>14</v>
      </c>
      <c r="G276">
        <v>55000000</v>
      </c>
      <c r="H276">
        <v>6.8</v>
      </c>
      <c r="I276" t="s">
        <v>31</v>
      </c>
      <c r="J276" t="s">
        <v>41</v>
      </c>
    </row>
    <row r="277" spans="1:13" x14ac:dyDescent="0.25">
      <c r="A277" t="s">
        <v>521</v>
      </c>
      <c r="B277">
        <v>170</v>
      </c>
      <c r="C277">
        <v>75370763</v>
      </c>
      <c r="D277" t="s">
        <v>522</v>
      </c>
      <c r="E277" t="s">
        <v>13</v>
      </c>
      <c r="F277" t="s">
        <v>14</v>
      </c>
      <c r="G277">
        <v>60000000</v>
      </c>
      <c r="H277">
        <v>6.5</v>
      </c>
      <c r="I277" t="s">
        <v>31</v>
      </c>
      <c r="J277" t="s">
        <v>19</v>
      </c>
      <c r="K277" t="s">
        <v>69</v>
      </c>
    </row>
    <row r="278" spans="1:13" x14ac:dyDescent="0.25">
      <c r="A278" t="s">
        <v>523</v>
      </c>
      <c r="B278">
        <v>80</v>
      </c>
      <c r="C278">
        <v>75367693</v>
      </c>
      <c r="D278" t="s">
        <v>524</v>
      </c>
      <c r="E278" t="s">
        <v>13</v>
      </c>
      <c r="F278" t="s">
        <v>14</v>
      </c>
      <c r="G278">
        <v>35000000</v>
      </c>
      <c r="H278">
        <v>5</v>
      </c>
      <c r="I278" t="s">
        <v>46</v>
      </c>
      <c r="J278" t="s">
        <v>15</v>
      </c>
      <c r="K278" t="s">
        <v>16</v>
      </c>
      <c r="L278" t="s">
        <v>17</v>
      </c>
    </row>
    <row r="279" spans="1:13" x14ac:dyDescent="0.25">
      <c r="A279" t="s">
        <v>525</v>
      </c>
      <c r="B279">
        <v>178</v>
      </c>
      <c r="C279">
        <v>75305995</v>
      </c>
      <c r="D279" t="s">
        <v>526</v>
      </c>
      <c r="E279" t="s">
        <v>13</v>
      </c>
      <c r="F279" t="s">
        <v>14</v>
      </c>
      <c r="G279">
        <v>40000000</v>
      </c>
      <c r="H279">
        <v>7.7</v>
      </c>
      <c r="I279" t="s">
        <v>42</v>
      </c>
      <c r="J279" t="s">
        <v>31</v>
      </c>
      <c r="K279" t="s">
        <v>18</v>
      </c>
    </row>
    <row r="280" spans="1:13" x14ac:dyDescent="0.25">
      <c r="A280" t="s">
        <v>527</v>
      </c>
      <c r="B280">
        <v>100</v>
      </c>
      <c r="C280">
        <v>75280058</v>
      </c>
      <c r="D280" t="s">
        <v>528</v>
      </c>
      <c r="E280" t="s">
        <v>13</v>
      </c>
      <c r="F280" t="s">
        <v>14</v>
      </c>
      <c r="G280">
        <v>60000000</v>
      </c>
      <c r="H280">
        <v>7.7</v>
      </c>
      <c r="I280" t="s">
        <v>46</v>
      </c>
      <c r="J280" t="s">
        <v>16</v>
      </c>
      <c r="K280" t="s">
        <v>17</v>
      </c>
    </row>
    <row r="281" spans="1:13" x14ac:dyDescent="0.25">
      <c r="A281" t="s">
        <v>529</v>
      </c>
      <c r="B281">
        <v>121</v>
      </c>
      <c r="C281">
        <v>75274748</v>
      </c>
      <c r="D281" t="s">
        <v>530</v>
      </c>
      <c r="E281" t="s">
        <v>13</v>
      </c>
      <c r="F281" t="s">
        <v>14</v>
      </c>
      <c r="G281">
        <v>35000000</v>
      </c>
      <c r="H281">
        <v>7.2</v>
      </c>
      <c r="I281" t="s">
        <v>15</v>
      </c>
      <c r="J281" t="s">
        <v>31</v>
      </c>
    </row>
    <row r="282" spans="1:13" x14ac:dyDescent="0.25">
      <c r="A282" t="s">
        <v>248</v>
      </c>
      <c r="B282">
        <v>102</v>
      </c>
      <c r="C282">
        <v>75074950</v>
      </c>
      <c r="D282" t="s">
        <v>531</v>
      </c>
      <c r="E282" t="s">
        <v>13</v>
      </c>
      <c r="F282" t="s">
        <v>14</v>
      </c>
      <c r="G282">
        <v>12000000</v>
      </c>
      <c r="H282">
        <v>6.3</v>
      </c>
      <c r="I282" t="s">
        <v>15</v>
      </c>
      <c r="J282" t="s">
        <v>31</v>
      </c>
    </row>
    <row r="283" spans="1:13" x14ac:dyDescent="0.25">
      <c r="A283" t="s">
        <v>450</v>
      </c>
      <c r="B283">
        <v>122</v>
      </c>
      <c r="C283">
        <v>75072454</v>
      </c>
      <c r="D283" t="s">
        <v>532</v>
      </c>
      <c r="E283" t="s">
        <v>13</v>
      </c>
      <c r="F283" t="s">
        <v>14</v>
      </c>
      <c r="G283">
        <v>20000000</v>
      </c>
      <c r="H283">
        <v>6.7</v>
      </c>
      <c r="I283" t="s">
        <v>31</v>
      </c>
      <c r="J283" t="s">
        <v>22</v>
      </c>
      <c r="K283" t="s">
        <v>24</v>
      </c>
    </row>
    <row r="284" spans="1:13" x14ac:dyDescent="0.25">
      <c r="A284" t="s">
        <v>454</v>
      </c>
      <c r="B284">
        <v>110</v>
      </c>
      <c r="C284">
        <v>74888996</v>
      </c>
      <c r="D284" t="s">
        <v>533</v>
      </c>
      <c r="E284" t="s">
        <v>13</v>
      </c>
      <c r="F284" t="s">
        <v>14</v>
      </c>
      <c r="G284">
        <v>30000000</v>
      </c>
      <c r="H284">
        <v>7.2</v>
      </c>
      <c r="I284" t="s">
        <v>34</v>
      </c>
      <c r="J284" t="s">
        <v>28</v>
      </c>
      <c r="K284" t="s">
        <v>37</v>
      </c>
      <c r="L284" t="s">
        <v>24</v>
      </c>
    </row>
    <row r="285" spans="1:13" x14ac:dyDescent="0.25">
      <c r="A285" t="s">
        <v>534</v>
      </c>
      <c r="B285">
        <v>132</v>
      </c>
      <c r="C285">
        <v>74787599</v>
      </c>
      <c r="D285" t="s">
        <v>535</v>
      </c>
      <c r="E285" t="s">
        <v>13</v>
      </c>
      <c r="F285" t="s">
        <v>14</v>
      </c>
      <c r="G285">
        <v>30000000</v>
      </c>
      <c r="H285">
        <v>6.6</v>
      </c>
      <c r="I285" t="s">
        <v>31</v>
      </c>
      <c r="J285" t="s">
        <v>19</v>
      </c>
    </row>
    <row r="286" spans="1:13" x14ac:dyDescent="0.25">
      <c r="A286" t="s">
        <v>170</v>
      </c>
      <c r="B286">
        <v>88</v>
      </c>
      <c r="C286">
        <v>74608545</v>
      </c>
      <c r="D286" t="s">
        <v>536</v>
      </c>
      <c r="E286" t="s">
        <v>13</v>
      </c>
      <c r="F286" t="s">
        <v>14</v>
      </c>
      <c r="G286">
        <v>24000000</v>
      </c>
      <c r="H286">
        <v>7.2</v>
      </c>
      <c r="I286" t="s">
        <v>15</v>
      </c>
    </row>
    <row r="287" spans="1:13" x14ac:dyDescent="0.25">
      <c r="A287" t="s">
        <v>537</v>
      </c>
      <c r="B287">
        <v>115</v>
      </c>
      <c r="C287">
        <v>74540762</v>
      </c>
      <c r="D287" t="s">
        <v>538</v>
      </c>
      <c r="E287" t="s">
        <v>13</v>
      </c>
      <c r="F287" t="s">
        <v>14</v>
      </c>
      <c r="G287">
        <v>55000000</v>
      </c>
      <c r="H287">
        <v>6.5</v>
      </c>
      <c r="I287" t="s">
        <v>34</v>
      </c>
      <c r="J287" t="s">
        <v>31</v>
      </c>
      <c r="K287" t="s">
        <v>24</v>
      </c>
    </row>
    <row r="288" spans="1:13" x14ac:dyDescent="0.25">
      <c r="A288" t="s">
        <v>539</v>
      </c>
      <c r="B288">
        <v>109</v>
      </c>
      <c r="C288">
        <v>74484168</v>
      </c>
      <c r="D288" t="s">
        <v>540</v>
      </c>
      <c r="E288" t="s">
        <v>13</v>
      </c>
      <c r="F288" t="s">
        <v>14</v>
      </c>
      <c r="G288">
        <v>45000000</v>
      </c>
      <c r="H288">
        <v>6.9</v>
      </c>
      <c r="I288" t="s">
        <v>34</v>
      </c>
      <c r="J288" t="s">
        <v>38</v>
      </c>
      <c r="K288" t="s">
        <v>31</v>
      </c>
      <c r="L288" t="s">
        <v>23</v>
      </c>
      <c r="M288" t="s">
        <v>24</v>
      </c>
    </row>
    <row r="289" spans="1:13" x14ac:dyDescent="0.25">
      <c r="A289" t="s">
        <v>250</v>
      </c>
      <c r="B289">
        <v>98</v>
      </c>
      <c r="C289">
        <v>74329966</v>
      </c>
      <c r="D289" t="s">
        <v>541</v>
      </c>
      <c r="E289" t="s">
        <v>13</v>
      </c>
      <c r="F289" t="s">
        <v>14</v>
      </c>
      <c r="G289">
        <v>70000000</v>
      </c>
      <c r="H289">
        <v>5.7</v>
      </c>
      <c r="I289" t="s">
        <v>34</v>
      </c>
      <c r="J289" t="s">
        <v>28</v>
      </c>
      <c r="K289" t="s">
        <v>15</v>
      </c>
      <c r="L289" t="s">
        <v>19</v>
      </c>
    </row>
    <row r="290" spans="1:13" x14ac:dyDescent="0.25">
      <c r="A290" t="s">
        <v>542</v>
      </c>
      <c r="B290">
        <v>122</v>
      </c>
      <c r="C290">
        <v>74273505</v>
      </c>
      <c r="D290" t="s">
        <v>543</v>
      </c>
      <c r="E290" t="s">
        <v>13</v>
      </c>
      <c r="F290" t="s">
        <v>14</v>
      </c>
      <c r="G290">
        <v>25000000</v>
      </c>
      <c r="H290">
        <v>8.1</v>
      </c>
      <c r="I290" t="s">
        <v>38</v>
      </c>
      <c r="J290" t="s">
        <v>31</v>
      </c>
      <c r="K290" t="s">
        <v>24</v>
      </c>
    </row>
    <row r="291" spans="1:13" x14ac:dyDescent="0.25">
      <c r="A291" t="s">
        <v>119</v>
      </c>
      <c r="B291">
        <v>91</v>
      </c>
      <c r="C291">
        <v>74158157</v>
      </c>
      <c r="D291" t="s">
        <v>544</v>
      </c>
      <c r="E291" t="s">
        <v>13</v>
      </c>
      <c r="F291" t="s">
        <v>14</v>
      </c>
      <c r="G291">
        <v>79000000</v>
      </c>
      <c r="H291">
        <v>3.4</v>
      </c>
      <c r="I291" t="s">
        <v>15</v>
      </c>
    </row>
    <row r="292" spans="1:13" x14ac:dyDescent="0.25">
      <c r="A292" t="s">
        <v>545</v>
      </c>
      <c r="B292">
        <v>147</v>
      </c>
      <c r="C292">
        <v>74098862</v>
      </c>
      <c r="D292" t="s">
        <v>546</v>
      </c>
      <c r="E292" t="s">
        <v>13</v>
      </c>
      <c r="F292" t="s">
        <v>14</v>
      </c>
      <c r="G292">
        <v>40000000</v>
      </c>
      <c r="H292">
        <v>8.1</v>
      </c>
      <c r="I292" t="s">
        <v>38</v>
      </c>
      <c r="J292" t="s">
        <v>24</v>
      </c>
    </row>
    <row r="293" spans="1:13" x14ac:dyDescent="0.25">
      <c r="A293" t="s">
        <v>547</v>
      </c>
      <c r="B293">
        <v>104</v>
      </c>
      <c r="C293">
        <v>74058698</v>
      </c>
      <c r="D293" t="s">
        <v>548</v>
      </c>
      <c r="E293" t="s">
        <v>13</v>
      </c>
      <c r="F293" t="s">
        <v>14</v>
      </c>
      <c r="G293">
        <v>60000000</v>
      </c>
      <c r="H293">
        <v>6.3</v>
      </c>
      <c r="I293" t="s">
        <v>38</v>
      </c>
      <c r="J293" t="s">
        <v>31</v>
      </c>
      <c r="K293" t="s">
        <v>24</v>
      </c>
    </row>
    <row r="294" spans="1:13" x14ac:dyDescent="0.25">
      <c r="A294" t="s">
        <v>227</v>
      </c>
      <c r="B294">
        <v>99</v>
      </c>
      <c r="C294">
        <v>73701902</v>
      </c>
      <c r="D294" t="s">
        <v>549</v>
      </c>
      <c r="E294" t="s">
        <v>13</v>
      </c>
      <c r="F294" t="s">
        <v>14</v>
      </c>
      <c r="G294">
        <v>60000000</v>
      </c>
      <c r="H294">
        <v>5.2</v>
      </c>
      <c r="I294" t="s">
        <v>15</v>
      </c>
      <c r="J294" t="s">
        <v>16</v>
      </c>
    </row>
    <row r="295" spans="1:13" x14ac:dyDescent="0.25">
      <c r="A295" t="s">
        <v>550</v>
      </c>
      <c r="B295">
        <v>91</v>
      </c>
      <c r="C295">
        <v>73661010</v>
      </c>
      <c r="D295" t="s">
        <v>551</v>
      </c>
      <c r="E295" t="s">
        <v>13</v>
      </c>
      <c r="F295" t="s">
        <v>14</v>
      </c>
      <c r="G295">
        <v>75000000</v>
      </c>
      <c r="H295">
        <v>6.6</v>
      </c>
      <c r="I295" t="s">
        <v>46</v>
      </c>
      <c r="J295" t="s">
        <v>15</v>
      </c>
      <c r="K295" t="s">
        <v>16</v>
      </c>
      <c r="L295" t="s">
        <v>17</v>
      </c>
      <c r="M295" t="s">
        <v>23</v>
      </c>
    </row>
    <row r="296" spans="1:13" x14ac:dyDescent="0.25">
      <c r="A296" t="s">
        <v>348</v>
      </c>
      <c r="B296">
        <v>105</v>
      </c>
      <c r="C296">
        <v>73648142</v>
      </c>
      <c r="D296" t="s">
        <v>552</v>
      </c>
      <c r="E296" t="s">
        <v>13</v>
      </c>
      <c r="F296" t="s">
        <v>14</v>
      </c>
      <c r="G296">
        <v>60000000</v>
      </c>
      <c r="H296">
        <v>5.8</v>
      </c>
      <c r="I296" t="s">
        <v>34</v>
      </c>
      <c r="J296" t="s">
        <v>37</v>
      </c>
      <c r="K296" t="s">
        <v>24</v>
      </c>
    </row>
    <row r="297" spans="1:13" x14ac:dyDescent="0.25">
      <c r="A297" t="s">
        <v>93</v>
      </c>
      <c r="B297">
        <v>118</v>
      </c>
      <c r="C297">
        <v>73343413</v>
      </c>
      <c r="D297" t="s">
        <v>553</v>
      </c>
      <c r="E297" t="s">
        <v>13</v>
      </c>
      <c r="F297" t="s">
        <v>14</v>
      </c>
      <c r="G297">
        <v>50000000</v>
      </c>
      <c r="H297">
        <v>7.4</v>
      </c>
      <c r="I297" t="s">
        <v>38</v>
      </c>
      <c r="J297" t="s">
        <v>31</v>
      </c>
      <c r="K297" t="s">
        <v>24</v>
      </c>
    </row>
    <row r="298" spans="1:13" x14ac:dyDescent="0.25">
      <c r="A298" t="s">
        <v>554</v>
      </c>
      <c r="B298">
        <v>92</v>
      </c>
      <c r="C298">
        <v>73326666</v>
      </c>
      <c r="D298" t="s">
        <v>555</v>
      </c>
      <c r="E298" t="s">
        <v>13</v>
      </c>
      <c r="F298" t="s">
        <v>14</v>
      </c>
      <c r="G298">
        <v>15000000</v>
      </c>
      <c r="H298">
        <v>7.5</v>
      </c>
      <c r="I298" t="s">
        <v>15</v>
      </c>
      <c r="J298" t="s">
        <v>17</v>
      </c>
    </row>
    <row r="299" spans="1:13" x14ac:dyDescent="0.25">
      <c r="A299" t="s">
        <v>556</v>
      </c>
      <c r="B299">
        <v>83</v>
      </c>
      <c r="C299">
        <v>73215310</v>
      </c>
      <c r="D299" t="s">
        <v>557</v>
      </c>
      <c r="E299" t="s">
        <v>13</v>
      </c>
      <c r="F299" t="s">
        <v>14</v>
      </c>
      <c r="G299">
        <v>80000000</v>
      </c>
      <c r="H299">
        <v>7</v>
      </c>
      <c r="I299" t="s">
        <v>28</v>
      </c>
      <c r="J299" t="s">
        <v>46</v>
      </c>
      <c r="K299" t="s">
        <v>16</v>
      </c>
      <c r="L299" t="s">
        <v>69</v>
      </c>
    </row>
    <row r="300" spans="1:13" x14ac:dyDescent="0.25">
      <c r="A300" t="s">
        <v>558</v>
      </c>
      <c r="B300">
        <v>100</v>
      </c>
      <c r="C300">
        <v>73023275</v>
      </c>
      <c r="D300" t="s">
        <v>559</v>
      </c>
      <c r="E300" t="s">
        <v>13</v>
      </c>
      <c r="F300" t="s">
        <v>14</v>
      </c>
      <c r="G300">
        <v>35000000</v>
      </c>
      <c r="H300">
        <v>5.4</v>
      </c>
      <c r="I300" t="s">
        <v>15</v>
      </c>
      <c r="J300" t="s">
        <v>16</v>
      </c>
    </row>
    <row r="301" spans="1:13" x14ac:dyDescent="0.25">
      <c r="A301" t="s">
        <v>560</v>
      </c>
      <c r="B301">
        <v>115</v>
      </c>
      <c r="C301">
        <v>73000942</v>
      </c>
      <c r="D301" t="s">
        <v>561</v>
      </c>
      <c r="E301" t="s">
        <v>13</v>
      </c>
      <c r="F301" t="s">
        <v>14</v>
      </c>
      <c r="G301">
        <v>13000000</v>
      </c>
      <c r="H301">
        <v>1.6</v>
      </c>
      <c r="I301" t="s">
        <v>52</v>
      </c>
      <c r="J301" t="s">
        <v>18</v>
      </c>
    </row>
    <row r="302" spans="1:13" x14ac:dyDescent="0.25">
      <c r="A302" t="s">
        <v>562</v>
      </c>
      <c r="B302">
        <v>114</v>
      </c>
      <c r="C302">
        <v>72980108</v>
      </c>
      <c r="D302" t="s">
        <v>563</v>
      </c>
      <c r="E302" t="s">
        <v>13</v>
      </c>
      <c r="F302" t="s">
        <v>14</v>
      </c>
      <c r="G302">
        <v>39751583.5</v>
      </c>
      <c r="H302">
        <v>5.9</v>
      </c>
      <c r="I302" t="s">
        <v>15</v>
      </c>
    </row>
    <row r="303" spans="1:13" x14ac:dyDescent="0.25">
      <c r="A303" t="s">
        <v>139</v>
      </c>
      <c r="B303">
        <v>92</v>
      </c>
      <c r="C303">
        <v>72755517</v>
      </c>
      <c r="D303" t="s">
        <v>564</v>
      </c>
      <c r="E303" t="s">
        <v>13</v>
      </c>
      <c r="F303" t="s">
        <v>14</v>
      </c>
      <c r="G303">
        <v>39751583.5</v>
      </c>
      <c r="H303">
        <v>7.1</v>
      </c>
      <c r="I303" t="s">
        <v>34</v>
      </c>
      <c r="J303" t="s">
        <v>15</v>
      </c>
      <c r="K303" t="s">
        <v>52</v>
      </c>
    </row>
    <row r="304" spans="1:13" x14ac:dyDescent="0.25">
      <c r="A304" t="s">
        <v>53</v>
      </c>
      <c r="B304">
        <v>90</v>
      </c>
      <c r="C304">
        <v>72601713</v>
      </c>
      <c r="D304" t="s">
        <v>565</v>
      </c>
      <c r="E304" t="s">
        <v>13</v>
      </c>
      <c r="F304" t="s">
        <v>241</v>
      </c>
      <c r="G304">
        <v>51000000</v>
      </c>
      <c r="H304">
        <v>5.6</v>
      </c>
      <c r="I304" t="s">
        <v>46</v>
      </c>
      <c r="J304" t="s">
        <v>15</v>
      </c>
      <c r="K304" t="s">
        <v>16</v>
      </c>
    </row>
    <row r="305" spans="1:13" x14ac:dyDescent="0.25">
      <c r="A305" t="s">
        <v>312</v>
      </c>
      <c r="B305">
        <v>128</v>
      </c>
      <c r="C305">
        <v>72515360</v>
      </c>
      <c r="D305" t="s">
        <v>566</v>
      </c>
      <c r="E305" t="s">
        <v>567</v>
      </c>
      <c r="F305" t="s">
        <v>82</v>
      </c>
      <c r="G305">
        <v>80000000</v>
      </c>
      <c r="H305">
        <v>6.4</v>
      </c>
      <c r="I305" t="s">
        <v>38</v>
      </c>
      <c r="J305" t="s">
        <v>23</v>
      </c>
      <c r="K305" t="s">
        <v>24</v>
      </c>
    </row>
    <row r="306" spans="1:13" x14ac:dyDescent="0.25">
      <c r="A306" t="s">
        <v>184</v>
      </c>
      <c r="B306">
        <v>117</v>
      </c>
      <c r="C306">
        <v>72455275</v>
      </c>
      <c r="D306" t="s">
        <v>568</v>
      </c>
      <c r="E306" t="s">
        <v>13</v>
      </c>
      <c r="F306" t="s">
        <v>14</v>
      </c>
      <c r="G306">
        <v>40000000</v>
      </c>
      <c r="H306">
        <v>7.8</v>
      </c>
      <c r="I306" t="s">
        <v>34</v>
      </c>
      <c r="J306" t="s">
        <v>28</v>
      </c>
      <c r="K306" t="s">
        <v>31</v>
      </c>
      <c r="L306" t="s">
        <v>19</v>
      </c>
      <c r="M306" t="s">
        <v>83</v>
      </c>
    </row>
    <row r="307" spans="1:13" x14ac:dyDescent="0.25">
      <c r="A307" t="s">
        <v>196</v>
      </c>
      <c r="B307">
        <v>142</v>
      </c>
      <c r="C307">
        <v>72306065</v>
      </c>
      <c r="D307" t="s">
        <v>569</v>
      </c>
      <c r="E307" t="s">
        <v>13</v>
      </c>
      <c r="F307" t="s">
        <v>14</v>
      </c>
      <c r="G307">
        <v>40000000</v>
      </c>
      <c r="H307">
        <v>7.6</v>
      </c>
      <c r="I307" t="s">
        <v>31</v>
      </c>
      <c r="J307" t="s">
        <v>64</v>
      </c>
      <c r="K307" t="s">
        <v>24</v>
      </c>
    </row>
    <row r="308" spans="1:13" x14ac:dyDescent="0.25">
      <c r="A308" t="s">
        <v>570</v>
      </c>
      <c r="B308">
        <v>113</v>
      </c>
      <c r="C308">
        <v>72279690</v>
      </c>
      <c r="D308" t="s">
        <v>571</v>
      </c>
      <c r="E308" t="s">
        <v>13</v>
      </c>
      <c r="F308" t="s">
        <v>14</v>
      </c>
      <c r="G308">
        <v>37000000</v>
      </c>
      <c r="H308">
        <v>6.9</v>
      </c>
      <c r="I308" t="s">
        <v>31</v>
      </c>
      <c r="J308" t="s">
        <v>16</v>
      </c>
    </row>
    <row r="309" spans="1:13" x14ac:dyDescent="0.25">
      <c r="A309" t="s">
        <v>572</v>
      </c>
      <c r="B309">
        <v>90</v>
      </c>
      <c r="C309">
        <v>72266306</v>
      </c>
      <c r="D309" t="s">
        <v>573</v>
      </c>
      <c r="E309" t="s">
        <v>13</v>
      </c>
      <c r="F309" t="s">
        <v>14</v>
      </c>
      <c r="G309">
        <v>40000000</v>
      </c>
      <c r="H309">
        <v>6.6</v>
      </c>
      <c r="I309" t="s">
        <v>38</v>
      </c>
      <c r="J309" t="s">
        <v>31</v>
      </c>
      <c r="K309" t="s">
        <v>23</v>
      </c>
      <c r="L309" t="s">
        <v>24</v>
      </c>
    </row>
    <row r="310" spans="1:13" x14ac:dyDescent="0.25">
      <c r="A310" t="s">
        <v>574</v>
      </c>
      <c r="B310">
        <v>99</v>
      </c>
      <c r="C310">
        <v>72219395</v>
      </c>
      <c r="D310" t="s">
        <v>575</v>
      </c>
      <c r="E310" t="s">
        <v>13</v>
      </c>
      <c r="F310" t="s">
        <v>14</v>
      </c>
      <c r="G310">
        <v>17000000</v>
      </c>
      <c r="H310">
        <v>5.6</v>
      </c>
      <c r="I310" t="s">
        <v>22</v>
      </c>
      <c r="J310" t="s">
        <v>23</v>
      </c>
      <c r="K310" t="s">
        <v>24</v>
      </c>
    </row>
    <row r="311" spans="1:13" x14ac:dyDescent="0.25">
      <c r="A311" t="s">
        <v>576</v>
      </c>
      <c r="B311">
        <v>78</v>
      </c>
      <c r="C311">
        <v>72217000</v>
      </c>
      <c r="D311" t="s">
        <v>577</v>
      </c>
      <c r="E311" t="s">
        <v>13</v>
      </c>
      <c r="F311" t="s">
        <v>14</v>
      </c>
      <c r="G311">
        <v>12000000</v>
      </c>
      <c r="H311">
        <v>6.9</v>
      </c>
      <c r="I311" t="s">
        <v>15</v>
      </c>
    </row>
    <row r="312" spans="1:13" x14ac:dyDescent="0.25">
      <c r="A312" t="s">
        <v>578</v>
      </c>
      <c r="B312">
        <v>105</v>
      </c>
      <c r="C312">
        <v>72077000</v>
      </c>
      <c r="D312" t="s">
        <v>579</v>
      </c>
      <c r="E312" t="s">
        <v>13</v>
      </c>
      <c r="F312" t="s">
        <v>14</v>
      </c>
      <c r="G312">
        <v>30250000</v>
      </c>
      <c r="H312">
        <v>6.9</v>
      </c>
      <c r="I312" t="s">
        <v>15</v>
      </c>
      <c r="J312" t="s">
        <v>38</v>
      </c>
      <c r="K312" t="s">
        <v>24</v>
      </c>
    </row>
    <row r="313" spans="1:13" x14ac:dyDescent="0.25">
      <c r="A313" t="s">
        <v>580</v>
      </c>
      <c r="B313">
        <v>170</v>
      </c>
      <c r="C313">
        <v>72000000</v>
      </c>
      <c r="D313" t="s">
        <v>581</v>
      </c>
      <c r="E313" t="s">
        <v>13</v>
      </c>
      <c r="F313" t="s">
        <v>14</v>
      </c>
      <c r="G313">
        <v>17000000</v>
      </c>
      <c r="H313">
        <v>7.9</v>
      </c>
      <c r="I313" t="s">
        <v>31</v>
      </c>
      <c r="J313" t="s">
        <v>16</v>
      </c>
      <c r="K313" t="s">
        <v>59</v>
      </c>
      <c r="L313" t="s">
        <v>19</v>
      </c>
    </row>
    <row r="314" spans="1:13" x14ac:dyDescent="0.25">
      <c r="A314" t="s">
        <v>582</v>
      </c>
      <c r="B314">
        <v>114</v>
      </c>
      <c r="C314">
        <v>71975611</v>
      </c>
      <c r="D314" t="s">
        <v>583</v>
      </c>
      <c r="E314" t="s">
        <v>13</v>
      </c>
      <c r="F314" t="s">
        <v>14</v>
      </c>
      <c r="G314">
        <v>25000000</v>
      </c>
      <c r="H314">
        <v>6.8</v>
      </c>
      <c r="I314" t="s">
        <v>17</v>
      </c>
      <c r="J314" t="s">
        <v>22</v>
      </c>
    </row>
    <row r="315" spans="1:13" x14ac:dyDescent="0.25">
      <c r="A315" t="s">
        <v>584</v>
      </c>
      <c r="B315">
        <v>104</v>
      </c>
      <c r="C315">
        <v>71897215</v>
      </c>
      <c r="D315" t="s">
        <v>585</v>
      </c>
      <c r="E315" t="s">
        <v>13</v>
      </c>
      <c r="F315" t="s">
        <v>14</v>
      </c>
      <c r="G315">
        <v>15000000</v>
      </c>
      <c r="H315">
        <v>7.3</v>
      </c>
      <c r="I315" t="s">
        <v>31</v>
      </c>
      <c r="J315" t="s">
        <v>22</v>
      </c>
      <c r="K315" t="s">
        <v>23</v>
      </c>
      <c r="L315" t="s">
        <v>37</v>
      </c>
      <c r="M315" t="s">
        <v>24</v>
      </c>
    </row>
    <row r="316" spans="1:13" x14ac:dyDescent="0.25">
      <c r="A316" t="s">
        <v>274</v>
      </c>
      <c r="B316">
        <v>111</v>
      </c>
      <c r="C316">
        <v>71844424</v>
      </c>
      <c r="D316" t="s">
        <v>586</v>
      </c>
      <c r="E316" t="s">
        <v>13</v>
      </c>
      <c r="F316" t="s">
        <v>14</v>
      </c>
      <c r="G316">
        <v>60000000</v>
      </c>
      <c r="H316">
        <v>7.3</v>
      </c>
      <c r="I316" t="s">
        <v>52</v>
      </c>
      <c r="J316" t="s">
        <v>18</v>
      </c>
    </row>
    <row r="317" spans="1:13" x14ac:dyDescent="0.25">
      <c r="A317" t="s">
        <v>587</v>
      </c>
      <c r="B317">
        <v>100</v>
      </c>
      <c r="C317">
        <v>71588220</v>
      </c>
      <c r="D317" t="s">
        <v>588</v>
      </c>
      <c r="E317" t="s">
        <v>13</v>
      </c>
      <c r="F317" t="s">
        <v>98</v>
      </c>
      <c r="G317">
        <v>20000000</v>
      </c>
      <c r="H317">
        <v>6.2</v>
      </c>
      <c r="I317" t="s">
        <v>17</v>
      </c>
      <c r="J317" t="s">
        <v>22</v>
      </c>
    </row>
    <row r="318" spans="1:13" x14ac:dyDescent="0.25">
      <c r="A318" t="s">
        <v>458</v>
      </c>
      <c r="B318">
        <v>103</v>
      </c>
      <c r="C318">
        <v>71519230</v>
      </c>
      <c r="D318" t="s">
        <v>589</v>
      </c>
      <c r="E318" t="s">
        <v>13</v>
      </c>
      <c r="F318" t="s">
        <v>14</v>
      </c>
      <c r="G318">
        <v>9000000</v>
      </c>
      <c r="H318">
        <v>6.5</v>
      </c>
      <c r="I318" t="s">
        <v>34</v>
      </c>
      <c r="J318" t="s">
        <v>22</v>
      </c>
      <c r="K318" t="s">
        <v>37</v>
      </c>
      <c r="L318" t="s">
        <v>24</v>
      </c>
    </row>
    <row r="319" spans="1:13" x14ac:dyDescent="0.25">
      <c r="A319" t="s">
        <v>375</v>
      </c>
      <c r="B319">
        <v>126</v>
      </c>
      <c r="C319">
        <v>71502303</v>
      </c>
      <c r="D319" t="s">
        <v>590</v>
      </c>
      <c r="E319" t="s">
        <v>13</v>
      </c>
      <c r="F319" t="s">
        <v>14</v>
      </c>
      <c r="G319">
        <v>12000000</v>
      </c>
      <c r="H319">
        <v>7.5</v>
      </c>
      <c r="I319" t="s">
        <v>28</v>
      </c>
      <c r="J319" t="s">
        <v>15</v>
      </c>
      <c r="K319" t="s">
        <v>31</v>
      </c>
      <c r="L319" t="s">
        <v>19</v>
      </c>
    </row>
    <row r="320" spans="1:13" x14ac:dyDescent="0.25">
      <c r="A320" t="s">
        <v>591</v>
      </c>
      <c r="B320">
        <v>97</v>
      </c>
      <c r="C320">
        <v>71500556</v>
      </c>
      <c r="D320" t="s">
        <v>592</v>
      </c>
      <c r="E320" t="s">
        <v>13</v>
      </c>
      <c r="F320" t="s">
        <v>82</v>
      </c>
      <c r="G320">
        <v>26000000</v>
      </c>
      <c r="H320">
        <v>6.7</v>
      </c>
      <c r="I320" t="s">
        <v>15</v>
      </c>
      <c r="J320" t="s">
        <v>31</v>
      </c>
      <c r="K320" t="s">
        <v>19</v>
      </c>
    </row>
    <row r="321" spans="1:12" x14ac:dyDescent="0.25">
      <c r="A321" t="s">
        <v>593</v>
      </c>
      <c r="B321">
        <v>102</v>
      </c>
      <c r="C321">
        <v>71423726</v>
      </c>
      <c r="D321" t="s">
        <v>594</v>
      </c>
      <c r="E321" t="s">
        <v>13</v>
      </c>
      <c r="F321" t="s">
        <v>14</v>
      </c>
      <c r="G321">
        <v>45000000</v>
      </c>
      <c r="H321">
        <v>7.3</v>
      </c>
      <c r="I321" t="s">
        <v>28</v>
      </c>
      <c r="J321" t="s">
        <v>15</v>
      </c>
      <c r="K321" t="s">
        <v>37</v>
      </c>
    </row>
    <row r="322" spans="1:12" x14ac:dyDescent="0.25">
      <c r="A322" t="s">
        <v>305</v>
      </c>
      <c r="B322">
        <v>105</v>
      </c>
      <c r="C322">
        <v>71347010</v>
      </c>
      <c r="D322" t="s">
        <v>595</v>
      </c>
      <c r="E322" t="s">
        <v>13</v>
      </c>
      <c r="F322" t="s">
        <v>14</v>
      </c>
      <c r="G322">
        <v>40000000</v>
      </c>
      <c r="H322">
        <v>7.1</v>
      </c>
      <c r="I322" t="s">
        <v>15</v>
      </c>
      <c r="J322" t="s">
        <v>19</v>
      </c>
    </row>
    <row r="323" spans="1:12" x14ac:dyDescent="0.25">
      <c r="A323" t="s">
        <v>435</v>
      </c>
      <c r="B323">
        <v>115</v>
      </c>
      <c r="C323">
        <v>71346930</v>
      </c>
      <c r="D323" t="s">
        <v>596</v>
      </c>
      <c r="E323" t="s">
        <v>13</v>
      </c>
      <c r="F323" t="s">
        <v>14</v>
      </c>
      <c r="G323">
        <v>28000000</v>
      </c>
      <c r="H323">
        <v>6.7</v>
      </c>
      <c r="I323" t="s">
        <v>31</v>
      </c>
      <c r="J323" t="s">
        <v>19</v>
      </c>
      <c r="K323" t="s">
        <v>24</v>
      </c>
    </row>
    <row r="324" spans="1:12" x14ac:dyDescent="0.25">
      <c r="A324" t="s">
        <v>435</v>
      </c>
      <c r="B324">
        <v>121</v>
      </c>
      <c r="C324">
        <v>71309760</v>
      </c>
      <c r="D324" t="s">
        <v>597</v>
      </c>
      <c r="E324" t="s">
        <v>13</v>
      </c>
      <c r="F324" t="s">
        <v>82</v>
      </c>
      <c r="G324">
        <v>25000000</v>
      </c>
      <c r="H324">
        <v>7.3</v>
      </c>
      <c r="I324" t="s">
        <v>31</v>
      </c>
      <c r="J324" t="s">
        <v>19</v>
      </c>
    </row>
    <row r="325" spans="1:12" x14ac:dyDescent="0.25">
      <c r="A325" t="s">
        <v>598</v>
      </c>
      <c r="B325">
        <v>83</v>
      </c>
      <c r="C325">
        <v>71277420</v>
      </c>
      <c r="D325" t="s">
        <v>599</v>
      </c>
      <c r="E325" t="s">
        <v>13</v>
      </c>
      <c r="F325" t="s">
        <v>14</v>
      </c>
      <c r="G325">
        <v>45000000</v>
      </c>
      <c r="H325">
        <v>5.2</v>
      </c>
      <c r="I325" t="s">
        <v>15</v>
      </c>
    </row>
    <row r="326" spans="1:12" x14ac:dyDescent="0.25">
      <c r="A326" t="s">
        <v>11</v>
      </c>
      <c r="B326">
        <v>107</v>
      </c>
      <c r="C326">
        <v>71148699</v>
      </c>
      <c r="D326" t="s">
        <v>600</v>
      </c>
      <c r="E326" t="s">
        <v>13</v>
      </c>
      <c r="F326" t="s">
        <v>14</v>
      </c>
      <c r="G326">
        <v>90000000</v>
      </c>
      <c r="H326">
        <v>6.6</v>
      </c>
      <c r="I326" t="s">
        <v>28</v>
      </c>
      <c r="J326" t="s">
        <v>16</v>
      </c>
      <c r="K326" t="s">
        <v>17</v>
      </c>
    </row>
    <row r="327" spans="1:12" x14ac:dyDescent="0.25">
      <c r="A327" t="s">
        <v>601</v>
      </c>
      <c r="B327">
        <v>124</v>
      </c>
      <c r="C327">
        <v>71069884</v>
      </c>
      <c r="D327" t="s">
        <v>602</v>
      </c>
      <c r="E327" t="s">
        <v>13</v>
      </c>
      <c r="F327" t="s">
        <v>14</v>
      </c>
      <c r="G327">
        <v>68000000</v>
      </c>
      <c r="H327">
        <v>6.8</v>
      </c>
      <c r="I327" t="s">
        <v>38</v>
      </c>
      <c r="J327" t="s">
        <v>31</v>
      </c>
      <c r="K327" t="s">
        <v>24</v>
      </c>
    </row>
    <row r="328" spans="1:12" x14ac:dyDescent="0.25">
      <c r="A328" t="s">
        <v>270</v>
      </c>
      <c r="B328">
        <v>94</v>
      </c>
      <c r="C328">
        <v>71038190</v>
      </c>
      <c r="D328" t="s">
        <v>603</v>
      </c>
      <c r="E328" t="s">
        <v>13</v>
      </c>
      <c r="F328" t="s">
        <v>14</v>
      </c>
      <c r="G328">
        <v>30000000</v>
      </c>
      <c r="H328">
        <v>4.4000000000000004</v>
      </c>
      <c r="I328" t="s">
        <v>34</v>
      </c>
      <c r="J328" t="s">
        <v>15</v>
      </c>
      <c r="K328" t="s">
        <v>38</v>
      </c>
    </row>
    <row r="329" spans="1:12" x14ac:dyDescent="0.25">
      <c r="A329" t="s">
        <v>350</v>
      </c>
      <c r="B329">
        <v>116</v>
      </c>
      <c r="C329">
        <v>71026631</v>
      </c>
      <c r="D329" t="s">
        <v>604</v>
      </c>
      <c r="E329" t="s">
        <v>13</v>
      </c>
      <c r="F329" t="s">
        <v>14</v>
      </c>
      <c r="G329">
        <v>36000000</v>
      </c>
      <c r="H329">
        <v>7</v>
      </c>
      <c r="I329" t="s">
        <v>38</v>
      </c>
      <c r="J329" t="s">
        <v>31</v>
      </c>
      <c r="K329" t="s">
        <v>24</v>
      </c>
    </row>
    <row r="330" spans="1:12" x14ac:dyDescent="0.25">
      <c r="A330" t="s">
        <v>154</v>
      </c>
      <c r="B330">
        <v>135</v>
      </c>
      <c r="C330">
        <v>70960517</v>
      </c>
      <c r="D330" t="s">
        <v>605</v>
      </c>
      <c r="E330" t="s">
        <v>13</v>
      </c>
      <c r="F330" t="s">
        <v>14</v>
      </c>
      <c r="G330">
        <v>35000000</v>
      </c>
      <c r="H330">
        <v>7.5</v>
      </c>
      <c r="I330" t="s">
        <v>31</v>
      </c>
      <c r="J330" t="s">
        <v>19</v>
      </c>
    </row>
    <row r="331" spans="1:12" x14ac:dyDescent="0.25">
      <c r="A331" t="s">
        <v>84</v>
      </c>
      <c r="B331">
        <v>101</v>
      </c>
      <c r="C331">
        <v>70906973</v>
      </c>
      <c r="D331" t="s">
        <v>606</v>
      </c>
      <c r="E331" t="s">
        <v>13</v>
      </c>
      <c r="F331" t="s">
        <v>14</v>
      </c>
      <c r="G331">
        <v>14600000</v>
      </c>
      <c r="H331">
        <v>8.1</v>
      </c>
      <c r="I331" t="s">
        <v>15</v>
      </c>
      <c r="J331" t="s">
        <v>17</v>
      </c>
      <c r="K331" t="s">
        <v>19</v>
      </c>
    </row>
    <row r="332" spans="1:12" x14ac:dyDescent="0.25">
      <c r="A332" t="s">
        <v>272</v>
      </c>
      <c r="B332">
        <v>114</v>
      </c>
      <c r="C332">
        <v>70836296</v>
      </c>
      <c r="D332" t="s">
        <v>607</v>
      </c>
      <c r="E332" t="s">
        <v>13</v>
      </c>
      <c r="F332" t="s">
        <v>14</v>
      </c>
      <c r="G332">
        <v>40000000</v>
      </c>
      <c r="H332">
        <v>5.9</v>
      </c>
      <c r="I332" t="s">
        <v>15</v>
      </c>
      <c r="J332" t="s">
        <v>31</v>
      </c>
      <c r="K332" t="s">
        <v>17</v>
      </c>
      <c r="L332" t="s">
        <v>19</v>
      </c>
    </row>
    <row r="333" spans="1:12" x14ac:dyDescent="0.25">
      <c r="A333" t="s">
        <v>250</v>
      </c>
      <c r="B333">
        <v>108</v>
      </c>
      <c r="C333">
        <v>70625986</v>
      </c>
      <c r="D333" t="s">
        <v>608</v>
      </c>
      <c r="E333" t="s">
        <v>13</v>
      </c>
      <c r="F333" t="s">
        <v>14</v>
      </c>
      <c r="G333">
        <v>25000000</v>
      </c>
      <c r="H333">
        <v>6.2</v>
      </c>
      <c r="I333" t="s">
        <v>15</v>
      </c>
      <c r="J333" t="s">
        <v>19</v>
      </c>
    </row>
    <row r="334" spans="1:12" x14ac:dyDescent="0.25">
      <c r="A334" t="s">
        <v>609</v>
      </c>
      <c r="B334">
        <v>132</v>
      </c>
      <c r="C334">
        <v>70496802</v>
      </c>
      <c r="D334" t="s">
        <v>610</v>
      </c>
      <c r="E334" t="s">
        <v>13</v>
      </c>
      <c r="F334" t="s">
        <v>14</v>
      </c>
      <c r="G334">
        <v>54000000</v>
      </c>
      <c r="H334">
        <v>8.1999999999999993</v>
      </c>
      <c r="I334" t="s">
        <v>34</v>
      </c>
      <c r="J334" t="s">
        <v>31</v>
      </c>
      <c r="K334" t="s">
        <v>24</v>
      </c>
    </row>
    <row r="335" spans="1:12" x14ac:dyDescent="0.25">
      <c r="A335" t="s">
        <v>611</v>
      </c>
      <c r="B335">
        <v>123</v>
      </c>
      <c r="C335">
        <v>70492685</v>
      </c>
      <c r="D335" t="s">
        <v>612</v>
      </c>
      <c r="E335" t="s">
        <v>13</v>
      </c>
      <c r="F335" t="s">
        <v>14</v>
      </c>
      <c r="G335">
        <v>17000000</v>
      </c>
      <c r="H335">
        <v>6.7</v>
      </c>
      <c r="I335" t="s">
        <v>15</v>
      </c>
      <c r="J335" t="s">
        <v>31</v>
      </c>
    </row>
    <row r="336" spans="1:12" x14ac:dyDescent="0.25">
      <c r="A336" t="s">
        <v>613</v>
      </c>
      <c r="B336">
        <v>108</v>
      </c>
      <c r="C336">
        <v>70450000</v>
      </c>
      <c r="D336" t="s">
        <v>614</v>
      </c>
      <c r="E336" t="s">
        <v>13</v>
      </c>
      <c r="F336" t="s">
        <v>14</v>
      </c>
      <c r="G336">
        <v>50000000</v>
      </c>
      <c r="H336">
        <v>6</v>
      </c>
      <c r="I336" t="s">
        <v>34</v>
      </c>
      <c r="J336" t="s">
        <v>38</v>
      </c>
      <c r="K336" t="s">
        <v>24</v>
      </c>
    </row>
    <row r="337" spans="1:13" x14ac:dyDescent="0.25">
      <c r="A337" t="s">
        <v>519</v>
      </c>
      <c r="B337">
        <v>206</v>
      </c>
      <c r="C337">
        <v>70405498</v>
      </c>
      <c r="D337" t="s">
        <v>615</v>
      </c>
      <c r="E337" t="s">
        <v>13</v>
      </c>
      <c r="F337" t="s">
        <v>295</v>
      </c>
      <c r="G337">
        <v>40000000</v>
      </c>
      <c r="H337">
        <v>8</v>
      </c>
      <c r="I337" t="s">
        <v>31</v>
      </c>
      <c r="J337" t="s">
        <v>64</v>
      </c>
      <c r="K337" t="s">
        <v>24</v>
      </c>
    </row>
    <row r="338" spans="1:13" x14ac:dyDescent="0.25">
      <c r="A338" t="s">
        <v>417</v>
      </c>
      <c r="B338">
        <v>101</v>
      </c>
      <c r="C338">
        <v>70360285</v>
      </c>
      <c r="D338" t="s">
        <v>616</v>
      </c>
      <c r="E338" t="s">
        <v>13</v>
      </c>
      <c r="F338" t="s">
        <v>14</v>
      </c>
      <c r="G338">
        <v>18000000</v>
      </c>
      <c r="H338">
        <v>5.8</v>
      </c>
      <c r="I338" t="s">
        <v>34</v>
      </c>
      <c r="J338" t="s">
        <v>28</v>
      </c>
      <c r="K338" t="s">
        <v>17</v>
      </c>
      <c r="L338" t="s">
        <v>37</v>
      </c>
      <c r="M338" t="s">
        <v>24</v>
      </c>
    </row>
    <row r="339" spans="1:13" x14ac:dyDescent="0.25">
      <c r="A339" t="s">
        <v>539</v>
      </c>
      <c r="B339">
        <v>99</v>
      </c>
      <c r="C339">
        <v>70327868</v>
      </c>
      <c r="D339" t="s">
        <v>617</v>
      </c>
      <c r="E339" t="s">
        <v>13</v>
      </c>
      <c r="F339" t="s">
        <v>241</v>
      </c>
      <c r="G339">
        <v>46000000</v>
      </c>
      <c r="H339">
        <v>5.9</v>
      </c>
      <c r="I339" t="s">
        <v>34</v>
      </c>
      <c r="J339" t="s">
        <v>38</v>
      </c>
      <c r="K339" t="s">
        <v>24</v>
      </c>
    </row>
    <row r="340" spans="1:13" x14ac:dyDescent="0.25">
      <c r="A340" t="s">
        <v>123</v>
      </c>
      <c r="B340">
        <v>139</v>
      </c>
      <c r="C340">
        <v>70269171</v>
      </c>
      <c r="D340" t="s">
        <v>618</v>
      </c>
      <c r="E340" t="s">
        <v>13</v>
      </c>
      <c r="F340" t="s">
        <v>14</v>
      </c>
      <c r="G340">
        <v>24000000</v>
      </c>
      <c r="H340">
        <v>7.2</v>
      </c>
      <c r="I340" t="s">
        <v>31</v>
      </c>
      <c r="J340" t="s">
        <v>41</v>
      </c>
    </row>
    <row r="341" spans="1:13" x14ac:dyDescent="0.25">
      <c r="A341" t="s">
        <v>519</v>
      </c>
      <c r="B341">
        <v>129</v>
      </c>
      <c r="C341">
        <v>70236496</v>
      </c>
      <c r="D341" t="s">
        <v>619</v>
      </c>
      <c r="E341" t="s">
        <v>13</v>
      </c>
      <c r="F341" t="s">
        <v>14</v>
      </c>
      <c r="G341">
        <v>63000000</v>
      </c>
      <c r="H341">
        <v>6</v>
      </c>
      <c r="I341" t="s">
        <v>31</v>
      </c>
      <c r="J341" t="s">
        <v>64</v>
      </c>
      <c r="K341" t="s">
        <v>24</v>
      </c>
    </row>
    <row r="342" spans="1:13" x14ac:dyDescent="0.25">
      <c r="A342" t="s">
        <v>168</v>
      </c>
      <c r="B342">
        <v>130</v>
      </c>
      <c r="C342">
        <v>70235322</v>
      </c>
      <c r="D342" t="s">
        <v>620</v>
      </c>
      <c r="E342" t="s">
        <v>13</v>
      </c>
      <c r="F342" t="s">
        <v>14</v>
      </c>
      <c r="G342">
        <v>28000000</v>
      </c>
      <c r="H342">
        <v>7.8</v>
      </c>
      <c r="I342" t="s">
        <v>42</v>
      </c>
      <c r="J342" t="s">
        <v>15</v>
      </c>
      <c r="K342" t="s">
        <v>31</v>
      </c>
      <c r="L342" t="s">
        <v>64</v>
      </c>
    </row>
    <row r="343" spans="1:13" x14ac:dyDescent="0.25">
      <c r="A343" t="s">
        <v>621</v>
      </c>
      <c r="B343">
        <v>112</v>
      </c>
      <c r="C343">
        <v>70224196</v>
      </c>
      <c r="D343" t="s">
        <v>622</v>
      </c>
      <c r="E343" t="s">
        <v>13</v>
      </c>
      <c r="F343" t="s">
        <v>14</v>
      </c>
      <c r="G343">
        <v>70000000</v>
      </c>
      <c r="H343">
        <v>5.6</v>
      </c>
      <c r="I343" t="s">
        <v>34</v>
      </c>
      <c r="J343" t="s">
        <v>28</v>
      </c>
      <c r="K343" t="s">
        <v>15</v>
      </c>
      <c r="L343" t="s">
        <v>19</v>
      </c>
      <c r="M343" t="s">
        <v>24</v>
      </c>
    </row>
    <row r="344" spans="1:13" x14ac:dyDescent="0.25">
      <c r="A344" t="s">
        <v>623</v>
      </c>
      <c r="B344">
        <v>99</v>
      </c>
      <c r="C344">
        <v>70163652</v>
      </c>
      <c r="D344" t="s">
        <v>624</v>
      </c>
      <c r="E344" t="s">
        <v>13</v>
      </c>
      <c r="F344" t="s">
        <v>14</v>
      </c>
      <c r="G344">
        <v>40000000</v>
      </c>
      <c r="H344">
        <v>4.5999999999999996</v>
      </c>
      <c r="I344" t="s">
        <v>15</v>
      </c>
      <c r="J344" t="s">
        <v>38</v>
      </c>
    </row>
    <row r="345" spans="1:13" x14ac:dyDescent="0.25">
      <c r="A345" t="s">
        <v>246</v>
      </c>
      <c r="B345">
        <v>103</v>
      </c>
      <c r="C345">
        <v>70117571</v>
      </c>
      <c r="D345" t="s">
        <v>625</v>
      </c>
      <c r="E345" t="s">
        <v>13</v>
      </c>
      <c r="F345" t="s">
        <v>14</v>
      </c>
      <c r="G345">
        <v>58000000</v>
      </c>
      <c r="H345">
        <v>6.4</v>
      </c>
      <c r="I345" t="s">
        <v>34</v>
      </c>
      <c r="J345" t="s">
        <v>28</v>
      </c>
      <c r="K345" t="s">
        <v>37</v>
      </c>
      <c r="L345" t="s">
        <v>24</v>
      </c>
    </row>
    <row r="346" spans="1:13" x14ac:dyDescent="0.25">
      <c r="A346" t="s">
        <v>626</v>
      </c>
      <c r="B346">
        <v>117</v>
      </c>
      <c r="C346">
        <v>70100000</v>
      </c>
      <c r="D346" t="s">
        <v>627</v>
      </c>
      <c r="E346" t="s">
        <v>13</v>
      </c>
      <c r="F346" t="s">
        <v>14</v>
      </c>
      <c r="G346">
        <v>40000000</v>
      </c>
      <c r="H346">
        <v>5.4</v>
      </c>
      <c r="I346" t="s">
        <v>15</v>
      </c>
      <c r="J346" t="s">
        <v>31</v>
      </c>
      <c r="K346" t="s">
        <v>19</v>
      </c>
    </row>
    <row r="347" spans="1:13" x14ac:dyDescent="0.25">
      <c r="A347" t="s">
        <v>62</v>
      </c>
      <c r="B347">
        <v>111</v>
      </c>
      <c r="C347">
        <v>70098138</v>
      </c>
      <c r="D347" t="s">
        <v>628</v>
      </c>
      <c r="E347" t="s">
        <v>13</v>
      </c>
      <c r="F347" t="s">
        <v>14</v>
      </c>
      <c r="G347">
        <v>30000000</v>
      </c>
      <c r="H347">
        <v>8.1</v>
      </c>
      <c r="I347" t="s">
        <v>34</v>
      </c>
    </row>
    <row r="348" spans="1:13" x14ac:dyDescent="0.25">
      <c r="A348" t="s">
        <v>629</v>
      </c>
      <c r="B348">
        <v>110</v>
      </c>
      <c r="C348">
        <v>70011073</v>
      </c>
      <c r="D348" t="s">
        <v>630</v>
      </c>
      <c r="E348" t="s">
        <v>13</v>
      </c>
      <c r="F348" t="s">
        <v>14</v>
      </c>
      <c r="G348">
        <v>12000000</v>
      </c>
      <c r="H348">
        <v>6.5</v>
      </c>
      <c r="I348" t="s">
        <v>34</v>
      </c>
      <c r="J348" t="s">
        <v>28</v>
      </c>
      <c r="K348" t="s">
        <v>31</v>
      </c>
      <c r="L348" t="s">
        <v>24</v>
      </c>
      <c r="M348" t="s">
        <v>83</v>
      </c>
    </row>
    <row r="349" spans="1:13" x14ac:dyDescent="0.25">
      <c r="A349" t="s">
        <v>519</v>
      </c>
      <c r="B349">
        <v>145</v>
      </c>
      <c r="C349">
        <v>70001698</v>
      </c>
      <c r="D349" t="s">
        <v>631</v>
      </c>
      <c r="E349" t="s">
        <v>13</v>
      </c>
      <c r="F349" t="s">
        <v>14</v>
      </c>
      <c r="G349">
        <v>14000000</v>
      </c>
      <c r="H349">
        <v>7.2</v>
      </c>
      <c r="I349" t="s">
        <v>42</v>
      </c>
      <c r="J349" t="s">
        <v>31</v>
      </c>
      <c r="K349" t="s">
        <v>83</v>
      </c>
    </row>
    <row r="350" spans="1:13" x14ac:dyDescent="0.25">
      <c r="A350" t="s">
        <v>632</v>
      </c>
      <c r="B350">
        <v>110</v>
      </c>
      <c r="C350">
        <v>70001065</v>
      </c>
      <c r="D350" t="s">
        <v>633</v>
      </c>
      <c r="E350" t="s">
        <v>13</v>
      </c>
      <c r="F350" t="s">
        <v>14</v>
      </c>
      <c r="G350">
        <v>45000000</v>
      </c>
      <c r="H350">
        <v>7.1</v>
      </c>
      <c r="I350" t="s">
        <v>34</v>
      </c>
      <c r="J350" t="s">
        <v>22</v>
      </c>
    </row>
    <row r="351" spans="1:13" x14ac:dyDescent="0.25">
      <c r="A351" t="s">
        <v>634</v>
      </c>
      <c r="B351">
        <v>123</v>
      </c>
      <c r="C351">
        <v>69951824</v>
      </c>
      <c r="D351" t="s">
        <v>635</v>
      </c>
      <c r="E351" t="s">
        <v>13</v>
      </c>
      <c r="F351" t="s">
        <v>14</v>
      </c>
      <c r="G351">
        <v>55000000</v>
      </c>
      <c r="H351">
        <v>7.7</v>
      </c>
      <c r="I351" t="s">
        <v>31</v>
      </c>
      <c r="J351" t="s">
        <v>19</v>
      </c>
    </row>
    <row r="352" spans="1:13" x14ac:dyDescent="0.25">
      <c r="A352" t="s">
        <v>636</v>
      </c>
      <c r="B352">
        <v>109</v>
      </c>
      <c r="C352">
        <v>69800000</v>
      </c>
      <c r="D352" t="s">
        <v>637</v>
      </c>
      <c r="E352" t="s">
        <v>13</v>
      </c>
      <c r="F352" t="s">
        <v>14</v>
      </c>
      <c r="G352">
        <v>10000000</v>
      </c>
      <c r="H352">
        <v>6.1</v>
      </c>
      <c r="I352" t="s">
        <v>15</v>
      </c>
      <c r="J352" t="s">
        <v>83</v>
      </c>
    </row>
    <row r="353" spans="1:13" x14ac:dyDescent="0.25">
      <c r="A353" t="s">
        <v>638</v>
      </c>
      <c r="B353">
        <v>111</v>
      </c>
      <c r="C353">
        <v>69800000</v>
      </c>
      <c r="D353" t="s">
        <v>639</v>
      </c>
      <c r="E353" t="s">
        <v>13</v>
      </c>
      <c r="F353" t="s">
        <v>14</v>
      </c>
      <c r="G353">
        <v>8000000</v>
      </c>
      <c r="H353">
        <v>6.2</v>
      </c>
      <c r="I353" t="s">
        <v>15</v>
      </c>
      <c r="J353" t="s">
        <v>17</v>
      </c>
      <c r="K353" t="s">
        <v>19</v>
      </c>
    </row>
    <row r="354" spans="1:13" x14ac:dyDescent="0.25">
      <c r="A354" t="s">
        <v>145</v>
      </c>
      <c r="B354">
        <v>99</v>
      </c>
      <c r="C354">
        <v>69772969</v>
      </c>
      <c r="D354" t="s">
        <v>640</v>
      </c>
      <c r="E354" t="s">
        <v>13</v>
      </c>
      <c r="F354" t="s">
        <v>14</v>
      </c>
      <c r="G354">
        <v>80000000</v>
      </c>
      <c r="H354">
        <v>6.5</v>
      </c>
      <c r="I354" t="s">
        <v>34</v>
      </c>
      <c r="J354" t="s">
        <v>38</v>
      </c>
      <c r="K354" t="s">
        <v>24</v>
      </c>
    </row>
    <row r="355" spans="1:13" x14ac:dyDescent="0.25">
      <c r="A355" t="s">
        <v>641</v>
      </c>
      <c r="B355">
        <v>114</v>
      </c>
      <c r="C355">
        <v>69700000</v>
      </c>
      <c r="D355" t="s">
        <v>642</v>
      </c>
      <c r="E355" t="s">
        <v>13</v>
      </c>
      <c r="F355" t="s">
        <v>14</v>
      </c>
      <c r="G355">
        <v>35000000</v>
      </c>
      <c r="H355">
        <v>5.8</v>
      </c>
      <c r="I355" t="s">
        <v>15</v>
      </c>
      <c r="J355" t="s">
        <v>59</v>
      </c>
    </row>
    <row r="356" spans="1:13" x14ac:dyDescent="0.25">
      <c r="A356" t="s">
        <v>105</v>
      </c>
      <c r="B356">
        <v>104</v>
      </c>
      <c r="C356">
        <v>69688384</v>
      </c>
      <c r="D356" t="s">
        <v>643</v>
      </c>
      <c r="E356" t="s">
        <v>13</v>
      </c>
      <c r="F356" t="s">
        <v>14</v>
      </c>
      <c r="G356">
        <v>60000000</v>
      </c>
      <c r="H356">
        <v>6.1</v>
      </c>
      <c r="I356" t="s">
        <v>15</v>
      </c>
      <c r="J356" t="s">
        <v>16</v>
      </c>
      <c r="K356" t="s">
        <v>17</v>
      </c>
    </row>
    <row r="357" spans="1:13" x14ac:dyDescent="0.25">
      <c r="A357" t="s">
        <v>644</v>
      </c>
      <c r="B357">
        <v>116</v>
      </c>
      <c r="C357">
        <v>69586544</v>
      </c>
      <c r="D357" t="s">
        <v>645</v>
      </c>
      <c r="E357" t="s">
        <v>13</v>
      </c>
      <c r="F357" t="s">
        <v>14</v>
      </c>
      <c r="G357">
        <v>27000000</v>
      </c>
      <c r="H357">
        <v>6</v>
      </c>
      <c r="I357" t="s">
        <v>31</v>
      </c>
    </row>
    <row r="358" spans="1:13" x14ac:dyDescent="0.25">
      <c r="A358" t="s">
        <v>182</v>
      </c>
      <c r="B358">
        <v>113</v>
      </c>
      <c r="C358">
        <v>69304264</v>
      </c>
      <c r="D358" t="s">
        <v>646</v>
      </c>
      <c r="E358" t="s">
        <v>13</v>
      </c>
      <c r="F358" t="s">
        <v>14</v>
      </c>
      <c r="G358">
        <v>48000000</v>
      </c>
      <c r="H358">
        <v>6.8</v>
      </c>
      <c r="I358" t="s">
        <v>38</v>
      </c>
      <c r="J358" t="s">
        <v>19</v>
      </c>
      <c r="K358" t="s">
        <v>24</v>
      </c>
    </row>
    <row r="359" spans="1:13" x14ac:dyDescent="0.25">
      <c r="A359" t="s">
        <v>598</v>
      </c>
      <c r="B359">
        <v>109</v>
      </c>
      <c r="C359">
        <v>69148997</v>
      </c>
      <c r="D359" t="s">
        <v>647</v>
      </c>
      <c r="E359" t="s">
        <v>13</v>
      </c>
      <c r="F359" t="s">
        <v>14</v>
      </c>
      <c r="G359">
        <v>37000000</v>
      </c>
      <c r="H359">
        <v>5.4</v>
      </c>
      <c r="I359" t="s">
        <v>15</v>
      </c>
      <c r="J359" t="s">
        <v>38</v>
      </c>
    </row>
    <row r="360" spans="1:13" x14ac:dyDescent="0.25">
      <c r="A360" t="s">
        <v>648</v>
      </c>
      <c r="B360">
        <v>130</v>
      </c>
      <c r="C360">
        <v>69102910</v>
      </c>
      <c r="D360" t="s">
        <v>649</v>
      </c>
      <c r="E360" t="s">
        <v>13</v>
      </c>
      <c r="F360" t="s">
        <v>14</v>
      </c>
      <c r="G360">
        <v>80000000</v>
      </c>
      <c r="H360">
        <v>5.0999999999999996</v>
      </c>
      <c r="I360" t="s">
        <v>34</v>
      </c>
      <c r="J360" t="s">
        <v>28</v>
      </c>
      <c r="K360" t="s">
        <v>16</v>
      </c>
      <c r="L360" t="s">
        <v>37</v>
      </c>
      <c r="M360" t="s">
        <v>24</v>
      </c>
    </row>
    <row r="361" spans="1:13" x14ac:dyDescent="0.25">
      <c r="A361" t="s">
        <v>105</v>
      </c>
      <c r="B361">
        <v>98</v>
      </c>
      <c r="C361">
        <v>68856263</v>
      </c>
      <c r="D361" t="s">
        <v>650</v>
      </c>
      <c r="E361" t="s">
        <v>13</v>
      </c>
      <c r="F361" t="s">
        <v>14</v>
      </c>
      <c r="G361">
        <v>15000000</v>
      </c>
      <c r="H361">
        <v>6.9</v>
      </c>
      <c r="I361" t="s">
        <v>28</v>
      </c>
      <c r="J361" t="s">
        <v>15</v>
      </c>
      <c r="K361" t="s">
        <v>16</v>
      </c>
      <c r="L361" t="s">
        <v>41</v>
      </c>
    </row>
    <row r="362" spans="1:13" x14ac:dyDescent="0.25">
      <c r="A362" t="s">
        <v>651</v>
      </c>
      <c r="B362">
        <v>133</v>
      </c>
      <c r="C362">
        <v>68750000</v>
      </c>
      <c r="D362" t="s">
        <v>652</v>
      </c>
      <c r="E362" t="s">
        <v>13</v>
      </c>
      <c r="F362" t="s">
        <v>14</v>
      </c>
      <c r="G362">
        <v>55000000</v>
      </c>
      <c r="H362">
        <v>6.4</v>
      </c>
      <c r="I362" t="s">
        <v>34</v>
      </c>
      <c r="J362" t="s">
        <v>28</v>
      </c>
      <c r="K362" t="s">
        <v>24</v>
      </c>
    </row>
    <row r="363" spans="1:13" x14ac:dyDescent="0.25">
      <c r="A363" t="s">
        <v>558</v>
      </c>
      <c r="B363">
        <v>106</v>
      </c>
      <c r="C363">
        <v>68558662</v>
      </c>
      <c r="D363" t="s">
        <v>653</v>
      </c>
      <c r="E363" t="s">
        <v>13</v>
      </c>
      <c r="F363" t="s">
        <v>14</v>
      </c>
      <c r="G363">
        <v>90000000</v>
      </c>
      <c r="H363">
        <v>5.9</v>
      </c>
      <c r="I363" t="s">
        <v>28</v>
      </c>
      <c r="J363" t="s">
        <v>16</v>
      </c>
      <c r="K363" t="s">
        <v>17</v>
      </c>
    </row>
    <row r="364" spans="1:13" x14ac:dyDescent="0.25">
      <c r="A364" t="s">
        <v>170</v>
      </c>
      <c r="B364">
        <v>94</v>
      </c>
      <c r="C364">
        <v>68525609</v>
      </c>
      <c r="D364" t="s">
        <v>654</v>
      </c>
      <c r="E364" t="s">
        <v>13</v>
      </c>
      <c r="F364" t="s">
        <v>14</v>
      </c>
      <c r="G364">
        <v>15600000</v>
      </c>
      <c r="H364">
        <v>6.5</v>
      </c>
      <c r="I364" t="s">
        <v>15</v>
      </c>
    </row>
    <row r="365" spans="1:13" x14ac:dyDescent="0.25">
      <c r="A365" t="s">
        <v>87</v>
      </c>
      <c r="B365">
        <v>124</v>
      </c>
      <c r="C365">
        <v>68473360</v>
      </c>
      <c r="D365" t="s">
        <v>655</v>
      </c>
      <c r="E365" t="s">
        <v>13</v>
      </c>
      <c r="F365" t="s">
        <v>14</v>
      </c>
      <c r="G365">
        <v>75000000</v>
      </c>
      <c r="H365">
        <v>5.9</v>
      </c>
      <c r="I365" t="s">
        <v>34</v>
      </c>
      <c r="J365" t="s">
        <v>28</v>
      </c>
      <c r="K365" t="s">
        <v>31</v>
      </c>
      <c r="L365" t="s">
        <v>24</v>
      </c>
    </row>
    <row r="366" spans="1:13" x14ac:dyDescent="0.25">
      <c r="A366" t="s">
        <v>189</v>
      </c>
      <c r="B366">
        <v>98</v>
      </c>
      <c r="C366">
        <v>68353550</v>
      </c>
      <c r="D366" t="s">
        <v>656</v>
      </c>
      <c r="E366" t="s">
        <v>13</v>
      </c>
      <c r="F366" t="s">
        <v>14</v>
      </c>
      <c r="G366">
        <v>10000000</v>
      </c>
      <c r="H366">
        <v>5.9</v>
      </c>
      <c r="I366" t="s">
        <v>15</v>
      </c>
      <c r="J366" t="s">
        <v>41</v>
      </c>
    </row>
    <row r="367" spans="1:13" x14ac:dyDescent="0.25">
      <c r="A367" t="s">
        <v>11</v>
      </c>
      <c r="B367">
        <v>94</v>
      </c>
      <c r="C367">
        <v>68218041</v>
      </c>
      <c r="D367" t="s">
        <v>657</v>
      </c>
      <c r="E367" t="s">
        <v>13</v>
      </c>
      <c r="F367" t="s">
        <v>14</v>
      </c>
      <c r="G367">
        <v>55000000</v>
      </c>
      <c r="H367">
        <v>6</v>
      </c>
      <c r="I367" t="s">
        <v>15</v>
      </c>
      <c r="J367" t="s">
        <v>16</v>
      </c>
      <c r="K367" t="s">
        <v>17</v>
      </c>
    </row>
    <row r="368" spans="1:13" x14ac:dyDescent="0.25">
      <c r="A368" t="s">
        <v>237</v>
      </c>
      <c r="B368">
        <v>93</v>
      </c>
      <c r="C368">
        <v>68208190</v>
      </c>
      <c r="D368" t="s">
        <v>658</v>
      </c>
      <c r="E368" t="s">
        <v>13</v>
      </c>
      <c r="F368" t="s">
        <v>14</v>
      </c>
      <c r="G368">
        <v>65000000</v>
      </c>
      <c r="H368">
        <v>6.3</v>
      </c>
      <c r="I368" t="s">
        <v>34</v>
      </c>
      <c r="J368" t="s">
        <v>15</v>
      </c>
      <c r="K368" t="s">
        <v>38</v>
      </c>
      <c r="L368" t="s">
        <v>24</v>
      </c>
    </row>
    <row r="369" spans="1:14" x14ac:dyDescent="0.25">
      <c r="A369" t="s">
        <v>659</v>
      </c>
      <c r="B369">
        <v>105</v>
      </c>
      <c r="C369">
        <v>67962333</v>
      </c>
      <c r="D369" t="s">
        <v>660</v>
      </c>
      <c r="E369" t="s">
        <v>13</v>
      </c>
      <c r="F369" t="s">
        <v>14</v>
      </c>
      <c r="G369">
        <v>35000000</v>
      </c>
      <c r="H369">
        <v>5.9</v>
      </c>
      <c r="I369" t="s">
        <v>15</v>
      </c>
      <c r="J369" t="s">
        <v>19</v>
      </c>
    </row>
    <row r="370" spans="1:14" x14ac:dyDescent="0.25">
      <c r="A370" t="s">
        <v>661</v>
      </c>
      <c r="B370">
        <v>131</v>
      </c>
      <c r="C370">
        <v>67900000</v>
      </c>
      <c r="D370" t="s">
        <v>662</v>
      </c>
      <c r="E370" t="s">
        <v>13</v>
      </c>
      <c r="F370" t="s">
        <v>82</v>
      </c>
      <c r="G370">
        <v>27500000</v>
      </c>
      <c r="H370">
        <v>6.6</v>
      </c>
      <c r="I370" t="s">
        <v>34</v>
      </c>
      <c r="J370" t="s">
        <v>28</v>
      </c>
      <c r="K370" t="s">
        <v>24</v>
      </c>
    </row>
    <row r="371" spans="1:14" x14ac:dyDescent="0.25">
      <c r="A371" t="s">
        <v>663</v>
      </c>
      <c r="B371">
        <v>127</v>
      </c>
      <c r="C371">
        <v>67823573</v>
      </c>
      <c r="D371" t="s">
        <v>664</v>
      </c>
      <c r="E371" t="s">
        <v>13</v>
      </c>
      <c r="F371" t="s">
        <v>14</v>
      </c>
      <c r="G371">
        <v>50000000</v>
      </c>
      <c r="H371">
        <v>6.6</v>
      </c>
      <c r="I371" t="s">
        <v>34</v>
      </c>
      <c r="J371" t="s">
        <v>31</v>
      </c>
      <c r="K371" t="s">
        <v>24</v>
      </c>
    </row>
    <row r="372" spans="1:14" x14ac:dyDescent="0.25">
      <c r="A372" t="s">
        <v>25</v>
      </c>
      <c r="B372">
        <v>134</v>
      </c>
      <c r="C372">
        <v>67523385</v>
      </c>
      <c r="D372" t="s">
        <v>665</v>
      </c>
      <c r="E372" t="s">
        <v>13</v>
      </c>
      <c r="F372" t="s">
        <v>14</v>
      </c>
      <c r="G372">
        <v>35000000</v>
      </c>
      <c r="H372">
        <v>6.2</v>
      </c>
      <c r="I372" t="s">
        <v>15</v>
      </c>
    </row>
    <row r="373" spans="1:14" x14ac:dyDescent="0.25">
      <c r="A373" t="s">
        <v>666</v>
      </c>
      <c r="B373">
        <v>117</v>
      </c>
      <c r="C373">
        <v>67325559</v>
      </c>
      <c r="D373" t="s">
        <v>667</v>
      </c>
      <c r="E373" t="s">
        <v>13</v>
      </c>
      <c r="F373" t="s">
        <v>14</v>
      </c>
      <c r="G373">
        <v>20000000</v>
      </c>
      <c r="H373">
        <v>7.1</v>
      </c>
      <c r="I373" t="s">
        <v>28</v>
      </c>
      <c r="J373" t="s">
        <v>15</v>
      </c>
      <c r="K373" t="s">
        <v>31</v>
      </c>
      <c r="L373" t="s">
        <v>16</v>
      </c>
      <c r="M373" t="s">
        <v>23</v>
      </c>
    </row>
    <row r="374" spans="1:14" x14ac:dyDescent="0.25">
      <c r="A374" t="s">
        <v>668</v>
      </c>
      <c r="B374">
        <v>101</v>
      </c>
      <c r="C374">
        <v>67266300</v>
      </c>
      <c r="D374" t="s">
        <v>669</v>
      </c>
      <c r="E374" t="s">
        <v>13</v>
      </c>
      <c r="F374" t="s">
        <v>241</v>
      </c>
      <c r="G374">
        <v>28000000</v>
      </c>
      <c r="H374">
        <v>6.9</v>
      </c>
      <c r="I374" t="s">
        <v>15</v>
      </c>
    </row>
    <row r="375" spans="1:14" x14ac:dyDescent="0.25">
      <c r="A375" t="s">
        <v>670</v>
      </c>
      <c r="B375">
        <v>118</v>
      </c>
      <c r="C375">
        <v>67263182</v>
      </c>
      <c r="D375" t="s">
        <v>671</v>
      </c>
      <c r="E375" t="s">
        <v>13</v>
      </c>
      <c r="F375" t="s">
        <v>14</v>
      </c>
      <c r="G375">
        <v>46000000</v>
      </c>
      <c r="H375">
        <v>7.2</v>
      </c>
      <c r="I375" t="s">
        <v>31</v>
      </c>
      <c r="J375" t="s">
        <v>23</v>
      </c>
      <c r="K375" t="s">
        <v>24</v>
      </c>
    </row>
    <row r="376" spans="1:14" x14ac:dyDescent="0.25">
      <c r="A376" t="s">
        <v>262</v>
      </c>
      <c r="B376">
        <v>136</v>
      </c>
      <c r="C376">
        <v>67253092</v>
      </c>
      <c r="D376" t="s">
        <v>672</v>
      </c>
      <c r="E376" t="s">
        <v>13</v>
      </c>
      <c r="F376" t="s">
        <v>14</v>
      </c>
      <c r="G376">
        <v>30000000</v>
      </c>
      <c r="H376">
        <v>7.2</v>
      </c>
      <c r="I376" t="s">
        <v>31</v>
      </c>
      <c r="J376" t="s">
        <v>41</v>
      </c>
    </row>
    <row r="377" spans="1:14" x14ac:dyDescent="0.25">
      <c r="A377" t="s">
        <v>270</v>
      </c>
      <c r="B377">
        <v>98</v>
      </c>
      <c r="C377">
        <v>67128202</v>
      </c>
      <c r="D377" t="s">
        <v>673</v>
      </c>
      <c r="E377" t="s">
        <v>13</v>
      </c>
      <c r="F377" t="s">
        <v>14</v>
      </c>
      <c r="G377">
        <v>65000000</v>
      </c>
      <c r="H377">
        <v>5.7</v>
      </c>
      <c r="I377" t="s">
        <v>34</v>
      </c>
      <c r="J377" t="s">
        <v>28</v>
      </c>
      <c r="K377" t="s">
        <v>16</v>
      </c>
      <c r="L377" t="s">
        <v>17</v>
      </c>
      <c r="M377" t="s">
        <v>37</v>
      </c>
      <c r="N377" t="s">
        <v>24</v>
      </c>
    </row>
    <row r="378" spans="1:14" x14ac:dyDescent="0.25">
      <c r="A378" t="s">
        <v>621</v>
      </c>
      <c r="B378">
        <v>110</v>
      </c>
      <c r="C378">
        <v>67061228</v>
      </c>
      <c r="D378" t="s">
        <v>674</v>
      </c>
      <c r="E378" t="s">
        <v>13</v>
      </c>
      <c r="F378" t="s">
        <v>14</v>
      </c>
      <c r="G378">
        <v>40000000</v>
      </c>
      <c r="H378">
        <v>5.5</v>
      </c>
      <c r="I378" t="s">
        <v>34</v>
      </c>
      <c r="J378" t="s">
        <v>15</v>
      </c>
      <c r="K378" t="s">
        <v>19</v>
      </c>
    </row>
    <row r="379" spans="1:14" x14ac:dyDescent="0.25">
      <c r="A379" t="s">
        <v>675</v>
      </c>
      <c r="B379">
        <v>81</v>
      </c>
      <c r="C379">
        <v>66950483</v>
      </c>
      <c r="D379" t="s">
        <v>676</v>
      </c>
      <c r="E379" t="s">
        <v>13</v>
      </c>
      <c r="F379" t="s">
        <v>14</v>
      </c>
      <c r="G379">
        <v>28000000</v>
      </c>
      <c r="H379">
        <v>6.2</v>
      </c>
      <c r="I379" t="s">
        <v>15</v>
      </c>
      <c r="J379" t="s">
        <v>16</v>
      </c>
    </row>
    <row r="380" spans="1:14" x14ac:dyDescent="0.25">
      <c r="A380" t="s">
        <v>677</v>
      </c>
      <c r="B380">
        <v>100</v>
      </c>
      <c r="C380">
        <v>66941559</v>
      </c>
      <c r="D380" t="s">
        <v>678</v>
      </c>
      <c r="E380" t="s">
        <v>13</v>
      </c>
      <c r="F380" t="s">
        <v>14</v>
      </c>
      <c r="G380">
        <v>85000000</v>
      </c>
      <c r="H380">
        <v>4.8</v>
      </c>
      <c r="I380" t="s">
        <v>28</v>
      </c>
      <c r="J380" t="s">
        <v>15</v>
      </c>
      <c r="K380" t="s">
        <v>16</v>
      </c>
    </row>
    <row r="381" spans="1:14" x14ac:dyDescent="0.25">
      <c r="A381" t="s">
        <v>679</v>
      </c>
      <c r="B381">
        <v>121</v>
      </c>
      <c r="C381">
        <v>66862068</v>
      </c>
      <c r="D381" t="s">
        <v>680</v>
      </c>
      <c r="E381" t="s">
        <v>13</v>
      </c>
      <c r="F381" t="s">
        <v>14</v>
      </c>
      <c r="G381">
        <v>83000000</v>
      </c>
      <c r="H381">
        <v>5.7</v>
      </c>
      <c r="I381" t="s">
        <v>34</v>
      </c>
      <c r="J381" t="s">
        <v>17</v>
      </c>
      <c r="K381" t="s">
        <v>22</v>
      </c>
      <c r="L381" t="s">
        <v>23</v>
      </c>
    </row>
    <row r="382" spans="1:14" x14ac:dyDescent="0.25">
      <c r="A382" t="s">
        <v>681</v>
      </c>
      <c r="B382">
        <v>123</v>
      </c>
      <c r="C382">
        <v>66808615</v>
      </c>
      <c r="D382" t="s">
        <v>682</v>
      </c>
      <c r="E382" t="s">
        <v>13</v>
      </c>
      <c r="F382" t="s">
        <v>14</v>
      </c>
      <c r="G382">
        <v>34000000</v>
      </c>
      <c r="H382">
        <v>6.1</v>
      </c>
      <c r="I382" t="s">
        <v>28</v>
      </c>
      <c r="J382" t="s">
        <v>15</v>
      </c>
      <c r="K382" t="s">
        <v>38</v>
      </c>
      <c r="L382" t="s">
        <v>19</v>
      </c>
    </row>
    <row r="383" spans="1:14" x14ac:dyDescent="0.25">
      <c r="A383" t="s">
        <v>683</v>
      </c>
      <c r="B383">
        <v>91</v>
      </c>
      <c r="C383">
        <v>66790248</v>
      </c>
      <c r="D383" t="s">
        <v>684</v>
      </c>
      <c r="E383" t="s">
        <v>13</v>
      </c>
      <c r="F383" t="s">
        <v>14</v>
      </c>
      <c r="G383">
        <v>45000000</v>
      </c>
      <c r="H383">
        <v>6.5</v>
      </c>
      <c r="I383" t="s">
        <v>31</v>
      </c>
      <c r="J383" t="s">
        <v>24</v>
      </c>
    </row>
    <row r="384" spans="1:14" x14ac:dyDescent="0.25">
      <c r="A384" t="s">
        <v>685</v>
      </c>
      <c r="B384">
        <v>89</v>
      </c>
      <c r="C384">
        <v>66734992</v>
      </c>
      <c r="D384" t="s">
        <v>686</v>
      </c>
      <c r="E384" t="s">
        <v>13</v>
      </c>
      <c r="F384" t="s">
        <v>14</v>
      </c>
      <c r="G384">
        <v>60000000</v>
      </c>
      <c r="H384">
        <v>4.4000000000000004</v>
      </c>
      <c r="I384" t="s">
        <v>34</v>
      </c>
      <c r="J384" t="s">
        <v>28</v>
      </c>
      <c r="K384" t="s">
        <v>15</v>
      </c>
      <c r="L384" t="s">
        <v>38</v>
      </c>
    </row>
    <row r="385" spans="1:14" x14ac:dyDescent="0.25">
      <c r="A385" t="s">
        <v>380</v>
      </c>
      <c r="B385">
        <v>170</v>
      </c>
      <c r="C385">
        <v>66676062</v>
      </c>
      <c r="D385" t="s">
        <v>687</v>
      </c>
      <c r="E385" t="s">
        <v>13</v>
      </c>
      <c r="F385" t="s">
        <v>14</v>
      </c>
      <c r="G385">
        <v>54000000</v>
      </c>
      <c r="H385">
        <v>7.6</v>
      </c>
      <c r="I385" t="s">
        <v>38</v>
      </c>
      <c r="J385" t="s">
        <v>31</v>
      </c>
    </row>
    <row r="386" spans="1:14" x14ac:dyDescent="0.25">
      <c r="A386" t="s">
        <v>688</v>
      </c>
      <c r="B386">
        <v>102</v>
      </c>
      <c r="C386">
        <v>66636385</v>
      </c>
      <c r="D386" t="s">
        <v>689</v>
      </c>
      <c r="E386" t="s">
        <v>13</v>
      </c>
      <c r="F386" t="s">
        <v>14</v>
      </c>
      <c r="G386">
        <v>75000000</v>
      </c>
      <c r="H386">
        <v>7.1</v>
      </c>
      <c r="I386" t="s">
        <v>42</v>
      </c>
      <c r="J386" t="s">
        <v>15</v>
      </c>
      <c r="K386" t="s">
        <v>31</v>
      </c>
      <c r="L386" t="s">
        <v>64</v>
      </c>
    </row>
    <row r="387" spans="1:14" x14ac:dyDescent="0.25">
      <c r="A387" t="s">
        <v>690</v>
      </c>
      <c r="B387">
        <v>91</v>
      </c>
      <c r="C387">
        <v>66600000</v>
      </c>
      <c r="D387" t="s">
        <v>691</v>
      </c>
      <c r="E387" t="s">
        <v>13</v>
      </c>
      <c r="F387" t="s">
        <v>45</v>
      </c>
      <c r="G387">
        <v>30000000</v>
      </c>
      <c r="H387">
        <v>6.8</v>
      </c>
      <c r="I387" t="s">
        <v>15</v>
      </c>
      <c r="J387" t="s">
        <v>31</v>
      </c>
      <c r="K387" t="s">
        <v>16</v>
      </c>
    </row>
    <row r="388" spans="1:14" x14ac:dyDescent="0.25">
      <c r="A388" t="s">
        <v>692</v>
      </c>
      <c r="B388">
        <v>133</v>
      </c>
      <c r="C388">
        <v>66528842</v>
      </c>
      <c r="D388" t="s">
        <v>693</v>
      </c>
      <c r="E388" t="s">
        <v>13</v>
      </c>
      <c r="F388" t="s">
        <v>14</v>
      </c>
      <c r="G388">
        <v>30000000</v>
      </c>
      <c r="H388">
        <v>7.5</v>
      </c>
      <c r="I388" t="s">
        <v>31</v>
      </c>
      <c r="J388" t="s">
        <v>19</v>
      </c>
      <c r="K388" t="s">
        <v>83</v>
      </c>
      <c r="L388" t="s">
        <v>69</v>
      </c>
    </row>
    <row r="389" spans="1:14" x14ac:dyDescent="0.25">
      <c r="A389" t="s">
        <v>517</v>
      </c>
      <c r="B389">
        <v>109</v>
      </c>
      <c r="C389">
        <v>66489425</v>
      </c>
      <c r="D389" t="s">
        <v>694</v>
      </c>
      <c r="E389" t="s">
        <v>13</v>
      </c>
      <c r="F389" t="s">
        <v>14</v>
      </c>
      <c r="G389">
        <v>25000000</v>
      </c>
      <c r="H389">
        <v>6.5</v>
      </c>
      <c r="I389" t="s">
        <v>34</v>
      </c>
      <c r="J389" t="s">
        <v>38</v>
      </c>
      <c r="K389" t="s">
        <v>31</v>
      </c>
      <c r="L389" t="s">
        <v>24</v>
      </c>
    </row>
    <row r="390" spans="1:14" x14ac:dyDescent="0.25">
      <c r="A390" t="s">
        <v>365</v>
      </c>
      <c r="B390">
        <v>118</v>
      </c>
      <c r="C390">
        <v>66488090</v>
      </c>
      <c r="D390" t="s">
        <v>695</v>
      </c>
      <c r="E390" t="s">
        <v>13</v>
      </c>
      <c r="F390" t="s">
        <v>14</v>
      </c>
      <c r="G390">
        <v>48000000</v>
      </c>
      <c r="H390">
        <v>6.7</v>
      </c>
      <c r="I390" t="s">
        <v>38</v>
      </c>
      <c r="J390" t="s">
        <v>31</v>
      </c>
      <c r="K390" t="s">
        <v>23</v>
      </c>
      <c r="L390" t="s">
        <v>24</v>
      </c>
    </row>
    <row r="391" spans="1:14" x14ac:dyDescent="0.25">
      <c r="A391" t="s">
        <v>696</v>
      </c>
      <c r="B391">
        <v>119</v>
      </c>
      <c r="C391">
        <v>66468315</v>
      </c>
      <c r="D391" t="s">
        <v>697</v>
      </c>
      <c r="E391" t="s">
        <v>13</v>
      </c>
      <c r="F391" t="s">
        <v>14</v>
      </c>
      <c r="G391">
        <v>30000000</v>
      </c>
      <c r="H391">
        <v>7.4</v>
      </c>
      <c r="I391" t="s">
        <v>34</v>
      </c>
      <c r="J391" t="s">
        <v>38</v>
      </c>
      <c r="K391" t="s">
        <v>31</v>
      </c>
      <c r="L391" t="s">
        <v>37</v>
      </c>
      <c r="M391" t="s">
        <v>24</v>
      </c>
    </row>
    <row r="392" spans="1:14" x14ac:dyDescent="0.25">
      <c r="A392" t="s">
        <v>698</v>
      </c>
      <c r="B392">
        <v>82</v>
      </c>
      <c r="C392">
        <v>66466372</v>
      </c>
      <c r="D392" t="s">
        <v>699</v>
      </c>
      <c r="E392" t="s">
        <v>13</v>
      </c>
      <c r="F392" t="s">
        <v>14</v>
      </c>
      <c r="G392">
        <v>40000000</v>
      </c>
      <c r="H392">
        <v>5.2</v>
      </c>
      <c r="I392" t="s">
        <v>22</v>
      </c>
    </row>
    <row r="393" spans="1:14" x14ac:dyDescent="0.25">
      <c r="A393" t="s">
        <v>632</v>
      </c>
      <c r="B393">
        <v>110</v>
      </c>
      <c r="C393">
        <v>66462600</v>
      </c>
      <c r="D393" t="s">
        <v>700</v>
      </c>
      <c r="E393" t="s">
        <v>13</v>
      </c>
      <c r="F393" t="s">
        <v>14</v>
      </c>
      <c r="G393">
        <v>78000000</v>
      </c>
      <c r="H393">
        <v>5.8</v>
      </c>
      <c r="I393" t="s">
        <v>34</v>
      </c>
      <c r="J393" t="s">
        <v>28</v>
      </c>
      <c r="K393" t="s">
        <v>17</v>
      </c>
      <c r="L393" t="s">
        <v>37</v>
      </c>
    </row>
    <row r="394" spans="1:14" x14ac:dyDescent="0.25">
      <c r="A394" t="s">
        <v>601</v>
      </c>
      <c r="B394">
        <v>85</v>
      </c>
      <c r="C394">
        <v>66365290</v>
      </c>
      <c r="D394" t="s">
        <v>701</v>
      </c>
      <c r="E394" t="s">
        <v>13</v>
      </c>
      <c r="F394" t="s">
        <v>14</v>
      </c>
      <c r="G394">
        <v>55000000</v>
      </c>
      <c r="H394">
        <v>6.4</v>
      </c>
      <c r="I394" t="s">
        <v>15</v>
      </c>
    </row>
    <row r="395" spans="1:14" x14ac:dyDescent="0.25">
      <c r="A395" t="s">
        <v>702</v>
      </c>
      <c r="B395">
        <v>98</v>
      </c>
      <c r="C395">
        <v>66359959</v>
      </c>
      <c r="D395" t="s">
        <v>703</v>
      </c>
      <c r="E395" t="s">
        <v>13</v>
      </c>
      <c r="F395" t="s">
        <v>14</v>
      </c>
      <c r="G395">
        <v>35000000</v>
      </c>
      <c r="H395">
        <v>6.9</v>
      </c>
      <c r="I395" t="s">
        <v>15</v>
      </c>
      <c r="J395" t="s">
        <v>22</v>
      </c>
      <c r="K395" t="s">
        <v>19</v>
      </c>
    </row>
    <row r="396" spans="1:14" x14ac:dyDescent="0.25">
      <c r="A396" t="s">
        <v>554</v>
      </c>
      <c r="B396">
        <v>125</v>
      </c>
      <c r="C396">
        <v>66257002</v>
      </c>
      <c r="D396" t="s">
        <v>704</v>
      </c>
      <c r="E396" t="s">
        <v>13</v>
      </c>
      <c r="F396" t="s">
        <v>14</v>
      </c>
      <c r="G396">
        <v>70000000</v>
      </c>
      <c r="H396">
        <v>8</v>
      </c>
      <c r="I396" t="s">
        <v>28</v>
      </c>
      <c r="J396" t="s">
        <v>31</v>
      </c>
      <c r="K396" t="s">
        <v>17</v>
      </c>
    </row>
    <row r="397" spans="1:14" x14ac:dyDescent="0.25">
      <c r="A397" t="s">
        <v>62</v>
      </c>
      <c r="B397">
        <v>137</v>
      </c>
      <c r="C397">
        <v>66207920</v>
      </c>
      <c r="D397" t="s">
        <v>705</v>
      </c>
      <c r="E397" t="s">
        <v>13</v>
      </c>
      <c r="F397" t="s">
        <v>14</v>
      </c>
      <c r="G397">
        <v>30000000</v>
      </c>
      <c r="H397">
        <v>8</v>
      </c>
      <c r="I397" t="s">
        <v>34</v>
      </c>
      <c r="J397" t="s">
        <v>38</v>
      </c>
      <c r="K397" t="s">
        <v>31</v>
      </c>
      <c r="L397" t="s">
        <v>24</v>
      </c>
    </row>
    <row r="398" spans="1:14" x14ac:dyDescent="0.25">
      <c r="A398" t="s">
        <v>706</v>
      </c>
      <c r="B398">
        <v>115</v>
      </c>
      <c r="C398">
        <v>66009973</v>
      </c>
      <c r="D398" t="s">
        <v>707</v>
      </c>
      <c r="E398" t="s">
        <v>13</v>
      </c>
      <c r="F398" t="s">
        <v>14</v>
      </c>
      <c r="G398">
        <v>14800000</v>
      </c>
      <c r="H398">
        <v>5.7</v>
      </c>
      <c r="I398" t="s">
        <v>15</v>
      </c>
      <c r="J398" t="s">
        <v>31</v>
      </c>
      <c r="K398" t="s">
        <v>18</v>
      </c>
    </row>
    <row r="399" spans="1:14" x14ac:dyDescent="0.25">
      <c r="A399" t="s">
        <v>708</v>
      </c>
      <c r="B399">
        <v>101</v>
      </c>
      <c r="C399">
        <v>66002004</v>
      </c>
      <c r="D399" t="s">
        <v>709</v>
      </c>
      <c r="E399" t="s">
        <v>13</v>
      </c>
      <c r="F399" t="s">
        <v>14</v>
      </c>
      <c r="G399">
        <v>50000000</v>
      </c>
      <c r="H399">
        <v>4.7</v>
      </c>
      <c r="I399" t="s">
        <v>28</v>
      </c>
      <c r="J399" t="s">
        <v>15</v>
      </c>
      <c r="K399" t="s">
        <v>16</v>
      </c>
      <c r="L399" t="s">
        <v>17</v>
      </c>
      <c r="M399" t="s">
        <v>19</v>
      </c>
      <c r="N399" t="s">
        <v>41</v>
      </c>
    </row>
    <row r="400" spans="1:14" x14ac:dyDescent="0.25">
      <c r="A400" t="s">
        <v>474</v>
      </c>
      <c r="B400">
        <v>129</v>
      </c>
      <c r="C400">
        <v>65948711</v>
      </c>
      <c r="D400" t="s">
        <v>710</v>
      </c>
      <c r="E400" t="s">
        <v>13</v>
      </c>
      <c r="F400" t="s">
        <v>14</v>
      </c>
      <c r="G400">
        <v>80000000</v>
      </c>
      <c r="H400">
        <v>6.6</v>
      </c>
      <c r="I400" t="s">
        <v>31</v>
      </c>
      <c r="J400" t="s">
        <v>23</v>
      </c>
      <c r="K400" t="s">
        <v>37</v>
      </c>
      <c r="L400" t="s">
        <v>24</v>
      </c>
    </row>
    <row r="401" spans="1:14" x14ac:dyDescent="0.25">
      <c r="A401" t="s">
        <v>711</v>
      </c>
      <c r="B401">
        <v>119</v>
      </c>
      <c r="C401">
        <v>65807024</v>
      </c>
      <c r="D401" t="s">
        <v>712</v>
      </c>
      <c r="E401" t="s">
        <v>13</v>
      </c>
      <c r="F401" t="s">
        <v>14</v>
      </c>
      <c r="G401">
        <v>19000000</v>
      </c>
      <c r="H401">
        <v>6.8</v>
      </c>
      <c r="I401" t="s">
        <v>34</v>
      </c>
      <c r="J401" t="s">
        <v>15</v>
      </c>
      <c r="K401" t="s">
        <v>38</v>
      </c>
      <c r="L401" t="s">
        <v>31</v>
      </c>
      <c r="M401" t="s">
        <v>24</v>
      </c>
    </row>
    <row r="402" spans="1:14" x14ac:dyDescent="0.25">
      <c r="A402" t="s">
        <v>621</v>
      </c>
      <c r="B402">
        <v>121</v>
      </c>
      <c r="C402">
        <v>65703412</v>
      </c>
      <c r="D402" t="s">
        <v>713</v>
      </c>
      <c r="E402" t="s">
        <v>13</v>
      </c>
      <c r="F402" t="s">
        <v>14</v>
      </c>
      <c r="G402">
        <v>26000000</v>
      </c>
      <c r="H402">
        <v>7</v>
      </c>
      <c r="I402" t="s">
        <v>15</v>
      </c>
      <c r="J402" t="s">
        <v>31</v>
      </c>
      <c r="K402" t="s">
        <v>19</v>
      </c>
    </row>
    <row r="403" spans="1:14" x14ac:dyDescent="0.25">
      <c r="A403" t="s">
        <v>276</v>
      </c>
      <c r="B403">
        <v>114</v>
      </c>
      <c r="C403">
        <v>65623128</v>
      </c>
      <c r="D403" t="s">
        <v>714</v>
      </c>
      <c r="E403" t="s">
        <v>13</v>
      </c>
      <c r="F403" t="s">
        <v>14</v>
      </c>
      <c r="G403">
        <v>20000000</v>
      </c>
      <c r="H403">
        <v>4.8</v>
      </c>
      <c r="I403" t="s">
        <v>15</v>
      </c>
      <c r="J403" t="s">
        <v>38</v>
      </c>
      <c r="K403" t="s">
        <v>31</v>
      </c>
    </row>
    <row r="404" spans="1:14" x14ac:dyDescent="0.25">
      <c r="A404" t="s">
        <v>715</v>
      </c>
      <c r="B404">
        <v>89</v>
      </c>
      <c r="C404">
        <v>65557989</v>
      </c>
      <c r="D404" t="s">
        <v>716</v>
      </c>
      <c r="E404" t="s">
        <v>13</v>
      </c>
      <c r="F404" t="s">
        <v>14</v>
      </c>
      <c r="G404">
        <v>45000000</v>
      </c>
      <c r="H404">
        <v>4.5999999999999996</v>
      </c>
      <c r="I404" t="s">
        <v>34</v>
      </c>
      <c r="J404" t="s">
        <v>28</v>
      </c>
      <c r="K404" t="s">
        <v>22</v>
      </c>
      <c r="L404" t="s">
        <v>24</v>
      </c>
    </row>
    <row r="405" spans="1:14" x14ac:dyDescent="0.25">
      <c r="A405" t="s">
        <v>717</v>
      </c>
      <c r="B405">
        <v>88</v>
      </c>
      <c r="C405">
        <v>65535067</v>
      </c>
      <c r="D405" t="s">
        <v>718</v>
      </c>
      <c r="E405" t="s">
        <v>13</v>
      </c>
      <c r="F405" t="s">
        <v>14</v>
      </c>
      <c r="G405">
        <v>17000000</v>
      </c>
      <c r="H405">
        <v>5.7</v>
      </c>
      <c r="I405" t="s">
        <v>15</v>
      </c>
      <c r="J405" t="s">
        <v>19</v>
      </c>
    </row>
    <row r="406" spans="1:14" x14ac:dyDescent="0.25">
      <c r="A406" t="s">
        <v>198</v>
      </c>
      <c r="B406">
        <v>112</v>
      </c>
      <c r="C406">
        <v>65500000</v>
      </c>
      <c r="D406" t="s">
        <v>719</v>
      </c>
      <c r="E406" t="s">
        <v>13</v>
      </c>
      <c r="F406" t="s">
        <v>14</v>
      </c>
      <c r="G406">
        <v>12000000</v>
      </c>
      <c r="H406">
        <v>7.4</v>
      </c>
      <c r="I406" t="s">
        <v>38</v>
      </c>
      <c r="J406" t="s">
        <v>31</v>
      </c>
      <c r="K406" t="s">
        <v>19</v>
      </c>
      <c r="L406" t="s">
        <v>24</v>
      </c>
    </row>
    <row r="407" spans="1:14" x14ac:dyDescent="0.25">
      <c r="A407" t="s">
        <v>480</v>
      </c>
      <c r="B407">
        <v>104</v>
      </c>
      <c r="C407">
        <v>65269010</v>
      </c>
      <c r="D407" t="s">
        <v>720</v>
      </c>
      <c r="E407" t="s">
        <v>13</v>
      </c>
      <c r="F407" t="s">
        <v>14</v>
      </c>
      <c r="G407">
        <v>12000000</v>
      </c>
      <c r="H407">
        <v>6.5</v>
      </c>
      <c r="I407" t="s">
        <v>38</v>
      </c>
      <c r="J407" t="s">
        <v>31</v>
      </c>
      <c r="K407" t="s">
        <v>18</v>
      </c>
      <c r="L407" t="s">
        <v>19</v>
      </c>
    </row>
    <row r="408" spans="1:14" x14ac:dyDescent="0.25">
      <c r="A408" t="s">
        <v>248</v>
      </c>
      <c r="B408">
        <v>106</v>
      </c>
      <c r="C408">
        <v>65182182</v>
      </c>
      <c r="D408" t="s">
        <v>721</v>
      </c>
      <c r="E408" t="s">
        <v>13</v>
      </c>
      <c r="F408" t="s">
        <v>14</v>
      </c>
      <c r="G408">
        <v>24000000</v>
      </c>
      <c r="H408">
        <v>5.7</v>
      </c>
      <c r="I408" t="s">
        <v>15</v>
      </c>
      <c r="J408" t="s">
        <v>19</v>
      </c>
    </row>
    <row r="409" spans="1:14" x14ac:dyDescent="0.25">
      <c r="A409" t="s">
        <v>210</v>
      </c>
      <c r="B409">
        <v>94</v>
      </c>
      <c r="C409">
        <v>65069140</v>
      </c>
      <c r="D409" t="s">
        <v>722</v>
      </c>
      <c r="E409" t="s">
        <v>13</v>
      </c>
      <c r="F409" t="s">
        <v>14</v>
      </c>
      <c r="G409">
        <v>5000000</v>
      </c>
      <c r="H409">
        <v>6.2</v>
      </c>
      <c r="I409" t="s">
        <v>22</v>
      </c>
      <c r="J409" t="s">
        <v>24</v>
      </c>
    </row>
    <row r="410" spans="1:14" x14ac:dyDescent="0.25">
      <c r="A410" t="s">
        <v>688</v>
      </c>
      <c r="B410">
        <v>125</v>
      </c>
      <c r="C410">
        <v>65012000</v>
      </c>
      <c r="D410" t="s">
        <v>723</v>
      </c>
      <c r="E410" t="s">
        <v>13</v>
      </c>
      <c r="F410" t="s">
        <v>14</v>
      </c>
      <c r="G410">
        <v>70000000</v>
      </c>
      <c r="H410">
        <v>6.2</v>
      </c>
      <c r="I410" t="s">
        <v>31</v>
      </c>
      <c r="J410" t="s">
        <v>22</v>
      </c>
      <c r="K410" t="s">
        <v>19</v>
      </c>
      <c r="L410" t="s">
        <v>24</v>
      </c>
    </row>
    <row r="411" spans="1:14" x14ac:dyDescent="0.25">
      <c r="A411" t="s">
        <v>375</v>
      </c>
      <c r="B411">
        <v>125</v>
      </c>
      <c r="C411">
        <v>65010106</v>
      </c>
      <c r="D411" t="s">
        <v>724</v>
      </c>
      <c r="E411" t="s">
        <v>13</v>
      </c>
      <c r="F411" t="s">
        <v>14</v>
      </c>
      <c r="G411">
        <v>30000000</v>
      </c>
      <c r="H411">
        <v>7.2</v>
      </c>
      <c r="I411" t="s">
        <v>15</v>
      </c>
      <c r="J411" t="s">
        <v>31</v>
      </c>
    </row>
    <row r="412" spans="1:14" x14ac:dyDescent="0.25">
      <c r="A412" t="s">
        <v>231</v>
      </c>
      <c r="B412">
        <v>114</v>
      </c>
      <c r="C412">
        <v>65000000</v>
      </c>
      <c r="D412" t="s">
        <v>725</v>
      </c>
      <c r="E412" t="s">
        <v>13</v>
      </c>
      <c r="F412" t="s">
        <v>14</v>
      </c>
      <c r="G412">
        <v>62000000</v>
      </c>
      <c r="H412">
        <v>6.8</v>
      </c>
      <c r="I412" t="s">
        <v>15</v>
      </c>
      <c r="J412" t="s">
        <v>31</v>
      </c>
      <c r="K412" t="s">
        <v>19</v>
      </c>
    </row>
    <row r="413" spans="1:14" x14ac:dyDescent="0.25">
      <c r="A413" t="s">
        <v>726</v>
      </c>
      <c r="B413">
        <v>112</v>
      </c>
      <c r="C413">
        <v>64998368</v>
      </c>
      <c r="D413" t="s">
        <v>727</v>
      </c>
      <c r="E413" t="s">
        <v>13</v>
      </c>
      <c r="F413" t="s">
        <v>14</v>
      </c>
      <c r="G413">
        <v>17000000</v>
      </c>
      <c r="H413">
        <v>7.2</v>
      </c>
      <c r="I413" t="s">
        <v>15</v>
      </c>
      <c r="J413" t="s">
        <v>18</v>
      </c>
      <c r="K413" t="s">
        <v>19</v>
      </c>
    </row>
    <row r="414" spans="1:14" x14ac:dyDescent="0.25">
      <c r="A414" t="s">
        <v>659</v>
      </c>
      <c r="B414">
        <v>106</v>
      </c>
      <c r="C414">
        <v>64955956</v>
      </c>
      <c r="D414" t="s">
        <v>728</v>
      </c>
      <c r="E414" t="s">
        <v>13</v>
      </c>
      <c r="F414" t="s">
        <v>14</v>
      </c>
      <c r="G414">
        <v>18000000</v>
      </c>
      <c r="H414">
        <v>5.7</v>
      </c>
      <c r="I414" t="s">
        <v>15</v>
      </c>
      <c r="J414" t="s">
        <v>31</v>
      </c>
    </row>
    <row r="415" spans="1:14" x14ac:dyDescent="0.25">
      <c r="A415" t="s">
        <v>359</v>
      </c>
      <c r="B415">
        <v>106</v>
      </c>
      <c r="C415">
        <v>64933670</v>
      </c>
      <c r="D415" t="s">
        <v>729</v>
      </c>
      <c r="E415" t="s">
        <v>13</v>
      </c>
      <c r="F415" t="s">
        <v>14</v>
      </c>
      <c r="G415">
        <v>85000000</v>
      </c>
      <c r="H415">
        <v>5.6</v>
      </c>
      <c r="I415" t="s">
        <v>28</v>
      </c>
      <c r="J415" t="s">
        <v>15</v>
      </c>
      <c r="K415" t="s">
        <v>31</v>
      </c>
      <c r="L415" t="s">
        <v>16</v>
      </c>
      <c r="M415" t="s">
        <v>17</v>
      </c>
    </row>
    <row r="416" spans="1:14" x14ac:dyDescent="0.25">
      <c r="A416" t="s">
        <v>560</v>
      </c>
      <c r="B416">
        <v>129</v>
      </c>
      <c r="C416">
        <v>64685359</v>
      </c>
      <c r="D416" t="s">
        <v>730</v>
      </c>
      <c r="E416" t="s">
        <v>13</v>
      </c>
      <c r="F416" t="s">
        <v>14</v>
      </c>
      <c r="G416">
        <v>90000000</v>
      </c>
      <c r="H416">
        <v>6.9</v>
      </c>
      <c r="I416" t="s">
        <v>34</v>
      </c>
      <c r="J416" t="s">
        <v>28</v>
      </c>
      <c r="K416" t="s">
        <v>15</v>
      </c>
      <c r="L416" t="s">
        <v>38</v>
      </c>
      <c r="M416" t="s">
        <v>23</v>
      </c>
      <c r="N416" t="s">
        <v>24</v>
      </c>
    </row>
    <row r="417" spans="1:13" x14ac:dyDescent="0.25">
      <c r="A417" t="s">
        <v>731</v>
      </c>
      <c r="B417">
        <v>138</v>
      </c>
      <c r="C417">
        <v>64604977</v>
      </c>
      <c r="D417" t="s">
        <v>732</v>
      </c>
      <c r="E417" t="s">
        <v>13</v>
      </c>
      <c r="F417" t="s">
        <v>14</v>
      </c>
      <c r="G417">
        <v>35000000</v>
      </c>
      <c r="H417">
        <v>8.3000000000000007</v>
      </c>
      <c r="I417" t="s">
        <v>38</v>
      </c>
      <c r="J417" t="s">
        <v>31</v>
      </c>
      <c r="K417" t="s">
        <v>23</v>
      </c>
      <c r="L417" t="s">
        <v>24</v>
      </c>
    </row>
    <row r="418" spans="1:13" x14ac:dyDescent="0.25">
      <c r="A418" t="s">
        <v>733</v>
      </c>
      <c r="B418">
        <v>89</v>
      </c>
      <c r="C418">
        <v>64572496</v>
      </c>
      <c r="D418" t="s">
        <v>734</v>
      </c>
      <c r="E418" t="s">
        <v>13</v>
      </c>
      <c r="F418" t="s">
        <v>14</v>
      </c>
      <c r="G418">
        <v>12000000</v>
      </c>
      <c r="H418">
        <v>7.1</v>
      </c>
      <c r="I418" t="s">
        <v>31</v>
      </c>
      <c r="J418" t="s">
        <v>37</v>
      </c>
      <c r="K418" t="s">
        <v>24</v>
      </c>
    </row>
    <row r="419" spans="1:13" x14ac:dyDescent="0.25">
      <c r="A419" t="s">
        <v>210</v>
      </c>
      <c r="B419">
        <v>91</v>
      </c>
      <c r="C419">
        <v>64505912</v>
      </c>
      <c r="D419" t="s">
        <v>735</v>
      </c>
      <c r="E419" t="s">
        <v>13</v>
      </c>
      <c r="F419" t="s">
        <v>14</v>
      </c>
      <c r="G419">
        <v>48000000</v>
      </c>
      <c r="H419">
        <v>5</v>
      </c>
      <c r="I419" t="s">
        <v>37</v>
      </c>
      <c r="J419" t="s">
        <v>24</v>
      </c>
    </row>
    <row r="420" spans="1:13" x14ac:dyDescent="0.25">
      <c r="A420" t="s">
        <v>458</v>
      </c>
      <c r="B420">
        <v>85</v>
      </c>
      <c r="C420">
        <v>64423650</v>
      </c>
      <c r="D420" t="s">
        <v>736</v>
      </c>
      <c r="E420" t="s">
        <v>13</v>
      </c>
      <c r="F420" t="s">
        <v>14</v>
      </c>
      <c r="G420">
        <v>3000000</v>
      </c>
      <c r="H420">
        <v>5.7</v>
      </c>
      <c r="I420" t="s">
        <v>22</v>
      </c>
      <c r="J420" t="s">
        <v>37</v>
      </c>
      <c r="K420" t="s">
        <v>24</v>
      </c>
    </row>
    <row r="421" spans="1:13" x14ac:dyDescent="0.25">
      <c r="A421" t="s">
        <v>737</v>
      </c>
      <c r="B421">
        <v>135</v>
      </c>
      <c r="C421">
        <v>64371181</v>
      </c>
      <c r="D421" t="s">
        <v>738</v>
      </c>
      <c r="E421" t="s">
        <v>13</v>
      </c>
      <c r="F421" t="s">
        <v>14</v>
      </c>
      <c r="G421">
        <v>28000000</v>
      </c>
      <c r="H421">
        <v>7.5</v>
      </c>
      <c r="I421" t="s">
        <v>42</v>
      </c>
      <c r="J421" t="s">
        <v>31</v>
      </c>
      <c r="K421" t="s">
        <v>64</v>
      </c>
      <c r="L421" t="s">
        <v>41</v>
      </c>
    </row>
    <row r="422" spans="1:13" x14ac:dyDescent="0.25">
      <c r="A422" t="s">
        <v>139</v>
      </c>
      <c r="B422">
        <v>87</v>
      </c>
      <c r="C422">
        <v>64267897</v>
      </c>
      <c r="D422" t="s">
        <v>739</v>
      </c>
      <c r="E422" t="s">
        <v>13</v>
      </c>
      <c r="F422" t="s">
        <v>14</v>
      </c>
      <c r="G422">
        <v>5000000</v>
      </c>
      <c r="H422">
        <v>6.6</v>
      </c>
      <c r="I422" t="s">
        <v>15</v>
      </c>
      <c r="J422" t="s">
        <v>52</v>
      </c>
    </row>
    <row r="423" spans="1:13" x14ac:dyDescent="0.25">
      <c r="A423" t="s">
        <v>740</v>
      </c>
      <c r="B423">
        <v>90</v>
      </c>
      <c r="C423">
        <v>64255243</v>
      </c>
      <c r="D423" t="s">
        <v>741</v>
      </c>
      <c r="E423" t="s">
        <v>13</v>
      </c>
      <c r="F423" t="s">
        <v>14</v>
      </c>
      <c r="G423">
        <v>19000000</v>
      </c>
      <c r="H423">
        <v>6</v>
      </c>
      <c r="I423" t="s">
        <v>31</v>
      </c>
      <c r="J423" t="s">
        <v>22</v>
      </c>
      <c r="K423" t="s">
        <v>23</v>
      </c>
      <c r="L423" t="s">
        <v>24</v>
      </c>
    </row>
    <row r="424" spans="1:13" x14ac:dyDescent="0.25">
      <c r="A424" t="s">
        <v>742</v>
      </c>
      <c r="B424">
        <v>85</v>
      </c>
      <c r="C424">
        <v>64238770</v>
      </c>
      <c r="D424" t="s">
        <v>743</v>
      </c>
      <c r="E424" t="s">
        <v>13</v>
      </c>
      <c r="F424" t="s">
        <v>98</v>
      </c>
      <c r="G424">
        <v>42000000</v>
      </c>
      <c r="H424">
        <v>5.8</v>
      </c>
      <c r="I424" t="s">
        <v>28</v>
      </c>
      <c r="J424" t="s">
        <v>46</v>
      </c>
      <c r="K424" t="s">
        <v>15</v>
      </c>
      <c r="L424" t="s">
        <v>16</v>
      </c>
    </row>
    <row r="425" spans="1:13" x14ac:dyDescent="0.25">
      <c r="A425" t="s">
        <v>744</v>
      </c>
      <c r="B425">
        <v>87</v>
      </c>
      <c r="C425">
        <v>64172251</v>
      </c>
      <c r="D425" t="s">
        <v>745</v>
      </c>
      <c r="E425" t="s">
        <v>13</v>
      </c>
      <c r="F425" t="s">
        <v>14</v>
      </c>
      <c r="G425">
        <v>30000000</v>
      </c>
      <c r="H425">
        <v>5.4</v>
      </c>
      <c r="I425" t="s">
        <v>15</v>
      </c>
      <c r="J425" t="s">
        <v>17</v>
      </c>
    </row>
    <row r="426" spans="1:13" x14ac:dyDescent="0.25">
      <c r="A426" t="s">
        <v>746</v>
      </c>
      <c r="B426">
        <v>102</v>
      </c>
      <c r="C426">
        <v>64149837</v>
      </c>
      <c r="D426" t="s">
        <v>747</v>
      </c>
      <c r="E426" t="s">
        <v>13</v>
      </c>
      <c r="F426" t="s">
        <v>14</v>
      </c>
      <c r="G426">
        <v>20000000</v>
      </c>
      <c r="H426">
        <v>6.4</v>
      </c>
      <c r="I426" t="s">
        <v>15</v>
      </c>
      <c r="J426" t="s">
        <v>31</v>
      </c>
      <c r="K426" t="s">
        <v>16</v>
      </c>
      <c r="L426" t="s">
        <v>17</v>
      </c>
      <c r="M426" t="s">
        <v>19</v>
      </c>
    </row>
    <row r="427" spans="1:13" x14ac:dyDescent="0.25">
      <c r="A427" t="s">
        <v>558</v>
      </c>
      <c r="B427">
        <v>94</v>
      </c>
      <c r="C427">
        <v>64001297</v>
      </c>
      <c r="D427" t="s">
        <v>748</v>
      </c>
      <c r="E427" t="s">
        <v>13</v>
      </c>
      <c r="F427" t="s">
        <v>14</v>
      </c>
      <c r="G427">
        <v>15000000</v>
      </c>
      <c r="H427">
        <v>6.2</v>
      </c>
      <c r="I427" t="s">
        <v>15</v>
      </c>
      <c r="J427" t="s">
        <v>16</v>
      </c>
    </row>
    <row r="428" spans="1:13" x14ac:dyDescent="0.25">
      <c r="A428" t="s">
        <v>717</v>
      </c>
      <c r="B428">
        <v>100</v>
      </c>
      <c r="C428">
        <v>63939454</v>
      </c>
      <c r="D428" t="s">
        <v>749</v>
      </c>
      <c r="E428" t="s">
        <v>13</v>
      </c>
      <c r="F428" t="s">
        <v>14</v>
      </c>
      <c r="G428">
        <v>35000000</v>
      </c>
      <c r="H428">
        <v>6.2</v>
      </c>
      <c r="I428" t="s">
        <v>28</v>
      </c>
      <c r="J428" t="s">
        <v>15</v>
      </c>
      <c r="K428" t="s">
        <v>16</v>
      </c>
      <c r="L428" t="s">
        <v>37</v>
      </c>
    </row>
    <row r="429" spans="1:13" x14ac:dyDescent="0.25">
      <c r="A429" t="s">
        <v>105</v>
      </c>
      <c r="B429">
        <v>105</v>
      </c>
      <c r="C429">
        <v>63910583</v>
      </c>
      <c r="D429" t="s">
        <v>750</v>
      </c>
      <c r="E429" t="s">
        <v>13</v>
      </c>
      <c r="F429" t="s">
        <v>14</v>
      </c>
      <c r="G429">
        <v>28000000</v>
      </c>
      <c r="H429">
        <v>6.6</v>
      </c>
      <c r="I429" t="s">
        <v>15</v>
      </c>
      <c r="J429" t="s">
        <v>19</v>
      </c>
    </row>
    <row r="430" spans="1:13" x14ac:dyDescent="0.25">
      <c r="A430" t="s">
        <v>601</v>
      </c>
      <c r="B430">
        <v>90</v>
      </c>
      <c r="C430">
        <v>63826569</v>
      </c>
      <c r="D430" t="s">
        <v>751</v>
      </c>
      <c r="E430" t="s">
        <v>13</v>
      </c>
      <c r="F430" t="s">
        <v>14</v>
      </c>
      <c r="G430">
        <v>35000000</v>
      </c>
      <c r="H430">
        <v>6.3</v>
      </c>
      <c r="I430" t="s">
        <v>15</v>
      </c>
    </row>
    <row r="431" spans="1:13" x14ac:dyDescent="0.25">
      <c r="A431" t="s">
        <v>752</v>
      </c>
      <c r="B431">
        <v>117</v>
      </c>
      <c r="C431">
        <v>63695760</v>
      </c>
      <c r="D431" t="s">
        <v>753</v>
      </c>
      <c r="E431" t="s">
        <v>13</v>
      </c>
      <c r="F431" t="s">
        <v>14</v>
      </c>
      <c r="G431">
        <v>65000000</v>
      </c>
      <c r="H431">
        <v>6.4</v>
      </c>
      <c r="I431" t="s">
        <v>31</v>
      </c>
    </row>
    <row r="432" spans="1:13" x14ac:dyDescent="0.25">
      <c r="A432" t="s">
        <v>754</v>
      </c>
      <c r="B432">
        <v>130</v>
      </c>
      <c r="C432">
        <v>63600000</v>
      </c>
      <c r="D432" t="s">
        <v>755</v>
      </c>
      <c r="E432" t="s">
        <v>13</v>
      </c>
      <c r="F432" t="s">
        <v>82</v>
      </c>
      <c r="G432">
        <v>9000000</v>
      </c>
      <c r="H432">
        <v>7</v>
      </c>
      <c r="I432" t="s">
        <v>34</v>
      </c>
      <c r="J432" t="s">
        <v>28</v>
      </c>
      <c r="K432" t="s">
        <v>24</v>
      </c>
    </row>
    <row r="433" spans="1:12" x14ac:dyDescent="0.25">
      <c r="A433" t="s">
        <v>756</v>
      </c>
      <c r="B433">
        <v>100</v>
      </c>
      <c r="C433">
        <v>63536011</v>
      </c>
      <c r="D433" t="s">
        <v>757</v>
      </c>
      <c r="E433" t="s">
        <v>13</v>
      </c>
      <c r="F433" t="s">
        <v>14</v>
      </c>
      <c r="G433">
        <v>30000000</v>
      </c>
      <c r="H433">
        <v>6.3</v>
      </c>
      <c r="I433" t="s">
        <v>15</v>
      </c>
      <c r="J433" t="s">
        <v>31</v>
      </c>
      <c r="K433" t="s">
        <v>19</v>
      </c>
    </row>
    <row r="434" spans="1:12" x14ac:dyDescent="0.25">
      <c r="A434" t="s">
        <v>283</v>
      </c>
      <c r="B434">
        <v>107</v>
      </c>
      <c r="C434">
        <v>63411478</v>
      </c>
      <c r="D434" t="s">
        <v>758</v>
      </c>
      <c r="E434" t="s">
        <v>13</v>
      </c>
      <c r="F434" t="s">
        <v>14</v>
      </c>
      <c r="G434">
        <v>39000000</v>
      </c>
      <c r="H434">
        <v>7.1</v>
      </c>
      <c r="I434" t="s">
        <v>31</v>
      </c>
      <c r="J434" t="s">
        <v>17</v>
      </c>
      <c r="K434" t="s">
        <v>19</v>
      </c>
      <c r="L434" t="s">
        <v>37</v>
      </c>
    </row>
    <row r="435" spans="1:12" x14ac:dyDescent="0.25">
      <c r="A435" t="s">
        <v>759</v>
      </c>
      <c r="B435">
        <v>97</v>
      </c>
      <c r="C435">
        <v>63408614</v>
      </c>
      <c r="D435" t="s">
        <v>760</v>
      </c>
      <c r="E435" t="s">
        <v>13</v>
      </c>
      <c r="F435" t="s">
        <v>14</v>
      </c>
      <c r="G435">
        <v>55000000</v>
      </c>
      <c r="H435">
        <v>6.3</v>
      </c>
      <c r="I435" t="s">
        <v>34</v>
      </c>
      <c r="J435" t="s">
        <v>15</v>
      </c>
      <c r="K435" t="s">
        <v>38</v>
      </c>
      <c r="L435" t="s">
        <v>24</v>
      </c>
    </row>
    <row r="436" spans="1:12" x14ac:dyDescent="0.25">
      <c r="A436" t="s">
        <v>761</v>
      </c>
      <c r="B436">
        <v>95</v>
      </c>
      <c r="C436">
        <v>63319509</v>
      </c>
      <c r="D436" t="s">
        <v>762</v>
      </c>
      <c r="E436" t="s">
        <v>13</v>
      </c>
      <c r="F436" t="s">
        <v>14</v>
      </c>
      <c r="G436">
        <v>10000000</v>
      </c>
      <c r="H436">
        <v>5.8</v>
      </c>
      <c r="I436" t="s">
        <v>15</v>
      </c>
      <c r="J436" t="s">
        <v>19</v>
      </c>
    </row>
    <row r="437" spans="1:12" x14ac:dyDescent="0.25">
      <c r="A437" t="s">
        <v>314</v>
      </c>
      <c r="B437">
        <v>96</v>
      </c>
      <c r="C437">
        <v>63270259</v>
      </c>
      <c r="D437" t="s">
        <v>763</v>
      </c>
      <c r="E437" t="s">
        <v>13</v>
      </c>
      <c r="F437" t="s">
        <v>14</v>
      </c>
      <c r="G437">
        <v>10000000</v>
      </c>
      <c r="H437">
        <v>5.9</v>
      </c>
      <c r="I437" t="s">
        <v>22</v>
      </c>
      <c r="J437" t="s">
        <v>23</v>
      </c>
    </row>
    <row r="438" spans="1:12" x14ac:dyDescent="0.25">
      <c r="A438" t="s">
        <v>276</v>
      </c>
      <c r="B438">
        <v>107</v>
      </c>
      <c r="C438">
        <v>63231524</v>
      </c>
      <c r="D438" t="s">
        <v>764</v>
      </c>
      <c r="E438" t="s">
        <v>13</v>
      </c>
      <c r="F438" t="s">
        <v>14</v>
      </c>
      <c r="G438">
        <v>6000000</v>
      </c>
      <c r="H438">
        <v>5</v>
      </c>
      <c r="I438" t="s">
        <v>15</v>
      </c>
      <c r="J438" t="s">
        <v>31</v>
      </c>
      <c r="K438" t="s">
        <v>19</v>
      </c>
    </row>
    <row r="439" spans="1:12" x14ac:dyDescent="0.25">
      <c r="A439" t="s">
        <v>529</v>
      </c>
      <c r="B439">
        <v>138</v>
      </c>
      <c r="C439">
        <v>63224849</v>
      </c>
      <c r="D439" t="s">
        <v>765</v>
      </c>
      <c r="E439" t="s">
        <v>13</v>
      </c>
      <c r="F439" t="s">
        <v>14</v>
      </c>
      <c r="G439">
        <v>85000000</v>
      </c>
      <c r="H439">
        <v>6.9</v>
      </c>
      <c r="I439" t="s">
        <v>15</v>
      </c>
      <c r="J439" t="s">
        <v>19</v>
      </c>
    </row>
    <row r="440" spans="1:12" x14ac:dyDescent="0.25">
      <c r="A440" t="s">
        <v>766</v>
      </c>
      <c r="B440">
        <v>81</v>
      </c>
      <c r="C440">
        <v>63071133</v>
      </c>
      <c r="D440" t="s">
        <v>767</v>
      </c>
      <c r="E440" t="s">
        <v>13</v>
      </c>
      <c r="F440" t="s">
        <v>14</v>
      </c>
      <c r="G440">
        <v>12000000</v>
      </c>
      <c r="H440">
        <v>6.8</v>
      </c>
      <c r="I440" t="s">
        <v>28</v>
      </c>
      <c r="J440" t="s">
        <v>46</v>
      </c>
      <c r="K440" t="s">
        <v>15</v>
      </c>
      <c r="L440" t="s">
        <v>38</v>
      </c>
    </row>
    <row r="441" spans="1:12" x14ac:dyDescent="0.25">
      <c r="A441" t="s">
        <v>336</v>
      </c>
      <c r="B441">
        <v>99</v>
      </c>
      <c r="C441">
        <v>63034755</v>
      </c>
      <c r="D441" t="s">
        <v>768</v>
      </c>
      <c r="E441" t="s">
        <v>13</v>
      </c>
      <c r="F441" t="s">
        <v>14</v>
      </c>
      <c r="G441">
        <v>29000000</v>
      </c>
      <c r="H441">
        <v>5.3</v>
      </c>
      <c r="I441" t="s">
        <v>15</v>
      </c>
    </row>
    <row r="442" spans="1:12" x14ac:dyDescent="0.25">
      <c r="A442" t="s">
        <v>769</v>
      </c>
      <c r="B442">
        <v>107</v>
      </c>
      <c r="C442">
        <v>62933793</v>
      </c>
      <c r="D442" t="s">
        <v>770</v>
      </c>
      <c r="E442" t="s">
        <v>13</v>
      </c>
      <c r="F442" t="s">
        <v>14</v>
      </c>
      <c r="G442">
        <v>20000000</v>
      </c>
      <c r="H442">
        <v>5.8</v>
      </c>
      <c r="I442" t="s">
        <v>31</v>
      </c>
      <c r="J442" t="s">
        <v>16</v>
      </c>
      <c r="K442" t="s">
        <v>18</v>
      </c>
      <c r="L442" t="s">
        <v>19</v>
      </c>
    </row>
    <row r="443" spans="1:12" x14ac:dyDescent="0.25">
      <c r="A443" t="s">
        <v>771</v>
      </c>
      <c r="B443">
        <v>118</v>
      </c>
      <c r="C443">
        <v>62877175</v>
      </c>
      <c r="D443" t="s">
        <v>772</v>
      </c>
      <c r="E443" t="s">
        <v>13</v>
      </c>
      <c r="F443" t="s">
        <v>14</v>
      </c>
      <c r="G443">
        <v>30000000</v>
      </c>
      <c r="H443">
        <v>7.2</v>
      </c>
      <c r="I443" t="s">
        <v>15</v>
      </c>
      <c r="J443" t="s">
        <v>31</v>
      </c>
      <c r="K443" t="s">
        <v>19</v>
      </c>
    </row>
    <row r="444" spans="1:12" x14ac:dyDescent="0.25">
      <c r="A444" t="s">
        <v>773</v>
      </c>
      <c r="B444">
        <v>126</v>
      </c>
      <c r="C444">
        <v>62700000</v>
      </c>
      <c r="D444" t="s">
        <v>774</v>
      </c>
      <c r="E444" t="s">
        <v>13</v>
      </c>
      <c r="F444" t="s">
        <v>82</v>
      </c>
      <c r="G444">
        <v>34000000</v>
      </c>
      <c r="H444">
        <v>6.3</v>
      </c>
      <c r="I444" t="s">
        <v>34</v>
      </c>
      <c r="J444" t="s">
        <v>28</v>
      </c>
      <c r="K444" t="s">
        <v>37</v>
      </c>
      <c r="L444" t="s">
        <v>24</v>
      </c>
    </row>
    <row r="445" spans="1:12" x14ac:dyDescent="0.25">
      <c r="A445" t="s">
        <v>111</v>
      </c>
      <c r="B445">
        <v>125</v>
      </c>
      <c r="C445">
        <v>62647540</v>
      </c>
      <c r="D445" t="s">
        <v>775</v>
      </c>
      <c r="E445" t="s">
        <v>13</v>
      </c>
      <c r="F445" t="s">
        <v>241</v>
      </c>
      <c r="G445">
        <v>70000000</v>
      </c>
      <c r="H445">
        <v>7.1</v>
      </c>
      <c r="I445" t="s">
        <v>34</v>
      </c>
      <c r="J445" t="s">
        <v>31</v>
      </c>
      <c r="K445" t="s">
        <v>83</v>
      </c>
    </row>
    <row r="446" spans="1:12" x14ac:dyDescent="0.25">
      <c r="A446" t="s">
        <v>776</v>
      </c>
      <c r="B446">
        <v>123</v>
      </c>
      <c r="C446">
        <v>62563543</v>
      </c>
      <c r="D446" t="s">
        <v>777</v>
      </c>
      <c r="E446" t="s">
        <v>13</v>
      </c>
      <c r="F446" t="s">
        <v>14</v>
      </c>
      <c r="G446">
        <v>53000000</v>
      </c>
      <c r="H446">
        <v>7</v>
      </c>
      <c r="I446" t="s">
        <v>42</v>
      </c>
      <c r="J446" t="s">
        <v>38</v>
      </c>
      <c r="K446" t="s">
        <v>31</v>
      </c>
    </row>
    <row r="447" spans="1:12" x14ac:dyDescent="0.25">
      <c r="A447" t="s">
        <v>101</v>
      </c>
      <c r="B447">
        <v>112</v>
      </c>
      <c r="C447">
        <v>62549000</v>
      </c>
      <c r="D447" t="s">
        <v>778</v>
      </c>
      <c r="E447" t="s">
        <v>13</v>
      </c>
      <c r="F447" t="s">
        <v>82</v>
      </c>
      <c r="G447">
        <v>2300000</v>
      </c>
      <c r="H447">
        <v>7.3</v>
      </c>
      <c r="I447" t="s">
        <v>38</v>
      </c>
      <c r="J447" t="s">
        <v>31</v>
      </c>
      <c r="K447" t="s">
        <v>19</v>
      </c>
      <c r="L447" t="s">
        <v>24</v>
      </c>
    </row>
    <row r="448" spans="1:12" x14ac:dyDescent="0.25">
      <c r="A448" t="s">
        <v>779</v>
      </c>
      <c r="B448">
        <v>104</v>
      </c>
      <c r="C448">
        <v>62494975</v>
      </c>
      <c r="D448" t="s">
        <v>780</v>
      </c>
      <c r="E448" t="s">
        <v>13</v>
      </c>
      <c r="F448" t="s">
        <v>14</v>
      </c>
      <c r="G448">
        <v>85000000</v>
      </c>
      <c r="H448">
        <v>6</v>
      </c>
      <c r="I448" t="s">
        <v>34</v>
      </c>
      <c r="J448" t="s">
        <v>38</v>
      </c>
      <c r="K448" t="s">
        <v>24</v>
      </c>
    </row>
    <row r="449" spans="1:13" x14ac:dyDescent="0.25">
      <c r="A449" t="s">
        <v>781</v>
      </c>
      <c r="B449">
        <v>106</v>
      </c>
      <c r="C449">
        <v>62453315</v>
      </c>
      <c r="D449" t="s">
        <v>782</v>
      </c>
      <c r="E449" t="s">
        <v>13</v>
      </c>
      <c r="F449" t="s">
        <v>14</v>
      </c>
      <c r="G449">
        <v>50200000</v>
      </c>
      <c r="H449">
        <v>7.1</v>
      </c>
      <c r="I449" t="s">
        <v>19</v>
      </c>
      <c r="J449" t="s">
        <v>37</v>
      </c>
      <c r="K449" t="s">
        <v>24</v>
      </c>
    </row>
    <row r="450" spans="1:13" x14ac:dyDescent="0.25">
      <c r="A450" t="s">
        <v>783</v>
      </c>
      <c r="B450">
        <v>99</v>
      </c>
      <c r="C450">
        <v>62401264</v>
      </c>
      <c r="D450" t="s">
        <v>784</v>
      </c>
      <c r="E450" t="s">
        <v>13</v>
      </c>
      <c r="F450" t="s">
        <v>82</v>
      </c>
      <c r="G450">
        <v>60000000</v>
      </c>
      <c r="H450">
        <v>5.9</v>
      </c>
      <c r="I450" t="s">
        <v>34</v>
      </c>
      <c r="J450" t="s">
        <v>38</v>
      </c>
      <c r="K450" t="s">
        <v>31</v>
      </c>
      <c r="L450" t="s">
        <v>24</v>
      </c>
    </row>
    <row r="451" spans="1:13" x14ac:dyDescent="0.25">
      <c r="A451" t="s">
        <v>785</v>
      </c>
      <c r="B451">
        <v>88</v>
      </c>
      <c r="C451">
        <v>62321039</v>
      </c>
      <c r="D451" t="s">
        <v>786</v>
      </c>
      <c r="E451" t="s">
        <v>13</v>
      </c>
      <c r="F451" t="s">
        <v>14</v>
      </c>
      <c r="G451">
        <v>70000000</v>
      </c>
      <c r="H451">
        <v>6.4</v>
      </c>
      <c r="I451" t="s">
        <v>34</v>
      </c>
      <c r="J451" t="s">
        <v>17</v>
      </c>
      <c r="K451" t="s">
        <v>22</v>
      </c>
    </row>
    <row r="452" spans="1:13" x14ac:dyDescent="0.25">
      <c r="A452" t="s">
        <v>787</v>
      </c>
      <c r="B452">
        <v>102</v>
      </c>
      <c r="C452">
        <v>62318875</v>
      </c>
      <c r="D452" t="s">
        <v>788</v>
      </c>
      <c r="E452" t="s">
        <v>13</v>
      </c>
      <c r="F452" t="s">
        <v>14</v>
      </c>
      <c r="G452">
        <v>50000000</v>
      </c>
      <c r="H452">
        <v>6.8</v>
      </c>
      <c r="I452" t="s">
        <v>34</v>
      </c>
      <c r="J452" t="s">
        <v>28</v>
      </c>
      <c r="K452" t="s">
        <v>17</v>
      </c>
      <c r="L452" t="s">
        <v>37</v>
      </c>
      <c r="M452" t="s">
        <v>24</v>
      </c>
    </row>
    <row r="453" spans="1:13" x14ac:dyDescent="0.25">
      <c r="A453" t="s">
        <v>661</v>
      </c>
      <c r="B453">
        <v>127</v>
      </c>
      <c r="C453">
        <v>62300000</v>
      </c>
      <c r="D453" t="s">
        <v>789</v>
      </c>
      <c r="E453" t="s">
        <v>13</v>
      </c>
      <c r="F453" t="s">
        <v>82</v>
      </c>
      <c r="G453">
        <v>28000000</v>
      </c>
      <c r="H453">
        <v>6.8</v>
      </c>
      <c r="I453" t="s">
        <v>34</v>
      </c>
      <c r="J453" t="s">
        <v>28</v>
      </c>
      <c r="K453" t="s">
        <v>24</v>
      </c>
    </row>
    <row r="454" spans="1:13" x14ac:dyDescent="0.25">
      <c r="A454" t="s">
        <v>790</v>
      </c>
      <c r="B454">
        <v>109</v>
      </c>
      <c r="C454">
        <v>61693523</v>
      </c>
      <c r="D454" t="s">
        <v>791</v>
      </c>
      <c r="E454" t="s">
        <v>13</v>
      </c>
      <c r="F454" t="s">
        <v>14</v>
      </c>
      <c r="G454">
        <v>13000000</v>
      </c>
      <c r="H454">
        <v>6.8</v>
      </c>
      <c r="I454" t="s">
        <v>31</v>
      </c>
    </row>
    <row r="455" spans="1:13" x14ac:dyDescent="0.25">
      <c r="A455" t="s">
        <v>638</v>
      </c>
      <c r="B455">
        <v>144</v>
      </c>
      <c r="C455">
        <v>61644321</v>
      </c>
      <c r="D455" t="s">
        <v>792</v>
      </c>
      <c r="E455" t="s">
        <v>13</v>
      </c>
      <c r="F455" t="s">
        <v>14</v>
      </c>
      <c r="G455">
        <v>88000000</v>
      </c>
      <c r="H455">
        <v>8</v>
      </c>
      <c r="I455" t="s">
        <v>42</v>
      </c>
      <c r="J455" t="s">
        <v>31</v>
      </c>
      <c r="K455" t="s">
        <v>41</v>
      </c>
    </row>
    <row r="456" spans="1:13" x14ac:dyDescent="0.25">
      <c r="A456" t="s">
        <v>50</v>
      </c>
      <c r="B456">
        <v>115</v>
      </c>
      <c r="C456">
        <v>61490000</v>
      </c>
      <c r="D456" t="s">
        <v>793</v>
      </c>
      <c r="E456" t="s">
        <v>13</v>
      </c>
      <c r="F456" t="s">
        <v>14</v>
      </c>
      <c r="G456">
        <v>26000000</v>
      </c>
      <c r="H456">
        <v>6.6</v>
      </c>
      <c r="I456" t="s">
        <v>31</v>
      </c>
      <c r="J456" t="s">
        <v>22</v>
      </c>
      <c r="K456" t="s">
        <v>37</v>
      </c>
      <c r="L456" t="s">
        <v>24</v>
      </c>
    </row>
    <row r="457" spans="1:13" x14ac:dyDescent="0.25">
      <c r="A457" t="s">
        <v>84</v>
      </c>
      <c r="B457">
        <v>98</v>
      </c>
      <c r="C457">
        <v>61400000</v>
      </c>
      <c r="D457" t="s">
        <v>794</v>
      </c>
      <c r="E457" t="s">
        <v>13</v>
      </c>
      <c r="F457" t="s">
        <v>14</v>
      </c>
      <c r="G457">
        <v>15000000</v>
      </c>
      <c r="H457">
        <v>7.4</v>
      </c>
      <c r="I457" t="s">
        <v>28</v>
      </c>
      <c r="J457" t="s">
        <v>15</v>
      </c>
    </row>
    <row r="458" spans="1:13" x14ac:dyDescent="0.25">
      <c r="A458" t="s">
        <v>795</v>
      </c>
      <c r="B458">
        <v>109</v>
      </c>
      <c r="C458">
        <v>61356221</v>
      </c>
      <c r="D458" t="s">
        <v>796</v>
      </c>
      <c r="E458" t="s">
        <v>13</v>
      </c>
      <c r="F458" t="s">
        <v>14</v>
      </c>
      <c r="G458">
        <v>14000000</v>
      </c>
      <c r="H458">
        <v>5.2</v>
      </c>
      <c r="I458" t="s">
        <v>31</v>
      </c>
      <c r="J458" t="s">
        <v>18</v>
      </c>
      <c r="K458" t="s">
        <v>19</v>
      </c>
    </row>
    <row r="459" spans="1:13" x14ac:dyDescent="0.25">
      <c r="A459" t="s">
        <v>365</v>
      </c>
      <c r="B459">
        <v>116</v>
      </c>
      <c r="C459">
        <v>61355436</v>
      </c>
      <c r="D459" t="s">
        <v>797</v>
      </c>
      <c r="E459" t="s">
        <v>13</v>
      </c>
      <c r="F459" t="s">
        <v>14</v>
      </c>
      <c r="G459">
        <v>68000000</v>
      </c>
      <c r="H459">
        <v>6.2</v>
      </c>
      <c r="I459" t="s">
        <v>34</v>
      </c>
      <c r="J459" t="s">
        <v>28</v>
      </c>
      <c r="K459" t="s">
        <v>19</v>
      </c>
      <c r="L459" t="s">
        <v>37</v>
      </c>
      <c r="M459" t="s">
        <v>24</v>
      </c>
    </row>
    <row r="460" spans="1:13" x14ac:dyDescent="0.25">
      <c r="A460" t="s">
        <v>359</v>
      </c>
      <c r="B460">
        <v>109</v>
      </c>
      <c r="C460">
        <v>61280963</v>
      </c>
      <c r="D460" t="s">
        <v>798</v>
      </c>
      <c r="E460" t="s">
        <v>13</v>
      </c>
      <c r="F460" t="s">
        <v>14</v>
      </c>
      <c r="G460">
        <v>33000000</v>
      </c>
      <c r="H460">
        <v>6.3</v>
      </c>
      <c r="I460" t="s">
        <v>22</v>
      </c>
      <c r="J460" t="s">
        <v>37</v>
      </c>
      <c r="K460" t="s">
        <v>24</v>
      </c>
    </row>
    <row r="461" spans="1:13" x14ac:dyDescent="0.25">
      <c r="A461" t="s">
        <v>799</v>
      </c>
      <c r="B461">
        <v>98</v>
      </c>
      <c r="C461">
        <v>61112916</v>
      </c>
      <c r="D461" t="s">
        <v>800</v>
      </c>
      <c r="E461" t="s">
        <v>13</v>
      </c>
      <c r="F461" t="s">
        <v>14</v>
      </c>
      <c r="G461">
        <v>50000000</v>
      </c>
      <c r="H461">
        <v>4.4000000000000004</v>
      </c>
      <c r="I461" t="s">
        <v>15</v>
      </c>
      <c r="J461" t="s">
        <v>16</v>
      </c>
      <c r="K461" t="s">
        <v>17</v>
      </c>
    </row>
    <row r="462" spans="1:13" x14ac:dyDescent="0.25">
      <c r="A462" t="s">
        <v>254</v>
      </c>
      <c r="B462">
        <v>113</v>
      </c>
      <c r="C462">
        <v>61094903</v>
      </c>
      <c r="D462" t="s">
        <v>801</v>
      </c>
      <c r="E462" t="s">
        <v>13</v>
      </c>
      <c r="F462" t="s">
        <v>82</v>
      </c>
      <c r="G462">
        <v>30000000</v>
      </c>
      <c r="H462">
        <v>6.9</v>
      </c>
      <c r="I462" t="s">
        <v>34</v>
      </c>
      <c r="J462" t="s">
        <v>23</v>
      </c>
      <c r="K462" t="s">
        <v>24</v>
      </c>
    </row>
    <row r="463" spans="1:13" x14ac:dyDescent="0.25">
      <c r="A463" t="s">
        <v>254</v>
      </c>
      <c r="B463">
        <v>113</v>
      </c>
      <c r="C463">
        <v>61094903</v>
      </c>
      <c r="D463" t="s">
        <v>801</v>
      </c>
      <c r="E463" t="s">
        <v>13</v>
      </c>
      <c r="F463" t="s">
        <v>82</v>
      </c>
      <c r="G463">
        <v>30000000</v>
      </c>
      <c r="H463">
        <v>6.9</v>
      </c>
      <c r="I463" t="s">
        <v>34</v>
      </c>
      <c r="J463" t="s">
        <v>23</v>
      </c>
      <c r="K463" t="s">
        <v>24</v>
      </c>
    </row>
    <row r="464" spans="1:13" x14ac:dyDescent="0.25">
      <c r="A464" t="s">
        <v>525</v>
      </c>
      <c r="B464">
        <v>136</v>
      </c>
      <c r="C464">
        <v>60984028</v>
      </c>
      <c r="D464" t="s">
        <v>802</v>
      </c>
      <c r="E464" t="s">
        <v>13</v>
      </c>
      <c r="F464" t="s">
        <v>14</v>
      </c>
      <c r="G464">
        <v>57000000</v>
      </c>
      <c r="H464">
        <v>7.5</v>
      </c>
      <c r="I464" t="s">
        <v>31</v>
      </c>
      <c r="J464" t="s">
        <v>23</v>
      </c>
      <c r="K464" t="s">
        <v>24</v>
      </c>
    </row>
    <row r="465" spans="1:13" x14ac:dyDescent="0.25">
      <c r="A465" t="s">
        <v>803</v>
      </c>
      <c r="B465">
        <v>153</v>
      </c>
      <c r="C465">
        <v>60962878</v>
      </c>
      <c r="D465" t="s">
        <v>804</v>
      </c>
      <c r="E465" t="s">
        <v>13</v>
      </c>
      <c r="F465" t="s">
        <v>14</v>
      </c>
      <c r="G465">
        <v>46000000</v>
      </c>
      <c r="H465">
        <v>8.1</v>
      </c>
      <c r="I465" t="s">
        <v>38</v>
      </c>
      <c r="J465" t="s">
        <v>31</v>
      </c>
      <c r="K465" t="s">
        <v>23</v>
      </c>
      <c r="L465" t="s">
        <v>24</v>
      </c>
    </row>
    <row r="466" spans="1:13" x14ac:dyDescent="0.25">
      <c r="A466" t="s">
        <v>771</v>
      </c>
      <c r="B466">
        <v>114</v>
      </c>
      <c r="C466">
        <v>60923325</v>
      </c>
      <c r="D466" t="s">
        <v>805</v>
      </c>
      <c r="E466" t="s">
        <v>13</v>
      </c>
      <c r="F466" t="s">
        <v>14</v>
      </c>
      <c r="G466">
        <v>39751583.5</v>
      </c>
      <c r="H466">
        <v>6.4</v>
      </c>
      <c r="I466" t="s">
        <v>15</v>
      </c>
      <c r="J466" t="s">
        <v>18</v>
      </c>
    </row>
    <row r="467" spans="1:13" x14ac:dyDescent="0.25">
      <c r="A467" t="s">
        <v>490</v>
      </c>
      <c r="B467">
        <v>114</v>
      </c>
      <c r="C467">
        <v>60874615</v>
      </c>
      <c r="D467" t="s">
        <v>806</v>
      </c>
      <c r="E467" t="s">
        <v>13</v>
      </c>
      <c r="F467" t="s">
        <v>14</v>
      </c>
      <c r="G467">
        <v>90000000</v>
      </c>
      <c r="H467">
        <v>5.6</v>
      </c>
      <c r="I467" t="s">
        <v>28</v>
      </c>
      <c r="J467" t="s">
        <v>37</v>
      </c>
      <c r="K467" t="s">
        <v>24</v>
      </c>
    </row>
    <row r="468" spans="1:13" x14ac:dyDescent="0.25">
      <c r="A468" t="s">
        <v>685</v>
      </c>
      <c r="B468">
        <v>107</v>
      </c>
      <c r="C468">
        <v>60786269</v>
      </c>
      <c r="D468" t="s">
        <v>807</v>
      </c>
      <c r="E468" t="s">
        <v>13</v>
      </c>
      <c r="F468" t="s">
        <v>14</v>
      </c>
      <c r="G468">
        <v>45000000</v>
      </c>
      <c r="H468">
        <v>5.6</v>
      </c>
      <c r="I468" t="s">
        <v>15</v>
      </c>
      <c r="J468" t="s">
        <v>31</v>
      </c>
      <c r="K468" t="s">
        <v>18</v>
      </c>
      <c r="L468" t="s">
        <v>19</v>
      </c>
    </row>
    <row r="469" spans="1:13" x14ac:dyDescent="0.25">
      <c r="A469" t="s">
        <v>229</v>
      </c>
      <c r="B469">
        <v>114</v>
      </c>
      <c r="C469">
        <v>60652036</v>
      </c>
      <c r="D469" t="s">
        <v>808</v>
      </c>
      <c r="E469" t="s">
        <v>13</v>
      </c>
      <c r="F469" t="s">
        <v>14</v>
      </c>
      <c r="G469">
        <v>48000000</v>
      </c>
      <c r="H469">
        <v>7.1</v>
      </c>
      <c r="I469" t="s">
        <v>34</v>
      </c>
      <c r="J469" t="s">
        <v>28</v>
      </c>
      <c r="K469" t="s">
        <v>15</v>
      </c>
      <c r="L469" t="s">
        <v>31</v>
      </c>
      <c r="M469" t="s">
        <v>83</v>
      </c>
    </row>
    <row r="470" spans="1:13" x14ac:dyDescent="0.25">
      <c r="A470" t="s">
        <v>386</v>
      </c>
      <c r="B470">
        <v>94</v>
      </c>
      <c r="C470">
        <v>60573641</v>
      </c>
      <c r="D470" t="s">
        <v>809</v>
      </c>
      <c r="E470" t="s">
        <v>13</v>
      </c>
      <c r="F470" t="s">
        <v>14</v>
      </c>
      <c r="G470">
        <v>60000000</v>
      </c>
      <c r="H470">
        <v>5.4</v>
      </c>
      <c r="I470" t="s">
        <v>15</v>
      </c>
      <c r="J470" t="s">
        <v>16</v>
      </c>
    </row>
    <row r="471" spans="1:13" x14ac:dyDescent="0.25">
      <c r="A471" t="s">
        <v>127</v>
      </c>
      <c r="B471">
        <v>74</v>
      </c>
      <c r="C471">
        <v>60507228</v>
      </c>
      <c r="D471" t="s">
        <v>810</v>
      </c>
      <c r="E471" t="s">
        <v>13</v>
      </c>
      <c r="F471" t="s">
        <v>14</v>
      </c>
      <c r="G471">
        <v>80000000</v>
      </c>
      <c r="H471">
        <v>7.3</v>
      </c>
      <c r="I471" t="s">
        <v>46</v>
      </c>
      <c r="J471" t="s">
        <v>16</v>
      </c>
      <c r="K471" t="s">
        <v>17</v>
      </c>
      <c r="L471" t="s">
        <v>18</v>
      </c>
    </row>
    <row r="472" spans="1:13" x14ac:dyDescent="0.25">
      <c r="A472" t="s">
        <v>811</v>
      </c>
      <c r="B472">
        <v>115</v>
      </c>
      <c r="C472">
        <v>60491560</v>
      </c>
      <c r="D472" t="s">
        <v>812</v>
      </c>
      <c r="E472" t="s">
        <v>13</v>
      </c>
      <c r="F472" t="s">
        <v>14</v>
      </c>
      <c r="G472">
        <v>27000000</v>
      </c>
      <c r="H472">
        <v>6.6</v>
      </c>
      <c r="I472" t="s">
        <v>38</v>
      </c>
      <c r="J472" t="s">
        <v>31</v>
      </c>
      <c r="K472" t="s">
        <v>23</v>
      </c>
      <c r="L472" t="s">
        <v>24</v>
      </c>
    </row>
    <row r="473" spans="1:13" x14ac:dyDescent="0.25">
      <c r="A473" t="s">
        <v>813</v>
      </c>
      <c r="B473">
        <v>114</v>
      </c>
      <c r="C473">
        <v>60470220</v>
      </c>
      <c r="D473" t="s">
        <v>814</v>
      </c>
      <c r="E473" t="s">
        <v>13</v>
      </c>
      <c r="F473" t="s">
        <v>14</v>
      </c>
      <c r="G473">
        <v>50000000</v>
      </c>
      <c r="H473">
        <v>6.2</v>
      </c>
      <c r="I473" t="s">
        <v>34</v>
      </c>
      <c r="J473" t="s">
        <v>28</v>
      </c>
      <c r="K473" t="s">
        <v>15</v>
      </c>
    </row>
    <row r="474" spans="1:13" x14ac:dyDescent="0.25">
      <c r="A474" t="s">
        <v>815</v>
      </c>
      <c r="B474">
        <v>101</v>
      </c>
      <c r="C474">
        <v>60443237</v>
      </c>
      <c r="D474" t="s">
        <v>816</v>
      </c>
      <c r="E474" t="s">
        <v>13</v>
      </c>
      <c r="F474" t="s">
        <v>14</v>
      </c>
      <c r="G474">
        <v>25000000</v>
      </c>
      <c r="H474">
        <v>6.5</v>
      </c>
      <c r="I474" t="s">
        <v>31</v>
      </c>
      <c r="J474" t="s">
        <v>19</v>
      </c>
    </row>
    <row r="475" spans="1:13" x14ac:dyDescent="0.25">
      <c r="A475" t="s">
        <v>32</v>
      </c>
      <c r="B475">
        <v>103</v>
      </c>
      <c r="C475">
        <v>60400856</v>
      </c>
      <c r="D475" t="s">
        <v>817</v>
      </c>
      <c r="E475" t="s">
        <v>13</v>
      </c>
      <c r="F475" t="s">
        <v>241</v>
      </c>
      <c r="G475">
        <v>35000000</v>
      </c>
      <c r="H475">
        <v>5.2</v>
      </c>
      <c r="I475" t="s">
        <v>15</v>
      </c>
      <c r="J475" t="s">
        <v>19</v>
      </c>
    </row>
    <row r="476" spans="1:13" x14ac:dyDescent="0.25">
      <c r="A476" t="s">
        <v>542</v>
      </c>
      <c r="B476">
        <v>96</v>
      </c>
      <c r="C476">
        <v>60338891</v>
      </c>
      <c r="D476" t="s">
        <v>818</v>
      </c>
      <c r="E476" t="s">
        <v>13</v>
      </c>
      <c r="F476" t="s">
        <v>14</v>
      </c>
      <c r="G476">
        <v>37000000</v>
      </c>
      <c r="H476">
        <v>7</v>
      </c>
      <c r="I476" t="s">
        <v>15</v>
      </c>
      <c r="J476" t="s">
        <v>31</v>
      </c>
    </row>
    <row r="477" spans="1:13" x14ac:dyDescent="0.25">
      <c r="A477" t="s">
        <v>495</v>
      </c>
      <c r="B477">
        <v>101</v>
      </c>
      <c r="C477">
        <v>60328558</v>
      </c>
      <c r="D477" t="s">
        <v>819</v>
      </c>
      <c r="E477" t="s">
        <v>13</v>
      </c>
      <c r="F477" t="s">
        <v>14</v>
      </c>
      <c r="G477">
        <v>32000000</v>
      </c>
      <c r="H477">
        <v>7</v>
      </c>
      <c r="I477" t="s">
        <v>15</v>
      </c>
      <c r="J477" t="s">
        <v>31</v>
      </c>
      <c r="K477" t="s">
        <v>17</v>
      </c>
    </row>
    <row r="478" spans="1:13" x14ac:dyDescent="0.25">
      <c r="A478" t="s">
        <v>820</v>
      </c>
      <c r="B478">
        <v>99</v>
      </c>
      <c r="C478">
        <v>60269340</v>
      </c>
      <c r="D478" t="s">
        <v>821</v>
      </c>
      <c r="E478" t="s">
        <v>13</v>
      </c>
      <c r="F478" t="s">
        <v>14</v>
      </c>
      <c r="G478">
        <v>30000000</v>
      </c>
      <c r="H478">
        <v>6</v>
      </c>
      <c r="I478" t="s">
        <v>15</v>
      </c>
      <c r="J478" t="s">
        <v>19</v>
      </c>
    </row>
    <row r="479" spans="1:13" x14ac:dyDescent="0.25">
      <c r="A479" t="s">
        <v>822</v>
      </c>
      <c r="B479">
        <v>96</v>
      </c>
      <c r="C479">
        <v>60154431</v>
      </c>
      <c r="D479" t="s">
        <v>823</v>
      </c>
      <c r="E479" t="s">
        <v>13</v>
      </c>
      <c r="F479" t="s">
        <v>14</v>
      </c>
      <c r="G479">
        <v>47000000</v>
      </c>
      <c r="H479">
        <v>6</v>
      </c>
      <c r="I479" t="s">
        <v>15</v>
      </c>
      <c r="J479" t="s">
        <v>31</v>
      </c>
      <c r="K479" t="s">
        <v>24</v>
      </c>
    </row>
    <row r="480" spans="1:13" x14ac:dyDescent="0.25">
      <c r="A480" t="s">
        <v>417</v>
      </c>
      <c r="B480">
        <v>97</v>
      </c>
      <c r="C480">
        <v>60128566</v>
      </c>
      <c r="D480" t="s">
        <v>824</v>
      </c>
      <c r="E480" t="s">
        <v>13</v>
      </c>
      <c r="F480" t="s">
        <v>241</v>
      </c>
      <c r="G480">
        <v>60000000</v>
      </c>
      <c r="H480">
        <v>5.9</v>
      </c>
      <c r="I480" t="s">
        <v>34</v>
      </c>
      <c r="J480" t="s">
        <v>28</v>
      </c>
      <c r="K480" t="s">
        <v>22</v>
      </c>
      <c r="L480" t="s">
        <v>37</v>
      </c>
    </row>
    <row r="481" spans="1:13" x14ac:dyDescent="0.25">
      <c r="A481" t="s">
        <v>276</v>
      </c>
      <c r="B481">
        <v>121</v>
      </c>
      <c r="C481">
        <v>60072596</v>
      </c>
      <c r="D481" t="s">
        <v>825</v>
      </c>
      <c r="E481" t="s">
        <v>13</v>
      </c>
      <c r="F481" t="s">
        <v>14</v>
      </c>
      <c r="G481">
        <v>20000000</v>
      </c>
      <c r="H481">
        <v>4.4000000000000004</v>
      </c>
      <c r="I481" t="s">
        <v>15</v>
      </c>
      <c r="J481" t="s">
        <v>31</v>
      </c>
      <c r="K481" t="s">
        <v>19</v>
      </c>
    </row>
    <row r="482" spans="1:13" x14ac:dyDescent="0.25">
      <c r="A482" t="s">
        <v>826</v>
      </c>
      <c r="B482">
        <v>98</v>
      </c>
      <c r="C482">
        <v>60057639</v>
      </c>
      <c r="D482" t="s">
        <v>827</v>
      </c>
      <c r="E482" t="s">
        <v>13</v>
      </c>
      <c r="F482" t="s">
        <v>14</v>
      </c>
      <c r="G482">
        <v>18000000</v>
      </c>
      <c r="H482">
        <v>7.1</v>
      </c>
      <c r="I482" t="s">
        <v>15</v>
      </c>
      <c r="J482" t="s">
        <v>38</v>
      </c>
      <c r="K482" t="s">
        <v>31</v>
      </c>
    </row>
    <row r="483" spans="1:13" x14ac:dyDescent="0.25">
      <c r="A483" t="s">
        <v>828</v>
      </c>
      <c r="B483">
        <v>108</v>
      </c>
      <c r="C483">
        <v>60054449</v>
      </c>
      <c r="D483" t="s">
        <v>829</v>
      </c>
      <c r="E483" t="s">
        <v>13</v>
      </c>
      <c r="F483" t="s">
        <v>14</v>
      </c>
      <c r="G483">
        <v>35000000</v>
      </c>
      <c r="H483">
        <v>5.8</v>
      </c>
      <c r="I483" t="s">
        <v>34</v>
      </c>
      <c r="J483" t="s">
        <v>22</v>
      </c>
      <c r="K483" t="s">
        <v>37</v>
      </c>
      <c r="L483" t="s">
        <v>24</v>
      </c>
    </row>
    <row r="484" spans="1:13" x14ac:dyDescent="0.25">
      <c r="A484" t="s">
        <v>830</v>
      </c>
      <c r="B484">
        <v>114</v>
      </c>
      <c r="C484">
        <v>60033780</v>
      </c>
      <c r="D484" t="s">
        <v>831</v>
      </c>
      <c r="E484" t="s">
        <v>13</v>
      </c>
      <c r="F484" t="s">
        <v>14</v>
      </c>
      <c r="G484">
        <v>30000000</v>
      </c>
      <c r="H484">
        <v>5.9</v>
      </c>
      <c r="I484" t="s">
        <v>31</v>
      </c>
      <c r="J484" t="s">
        <v>19</v>
      </c>
    </row>
    <row r="485" spans="1:13" x14ac:dyDescent="0.25">
      <c r="A485" t="s">
        <v>832</v>
      </c>
      <c r="B485">
        <v>89</v>
      </c>
      <c r="C485">
        <v>60008303</v>
      </c>
      <c r="D485" t="s">
        <v>833</v>
      </c>
      <c r="E485" t="s">
        <v>13</v>
      </c>
      <c r="F485" t="s">
        <v>14</v>
      </c>
      <c r="G485">
        <v>13000000</v>
      </c>
      <c r="H485">
        <v>4.9000000000000004</v>
      </c>
      <c r="I485" t="s">
        <v>28</v>
      </c>
      <c r="J485" t="s">
        <v>15</v>
      </c>
      <c r="K485" t="s">
        <v>16</v>
      </c>
    </row>
    <row r="486" spans="1:13" x14ac:dyDescent="0.25">
      <c r="A486" t="s">
        <v>57</v>
      </c>
      <c r="B486">
        <v>125</v>
      </c>
      <c r="C486">
        <v>60000000</v>
      </c>
      <c r="D486" t="s">
        <v>834</v>
      </c>
      <c r="E486" t="s">
        <v>13</v>
      </c>
      <c r="F486" t="s">
        <v>82</v>
      </c>
      <c r="G486">
        <v>39000000</v>
      </c>
      <c r="H486">
        <v>4.9000000000000004</v>
      </c>
      <c r="I486" t="s">
        <v>34</v>
      </c>
      <c r="J486" t="s">
        <v>15</v>
      </c>
      <c r="K486" t="s">
        <v>37</v>
      </c>
    </row>
    <row r="487" spans="1:13" x14ac:dyDescent="0.25">
      <c r="A487" t="s">
        <v>835</v>
      </c>
      <c r="B487">
        <v>81</v>
      </c>
      <c r="C487">
        <v>59992760</v>
      </c>
      <c r="D487" t="s">
        <v>836</v>
      </c>
      <c r="E487" t="s">
        <v>13</v>
      </c>
      <c r="F487" t="s">
        <v>14</v>
      </c>
      <c r="G487">
        <v>42000000</v>
      </c>
      <c r="H487">
        <v>5.8</v>
      </c>
      <c r="I487" t="s">
        <v>15</v>
      </c>
    </row>
    <row r="488" spans="1:13" x14ac:dyDescent="0.25">
      <c r="A488" t="s">
        <v>837</v>
      </c>
      <c r="B488">
        <v>101</v>
      </c>
      <c r="C488">
        <v>59889948</v>
      </c>
      <c r="D488" t="s">
        <v>838</v>
      </c>
      <c r="E488" t="s">
        <v>13</v>
      </c>
      <c r="F488" t="s">
        <v>14</v>
      </c>
      <c r="G488">
        <v>8000000</v>
      </c>
      <c r="H488">
        <v>7.9</v>
      </c>
      <c r="I488" t="s">
        <v>15</v>
      </c>
      <c r="J488" t="s">
        <v>31</v>
      </c>
    </row>
    <row r="489" spans="1:13" x14ac:dyDescent="0.25">
      <c r="A489" t="s">
        <v>636</v>
      </c>
      <c r="B489">
        <v>102</v>
      </c>
      <c r="C489">
        <v>59847242</v>
      </c>
      <c r="D489" t="s">
        <v>839</v>
      </c>
      <c r="E489" t="s">
        <v>13</v>
      </c>
      <c r="F489" t="s">
        <v>14</v>
      </c>
      <c r="G489">
        <v>16500000</v>
      </c>
      <c r="H489">
        <v>6.8</v>
      </c>
      <c r="I489" t="s">
        <v>15</v>
      </c>
      <c r="J489" t="s">
        <v>31</v>
      </c>
      <c r="K489" t="s">
        <v>16</v>
      </c>
      <c r="L489" t="s">
        <v>19</v>
      </c>
    </row>
    <row r="490" spans="1:13" x14ac:dyDescent="0.25">
      <c r="A490" t="s">
        <v>182</v>
      </c>
      <c r="B490">
        <v>107</v>
      </c>
      <c r="C490">
        <v>59735548</v>
      </c>
      <c r="D490" t="s">
        <v>840</v>
      </c>
      <c r="E490" t="s">
        <v>13</v>
      </c>
      <c r="F490" t="s">
        <v>14</v>
      </c>
      <c r="G490">
        <v>15000000</v>
      </c>
      <c r="H490">
        <v>7.8</v>
      </c>
      <c r="I490" t="s">
        <v>34</v>
      </c>
      <c r="J490" t="s">
        <v>22</v>
      </c>
      <c r="K490" t="s">
        <v>37</v>
      </c>
    </row>
    <row r="491" spans="1:13" x14ac:dyDescent="0.25">
      <c r="A491" t="s">
        <v>252</v>
      </c>
      <c r="B491">
        <v>123</v>
      </c>
      <c r="C491">
        <v>59699513</v>
      </c>
      <c r="D491" t="s">
        <v>841</v>
      </c>
      <c r="E491" t="s">
        <v>13</v>
      </c>
      <c r="F491" t="s">
        <v>14</v>
      </c>
      <c r="G491">
        <v>35000000</v>
      </c>
      <c r="H491">
        <v>7.2</v>
      </c>
      <c r="I491" t="s">
        <v>42</v>
      </c>
      <c r="J491" t="s">
        <v>31</v>
      </c>
      <c r="K491" t="s">
        <v>16</v>
      </c>
      <c r="L491" t="s">
        <v>64</v>
      </c>
      <c r="M491" t="s">
        <v>41</v>
      </c>
    </row>
    <row r="492" spans="1:13" x14ac:dyDescent="0.25">
      <c r="A492" t="s">
        <v>842</v>
      </c>
      <c r="B492">
        <v>170</v>
      </c>
      <c r="C492">
        <v>59696176</v>
      </c>
      <c r="D492" t="s">
        <v>843</v>
      </c>
      <c r="E492" t="s">
        <v>13</v>
      </c>
      <c r="F492" t="s">
        <v>14</v>
      </c>
      <c r="G492">
        <v>22000000</v>
      </c>
      <c r="H492">
        <v>5.6</v>
      </c>
      <c r="I492" t="s">
        <v>42</v>
      </c>
      <c r="J492" t="s">
        <v>31</v>
      </c>
      <c r="K492" t="s">
        <v>64</v>
      </c>
    </row>
    <row r="493" spans="1:13" x14ac:dyDescent="0.25">
      <c r="A493" t="s">
        <v>835</v>
      </c>
      <c r="B493">
        <v>99</v>
      </c>
      <c r="C493">
        <v>59617068</v>
      </c>
      <c r="D493" t="s">
        <v>844</v>
      </c>
      <c r="E493" t="s">
        <v>13</v>
      </c>
      <c r="F493" t="s">
        <v>14</v>
      </c>
      <c r="G493">
        <v>65000000</v>
      </c>
      <c r="H493">
        <v>6.4</v>
      </c>
      <c r="I493" t="s">
        <v>15</v>
      </c>
      <c r="J493" t="s">
        <v>19</v>
      </c>
    </row>
    <row r="494" spans="1:13" x14ac:dyDescent="0.25">
      <c r="A494" t="s">
        <v>845</v>
      </c>
      <c r="B494">
        <v>98</v>
      </c>
      <c r="C494">
        <v>59588068</v>
      </c>
      <c r="D494" t="s">
        <v>846</v>
      </c>
      <c r="E494" t="s">
        <v>13</v>
      </c>
      <c r="F494" t="s">
        <v>14</v>
      </c>
      <c r="G494">
        <v>40000000</v>
      </c>
      <c r="H494">
        <v>5.8</v>
      </c>
      <c r="I494" t="s">
        <v>22</v>
      </c>
      <c r="J494" t="s">
        <v>23</v>
      </c>
      <c r="K494" t="s">
        <v>24</v>
      </c>
    </row>
    <row r="495" spans="1:13" x14ac:dyDescent="0.25">
      <c r="A495" t="s">
        <v>847</v>
      </c>
      <c r="B495">
        <v>94</v>
      </c>
      <c r="C495">
        <v>59573085</v>
      </c>
      <c r="D495" t="s">
        <v>848</v>
      </c>
      <c r="E495" t="s">
        <v>13</v>
      </c>
      <c r="F495" t="s">
        <v>14</v>
      </c>
      <c r="G495">
        <v>18000000</v>
      </c>
      <c r="H495">
        <v>6.1</v>
      </c>
      <c r="I495" t="s">
        <v>15</v>
      </c>
      <c r="J495" t="s">
        <v>16</v>
      </c>
      <c r="K495" t="s">
        <v>19</v>
      </c>
    </row>
    <row r="496" spans="1:13" x14ac:dyDescent="0.25">
      <c r="A496" t="s">
        <v>601</v>
      </c>
      <c r="B496">
        <v>93</v>
      </c>
      <c r="C496">
        <v>59475623</v>
      </c>
      <c r="D496" t="s">
        <v>849</v>
      </c>
      <c r="E496" t="s">
        <v>13</v>
      </c>
      <c r="F496" t="s">
        <v>14</v>
      </c>
      <c r="G496">
        <v>90000000</v>
      </c>
      <c r="H496">
        <v>5.2</v>
      </c>
      <c r="I496" t="s">
        <v>15</v>
      </c>
      <c r="J496" t="s">
        <v>37</v>
      </c>
      <c r="K496" t="s">
        <v>24</v>
      </c>
    </row>
    <row r="497" spans="1:13" x14ac:dyDescent="0.25">
      <c r="A497" t="s">
        <v>850</v>
      </c>
      <c r="B497">
        <v>129</v>
      </c>
      <c r="C497">
        <v>59365105</v>
      </c>
      <c r="D497" t="s">
        <v>851</v>
      </c>
      <c r="E497" t="s">
        <v>13</v>
      </c>
      <c r="F497" t="s">
        <v>82</v>
      </c>
      <c r="G497">
        <v>45000000</v>
      </c>
      <c r="H497">
        <v>7.7</v>
      </c>
      <c r="I497" t="s">
        <v>15</v>
      </c>
      <c r="J497" t="s">
        <v>31</v>
      </c>
      <c r="K497" t="s">
        <v>19</v>
      </c>
    </row>
    <row r="498" spans="1:13" x14ac:dyDescent="0.25">
      <c r="A498" t="s">
        <v>852</v>
      </c>
      <c r="B498">
        <v>99</v>
      </c>
      <c r="C498">
        <v>59073773</v>
      </c>
      <c r="D498" t="s">
        <v>853</v>
      </c>
      <c r="E498" t="s">
        <v>13</v>
      </c>
      <c r="F498" t="s">
        <v>14</v>
      </c>
      <c r="G498">
        <v>25000000</v>
      </c>
      <c r="H498">
        <v>8.1</v>
      </c>
      <c r="I498" t="s">
        <v>28</v>
      </c>
      <c r="J498" t="s">
        <v>15</v>
      </c>
      <c r="K498" t="s">
        <v>38</v>
      </c>
      <c r="L498" t="s">
        <v>31</v>
      </c>
    </row>
    <row r="499" spans="1:13" x14ac:dyDescent="0.25">
      <c r="A499" t="s">
        <v>854</v>
      </c>
      <c r="B499">
        <v>106</v>
      </c>
      <c r="C499">
        <v>59068786</v>
      </c>
      <c r="D499" t="s">
        <v>855</v>
      </c>
      <c r="E499" t="s">
        <v>13</v>
      </c>
      <c r="F499" t="s">
        <v>14</v>
      </c>
      <c r="G499">
        <v>40000000</v>
      </c>
      <c r="H499">
        <v>6.4</v>
      </c>
      <c r="I499" t="s">
        <v>34</v>
      </c>
      <c r="J499" t="s">
        <v>31</v>
      </c>
      <c r="K499" t="s">
        <v>24</v>
      </c>
      <c r="L499" t="s">
        <v>83</v>
      </c>
    </row>
    <row r="500" spans="1:13" x14ac:dyDescent="0.25">
      <c r="A500" t="s">
        <v>396</v>
      </c>
      <c r="B500">
        <v>132</v>
      </c>
      <c r="C500">
        <v>59035104</v>
      </c>
      <c r="D500" t="s">
        <v>856</v>
      </c>
      <c r="E500" t="s">
        <v>13</v>
      </c>
      <c r="F500" t="s">
        <v>14</v>
      </c>
      <c r="G500">
        <v>66000000</v>
      </c>
      <c r="H500">
        <v>6.8</v>
      </c>
      <c r="I500" t="s">
        <v>34</v>
      </c>
      <c r="J500" t="s">
        <v>17</v>
      </c>
      <c r="K500" t="s">
        <v>22</v>
      </c>
      <c r="L500" t="s">
        <v>37</v>
      </c>
    </row>
    <row r="501" spans="1:13" x14ac:dyDescent="0.25">
      <c r="A501" t="s">
        <v>692</v>
      </c>
      <c r="B501">
        <v>116</v>
      </c>
      <c r="C501">
        <v>58918501</v>
      </c>
      <c r="D501" t="s">
        <v>857</v>
      </c>
      <c r="E501" t="s">
        <v>13</v>
      </c>
      <c r="F501" t="s">
        <v>14</v>
      </c>
      <c r="G501">
        <v>46000000</v>
      </c>
      <c r="H501">
        <v>6.6</v>
      </c>
      <c r="I501" t="s">
        <v>34</v>
      </c>
      <c r="J501" t="s">
        <v>31</v>
      </c>
      <c r="K501" t="s">
        <v>23</v>
      </c>
      <c r="L501" t="s">
        <v>24</v>
      </c>
      <c r="M501" t="s">
        <v>83</v>
      </c>
    </row>
    <row r="502" spans="1:13" x14ac:dyDescent="0.25">
      <c r="A502" t="s">
        <v>858</v>
      </c>
      <c r="B502">
        <v>110</v>
      </c>
      <c r="C502">
        <v>58885635</v>
      </c>
      <c r="D502" t="s">
        <v>859</v>
      </c>
      <c r="E502" t="s">
        <v>13</v>
      </c>
      <c r="F502" t="s">
        <v>14</v>
      </c>
      <c r="G502">
        <v>26000000</v>
      </c>
      <c r="H502">
        <v>7.4</v>
      </c>
      <c r="I502" t="s">
        <v>34</v>
      </c>
      <c r="J502" t="s">
        <v>22</v>
      </c>
      <c r="K502" t="s">
        <v>24</v>
      </c>
    </row>
    <row r="503" spans="1:13" x14ac:dyDescent="0.25">
      <c r="A503" t="s">
        <v>858</v>
      </c>
      <c r="B503">
        <v>110</v>
      </c>
      <c r="C503">
        <v>58885635</v>
      </c>
      <c r="D503" t="s">
        <v>859</v>
      </c>
      <c r="E503" t="s">
        <v>13</v>
      </c>
      <c r="F503" t="s">
        <v>14</v>
      </c>
      <c r="G503">
        <v>26000000</v>
      </c>
      <c r="H503">
        <v>7.4</v>
      </c>
      <c r="I503" t="s">
        <v>34</v>
      </c>
      <c r="J503" t="s">
        <v>22</v>
      </c>
      <c r="K503" t="s">
        <v>24</v>
      </c>
    </row>
    <row r="504" spans="1:13" x14ac:dyDescent="0.25">
      <c r="A504" t="s">
        <v>860</v>
      </c>
      <c r="B504">
        <v>99</v>
      </c>
      <c r="C504">
        <v>58879132</v>
      </c>
      <c r="D504" t="s">
        <v>861</v>
      </c>
      <c r="E504" t="s">
        <v>13</v>
      </c>
      <c r="F504" t="s">
        <v>14</v>
      </c>
      <c r="G504">
        <v>31000000</v>
      </c>
      <c r="H504">
        <v>6.1</v>
      </c>
      <c r="I504" t="s">
        <v>28</v>
      </c>
      <c r="J504" t="s">
        <v>15</v>
      </c>
    </row>
    <row r="505" spans="1:13" x14ac:dyDescent="0.25">
      <c r="A505" t="s">
        <v>862</v>
      </c>
      <c r="B505">
        <v>125</v>
      </c>
      <c r="C505">
        <v>58800000</v>
      </c>
      <c r="D505" t="s">
        <v>863</v>
      </c>
      <c r="E505" t="s">
        <v>13</v>
      </c>
      <c r="F505" t="s">
        <v>82</v>
      </c>
      <c r="G505">
        <v>5500000</v>
      </c>
      <c r="H505">
        <v>7.2</v>
      </c>
      <c r="I505" t="s">
        <v>42</v>
      </c>
      <c r="J505" t="s">
        <v>31</v>
      </c>
      <c r="K505" t="s">
        <v>41</v>
      </c>
    </row>
    <row r="506" spans="1:13" x14ac:dyDescent="0.25">
      <c r="A506" t="s">
        <v>382</v>
      </c>
      <c r="B506">
        <v>89</v>
      </c>
      <c r="C506">
        <v>58715510</v>
      </c>
      <c r="D506" t="s">
        <v>864</v>
      </c>
      <c r="E506" t="s">
        <v>13</v>
      </c>
      <c r="F506" t="s">
        <v>14</v>
      </c>
      <c r="G506">
        <v>30000000</v>
      </c>
      <c r="H506">
        <v>5.4</v>
      </c>
      <c r="I506" t="s">
        <v>15</v>
      </c>
      <c r="J506" t="s">
        <v>19</v>
      </c>
    </row>
    <row r="507" spans="1:13" x14ac:dyDescent="0.25">
      <c r="A507" t="s">
        <v>865</v>
      </c>
      <c r="B507">
        <v>120</v>
      </c>
      <c r="C507">
        <v>58700247</v>
      </c>
      <c r="D507" t="s">
        <v>866</v>
      </c>
      <c r="E507" t="s">
        <v>13</v>
      </c>
      <c r="F507" t="s">
        <v>14</v>
      </c>
      <c r="G507">
        <v>38000000</v>
      </c>
      <c r="H507">
        <v>6.9</v>
      </c>
      <c r="I507" t="s">
        <v>31</v>
      </c>
      <c r="J507" t="s">
        <v>19</v>
      </c>
    </row>
    <row r="508" spans="1:13" x14ac:dyDescent="0.25">
      <c r="A508" t="s">
        <v>867</v>
      </c>
      <c r="B508">
        <v>113</v>
      </c>
      <c r="C508">
        <v>58571513</v>
      </c>
      <c r="D508" t="s">
        <v>868</v>
      </c>
      <c r="E508" t="s">
        <v>13</v>
      </c>
      <c r="F508" t="s">
        <v>14</v>
      </c>
      <c r="G508">
        <v>19000000</v>
      </c>
      <c r="H508">
        <v>6.8</v>
      </c>
      <c r="I508" t="s">
        <v>38</v>
      </c>
      <c r="J508" t="s">
        <v>31</v>
      </c>
      <c r="K508" t="s">
        <v>23</v>
      </c>
      <c r="L508" t="s">
        <v>24</v>
      </c>
    </row>
    <row r="509" spans="1:13" x14ac:dyDescent="0.25">
      <c r="A509" t="s">
        <v>160</v>
      </c>
      <c r="B509">
        <v>104</v>
      </c>
      <c r="C509">
        <v>58422650</v>
      </c>
      <c r="D509" t="s">
        <v>869</v>
      </c>
      <c r="E509" t="s">
        <v>13</v>
      </c>
      <c r="F509" t="s">
        <v>14</v>
      </c>
      <c r="G509">
        <v>55000000</v>
      </c>
      <c r="H509">
        <v>6.4</v>
      </c>
      <c r="I509" t="s">
        <v>15</v>
      </c>
      <c r="J509" t="s">
        <v>17</v>
      </c>
      <c r="K509" t="s">
        <v>22</v>
      </c>
    </row>
    <row r="510" spans="1:13" x14ac:dyDescent="0.25">
      <c r="A510" t="s">
        <v>321</v>
      </c>
      <c r="B510">
        <v>92</v>
      </c>
      <c r="C510">
        <v>58401464</v>
      </c>
      <c r="D510" t="s">
        <v>870</v>
      </c>
      <c r="E510" t="s">
        <v>13</v>
      </c>
      <c r="F510" t="s">
        <v>14</v>
      </c>
      <c r="G510">
        <v>8000000</v>
      </c>
      <c r="H510">
        <v>7.1</v>
      </c>
      <c r="I510" t="s">
        <v>15</v>
      </c>
      <c r="J510" t="s">
        <v>19</v>
      </c>
    </row>
    <row r="511" spans="1:13" x14ac:dyDescent="0.25">
      <c r="A511" t="s">
        <v>871</v>
      </c>
      <c r="B511">
        <v>78</v>
      </c>
      <c r="C511">
        <v>58336565</v>
      </c>
      <c r="D511" t="s">
        <v>872</v>
      </c>
      <c r="E511" t="s">
        <v>13</v>
      </c>
      <c r="F511" t="s">
        <v>14</v>
      </c>
      <c r="G511">
        <v>50000000</v>
      </c>
      <c r="H511">
        <v>6.6</v>
      </c>
      <c r="I511" t="s">
        <v>28</v>
      </c>
      <c r="J511" t="s">
        <v>46</v>
      </c>
      <c r="K511" t="s">
        <v>15</v>
      </c>
      <c r="L511" t="s">
        <v>16</v>
      </c>
    </row>
    <row r="512" spans="1:13" x14ac:dyDescent="0.25">
      <c r="A512" t="s">
        <v>873</v>
      </c>
      <c r="B512">
        <v>139</v>
      </c>
      <c r="C512">
        <v>58328680</v>
      </c>
      <c r="D512" t="s">
        <v>874</v>
      </c>
      <c r="E512" t="s">
        <v>13</v>
      </c>
      <c r="F512" t="s">
        <v>14</v>
      </c>
      <c r="G512">
        <v>22000000</v>
      </c>
      <c r="H512">
        <v>7.5</v>
      </c>
      <c r="I512" t="s">
        <v>31</v>
      </c>
      <c r="J512" t="s">
        <v>19</v>
      </c>
      <c r="K512" t="s">
        <v>69</v>
      </c>
    </row>
    <row r="513" spans="1:15" x14ac:dyDescent="0.25">
      <c r="A513" t="s">
        <v>875</v>
      </c>
      <c r="B513">
        <v>94</v>
      </c>
      <c r="C513">
        <v>58297830</v>
      </c>
      <c r="D513" t="s">
        <v>876</v>
      </c>
      <c r="E513" t="s">
        <v>13</v>
      </c>
      <c r="F513" t="s">
        <v>14</v>
      </c>
      <c r="G513">
        <v>50000000</v>
      </c>
      <c r="H513">
        <v>7.1</v>
      </c>
      <c r="I513" t="s">
        <v>28</v>
      </c>
      <c r="J513" t="s">
        <v>46</v>
      </c>
      <c r="K513" t="s">
        <v>31</v>
      </c>
      <c r="L513" t="s">
        <v>16</v>
      </c>
      <c r="M513" t="s">
        <v>17</v>
      </c>
      <c r="N513" t="s">
        <v>59</v>
      </c>
      <c r="O513" t="s">
        <v>23</v>
      </c>
    </row>
    <row r="514" spans="1:15" x14ac:dyDescent="0.25">
      <c r="A514" t="s">
        <v>598</v>
      </c>
      <c r="B514">
        <v>98</v>
      </c>
      <c r="C514">
        <v>58255287</v>
      </c>
      <c r="D514" t="s">
        <v>877</v>
      </c>
      <c r="E514" t="s">
        <v>13</v>
      </c>
      <c r="F514" t="s">
        <v>14</v>
      </c>
      <c r="G514">
        <v>64000000</v>
      </c>
      <c r="H514">
        <v>4.3</v>
      </c>
      <c r="I514" t="s">
        <v>15</v>
      </c>
      <c r="J514" t="s">
        <v>38</v>
      </c>
    </row>
    <row r="515" spans="1:15" x14ac:dyDescent="0.25">
      <c r="A515" t="s">
        <v>822</v>
      </c>
      <c r="B515">
        <v>114</v>
      </c>
      <c r="C515">
        <v>58229120</v>
      </c>
      <c r="D515" t="s">
        <v>878</v>
      </c>
      <c r="E515" t="s">
        <v>13</v>
      </c>
      <c r="F515" t="s">
        <v>14</v>
      </c>
      <c r="G515">
        <v>90000000</v>
      </c>
      <c r="H515">
        <v>7.3</v>
      </c>
      <c r="I515" t="s">
        <v>28</v>
      </c>
      <c r="J515" t="s">
        <v>15</v>
      </c>
      <c r="K515" t="s">
        <v>31</v>
      </c>
      <c r="L515" t="s">
        <v>17</v>
      </c>
      <c r="M515" t="s">
        <v>19</v>
      </c>
    </row>
    <row r="516" spans="1:15" x14ac:dyDescent="0.25">
      <c r="A516" t="s">
        <v>879</v>
      </c>
      <c r="B516">
        <v>95</v>
      </c>
      <c r="C516">
        <v>58156435</v>
      </c>
      <c r="D516" t="s">
        <v>880</v>
      </c>
      <c r="E516" t="s">
        <v>13</v>
      </c>
      <c r="F516" t="s">
        <v>14</v>
      </c>
      <c r="G516">
        <v>19000000</v>
      </c>
      <c r="H516">
        <v>5.9</v>
      </c>
      <c r="I516" t="s">
        <v>28</v>
      </c>
      <c r="J516" t="s">
        <v>15</v>
      </c>
      <c r="K516" t="s">
        <v>23</v>
      </c>
    </row>
    <row r="517" spans="1:15" x14ac:dyDescent="0.25">
      <c r="A517" t="s">
        <v>560</v>
      </c>
      <c r="B517">
        <v>98</v>
      </c>
      <c r="C517">
        <v>58006147</v>
      </c>
      <c r="D517" t="s">
        <v>881</v>
      </c>
      <c r="E517" t="s">
        <v>13</v>
      </c>
      <c r="F517" t="s">
        <v>14</v>
      </c>
      <c r="G517">
        <v>23000000</v>
      </c>
      <c r="H517">
        <v>6.2</v>
      </c>
      <c r="I517" t="s">
        <v>31</v>
      </c>
      <c r="J517" t="s">
        <v>18</v>
      </c>
      <c r="K517" t="s">
        <v>59</v>
      </c>
      <c r="L517" t="s">
        <v>19</v>
      </c>
    </row>
    <row r="518" spans="1:15" x14ac:dyDescent="0.25">
      <c r="A518" t="s">
        <v>882</v>
      </c>
      <c r="B518">
        <v>118</v>
      </c>
      <c r="C518">
        <v>57981889</v>
      </c>
      <c r="D518" t="s">
        <v>883</v>
      </c>
      <c r="E518" t="s">
        <v>13</v>
      </c>
      <c r="F518" t="s">
        <v>14</v>
      </c>
      <c r="G518">
        <v>40000000</v>
      </c>
      <c r="H518">
        <v>7.3</v>
      </c>
      <c r="I518" t="s">
        <v>38</v>
      </c>
      <c r="J518" t="s">
        <v>31</v>
      </c>
      <c r="K518" t="s">
        <v>24</v>
      </c>
    </row>
    <row r="519" spans="1:15" x14ac:dyDescent="0.25">
      <c r="A519" t="s">
        <v>448</v>
      </c>
      <c r="B519">
        <v>106</v>
      </c>
      <c r="C519">
        <v>57887882</v>
      </c>
      <c r="D519" t="s">
        <v>884</v>
      </c>
      <c r="E519" t="s">
        <v>13</v>
      </c>
      <c r="F519" t="s">
        <v>14</v>
      </c>
      <c r="G519">
        <v>50000000</v>
      </c>
      <c r="H519">
        <v>6.1</v>
      </c>
      <c r="I519" t="s">
        <v>15</v>
      </c>
      <c r="J519" t="s">
        <v>31</v>
      </c>
      <c r="K519" t="s">
        <v>19</v>
      </c>
    </row>
    <row r="520" spans="1:15" x14ac:dyDescent="0.25">
      <c r="A520" t="s">
        <v>121</v>
      </c>
      <c r="B520">
        <v>85</v>
      </c>
      <c r="C520">
        <v>57859105</v>
      </c>
      <c r="D520" t="s">
        <v>885</v>
      </c>
      <c r="E520" t="s">
        <v>13</v>
      </c>
      <c r="F520" t="s">
        <v>14</v>
      </c>
      <c r="G520">
        <v>26000000</v>
      </c>
      <c r="H520">
        <v>6.5</v>
      </c>
      <c r="I520" t="s">
        <v>23</v>
      </c>
      <c r="J520" t="s">
        <v>24</v>
      </c>
    </row>
    <row r="521" spans="1:15" x14ac:dyDescent="0.25">
      <c r="A521" t="s">
        <v>886</v>
      </c>
      <c r="B521">
        <v>251</v>
      </c>
      <c r="C521">
        <v>57750000</v>
      </c>
      <c r="D521" t="s">
        <v>887</v>
      </c>
      <c r="E521" t="s">
        <v>13</v>
      </c>
      <c r="F521" t="s">
        <v>82</v>
      </c>
      <c r="G521">
        <v>31115000</v>
      </c>
      <c r="H521">
        <v>7</v>
      </c>
      <c r="I521" t="s">
        <v>42</v>
      </c>
      <c r="J521" t="s">
        <v>31</v>
      </c>
      <c r="K521" t="s">
        <v>64</v>
      </c>
      <c r="L521" t="s">
        <v>19</v>
      </c>
    </row>
    <row r="522" spans="1:15" x14ac:dyDescent="0.25">
      <c r="A522" t="s">
        <v>888</v>
      </c>
      <c r="B522">
        <v>107</v>
      </c>
      <c r="C522">
        <v>57744720</v>
      </c>
      <c r="D522" t="s">
        <v>889</v>
      </c>
      <c r="E522" t="s">
        <v>13</v>
      </c>
      <c r="F522" t="s">
        <v>14</v>
      </c>
      <c r="G522">
        <v>20000000</v>
      </c>
      <c r="H522">
        <v>6.2</v>
      </c>
      <c r="I522" t="s">
        <v>34</v>
      </c>
      <c r="J522" t="s">
        <v>38</v>
      </c>
      <c r="K522" t="s">
        <v>24</v>
      </c>
    </row>
    <row r="523" spans="1:15" x14ac:dyDescent="0.25">
      <c r="A523" t="s">
        <v>119</v>
      </c>
      <c r="B523">
        <v>75</v>
      </c>
      <c r="C523">
        <v>57651794</v>
      </c>
      <c r="D523" t="s">
        <v>890</v>
      </c>
      <c r="E523" t="s">
        <v>13</v>
      </c>
      <c r="F523" t="s">
        <v>14</v>
      </c>
      <c r="G523">
        <v>33000000</v>
      </c>
      <c r="H523">
        <v>5.6</v>
      </c>
      <c r="I523" t="s">
        <v>15</v>
      </c>
      <c r="J523" t="s">
        <v>19</v>
      </c>
      <c r="K523" t="s">
        <v>41</v>
      </c>
    </row>
    <row r="524" spans="1:15" x14ac:dyDescent="0.25">
      <c r="A524" t="s">
        <v>539</v>
      </c>
      <c r="B524">
        <v>112</v>
      </c>
      <c r="C524">
        <v>57504069</v>
      </c>
      <c r="D524" t="s">
        <v>891</v>
      </c>
      <c r="E524" t="s">
        <v>13</v>
      </c>
      <c r="F524" t="s">
        <v>14</v>
      </c>
      <c r="G524">
        <v>6000000</v>
      </c>
      <c r="H524">
        <v>7.8</v>
      </c>
      <c r="I524" t="s">
        <v>38</v>
      </c>
      <c r="J524" t="s">
        <v>31</v>
      </c>
    </row>
    <row r="525" spans="1:15" x14ac:dyDescent="0.25">
      <c r="A525" t="s">
        <v>892</v>
      </c>
      <c r="B525">
        <v>103</v>
      </c>
      <c r="C525">
        <v>57469179</v>
      </c>
      <c r="D525" t="s">
        <v>893</v>
      </c>
      <c r="E525" t="s">
        <v>13</v>
      </c>
      <c r="F525" t="s">
        <v>14</v>
      </c>
      <c r="G525">
        <v>11500000</v>
      </c>
      <c r="H525">
        <v>6.6</v>
      </c>
      <c r="I525" t="s">
        <v>17</v>
      </c>
      <c r="J525" t="s">
        <v>22</v>
      </c>
    </row>
    <row r="526" spans="1:15" x14ac:dyDescent="0.25">
      <c r="A526" t="s">
        <v>894</v>
      </c>
      <c r="B526">
        <v>127</v>
      </c>
      <c r="C526">
        <v>57386369</v>
      </c>
      <c r="D526" t="s">
        <v>895</v>
      </c>
      <c r="E526" t="s">
        <v>13</v>
      </c>
      <c r="F526" t="s">
        <v>14</v>
      </c>
      <c r="G526">
        <v>52500000</v>
      </c>
      <c r="H526">
        <v>7.6</v>
      </c>
      <c r="I526" t="s">
        <v>31</v>
      </c>
      <c r="J526" t="s">
        <v>59</v>
      </c>
      <c r="K526" t="s">
        <v>19</v>
      </c>
    </row>
    <row r="527" spans="1:15" x14ac:dyDescent="0.25">
      <c r="A527" t="s">
        <v>715</v>
      </c>
      <c r="B527">
        <v>110</v>
      </c>
      <c r="C527">
        <v>57362581</v>
      </c>
      <c r="D527" t="s">
        <v>896</v>
      </c>
      <c r="E527" t="s">
        <v>13</v>
      </c>
      <c r="F527" t="s">
        <v>897</v>
      </c>
      <c r="G527">
        <v>45000000</v>
      </c>
      <c r="H527">
        <v>5.4</v>
      </c>
      <c r="I527" t="s">
        <v>34</v>
      </c>
      <c r="J527" t="s">
        <v>38</v>
      </c>
      <c r="K527" t="s">
        <v>31</v>
      </c>
      <c r="L527" t="s">
        <v>19</v>
      </c>
      <c r="M527" t="s">
        <v>24</v>
      </c>
    </row>
    <row r="528" spans="1:15" x14ac:dyDescent="0.25">
      <c r="A528" t="s">
        <v>380</v>
      </c>
      <c r="B528">
        <v>220</v>
      </c>
      <c r="C528">
        <v>57300000</v>
      </c>
      <c r="D528" t="s">
        <v>898</v>
      </c>
      <c r="E528" t="s">
        <v>13</v>
      </c>
      <c r="F528" t="s">
        <v>14</v>
      </c>
      <c r="G528">
        <v>13000000</v>
      </c>
      <c r="H528">
        <v>9</v>
      </c>
      <c r="I528" t="s">
        <v>38</v>
      </c>
      <c r="J528" t="s">
        <v>31</v>
      </c>
    </row>
    <row r="529" spans="1:13" x14ac:dyDescent="0.25">
      <c r="A529" t="s">
        <v>899</v>
      </c>
      <c r="B529">
        <v>98</v>
      </c>
      <c r="C529">
        <v>57262492</v>
      </c>
      <c r="D529" t="s">
        <v>900</v>
      </c>
      <c r="E529" t="s">
        <v>13</v>
      </c>
      <c r="F529" t="s">
        <v>14</v>
      </c>
      <c r="G529">
        <v>24000000</v>
      </c>
      <c r="H529">
        <v>6.7</v>
      </c>
      <c r="I529" t="s">
        <v>15</v>
      </c>
      <c r="J529" t="s">
        <v>38</v>
      </c>
    </row>
    <row r="530" spans="1:13" x14ac:dyDescent="0.25">
      <c r="A530" t="s">
        <v>109</v>
      </c>
      <c r="B530">
        <v>98</v>
      </c>
      <c r="C530">
        <v>57176582</v>
      </c>
      <c r="D530" t="s">
        <v>901</v>
      </c>
      <c r="E530" t="s">
        <v>13</v>
      </c>
      <c r="F530" t="s">
        <v>14</v>
      </c>
      <c r="G530">
        <v>9500000</v>
      </c>
      <c r="H530">
        <v>6.1</v>
      </c>
      <c r="I530" t="s">
        <v>15</v>
      </c>
    </row>
    <row r="531" spans="1:13" x14ac:dyDescent="0.25">
      <c r="A531" t="s">
        <v>902</v>
      </c>
      <c r="B531">
        <v>89</v>
      </c>
      <c r="C531">
        <v>57011847</v>
      </c>
      <c r="D531" t="s">
        <v>903</v>
      </c>
      <c r="E531" t="s">
        <v>13</v>
      </c>
      <c r="F531" t="s">
        <v>14</v>
      </c>
      <c r="G531">
        <v>40000000</v>
      </c>
      <c r="H531">
        <v>5.9</v>
      </c>
      <c r="I531" t="s">
        <v>28</v>
      </c>
      <c r="J531" t="s">
        <v>46</v>
      </c>
      <c r="K531" t="s">
        <v>15</v>
      </c>
      <c r="L531" t="s">
        <v>16</v>
      </c>
      <c r="M531" t="s">
        <v>37</v>
      </c>
    </row>
    <row r="532" spans="1:13" x14ac:dyDescent="0.25">
      <c r="A532" t="s">
        <v>904</v>
      </c>
      <c r="B532">
        <v>145</v>
      </c>
      <c r="C532">
        <v>57010853</v>
      </c>
      <c r="D532" t="s">
        <v>905</v>
      </c>
      <c r="E532" t="s">
        <v>13</v>
      </c>
      <c r="F532" t="s">
        <v>14</v>
      </c>
      <c r="G532">
        <v>85000000</v>
      </c>
      <c r="H532">
        <v>7.3</v>
      </c>
      <c r="I532" t="s">
        <v>31</v>
      </c>
      <c r="J532" t="s">
        <v>19</v>
      </c>
    </row>
    <row r="533" spans="1:13" x14ac:dyDescent="0.25">
      <c r="A533" t="s">
        <v>298</v>
      </c>
      <c r="B533">
        <v>110</v>
      </c>
      <c r="C533">
        <v>56932305</v>
      </c>
      <c r="D533" t="s">
        <v>906</v>
      </c>
      <c r="E533" t="s">
        <v>13</v>
      </c>
      <c r="F533" t="s">
        <v>14</v>
      </c>
      <c r="G533">
        <v>55000000</v>
      </c>
      <c r="H533">
        <v>6.6</v>
      </c>
      <c r="I533" t="s">
        <v>34</v>
      </c>
      <c r="J533" t="s">
        <v>28</v>
      </c>
      <c r="K533" t="s">
        <v>15</v>
      </c>
      <c r="L533" t="s">
        <v>69</v>
      </c>
    </row>
    <row r="534" spans="1:13" x14ac:dyDescent="0.25">
      <c r="A534" t="s">
        <v>252</v>
      </c>
      <c r="B534">
        <v>132</v>
      </c>
      <c r="C534">
        <v>56876365</v>
      </c>
      <c r="D534" t="s">
        <v>907</v>
      </c>
      <c r="E534" t="s">
        <v>13</v>
      </c>
      <c r="F534" t="s">
        <v>14</v>
      </c>
      <c r="G534">
        <v>35000000</v>
      </c>
      <c r="H534">
        <v>6.4</v>
      </c>
      <c r="I534" t="s">
        <v>34</v>
      </c>
      <c r="J534" t="s">
        <v>28</v>
      </c>
    </row>
    <row r="535" spans="1:13" x14ac:dyDescent="0.25">
      <c r="A535" t="s">
        <v>908</v>
      </c>
      <c r="B535">
        <v>94</v>
      </c>
      <c r="C535">
        <v>56816662</v>
      </c>
      <c r="D535" t="s">
        <v>909</v>
      </c>
      <c r="E535" t="s">
        <v>13</v>
      </c>
      <c r="F535" t="s">
        <v>910</v>
      </c>
      <c r="G535">
        <v>17000000</v>
      </c>
      <c r="H535">
        <v>7.7</v>
      </c>
      <c r="I535" t="s">
        <v>15</v>
      </c>
      <c r="J535" t="s">
        <v>17</v>
      </c>
      <c r="K535" t="s">
        <v>19</v>
      </c>
    </row>
    <row r="536" spans="1:13" x14ac:dyDescent="0.25">
      <c r="A536" t="s">
        <v>911</v>
      </c>
      <c r="B536">
        <v>95</v>
      </c>
      <c r="C536">
        <v>56729973</v>
      </c>
      <c r="D536" t="s">
        <v>912</v>
      </c>
      <c r="E536" t="s">
        <v>13</v>
      </c>
      <c r="F536" t="s">
        <v>14</v>
      </c>
      <c r="G536">
        <v>10800000</v>
      </c>
      <c r="H536">
        <v>5.8</v>
      </c>
      <c r="I536" t="s">
        <v>22</v>
      </c>
      <c r="J536" t="s">
        <v>23</v>
      </c>
    </row>
    <row r="537" spans="1:13" x14ac:dyDescent="0.25">
      <c r="A537" t="s">
        <v>913</v>
      </c>
      <c r="B537">
        <v>113</v>
      </c>
      <c r="C537">
        <v>56724080</v>
      </c>
      <c r="D537" t="s">
        <v>914</v>
      </c>
      <c r="E537" t="s">
        <v>13</v>
      </c>
      <c r="F537" t="s">
        <v>14</v>
      </c>
      <c r="G537">
        <v>50000000</v>
      </c>
      <c r="H537">
        <v>6.7</v>
      </c>
      <c r="I537" t="s">
        <v>15</v>
      </c>
    </row>
    <row r="538" spans="1:13" x14ac:dyDescent="0.25">
      <c r="A538" t="s">
        <v>915</v>
      </c>
      <c r="B538">
        <v>161</v>
      </c>
      <c r="C538">
        <v>56715371</v>
      </c>
      <c r="D538" t="s">
        <v>916</v>
      </c>
      <c r="E538" t="s">
        <v>13</v>
      </c>
      <c r="F538" t="s">
        <v>82</v>
      </c>
      <c r="G538">
        <v>12000000</v>
      </c>
      <c r="H538">
        <v>8.3000000000000007</v>
      </c>
      <c r="I538" t="s">
        <v>28</v>
      </c>
      <c r="J538" t="s">
        <v>23</v>
      </c>
      <c r="K538" t="s">
        <v>37</v>
      </c>
    </row>
    <row r="539" spans="1:13" x14ac:dyDescent="0.25">
      <c r="A539" t="s">
        <v>917</v>
      </c>
      <c r="B539">
        <v>115</v>
      </c>
      <c r="C539">
        <v>56702901</v>
      </c>
      <c r="D539" t="s">
        <v>918</v>
      </c>
      <c r="E539" t="s">
        <v>13</v>
      </c>
      <c r="F539" t="s">
        <v>14</v>
      </c>
      <c r="G539">
        <v>60000000</v>
      </c>
      <c r="H539">
        <v>6.5</v>
      </c>
      <c r="I539" t="s">
        <v>31</v>
      </c>
    </row>
    <row r="540" spans="1:13" x14ac:dyDescent="0.25">
      <c r="A540" t="s">
        <v>919</v>
      </c>
      <c r="B540">
        <v>96</v>
      </c>
      <c r="C540">
        <v>56684819</v>
      </c>
      <c r="D540" t="s">
        <v>920</v>
      </c>
      <c r="E540" t="s">
        <v>13</v>
      </c>
      <c r="F540" t="s">
        <v>14</v>
      </c>
      <c r="G540">
        <v>80000000</v>
      </c>
      <c r="H540">
        <v>5.9</v>
      </c>
      <c r="I540" t="s">
        <v>34</v>
      </c>
      <c r="J540" t="s">
        <v>28</v>
      </c>
      <c r="K540" t="s">
        <v>37</v>
      </c>
    </row>
    <row r="541" spans="1:13" x14ac:dyDescent="0.25">
      <c r="A541" t="s">
        <v>921</v>
      </c>
      <c r="B541">
        <v>134</v>
      </c>
      <c r="C541">
        <v>56667870</v>
      </c>
      <c r="D541" t="s">
        <v>922</v>
      </c>
      <c r="E541" t="s">
        <v>13</v>
      </c>
      <c r="F541" t="s">
        <v>14</v>
      </c>
      <c r="G541">
        <v>20000000</v>
      </c>
      <c r="H541">
        <v>8.1</v>
      </c>
      <c r="I541" t="s">
        <v>42</v>
      </c>
      <c r="J541" t="s">
        <v>31</v>
      </c>
      <c r="K541" t="s">
        <v>64</v>
      </c>
    </row>
    <row r="542" spans="1:13" x14ac:dyDescent="0.25">
      <c r="A542" t="s">
        <v>923</v>
      </c>
      <c r="B542">
        <v>97</v>
      </c>
      <c r="C542">
        <v>56631572</v>
      </c>
      <c r="D542" t="s">
        <v>924</v>
      </c>
      <c r="E542" t="s">
        <v>13</v>
      </c>
      <c r="F542" t="s">
        <v>14</v>
      </c>
      <c r="G542">
        <v>12000000</v>
      </c>
      <c r="H542">
        <v>6.8</v>
      </c>
      <c r="I542" t="s">
        <v>15</v>
      </c>
      <c r="J542" t="s">
        <v>19</v>
      </c>
    </row>
    <row r="543" spans="1:13" x14ac:dyDescent="0.25">
      <c r="A543" t="s">
        <v>925</v>
      </c>
      <c r="B543">
        <v>112</v>
      </c>
      <c r="C543">
        <v>56607223</v>
      </c>
      <c r="D543" t="s">
        <v>926</v>
      </c>
      <c r="E543" t="s">
        <v>13</v>
      </c>
      <c r="F543" t="s">
        <v>98</v>
      </c>
      <c r="G543">
        <v>48000000</v>
      </c>
      <c r="H543">
        <v>6.4</v>
      </c>
      <c r="I543" t="s">
        <v>28</v>
      </c>
      <c r="J543" t="s">
        <v>15</v>
      </c>
    </row>
    <row r="544" spans="1:13" x14ac:dyDescent="0.25">
      <c r="A544" t="s">
        <v>927</v>
      </c>
      <c r="B544">
        <v>81</v>
      </c>
      <c r="C544">
        <v>56536016</v>
      </c>
      <c r="D544" t="s">
        <v>928</v>
      </c>
      <c r="E544" t="s">
        <v>13</v>
      </c>
      <c r="F544" t="s">
        <v>14</v>
      </c>
      <c r="G544">
        <v>4900000</v>
      </c>
      <c r="H544">
        <v>6.9</v>
      </c>
      <c r="I544" t="s">
        <v>22</v>
      </c>
    </row>
    <row r="545" spans="1:14" x14ac:dyDescent="0.25">
      <c r="A545" t="s">
        <v>929</v>
      </c>
      <c r="B545">
        <v>134</v>
      </c>
      <c r="C545">
        <v>56505065</v>
      </c>
      <c r="D545" t="s">
        <v>930</v>
      </c>
      <c r="E545" t="s">
        <v>13</v>
      </c>
      <c r="F545" t="s">
        <v>14</v>
      </c>
      <c r="G545">
        <v>25000000</v>
      </c>
      <c r="H545">
        <v>7.8</v>
      </c>
      <c r="I545" t="s">
        <v>34</v>
      </c>
      <c r="J545" t="s">
        <v>42</v>
      </c>
      <c r="K545" t="s">
        <v>31</v>
      </c>
      <c r="L545" t="s">
        <v>64</v>
      </c>
      <c r="M545" t="s">
        <v>19</v>
      </c>
      <c r="N545" t="s">
        <v>69</v>
      </c>
    </row>
    <row r="546" spans="1:14" x14ac:dyDescent="0.25">
      <c r="A546" t="s">
        <v>229</v>
      </c>
      <c r="B546">
        <v>124</v>
      </c>
      <c r="C546">
        <v>56443482</v>
      </c>
      <c r="D546" t="s">
        <v>931</v>
      </c>
      <c r="E546" t="s">
        <v>13</v>
      </c>
      <c r="F546" t="s">
        <v>14</v>
      </c>
      <c r="G546">
        <v>60000000</v>
      </c>
      <c r="H546">
        <v>6.6</v>
      </c>
      <c r="I546" t="s">
        <v>42</v>
      </c>
      <c r="J546" t="s">
        <v>15</v>
      </c>
      <c r="K546" t="s">
        <v>31</v>
      </c>
    </row>
    <row r="547" spans="1:14" x14ac:dyDescent="0.25">
      <c r="A547" t="s">
        <v>932</v>
      </c>
      <c r="B547">
        <v>94</v>
      </c>
      <c r="C547">
        <v>56437947</v>
      </c>
      <c r="D547" t="s">
        <v>933</v>
      </c>
      <c r="E547" t="s">
        <v>13</v>
      </c>
      <c r="F547" t="s">
        <v>82</v>
      </c>
      <c r="G547">
        <v>9800000</v>
      </c>
      <c r="H547">
        <v>7.3</v>
      </c>
      <c r="I547" t="s">
        <v>42</v>
      </c>
      <c r="J547" t="s">
        <v>31</v>
      </c>
    </row>
    <row r="548" spans="1:14" x14ac:dyDescent="0.25">
      <c r="A548" t="s">
        <v>934</v>
      </c>
      <c r="B548">
        <v>118</v>
      </c>
      <c r="C548">
        <v>56398162</v>
      </c>
      <c r="D548" t="s">
        <v>935</v>
      </c>
      <c r="E548" t="s">
        <v>13</v>
      </c>
      <c r="F548" t="s">
        <v>14</v>
      </c>
      <c r="G548">
        <v>20000000</v>
      </c>
      <c r="H548">
        <v>5.7</v>
      </c>
      <c r="I548" t="s">
        <v>15</v>
      </c>
      <c r="J548" t="s">
        <v>31</v>
      </c>
      <c r="K548" t="s">
        <v>18</v>
      </c>
      <c r="L548" t="s">
        <v>19</v>
      </c>
    </row>
    <row r="549" spans="1:14" x14ac:dyDescent="0.25">
      <c r="A549" t="s">
        <v>554</v>
      </c>
      <c r="B549">
        <v>105</v>
      </c>
      <c r="C549">
        <v>56362352</v>
      </c>
      <c r="D549" t="s">
        <v>936</v>
      </c>
      <c r="E549" t="s">
        <v>13</v>
      </c>
      <c r="F549" t="s">
        <v>14</v>
      </c>
      <c r="G549">
        <v>20000000</v>
      </c>
      <c r="H549">
        <v>7.9</v>
      </c>
      <c r="I549" t="s">
        <v>17</v>
      </c>
      <c r="J549" t="s">
        <v>19</v>
      </c>
    </row>
    <row r="550" spans="1:14" x14ac:dyDescent="0.25">
      <c r="A550" t="s">
        <v>937</v>
      </c>
      <c r="B550">
        <v>110</v>
      </c>
      <c r="C550">
        <v>56154094</v>
      </c>
      <c r="D550" t="s">
        <v>938</v>
      </c>
      <c r="E550" t="s">
        <v>13</v>
      </c>
      <c r="F550" t="s">
        <v>82</v>
      </c>
      <c r="G550">
        <v>20000000</v>
      </c>
      <c r="H550">
        <v>7.6</v>
      </c>
      <c r="I550" t="s">
        <v>31</v>
      </c>
      <c r="J550" t="s">
        <v>19</v>
      </c>
    </row>
    <row r="551" spans="1:14" x14ac:dyDescent="0.25">
      <c r="A551" t="s">
        <v>187</v>
      </c>
      <c r="B551">
        <v>95</v>
      </c>
      <c r="C551">
        <v>56127162</v>
      </c>
      <c r="D551" t="s">
        <v>939</v>
      </c>
      <c r="E551" t="s">
        <v>13</v>
      </c>
      <c r="F551" t="s">
        <v>14</v>
      </c>
      <c r="G551">
        <v>18000000</v>
      </c>
      <c r="H551">
        <v>5.4</v>
      </c>
      <c r="I551" t="s">
        <v>15</v>
      </c>
      <c r="J551" t="s">
        <v>19</v>
      </c>
    </row>
    <row r="552" spans="1:14" x14ac:dyDescent="0.25">
      <c r="A552" t="s">
        <v>208</v>
      </c>
      <c r="B552">
        <v>144</v>
      </c>
      <c r="C552">
        <v>56083966</v>
      </c>
      <c r="D552" t="s">
        <v>940</v>
      </c>
      <c r="E552" t="s">
        <v>13</v>
      </c>
      <c r="F552" t="s">
        <v>14</v>
      </c>
      <c r="G552">
        <v>65000000</v>
      </c>
      <c r="H552">
        <v>6.9</v>
      </c>
      <c r="I552" t="s">
        <v>34</v>
      </c>
      <c r="J552" t="s">
        <v>28</v>
      </c>
      <c r="K552" t="s">
        <v>19</v>
      </c>
    </row>
    <row r="553" spans="1:14" x14ac:dyDescent="0.25">
      <c r="A553" t="s">
        <v>941</v>
      </c>
      <c r="B553">
        <v>85</v>
      </c>
      <c r="C553">
        <v>56068547</v>
      </c>
      <c r="D553" t="s">
        <v>942</v>
      </c>
      <c r="E553" t="s">
        <v>13</v>
      </c>
      <c r="F553" t="s">
        <v>82</v>
      </c>
      <c r="G553">
        <v>30000000</v>
      </c>
      <c r="H553">
        <v>7.5</v>
      </c>
      <c r="I553" t="s">
        <v>46</v>
      </c>
      <c r="J553" t="s">
        <v>15</v>
      </c>
      <c r="K553" t="s">
        <v>16</v>
      </c>
      <c r="L553" t="s">
        <v>23</v>
      </c>
      <c r="M553" t="s">
        <v>37</v>
      </c>
    </row>
    <row r="554" spans="1:14" x14ac:dyDescent="0.25">
      <c r="A554" t="s">
        <v>382</v>
      </c>
      <c r="B554">
        <v>98</v>
      </c>
      <c r="C554">
        <v>56044241</v>
      </c>
      <c r="D554" t="s">
        <v>943</v>
      </c>
      <c r="E554" t="s">
        <v>13</v>
      </c>
      <c r="F554" t="s">
        <v>14</v>
      </c>
      <c r="G554">
        <v>37000000</v>
      </c>
      <c r="H554">
        <v>6.1</v>
      </c>
      <c r="I554" t="s">
        <v>15</v>
      </c>
      <c r="J554" t="s">
        <v>17</v>
      </c>
      <c r="K554" t="s">
        <v>19</v>
      </c>
    </row>
    <row r="555" spans="1:14" x14ac:dyDescent="0.25">
      <c r="A555" t="s">
        <v>944</v>
      </c>
      <c r="B555">
        <v>92</v>
      </c>
      <c r="C555">
        <v>55994557</v>
      </c>
      <c r="D555" t="s">
        <v>945</v>
      </c>
      <c r="E555" t="s">
        <v>13</v>
      </c>
      <c r="F555" t="s">
        <v>14</v>
      </c>
      <c r="G555">
        <v>60000000</v>
      </c>
      <c r="H555">
        <v>7</v>
      </c>
      <c r="I555" t="s">
        <v>28</v>
      </c>
      <c r="J555" t="s">
        <v>46</v>
      </c>
      <c r="K555" t="s">
        <v>15</v>
      </c>
      <c r="L555" t="s">
        <v>16</v>
      </c>
      <c r="M555" t="s">
        <v>17</v>
      </c>
    </row>
    <row r="556" spans="1:14" x14ac:dyDescent="0.25">
      <c r="A556" t="s">
        <v>946</v>
      </c>
      <c r="B556">
        <v>115</v>
      </c>
      <c r="C556">
        <v>55973336</v>
      </c>
      <c r="D556" t="s">
        <v>947</v>
      </c>
      <c r="E556" t="s">
        <v>13</v>
      </c>
      <c r="F556" t="s">
        <v>14</v>
      </c>
      <c r="G556">
        <v>25000000</v>
      </c>
      <c r="H556">
        <v>6.1</v>
      </c>
      <c r="I556" t="s">
        <v>34</v>
      </c>
      <c r="J556" t="s">
        <v>38</v>
      </c>
      <c r="K556" t="s">
        <v>24</v>
      </c>
    </row>
    <row r="557" spans="1:14" x14ac:dyDescent="0.25">
      <c r="A557" t="s">
        <v>948</v>
      </c>
      <c r="B557">
        <v>92</v>
      </c>
      <c r="C557">
        <v>55942830</v>
      </c>
      <c r="D557" t="s">
        <v>949</v>
      </c>
      <c r="E557" t="s">
        <v>13</v>
      </c>
      <c r="F557" t="s">
        <v>14</v>
      </c>
      <c r="G557">
        <v>70000000</v>
      </c>
      <c r="H557">
        <v>6.3</v>
      </c>
      <c r="I557" t="s">
        <v>34</v>
      </c>
      <c r="J557" t="s">
        <v>31</v>
      </c>
      <c r="K557" t="s">
        <v>17</v>
      </c>
      <c r="L557" t="s">
        <v>22</v>
      </c>
      <c r="M557" t="s">
        <v>83</v>
      </c>
    </row>
    <row r="558" spans="1:14" x14ac:dyDescent="0.25">
      <c r="A558" t="s">
        <v>950</v>
      </c>
      <c r="B558">
        <v>101</v>
      </c>
      <c r="C558">
        <v>55865715</v>
      </c>
      <c r="D558" t="s">
        <v>951</v>
      </c>
      <c r="E558" t="s">
        <v>13</v>
      </c>
      <c r="F558" t="s">
        <v>82</v>
      </c>
      <c r="G558">
        <v>10000000</v>
      </c>
      <c r="H558">
        <v>5.5</v>
      </c>
      <c r="I558" t="s">
        <v>31</v>
      </c>
      <c r="J558" t="s">
        <v>22</v>
      </c>
      <c r="K558" t="s">
        <v>23</v>
      </c>
      <c r="L558" t="s">
        <v>24</v>
      </c>
    </row>
    <row r="559" spans="1:14" x14ac:dyDescent="0.25">
      <c r="A559" t="s">
        <v>327</v>
      </c>
      <c r="B559">
        <v>102</v>
      </c>
      <c r="C559">
        <v>55845943</v>
      </c>
      <c r="D559" t="s">
        <v>952</v>
      </c>
      <c r="E559" t="s">
        <v>13</v>
      </c>
      <c r="F559" t="s">
        <v>14</v>
      </c>
      <c r="G559">
        <v>29000000</v>
      </c>
      <c r="H559">
        <v>6.4</v>
      </c>
      <c r="I559" t="s">
        <v>34</v>
      </c>
      <c r="J559" t="s">
        <v>38</v>
      </c>
      <c r="K559" t="s">
        <v>24</v>
      </c>
    </row>
    <row r="560" spans="1:14" x14ac:dyDescent="0.25">
      <c r="A560" t="s">
        <v>93</v>
      </c>
      <c r="B560">
        <v>118</v>
      </c>
      <c r="C560">
        <v>55808744</v>
      </c>
      <c r="D560" t="s">
        <v>953</v>
      </c>
      <c r="E560" t="s">
        <v>13</v>
      </c>
      <c r="F560" t="s">
        <v>14</v>
      </c>
      <c r="G560">
        <v>53000000</v>
      </c>
      <c r="H560">
        <v>5.7</v>
      </c>
      <c r="I560" t="s">
        <v>15</v>
      </c>
      <c r="J560" t="s">
        <v>38</v>
      </c>
      <c r="K560" t="s">
        <v>18</v>
      </c>
    </row>
    <row r="561" spans="1:13" x14ac:dyDescent="0.25">
      <c r="A561" t="s">
        <v>321</v>
      </c>
      <c r="B561">
        <v>109</v>
      </c>
      <c r="C561">
        <v>55802754</v>
      </c>
      <c r="D561" t="s">
        <v>954</v>
      </c>
      <c r="E561" t="s">
        <v>13</v>
      </c>
      <c r="F561" t="s">
        <v>14</v>
      </c>
      <c r="G561">
        <v>35000000</v>
      </c>
      <c r="H561">
        <v>6.6</v>
      </c>
      <c r="I561" t="s">
        <v>15</v>
      </c>
      <c r="J561" t="s">
        <v>19</v>
      </c>
    </row>
    <row r="562" spans="1:13" x14ac:dyDescent="0.25">
      <c r="A562" t="s">
        <v>384</v>
      </c>
      <c r="B562">
        <v>84</v>
      </c>
      <c r="C562">
        <v>55762229</v>
      </c>
      <c r="D562" t="s">
        <v>955</v>
      </c>
      <c r="E562" t="s">
        <v>13</v>
      </c>
      <c r="F562" t="s">
        <v>14</v>
      </c>
      <c r="G562">
        <v>22000000</v>
      </c>
      <c r="H562">
        <v>4.8</v>
      </c>
      <c r="I562" t="s">
        <v>15</v>
      </c>
      <c r="J562" t="s">
        <v>37</v>
      </c>
    </row>
    <row r="563" spans="1:13" x14ac:dyDescent="0.25">
      <c r="A563" t="s">
        <v>956</v>
      </c>
      <c r="B563">
        <v>91</v>
      </c>
      <c r="C563">
        <v>55747724</v>
      </c>
      <c r="D563" t="s">
        <v>957</v>
      </c>
      <c r="E563" t="s">
        <v>13</v>
      </c>
      <c r="F563" t="s">
        <v>14</v>
      </c>
      <c r="G563">
        <v>55000000</v>
      </c>
      <c r="H563">
        <v>5.9</v>
      </c>
      <c r="I563" t="s">
        <v>28</v>
      </c>
      <c r="J563" t="s">
        <v>46</v>
      </c>
      <c r="K563" t="s">
        <v>15</v>
      </c>
      <c r="L563" t="s">
        <v>16</v>
      </c>
    </row>
    <row r="564" spans="1:13" x14ac:dyDescent="0.25">
      <c r="A564" t="s">
        <v>958</v>
      </c>
      <c r="B564">
        <v>98</v>
      </c>
      <c r="C564">
        <v>55682070</v>
      </c>
      <c r="D564" t="s">
        <v>959</v>
      </c>
      <c r="E564" t="s">
        <v>13</v>
      </c>
      <c r="F564" t="s">
        <v>241</v>
      </c>
      <c r="G564">
        <v>50000000</v>
      </c>
      <c r="H564">
        <v>6.1</v>
      </c>
      <c r="I564" t="s">
        <v>34</v>
      </c>
      <c r="J564" t="s">
        <v>17</v>
      </c>
      <c r="K564" t="s">
        <v>22</v>
      </c>
    </row>
    <row r="565" spans="1:13" x14ac:dyDescent="0.25">
      <c r="A565" t="s">
        <v>858</v>
      </c>
      <c r="B565">
        <v>101</v>
      </c>
      <c r="C565">
        <v>55673333</v>
      </c>
      <c r="D565" t="s">
        <v>960</v>
      </c>
      <c r="E565" t="s">
        <v>13</v>
      </c>
      <c r="F565" t="s">
        <v>14</v>
      </c>
      <c r="G565">
        <v>80000000</v>
      </c>
      <c r="H565">
        <v>7</v>
      </c>
      <c r="I565" t="s">
        <v>34</v>
      </c>
      <c r="J565" t="s">
        <v>28</v>
      </c>
      <c r="K565" t="s">
        <v>46</v>
      </c>
      <c r="L565" t="s">
        <v>16</v>
      </c>
      <c r="M565" t="s">
        <v>17</v>
      </c>
    </row>
    <row r="566" spans="1:13" x14ac:dyDescent="0.25">
      <c r="A566" t="s">
        <v>915</v>
      </c>
      <c r="B566">
        <v>159</v>
      </c>
      <c r="C566">
        <v>55637680</v>
      </c>
      <c r="D566" t="s">
        <v>961</v>
      </c>
      <c r="E566" t="s">
        <v>13</v>
      </c>
      <c r="F566" t="s">
        <v>82</v>
      </c>
      <c r="G566">
        <v>65000000</v>
      </c>
      <c r="H566">
        <v>7.3</v>
      </c>
      <c r="I566" t="s">
        <v>31</v>
      </c>
      <c r="J566" t="s">
        <v>23</v>
      </c>
      <c r="K566" t="s">
        <v>24</v>
      </c>
    </row>
    <row r="567" spans="1:13" x14ac:dyDescent="0.25">
      <c r="A567" t="s">
        <v>490</v>
      </c>
      <c r="B567">
        <v>98</v>
      </c>
      <c r="C567">
        <v>55585389</v>
      </c>
      <c r="D567" t="s">
        <v>962</v>
      </c>
      <c r="E567" t="s">
        <v>13</v>
      </c>
      <c r="F567" t="s">
        <v>14</v>
      </c>
      <c r="G567">
        <v>69000000</v>
      </c>
      <c r="H567">
        <v>5.9</v>
      </c>
      <c r="I567" t="s">
        <v>38</v>
      </c>
      <c r="J567" t="s">
        <v>23</v>
      </c>
      <c r="K567" t="s">
        <v>24</v>
      </c>
    </row>
    <row r="568" spans="1:13" x14ac:dyDescent="0.25">
      <c r="A568" t="s">
        <v>963</v>
      </c>
      <c r="B568">
        <v>121</v>
      </c>
      <c r="C568">
        <v>55500000</v>
      </c>
      <c r="D568" t="s">
        <v>964</v>
      </c>
      <c r="E568" t="s">
        <v>13</v>
      </c>
      <c r="F568" t="s">
        <v>82</v>
      </c>
      <c r="G568">
        <v>36000000</v>
      </c>
      <c r="H568">
        <v>6.2</v>
      </c>
      <c r="I568" t="s">
        <v>34</v>
      </c>
      <c r="J568" t="s">
        <v>28</v>
      </c>
      <c r="K568" t="s">
        <v>24</v>
      </c>
    </row>
    <row r="569" spans="1:13" x14ac:dyDescent="0.25">
      <c r="A569" t="s">
        <v>129</v>
      </c>
      <c r="B569">
        <v>145</v>
      </c>
      <c r="C569">
        <v>55473600</v>
      </c>
      <c r="D569" t="s">
        <v>965</v>
      </c>
      <c r="E569" t="s">
        <v>13</v>
      </c>
      <c r="F569" t="s">
        <v>14</v>
      </c>
      <c r="G569">
        <v>50000000</v>
      </c>
      <c r="H569">
        <v>6.4</v>
      </c>
      <c r="I569" t="s">
        <v>34</v>
      </c>
      <c r="J569" t="s">
        <v>22</v>
      </c>
      <c r="K569" t="s">
        <v>37</v>
      </c>
    </row>
    <row r="570" spans="1:13" x14ac:dyDescent="0.25">
      <c r="A570" t="s">
        <v>966</v>
      </c>
      <c r="B570">
        <v>100</v>
      </c>
      <c r="C570">
        <v>55461307</v>
      </c>
      <c r="D570" t="s">
        <v>967</v>
      </c>
      <c r="E570" t="s">
        <v>13</v>
      </c>
      <c r="F570" t="s">
        <v>14</v>
      </c>
      <c r="G570">
        <v>20000000</v>
      </c>
      <c r="H570">
        <v>6.7</v>
      </c>
      <c r="I570" t="s">
        <v>15</v>
      </c>
    </row>
    <row r="571" spans="1:13" x14ac:dyDescent="0.25">
      <c r="A571" t="s">
        <v>968</v>
      </c>
      <c r="B571">
        <v>113</v>
      </c>
      <c r="C571">
        <v>55350897</v>
      </c>
      <c r="D571" t="s">
        <v>969</v>
      </c>
      <c r="E571" t="s">
        <v>13</v>
      </c>
      <c r="F571" t="s">
        <v>14</v>
      </c>
      <c r="G571">
        <v>85000000</v>
      </c>
      <c r="H571">
        <v>7</v>
      </c>
      <c r="I571" t="s">
        <v>31</v>
      </c>
      <c r="J571" t="s">
        <v>17</v>
      </c>
      <c r="K571" t="s">
        <v>19</v>
      </c>
    </row>
    <row r="572" spans="1:13" x14ac:dyDescent="0.25">
      <c r="A572" t="s">
        <v>771</v>
      </c>
      <c r="B572">
        <v>92</v>
      </c>
      <c r="C572">
        <v>55291815</v>
      </c>
      <c r="D572" t="s">
        <v>970</v>
      </c>
      <c r="E572" t="s">
        <v>13</v>
      </c>
      <c r="F572" t="s">
        <v>14</v>
      </c>
      <c r="G572">
        <v>35000000</v>
      </c>
      <c r="H572">
        <v>6</v>
      </c>
      <c r="I572" t="s">
        <v>15</v>
      </c>
    </row>
    <row r="573" spans="1:13" x14ac:dyDescent="0.25">
      <c r="A573" t="s">
        <v>971</v>
      </c>
      <c r="B573">
        <v>107</v>
      </c>
      <c r="C573">
        <v>55210049</v>
      </c>
      <c r="D573" t="s">
        <v>972</v>
      </c>
      <c r="E573" t="s">
        <v>13</v>
      </c>
      <c r="F573" t="s">
        <v>14</v>
      </c>
      <c r="G573">
        <v>27800000</v>
      </c>
      <c r="H573">
        <v>5.4</v>
      </c>
      <c r="I573" t="s">
        <v>34</v>
      </c>
      <c r="J573" t="s">
        <v>28</v>
      </c>
      <c r="K573" t="s">
        <v>37</v>
      </c>
      <c r="L573" t="s">
        <v>24</v>
      </c>
    </row>
    <row r="574" spans="1:13" x14ac:dyDescent="0.25">
      <c r="A574" t="s">
        <v>276</v>
      </c>
      <c r="B574">
        <v>113</v>
      </c>
      <c r="C574">
        <v>55184721</v>
      </c>
      <c r="D574" t="s">
        <v>973</v>
      </c>
      <c r="E574" t="s">
        <v>13</v>
      </c>
      <c r="F574" t="s">
        <v>14</v>
      </c>
      <c r="G574">
        <v>15000000</v>
      </c>
      <c r="H574">
        <v>5.6</v>
      </c>
      <c r="I574" t="s">
        <v>15</v>
      </c>
      <c r="J574" t="s">
        <v>31</v>
      </c>
    </row>
    <row r="575" spans="1:13" x14ac:dyDescent="0.25">
      <c r="A575" t="s">
        <v>133</v>
      </c>
      <c r="B575">
        <v>103</v>
      </c>
      <c r="C575">
        <v>55153403</v>
      </c>
      <c r="D575" t="s">
        <v>974</v>
      </c>
      <c r="E575" t="s">
        <v>13</v>
      </c>
      <c r="F575" t="s">
        <v>14</v>
      </c>
      <c r="G575">
        <v>1200000</v>
      </c>
      <c r="H575">
        <v>7.7</v>
      </c>
      <c r="I575" t="s">
        <v>22</v>
      </c>
      <c r="J575" t="s">
        <v>23</v>
      </c>
      <c r="K575" t="s">
        <v>24</v>
      </c>
    </row>
    <row r="576" spans="1:13" x14ac:dyDescent="0.25">
      <c r="A576" t="s">
        <v>156</v>
      </c>
      <c r="B576">
        <v>109</v>
      </c>
      <c r="C576">
        <v>55092830</v>
      </c>
      <c r="D576" t="s">
        <v>975</v>
      </c>
      <c r="E576" t="s">
        <v>13</v>
      </c>
      <c r="F576" t="s">
        <v>14</v>
      </c>
      <c r="G576">
        <v>60000000</v>
      </c>
      <c r="H576">
        <v>6.1</v>
      </c>
      <c r="I576" t="s">
        <v>34</v>
      </c>
      <c r="J576" t="s">
        <v>28</v>
      </c>
      <c r="K576" t="s">
        <v>37</v>
      </c>
      <c r="L576" t="s">
        <v>24</v>
      </c>
    </row>
    <row r="577" spans="1:13" x14ac:dyDescent="0.25">
      <c r="A577" t="s">
        <v>811</v>
      </c>
      <c r="B577">
        <v>113</v>
      </c>
      <c r="C577">
        <v>54997476</v>
      </c>
      <c r="D577" t="s">
        <v>976</v>
      </c>
      <c r="E577" t="s">
        <v>13</v>
      </c>
      <c r="F577" t="s">
        <v>14</v>
      </c>
      <c r="G577">
        <v>50000000</v>
      </c>
      <c r="H577">
        <v>6.3</v>
      </c>
      <c r="I577" t="s">
        <v>38</v>
      </c>
      <c r="J577" t="s">
        <v>31</v>
      </c>
      <c r="K577" t="s">
        <v>23</v>
      </c>
      <c r="L577" t="s">
        <v>24</v>
      </c>
    </row>
    <row r="578" spans="1:13" x14ac:dyDescent="0.25">
      <c r="A578" t="s">
        <v>977</v>
      </c>
      <c r="B578">
        <v>98</v>
      </c>
      <c r="C578">
        <v>54967359</v>
      </c>
      <c r="D578" t="s">
        <v>978</v>
      </c>
      <c r="E578" t="s">
        <v>13</v>
      </c>
      <c r="F578" t="s">
        <v>14</v>
      </c>
      <c r="G578">
        <v>40000000</v>
      </c>
      <c r="H578">
        <v>5.2</v>
      </c>
      <c r="I578" t="s">
        <v>34</v>
      </c>
      <c r="J578" t="s">
        <v>22</v>
      </c>
    </row>
    <row r="579" spans="1:13" x14ac:dyDescent="0.25">
      <c r="A579" t="s">
        <v>979</v>
      </c>
      <c r="B579">
        <v>124</v>
      </c>
      <c r="C579">
        <v>54910560</v>
      </c>
      <c r="D579" t="s">
        <v>980</v>
      </c>
      <c r="E579" t="s">
        <v>13</v>
      </c>
      <c r="F579" t="s">
        <v>14</v>
      </c>
      <c r="G579">
        <v>60000000</v>
      </c>
      <c r="H579">
        <v>6.3</v>
      </c>
      <c r="I579" t="s">
        <v>34</v>
      </c>
      <c r="J579" t="s">
        <v>28</v>
      </c>
      <c r="K579" t="s">
        <v>38</v>
      </c>
      <c r="L579" t="s">
        <v>24</v>
      </c>
    </row>
    <row r="580" spans="1:13" x14ac:dyDescent="0.25">
      <c r="A580" t="s">
        <v>521</v>
      </c>
      <c r="B580">
        <v>124</v>
      </c>
      <c r="C580">
        <v>54800000</v>
      </c>
      <c r="D580" t="s">
        <v>981</v>
      </c>
      <c r="E580" t="s">
        <v>13</v>
      </c>
      <c r="F580" t="s">
        <v>14</v>
      </c>
      <c r="G580">
        <v>6000000</v>
      </c>
      <c r="H580">
        <v>7.8</v>
      </c>
      <c r="I580" t="s">
        <v>31</v>
      </c>
    </row>
    <row r="581" spans="1:13" x14ac:dyDescent="0.25">
      <c r="A581" t="s">
        <v>982</v>
      </c>
      <c r="B581">
        <v>103</v>
      </c>
      <c r="C581">
        <v>54758461</v>
      </c>
      <c r="D581" t="s">
        <v>983</v>
      </c>
      <c r="E581" t="s">
        <v>13</v>
      </c>
      <c r="F581" t="s">
        <v>14</v>
      </c>
      <c r="G581">
        <v>65000000</v>
      </c>
      <c r="H581">
        <v>6.3</v>
      </c>
      <c r="I581" t="s">
        <v>34</v>
      </c>
      <c r="J581" t="s">
        <v>15</v>
      </c>
      <c r="K581" t="s">
        <v>19</v>
      </c>
    </row>
    <row r="582" spans="1:13" x14ac:dyDescent="0.25">
      <c r="A582" t="s">
        <v>984</v>
      </c>
      <c r="B582">
        <v>93</v>
      </c>
      <c r="C582">
        <v>54724272</v>
      </c>
      <c r="D582" t="s">
        <v>985</v>
      </c>
      <c r="E582" t="s">
        <v>13</v>
      </c>
      <c r="F582" t="s">
        <v>14</v>
      </c>
      <c r="G582">
        <v>12000000</v>
      </c>
      <c r="H582">
        <v>6.7</v>
      </c>
      <c r="I582" t="s">
        <v>15</v>
      </c>
      <c r="J582" t="s">
        <v>38</v>
      </c>
    </row>
    <row r="583" spans="1:13" x14ac:dyDescent="0.25">
      <c r="A583" t="s">
        <v>986</v>
      </c>
      <c r="B583">
        <v>93</v>
      </c>
      <c r="C583">
        <v>54696902</v>
      </c>
      <c r="D583" t="s">
        <v>987</v>
      </c>
      <c r="E583" t="s">
        <v>13</v>
      </c>
      <c r="F583" t="s">
        <v>14</v>
      </c>
      <c r="G583">
        <v>32000000</v>
      </c>
      <c r="H583">
        <v>7.5</v>
      </c>
      <c r="I583" t="s">
        <v>23</v>
      </c>
      <c r="J583" t="s">
        <v>37</v>
      </c>
      <c r="K583" t="s">
        <v>24</v>
      </c>
    </row>
    <row r="584" spans="1:13" x14ac:dyDescent="0.25">
      <c r="A584" t="s">
        <v>988</v>
      </c>
      <c r="B584">
        <v>115</v>
      </c>
      <c r="C584">
        <v>54557348</v>
      </c>
      <c r="D584" t="s">
        <v>989</v>
      </c>
      <c r="E584" t="s">
        <v>13</v>
      </c>
      <c r="F584" t="s">
        <v>241</v>
      </c>
      <c r="G584">
        <v>6500000</v>
      </c>
      <c r="H584">
        <v>7.9</v>
      </c>
      <c r="I584" t="s">
        <v>38</v>
      </c>
      <c r="J584" t="s">
        <v>31</v>
      </c>
      <c r="K584" t="s">
        <v>24</v>
      </c>
    </row>
    <row r="585" spans="1:13" x14ac:dyDescent="0.25">
      <c r="A585" t="s">
        <v>55</v>
      </c>
      <c r="B585">
        <v>113</v>
      </c>
      <c r="C585">
        <v>54540525</v>
      </c>
      <c r="D585" t="s">
        <v>990</v>
      </c>
      <c r="E585" t="s">
        <v>13</v>
      </c>
      <c r="F585" t="s">
        <v>14</v>
      </c>
      <c r="G585">
        <v>56000000</v>
      </c>
      <c r="H585">
        <v>5.7</v>
      </c>
      <c r="I585" t="s">
        <v>15</v>
      </c>
      <c r="J585" t="s">
        <v>19</v>
      </c>
    </row>
    <row r="586" spans="1:13" x14ac:dyDescent="0.25">
      <c r="A586" t="s">
        <v>991</v>
      </c>
      <c r="B586">
        <v>116</v>
      </c>
      <c r="C586">
        <v>54414716</v>
      </c>
      <c r="D586" t="s">
        <v>992</v>
      </c>
      <c r="E586" t="s">
        <v>13</v>
      </c>
      <c r="F586" t="s">
        <v>14</v>
      </c>
      <c r="G586">
        <v>42000000</v>
      </c>
      <c r="H586">
        <v>6.3</v>
      </c>
      <c r="I586" t="s">
        <v>15</v>
      </c>
      <c r="J586" t="s">
        <v>38</v>
      </c>
    </row>
    <row r="587" spans="1:13" x14ac:dyDescent="0.25">
      <c r="A587" t="s">
        <v>993</v>
      </c>
      <c r="B587">
        <v>95</v>
      </c>
      <c r="C587">
        <v>54322273</v>
      </c>
      <c r="D587" t="s">
        <v>994</v>
      </c>
      <c r="E587" t="s">
        <v>13</v>
      </c>
      <c r="F587" t="s">
        <v>82</v>
      </c>
      <c r="G587">
        <v>17000000</v>
      </c>
      <c r="H587">
        <v>6.4</v>
      </c>
      <c r="I587" t="s">
        <v>31</v>
      </c>
      <c r="J587" t="s">
        <v>17</v>
      </c>
      <c r="K587" t="s">
        <v>22</v>
      </c>
      <c r="L587" t="s">
        <v>24</v>
      </c>
    </row>
    <row r="588" spans="1:13" x14ac:dyDescent="0.25">
      <c r="A588" t="s">
        <v>254</v>
      </c>
      <c r="B588">
        <v>86</v>
      </c>
      <c r="C588">
        <v>54257433</v>
      </c>
      <c r="D588" t="s">
        <v>995</v>
      </c>
      <c r="E588" t="s">
        <v>13</v>
      </c>
      <c r="F588" t="s">
        <v>14</v>
      </c>
      <c r="G588">
        <v>17000000</v>
      </c>
      <c r="H588">
        <v>6.8</v>
      </c>
      <c r="I588" t="s">
        <v>31</v>
      </c>
      <c r="J588" t="s">
        <v>22</v>
      </c>
      <c r="K588" t="s">
        <v>24</v>
      </c>
    </row>
    <row r="589" spans="1:13" x14ac:dyDescent="0.25">
      <c r="A589" t="s">
        <v>996</v>
      </c>
      <c r="B589">
        <v>96</v>
      </c>
      <c r="C589">
        <v>54239856</v>
      </c>
      <c r="D589" t="s">
        <v>997</v>
      </c>
      <c r="E589" t="s">
        <v>13</v>
      </c>
      <c r="F589" t="s">
        <v>14</v>
      </c>
      <c r="G589">
        <v>17000000</v>
      </c>
      <c r="H589">
        <v>6.5</v>
      </c>
      <c r="I589" t="s">
        <v>22</v>
      </c>
    </row>
    <row r="590" spans="1:13" x14ac:dyDescent="0.25">
      <c r="A590" t="s">
        <v>435</v>
      </c>
      <c r="B590">
        <v>122</v>
      </c>
      <c r="C590">
        <v>54235441</v>
      </c>
      <c r="D590" t="s">
        <v>998</v>
      </c>
      <c r="E590" t="s">
        <v>13</v>
      </c>
      <c r="F590" t="s">
        <v>14</v>
      </c>
      <c r="G590">
        <v>22000000</v>
      </c>
      <c r="H590">
        <v>7.3</v>
      </c>
      <c r="I590" t="s">
        <v>15</v>
      </c>
      <c r="J590" t="s">
        <v>31</v>
      </c>
    </row>
    <row r="591" spans="1:13" x14ac:dyDescent="0.25">
      <c r="A591" t="s">
        <v>999</v>
      </c>
      <c r="B591">
        <v>131</v>
      </c>
      <c r="C591">
        <v>54228104</v>
      </c>
      <c r="D591" t="s">
        <v>1000</v>
      </c>
      <c r="E591" t="s">
        <v>13</v>
      </c>
      <c r="F591" t="s">
        <v>82</v>
      </c>
      <c r="G591">
        <v>35000000</v>
      </c>
      <c r="H591">
        <v>7.7</v>
      </c>
      <c r="I591" t="s">
        <v>34</v>
      </c>
      <c r="J591" t="s">
        <v>28</v>
      </c>
      <c r="K591" t="s">
        <v>31</v>
      </c>
      <c r="L591" t="s">
        <v>19</v>
      </c>
      <c r="M591" t="s">
        <v>24</v>
      </c>
    </row>
    <row r="592" spans="1:13" x14ac:dyDescent="0.25">
      <c r="A592" t="s">
        <v>332</v>
      </c>
      <c r="B592">
        <v>171</v>
      </c>
      <c r="C592">
        <v>54222000</v>
      </c>
      <c r="D592" t="s">
        <v>1001</v>
      </c>
      <c r="E592" t="s">
        <v>13</v>
      </c>
      <c r="F592" t="s">
        <v>14</v>
      </c>
      <c r="G592">
        <v>69500000</v>
      </c>
      <c r="H592">
        <v>7.6</v>
      </c>
      <c r="I592" t="s">
        <v>28</v>
      </c>
      <c r="J592" t="s">
        <v>31</v>
      </c>
      <c r="K592" t="s">
        <v>37</v>
      </c>
      <c r="L592" t="s">
        <v>24</v>
      </c>
    </row>
    <row r="593" spans="1:15" x14ac:dyDescent="0.25">
      <c r="A593" t="s">
        <v>1002</v>
      </c>
      <c r="B593">
        <v>108</v>
      </c>
      <c r="C593">
        <v>54215416</v>
      </c>
      <c r="D593" t="s">
        <v>1003</v>
      </c>
      <c r="E593" t="s">
        <v>13</v>
      </c>
      <c r="F593" t="s">
        <v>14</v>
      </c>
      <c r="G593">
        <v>6500000</v>
      </c>
      <c r="H593">
        <v>6.8</v>
      </c>
      <c r="I593" t="s">
        <v>42</v>
      </c>
      <c r="J593" t="s">
        <v>31</v>
      </c>
      <c r="K593" t="s">
        <v>18</v>
      </c>
    </row>
    <row r="594" spans="1:15" x14ac:dyDescent="0.25">
      <c r="A594" t="s">
        <v>281</v>
      </c>
      <c r="B594">
        <v>148</v>
      </c>
      <c r="C594">
        <v>54200000</v>
      </c>
      <c r="D594" t="s">
        <v>1004</v>
      </c>
      <c r="E594" t="s">
        <v>13</v>
      </c>
      <c r="F594" t="s">
        <v>14</v>
      </c>
      <c r="G594">
        <v>27000000</v>
      </c>
      <c r="H594">
        <v>7.9</v>
      </c>
      <c r="I594" t="s">
        <v>34</v>
      </c>
      <c r="J594" t="s">
        <v>15</v>
      </c>
      <c r="K594" t="s">
        <v>38</v>
      </c>
      <c r="L594" t="s">
        <v>18</v>
      </c>
    </row>
    <row r="595" spans="1:15" x14ac:dyDescent="0.25">
      <c r="A595" t="s">
        <v>1005</v>
      </c>
      <c r="B595">
        <v>87</v>
      </c>
      <c r="C595">
        <v>54132596</v>
      </c>
      <c r="D595" t="s">
        <v>1006</v>
      </c>
      <c r="E595" t="s">
        <v>13</v>
      </c>
      <c r="F595" t="s">
        <v>1007</v>
      </c>
      <c r="G595">
        <v>34000000</v>
      </c>
      <c r="H595">
        <v>6.3</v>
      </c>
      <c r="I595" t="s">
        <v>34</v>
      </c>
      <c r="J595" t="s">
        <v>28</v>
      </c>
      <c r="K595" t="s">
        <v>46</v>
      </c>
      <c r="L595" t="s">
        <v>15</v>
      </c>
      <c r="M595" t="s">
        <v>16</v>
      </c>
      <c r="N595" t="s">
        <v>17</v>
      </c>
      <c r="O595" t="s">
        <v>37</v>
      </c>
    </row>
    <row r="596" spans="1:15" x14ac:dyDescent="0.25">
      <c r="A596" t="s">
        <v>62</v>
      </c>
      <c r="B596">
        <v>187</v>
      </c>
      <c r="C596">
        <v>54116191</v>
      </c>
      <c r="D596" t="s">
        <v>1008</v>
      </c>
      <c r="E596" t="s">
        <v>13</v>
      </c>
      <c r="F596" t="s">
        <v>14</v>
      </c>
      <c r="G596">
        <v>44000000</v>
      </c>
      <c r="H596">
        <v>7.9</v>
      </c>
      <c r="I596" t="s">
        <v>38</v>
      </c>
      <c r="J596" t="s">
        <v>31</v>
      </c>
      <c r="K596" t="s">
        <v>23</v>
      </c>
      <c r="L596" t="s">
        <v>24</v>
      </c>
      <c r="M596" t="s">
        <v>69</v>
      </c>
    </row>
    <row r="597" spans="1:15" x14ac:dyDescent="0.25">
      <c r="A597" t="s">
        <v>1009</v>
      </c>
      <c r="B597">
        <v>86</v>
      </c>
      <c r="C597">
        <v>54098051</v>
      </c>
      <c r="D597" t="s">
        <v>1010</v>
      </c>
      <c r="E597" t="s">
        <v>13</v>
      </c>
      <c r="F597" t="s">
        <v>241</v>
      </c>
      <c r="G597">
        <v>25000000</v>
      </c>
      <c r="H597">
        <v>5.8</v>
      </c>
      <c r="I597" t="s">
        <v>22</v>
      </c>
    </row>
    <row r="598" spans="1:15" x14ac:dyDescent="0.25">
      <c r="A598" t="s">
        <v>1011</v>
      </c>
      <c r="B598">
        <v>129</v>
      </c>
      <c r="C598">
        <v>54000000</v>
      </c>
      <c r="D598" t="s">
        <v>1012</v>
      </c>
      <c r="E598" t="s">
        <v>13</v>
      </c>
      <c r="F598" t="s">
        <v>14</v>
      </c>
      <c r="G598">
        <v>16000000</v>
      </c>
      <c r="H598">
        <v>7.8</v>
      </c>
      <c r="I598" t="s">
        <v>31</v>
      </c>
    </row>
    <row r="599" spans="1:15" x14ac:dyDescent="0.25">
      <c r="A599" t="s">
        <v>133</v>
      </c>
      <c r="B599">
        <v>103</v>
      </c>
      <c r="C599">
        <v>53991137</v>
      </c>
      <c r="D599" t="s">
        <v>1013</v>
      </c>
      <c r="E599" t="s">
        <v>13</v>
      </c>
      <c r="F599" t="s">
        <v>14</v>
      </c>
      <c r="G599">
        <v>1500000</v>
      </c>
      <c r="H599">
        <v>6.8</v>
      </c>
      <c r="I599" t="s">
        <v>17</v>
      </c>
      <c r="J599" t="s">
        <v>22</v>
      </c>
      <c r="K599" t="s">
        <v>23</v>
      </c>
      <c r="L599" t="s">
        <v>24</v>
      </c>
    </row>
    <row r="600" spans="1:15" x14ac:dyDescent="0.25">
      <c r="A600" t="s">
        <v>1014</v>
      </c>
      <c r="B600">
        <v>108</v>
      </c>
      <c r="C600">
        <v>53955614</v>
      </c>
      <c r="D600" t="s">
        <v>1015</v>
      </c>
      <c r="E600" t="s">
        <v>13</v>
      </c>
      <c r="F600" t="s">
        <v>14</v>
      </c>
      <c r="G600">
        <v>40000000</v>
      </c>
      <c r="H600">
        <v>6.1</v>
      </c>
      <c r="I600" t="s">
        <v>34</v>
      </c>
      <c r="J600" t="s">
        <v>28</v>
      </c>
      <c r="K600" t="s">
        <v>15</v>
      </c>
      <c r="L600" t="s">
        <v>16</v>
      </c>
      <c r="M600" t="s">
        <v>37</v>
      </c>
    </row>
    <row r="601" spans="1:15" x14ac:dyDescent="0.25">
      <c r="A601" t="s">
        <v>113</v>
      </c>
      <c r="B601">
        <v>96</v>
      </c>
      <c r="C601">
        <v>53884821</v>
      </c>
      <c r="D601" t="s">
        <v>1016</v>
      </c>
      <c r="E601" t="s">
        <v>13</v>
      </c>
      <c r="F601" t="s">
        <v>14</v>
      </c>
      <c r="G601">
        <v>5000000</v>
      </c>
      <c r="H601">
        <v>4.5999999999999996</v>
      </c>
      <c r="I601" t="s">
        <v>22</v>
      </c>
    </row>
    <row r="602" spans="1:15" x14ac:dyDescent="0.25">
      <c r="A602" t="s">
        <v>562</v>
      </c>
      <c r="B602">
        <v>68</v>
      </c>
      <c r="C602">
        <v>53868030</v>
      </c>
      <c r="D602" t="s">
        <v>1017</v>
      </c>
      <c r="E602" t="s">
        <v>13</v>
      </c>
      <c r="F602" t="s">
        <v>14</v>
      </c>
      <c r="G602">
        <v>17000000</v>
      </c>
      <c r="H602">
        <v>7</v>
      </c>
      <c r="I602" t="s">
        <v>15</v>
      </c>
      <c r="J602" t="s">
        <v>38</v>
      </c>
    </row>
    <row r="603" spans="1:15" x14ac:dyDescent="0.25">
      <c r="A603" t="s">
        <v>1018</v>
      </c>
      <c r="B603">
        <v>135</v>
      </c>
      <c r="C603">
        <v>53854588</v>
      </c>
      <c r="D603" t="s">
        <v>1019</v>
      </c>
      <c r="E603" t="s">
        <v>13</v>
      </c>
      <c r="F603" t="s">
        <v>14</v>
      </c>
      <c r="G603">
        <v>45000000</v>
      </c>
      <c r="H603">
        <v>6.3</v>
      </c>
      <c r="I603" t="s">
        <v>15</v>
      </c>
      <c r="J603" t="s">
        <v>31</v>
      </c>
      <c r="K603" t="s">
        <v>19</v>
      </c>
      <c r="L603" t="s">
        <v>41</v>
      </c>
    </row>
    <row r="604" spans="1:15" x14ac:dyDescent="0.25">
      <c r="A604" t="s">
        <v>344</v>
      </c>
      <c r="B604">
        <v>105</v>
      </c>
      <c r="C604">
        <v>53846915</v>
      </c>
      <c r="D604" t="s">
        <v>1020</v>
      </c>
      <c r="E604" t="s">
        <v>13</v>
      </c>
      <c r="F604" t="s">
        <v>14</v>
      </c>
      <c r="G604">
        <v>50100000</v>
      </c>
      <c r="H604">
        <v>6.6</v>
      </c>
      <c r="I604" t="s">
        <v>15</v>
      </c>
      <c r="J604" t="s">
        <v>38</v>
      </c>
      <c r="K604" t="s">
        <v>31</v>
      </c>
      <c r="L604" t="s">
        <v>19</v>
      </c>
    </row>
    <row r="605" spans="1:15" x14ac:dyDescent="0.25">
      <c r="A605" t="s">
        <v>613</v>
      </c>
      <c r="B605">
        <v>119</v>
      </c>
      <c r="C605">
        <v>53789313</v>
      </c>
      <c r="D605" t="s">
        <v>1021</v>
      </c>
      <c r="E605" t="s">
        <v>13</v>
      </c>
      <c r="F605" t="s">
        <v>14</v>
      </c>
      <c r="G605">
        <v>60000000</v>
      </c>
      <c r="H605">
        <v>6.3</v>
      </c>
      <c r="I605" t="s">
        <v>34</v>
      </c>
      <c r="J605" t="s">
        <v>23</v>
      </c>
      <c r="K605" t="s">
        <v>37</v>
      </c>
      <c r="L605" t="s">
        <v>24</v>
      </c>
    </row>
    <row r="606" spans="1:15" x14ac:dyDescent="0.25">
      <c r="A606" t="s">
        <v>1022</v>
      </c>
      <c r="B606">
        <v>87</v>
      </c>
      <c r="C606">
        <v>53715611</v>
      </c>
      <c r="D606" t="s">
        <v>1023</v>
      </c>
      <c r="E606" t="s">
        <v>13</v>
      </c>
      <c r="F606" t="s">
        <v>14</v>
      </c>
      <c r="G606">
        <v>63000000</v>
      </c>
      <c r="H606">
        <v>5.7</v>
      </c>
      <c r="I606" t="s">
        <v>34</v>
      </c>
      <c r="J606" t="s">
        <v>28</v>
      </c>
      <c r="K606" t="s">
        <v>24</v>
      </c>
      <c r="L606" t="s">
        <v>83</v>
      </c>
    </row>
    <row r="607" spans="1:15" x14ac:dyDescent="0.25">
      <c r="A607" t="s">
        <v>1024</v>
      </c>
      <c r="B607">
        <v>126</v>
      </c>
      <c r="C607">
        <v>53680848</v>
      </c>
      <c r="D607" t="s">
        <v>1025</v>
      </c>
      <c r="E607" t="s">
        <v>13</v>
      </c>
      <c r="F607" t="s">
        <v>14</v>
      </c>
      <c r="G607">
        <v>30000000</v>
      </c>
      <c r="H607">
        <v>7.1</v>
      </c>
      <c r="I607" t="s">
        <v>31</v>
      </c>
      <c r="J607" t="s">
        <v>19</v>
      </c>
    </row>
    <row r="608" spans="1:15" x14ac:dyDescent="0.25">
      <c r="A608" t="s">
        <v>1026</v>
      </c>
      <c r="B608">
        <v>122</v>
      </c>
      <c r="C608">
        <v>53574088</v>
      </c>
      <c r="D608" t="s">
        <v>1027</v>
      </c>
      <c r="E608" t="s">
        <v>13</v>
      </c>
      <c r="F608" t="s">
        <v>14</v>
      </c>
      <c r="G608">
        <v>55000000</v>
      </c>
      <c r="H608">
        <v>7.8</v>
      </c>
      <c r="I608" t="s">
        <v>28</v>
      </c>
      <c r="J608" t="s">
        <v>38</v>
      </c>
      <c r="K608" t="s">
        <v>31</v>
      </c>
      <c r="L608" t="s">
        <v>69</v>
      </c>
    </row>
    <row r="609" spans="1:14" x14ac:dyDescent="0.25">
      <c r="A609" t="s">
        <v>554</v>
      </c>
      <c r="B609">
        <v>77</v>
      </c>
      <c r="C609">
        <v>53337608</v>
      </c>
      <c r="D609" t="s">
        <v>1028</v>
      </c>
      <c r="E609" t="s">
        <v>13</v>
      </c>
      <c r="F609" t="s">
        <v>14</v>
      </c>
      <c r="G609">
        <v>40000000</v>
      </c>
      <c r="H609">
        <v>7.4</v>
      </c>
      <c r="I609" t="s">
        <v>46</v>
      </c>
      <c r="J609" t="s">
        <v>31</v>
      </c>
      <c r="K609" t="s">
        <v>16</v>
      </c>
      <c r="L609" t="s">
        <v>17</v>
      </c>
      <c r="M609" t="s">
        <v>59</v>
      </c>
      <c r="N609" t="s">
        <v>19</v>
      </c>
    </row>
    <row r="610" spans="1:14" x14ac:dyDescent="0.25">
      <c r="A610" t="s">
        <v>1009</v>
      </c>
      <c r="B610">
        <v>98</v>
      </c>
      <c r="C610">
        <v>53302314</v>
      </c>
      <c r="D610" t="s">
        <v>1029</v>
      </c>
      <c r="E610" t="s">
        <v>13</v>
      </c>
      <c r="F610" t="s">
        <v>14</v>
      </c>
      <c r="G610">
        <v>23000000</v>
      </c>
      <c r="H610">
        <v>6.7</v>
      </c>
      <c r="I610" t="s">
        <v>22</v>
      </c>
      <c r="J610" t="s">
        <v>24</v>
      </c>
    </row>
    <row r="611" spans="1:14" x14ac:dyDescent="0.25">
      <c r="A611" t="s">
        <v>371</v>
      </c>
      <c r="B611">
        <v>147</v>
      </c>
      <c r="C611">
        <v>53300852</v>
      </c>
      <c r="D611" t="s">
        <v>1030</v>
      </c>
      <c r="E611" t="s">
        <v>13</v>
      </c>
      <c r="F611" t="s">
        <v>14</v>
      </c>
      <c r="G611">
        <v>44000000</v>
      </c>
      <c r="H611">
        <v>7.5</v>
      </c>
      <c r="I611" t="s">
        <v>38</v>
      </c>
      <c r="J611" t="s">
        <v>31</v>
      </c>
      <c r="K611" t="s">
        <v>24</v>
      </c>
    </row>
    <row r="612" spans="1:14" x14ac:dyDescent="0.25">
      <c r="A612" t="s">
        <v>1031</v>
      </c>
      <c r="B612">
        <v>83</v>
      </c>
      <c r="C612">
        <v>53245055</v>
      </c>
      <c r="D612" t="s">
        <v>1032</v>
      </c>
      <c r="E612" t="s">
        <v>13</v>
      </c>
      <c r="F612" t="s">
        <v>14</v>
      </c>
      <c r="G612">
        <v>1000000</v>
      </c>
      <c r="H612">
        <v>4.2</v>
      </c>
      <c r="I612" t="s">
        <v>22</v>
      </c>
    </row>
    <row r="613" spans="1:14" x14ac:dyDescent="0.25">
      <c r="A613" t="s">
        <v>593</v>
      </c>
      <c r="B613">
        <v>116</v>
      </c>
      <c r="C613">
        <v>53215979</v>
      </c>
      <c r="D613" t="s">
        <v>1033</v>
      </c>
      <c r="E613" t="s">
        <v>13</v>
      </c>
      <c r="F613" t="s">
        <v>14</v>
      </c>
      <c r="G613">
        <v>84000000</v>
      </c>
      <c r="H613">
        <v>6.7</v>
      </c>
      <c r="I613" t="s">
        <v>34</v>
      </c>
      <c r="J613" t="s">
        <v>15</v>
      </c>
      <c r="K613" t="s">
        <v>38</v>
      </c>
      <c r="L613" t="s">
        <v>24</v>
      </c>
    </row>
    <row r="614" spans="1:14" x14ac:dyDescent="0.25">
      <c r="A614" t="s">
        <v>1034</v>
      </c>
      <c r="B614">
        <v>101</v>
      </c>
      <c r="C614">
        <v>53146000</v>
      </c>
      <c r="D614" t="s">
        <v>1035</v>
      </c>
      <c r="E614" t="s">
        <v>13</v>
      </c>
      <c r="F614" t="s">
        <v>14</v>
      </c>
      <c r="G614">
        <v>20000000</v>
      </c>
      <c r="H614">
        <v>6.1</v>
      </c>
      <c r="I614" t="s">
        <v>38</v>
      </c>
      <c r="J614" t="s">
        <v>31</v>
      </c>
      <c r="K614" t="s">
        <v>24</v>
      </c>
    </row>
    <row r="615" spans="1:14" x14ac:dyDescent="0.25">
      <c r="A615" t="s">
        <v>398</v>
      </c>
      <c r="B615">
        <v>103</v>
      </c>
      <c r="C615">
        <v>53133888</v>
      </c>
      <c r="D615" t="s">
        <v>1036</v>
      </c>
      <c r="E615" t="s">
        <v>13</v>
      </c>
      <c r="F615" t="s">
        <v>14</v>
      </c>
      <c r="G615">
        <v>31000000</v>
      </c>
      <c r="H615">
        <v>6.3</v>
      </c>
      <c r="I615" t="s">
        <v>15</v>
      </c>
      <c r="J615" t="s">
        <v>17</v>
      </c>
      <c r="K615" t="s">
        <v>22</v>
      </c>
      <c r="L615" t="s">
        <v>24</v>
      </c>
    </row>
    <row r="616" spans="1:14" x14ac:dyDescent="0.25">
      <c r="A616" t="s">
        <v>670</v>
      </c>
      <c r="B616">
        <v>130</v>
      </c>
      <c r="C616">
        <v>53082743</v>
      </c>
      <c r="D616" t="s">
        <v>1037</v>
      </c>
      <c r="E616" t="s">
        <v>13</v>
      </c>
      <c r="F616" t="s">
        <v>14</v>
      </c>
      <c r="G616">
        <v>40000000</v>
      </c>
      <c r="H616">
        <v>8.5</v>
      </c>
      <c r="I616" t="s">
        <v>31</v>
      </c>
      <c r="J616" t="s">
        <v>23</v>
      </c>
      <c r="K616" t="s">
        <v>37</v>
      </c>
      <c r="L616" t="s">
        <v>24</v>
      </c>
    </row>
    <row r="617" spans="1:14" x14ac:dyDescent="0.25">
      <c r="A617" t="s">
        <v>382</v>
      </c>
      <c r="B617">
        <v>105</v>
      </c>
      <c r="C617">
        <v>53021560</v>
      </c>
      <c r="D617" t="s">
        <v>1038</v>
      </c>
      <c r="E617" t="s">
        <v>13</v>
      </c>
      <c r="F617" t="s">
        <v>14</v>
      </c>
      <c r="G617">
        <v>30000000</v>
      </c>
      <c r="H617">
        <v>6.5</v>
      </c>
      <c r="I617" t="s">
        <v>15</v>
      </c>
      <c r="J617" t="s">
        <v>31</v>
      </c>
      <c r="K617" t="s">
        <v>19</v>
      </c>
    </row>
    <row r="618" spans="1:14" x14ac:dyDescent="0.25">
      <c r="A618" t="s">
        <v>1039</v>
      </c>
      <c r="B618">
        <v>124</v>
      </c>
      <c r="C618">
        <v>52937130</v>
      </c>
      <c r="D618" t="s">
        <v>1040</v>
      </c>
      <c r="E618" t="s">
        <v>13</v>
      </c>
      <c r="F618" t="s">
        <v>14</v>
      </c>
      <c r="G618">
        <v>30000000</v>
      </c>
      <c r="H618">
        <v>7.6</v>
      </c>
      <c r="I618" t="s">
        <v>42</v>
      </c>
      <c r="J618" t="s">
        <v>38</v>
      </c>
      <c r="K618" t="s">
        <v>31</v>
      </c>
    </row>
    <row r="619" spans="1:14" x14ac:dyDescent="0.25">
      <c r="A619" t="s">
        <v>899</v>
      </c>
      <c r="B619">
        <v>120</v>
      </c>
      <c r="C619">
        <v>52929168</v>
      </c>
      <c r="D619" t="s">
        <v>1041</v>
      </c>
      <c r="E619" t="s">
        <v>13</v>
      </c>
      <c r="F619" t="s">
        <v>14</v>
      </c>
      <c r="G619">
        <v>11000000</v>
      </c>
      <c r="H619">
        <v>7.5</v>
      </c>
      <c r="I619" t="s">
        <v>15</v>
      </c>
      <c r="J619" t="s">
        <v>38</v>
      </c>
    </row>
    <row r="620" spans="1:14" x14ac:dyDescent="0.25">
      <c r="A620" t="s">
        <v>799</v>
      </c>
      <c r="B620">
        <v>106</v>
      </c>
      <c r="C620">
        <v>52885587</v>
      </c>
      <c r="D620" t="s">
        <v>1042</v>
      </c>
      <c r="E620" t="s">
        <v>13</v>
      </c>
      <c r="F620" t="s">
        <v>14</v>
      </c>
      <c r="G620">
        <v>16000000</v>
      </c>
      <c r="H620">
        <v>6.4</v>
      </c>
      <c r="I620" t="s">
        <v>15</v>
      </c>
      <c r="J620" t="s">
        <v>31</v>
      </c>
      <c r="K620" t="s">
        <v>19</v>
      </c>
      <c r="L620" t="s">
        <v>41</v>
      </c>
    </row>
    <row r="621" spans="1:14" x14ac:dyDescent="0.25">
      <c r="A621" t="s">
        <v>711</v>
      </c>
      <c r="B621">
        <v>144</v>
      </c>
      <c r="C621">
        <v>52822418</v>
      </c>
      <c r="D621" t="s">
        <v>1043</v>
      </c>
      <c r="E621" t="s">
        <v>13</v>
      </c>
      <c r="F621" t="s">
        <v>14</v>
      </c>
      <c r="G621">
        <v>50000000</v>
      </c>
      <c r="H621">
        <v>7.4</v>
      </c>
      <c r="I621" t="s">
        <v>34</v>
      </c>
      <c r="J621" t="s">
        <v>31</v>
      </c>
      <c r="K621" t="s">
        <v>24</v>
      </c>
      <c r="L621" t="s">
        <v>83</v>
      </c>
    </row>
    <row r="622" spans="1:14" x14ac:dyDescent="0.25">
      <c r="A622" t="s">
        <v>1044</v>
      </c>
      <c r="B622">
        <v>131</v>
      </c>
      <c r="C622">
        <v>52799004</v>
      </c>
      <c r="D622" t="s">
        <v>1045</v>
      </c>
      <c r="E622" t="s">
        <v>13</v>
      </c>
      <c r="F622" t="s">
        <v>14</v>
      </c>
      <c r="G622">
        <v>55000000</v>
      </c>
      <c r="H622">
        <v>6.1</v>
      </c>
      <c r="I622" t="s">
        <v>31</v>
      </c>
      <c r="J622" t="s">
        <v>19</v>
      </c>
    </row>
    <row r="623" spans="1:14" x14ac:dyDescent="0.25">
      <c r="A623" t="s">
        <v>212</v>
      </c>
      <c r="B623">
        <v>124</v>
      </c>
      <c r="C623">
        <v>52752475</v>
      </c>
      <c r="D623" t="s">
        <v>1046</v>
      </c>
      <c r="E623" t="s">
        <v>13</v>
      </c>
      <c r="F623" t="s">
        <v>14</v>
      </c>
      <c r="G623">
        <v>50000000</v>
      </c>
      <c r="H623">
        <v>6.7</v>
      </c>
      <c r="I623" t="s">
        <v>31</v>
      </c>
      <c r="J623" t="s">
        <v>24</v>
      </c>
    </row>
    <row r="624" spans="1:14" x14ac:dyDescent="0.25">
      <c r="A624" t="s">
        <v>752</v>
      </c>
      <c r="B624">
        <v>117</v>
      </c>
      <c r="C624">
        <v>52700832</v>
      </c>
      <c r="D624" t="s">
        <v>1047</v>
      </c>
      <c r="E624" t="s">
        <v>13</v>
      </c>
      <c r="F624" t="s">
        <v>82</v>
      </c>
      <c r="G624">
        <v>4500000</v>
      </c>
      <c r="H624">
        <v>7.1</v>
      </c>
      <c r="I624" t="s">
        <v>15</v>
      </c>
      <c r="J624" t="s">
        <v>31</v>
      </c>
      <c r="K624" t="s">
        <v>19</v>
      </c>
    </row>
    <row r="625" spans="1:14" x14ac:dyDescent="0.25">
      <c r="A625" t="s">
        <v>1048</v>
      </c>
      <c r="B625">
        <v>99</v>
      </c>
      <c r="C625">
        <v>52691009</v>
      </c>
      <c r="D625" t="s">
        <v>1049</v>
      </c>
      <c r="E625" t="s">
        <v>13</v>
      </c>
      <c r="F625" t="s">
        <v>14</v>
      </c>
      <c r="G625">
        <v>21000000</v>
      </c>
      <c r="H625">
        <v>6.6</v>
      </c>
      <c r="I625" t="s">
        <v>15</v>
      </c>
      <c r="J625" t="s">
        <v>16</v>
      </c>
    </row>
    <row r="626" spans="1:14" x14ac:dyDescent="0.25">
      <c r="A626" t="s">
        <v>107</v>
      </c>
      <c r="B626">
        <v>95</v>
      </c>
      <c r="C626">
        <v>52580895</v>
      </c>
      <c r="D626" t="s">
        <v>1050</v>
      </c>
      <c r="E626" t="s">
        <v>13</v>
      </c>
      <c r="F626" t="s">
        <v>14</v>
      </c>
      <c r="G626">
        <v>45000000</v>
      </c>
      <c r="H626">
        <v>5.6</v>
      </c>
      <c r="I626" t="s">
        <v>15</v>
      </c>
      <c r="J626" t="s">
        <v>16</v>
      </c>
      <c r="K626" t="s">
        <v>19</v>
      </c>
      <c r="L626" t="s">
        <v>41</v>
      </c>
    </row>
    <row r="627" spans="1:14" x14ac:dyDescent="0.25">
      <c r="A627" t="s">
        <v>1051</v>
      </c>
      <c r="B627">
        <v>84</v>
      </c>
      <c r="C627">
        <v>52543632</v>
      </c>
      <c r="D627" t="s">
        <v>1052</v>
      </c>
      <c r="E627" t="s">
        <v>13</v>
      </c>
      <c r="F627" t="s">
        <v>14</v>
      </c>
      <c r="G627">
        <v>13200000</v>
      </c>
      <c r="H627">
        <v>5.6</v>
      </c>
      <c r="I627" t="s">
        <v>38</v>
      </c>
      <c r="J627" t="s">
        <v>24</v>
      </c>
    </row>
    <row r="628" spans="1:14" x14ac:dyDescent="0.25">
      <c r="A628" t="s">
        <v>276</v>
      </c>
      <c r="B628">
        <v>100</v>
      </c>
      <c r="C628">
        <v>52528330</v>
      </c>
      <c r="D628" t="s">
        <v>1053</v>
      </c>
      <c r="E628" t="s">
        <v>13</v>
      </c>
      <c r="F628" t="s">
        <v>14</v>
      </c>
      <c r="G628">
        <v>25000000</v>
      </c>
      <c r="H628">
        <v>4.7</v>
      </c>
      <c r="I628" t="s">
        <v>15</v>
      </c>
      <c r="J628" t="s">
        <v>31</v>
      </c>
    </row>
    <row r="629" spans="1:14" x14ac:dyDescent="0.25">
      <c r="A629" t="s">
        <v>519</v>
      </c>
      <c r="B629">
        <v>136</v>
      </c>
      <c r="C629">
        <v>52474616</v>
      </c>
      <c r="D629" t="s">
        <v>1054</v>
      </c>
      <c r="E629" t="s">
        <v>13</v>
      </c>
      <c r="F629" t="s">
        <v>14</v>
      </c>
      <c r="G629">
        <v>70000000</v>
      </c>
      <c r="H629">
        <v>6.3</v>
      </c>
      <c r="I629" t="s">
        <v>31</v>
      </c>
    </row>
    <row r="630" spans="1:14" x14ac:dyDescent="0.25">
      <c r="A630" t="s">
        <v>147</v>
      </c>
      <c r="B630">
        <v>124</v>
      </c>
      <c r="C630">
        <v>52418902</v>
      </c>
      <c r="D630" t="s">
        <v>1055</v>
      </c>
      <c r="E630" t="s">
        <v>13</v>
      </c>
      <c r="F630" t="s">
        <v>14</v>
      </c>
      <c r="G630">
        <v>30000000</v>
      </c>
      <c r="H630">
        <v>7.5</v>
      </c>
      <c r="I630" t="s">
        <v>31</v>
      </c>
      <c r="J630" t="s">
        <v>41</v>
      </c>
    </row>
    <row r="631" spans="1:14" x14ac:dyDescent="0.25">
      <c r="A631" t="s">
        <v>1056</v>
      </c>
      <c r="B631">
        <v>122</v>
      </c>
      <c r="C631">
        <v>52397389</v>
      </c>
      <c r="D631" t="s">
        <v>1057</v>
      </c>
      <c r="E631" t="s">
        <v>13</v>
      </c>
      <c r="F631" t="s">
        <v>14</v>
      </c>
      <c r="G631">
        <v>65000000</v>
      </c>
      <c r="H631">
        <v>5.9</v>
      </c>
      <c r="I631" t="s">
        <v>34</v>
      </c>
      <c r="J631" t="s">
        <v>28</v>
      </c>
      <c r="K631" t="s">
        <v>17</v>
      </c>
      <c r="L631" t="s">
        <v>22</v>
      </c>
      <c r="M631" t="s">
        <v>37</v>
      </c>
      <c r="N631" t="s">
        <v>24</v>
      </c>
    </row>
    <row r="632" spans="1:14" x14ac:dyDescent="0.25">
      <c r="A632" t="s">
        <v>852</v>
      </c>
      <c r="B632">
        <v>110</v>
      </c>
      <c r="C632">
        <v>52353636</v>
      </c>
      <c r="D632" t="s">
        <v>1058</v>
      </c>
      <c r="E632" t="s">
        <v>13</v>
      </c>
      <c r="F632" t="s">
        <v>14</v>
      </c>
      <c r="G632">
        <v>21000000</v>
      </c>
      <c r="H632">
        <v>7.6</v>
      </c>
      <c r="I632" t="s">
        <v>15</v>
      </c>
      <c r="J632" t="s">
        <v>31</v>
      </c>
    </row>
    <row r="633" spans="1:14" x14ac:dyDescent="0.25">
      <c r="A633" t="s">
        <v>1059</v>
      </c>
      <c r="B633">
        <v>99</v>
      </c>
      <c r="C633">
        <v>52320979</v>
      </c>
      <c r="D633" t="s">
        <v>1060</v>
      </c>
      <c r="E633" t="s">
        <v>13</v>
      </c>
      <c r="F633" t="s">
        <v>14</v>
      </c>
      <c r="G633">
        <v>40000000</v>
      </c>
      <c r="H633">
        <v>6.8</v>
      </c>
      <c r="I633" t="s">
        <v>31</v>
      </c>
      <c r="J633" t="s">
        <v>17</v>
      </c>
      <c r="K633" t="s">
        <v>19</v>
      </c>
    </row>
    <row r="634" spans="1:14" x14ac:dyDescent="0.25">
      <c r="A634" t="s">
        <v>452</v>
      </c>
      <c r="B634">
        <v>119</v>
      </c>
      <c r="C634">
        <v>52293982</v>
      </c>
      <c r="D634" t="s">
        <v>1061</v>
      </c>
      <c r="E634" t="s">
        <v>13</v>
      </c>
      <c r="F634" t="s">
        <v>14</v>
      </c>
      <c r="G634">
        <v>13800000</v>
      </c>
      <c r="H634">
        <v>7</v>
      </c>
      <c r="I634" t="s">
        <v>31</v>
      </c>
      <c r="J634" t="s">
        <v>41</v>
      </c>
    </row>
    <row r="635" spans="1:14" x14ac:dyDescent="0.25">
      <c r="A635" t="s">
        <v>231</v>
      </c>
      <c r="B635">
        <v>89</v>
      </c>
      <c r="C635">
        <v>52287414</v>
      </c>
      <c r="D635" t="s">
        <v>1062</v>
      </c>
      <c r="E635" t="s">
        <v>13</v>
      </c>
      <c r="F635" t="s">
        <v>14</v>
      </c>
      <c r="G635">
        <v>8000000</v>
      </c>
      <c r="H635">
        <v>8.1</v>
      </c>
      <c r="I635" t="s">
        <v>28</v>
      </c>
      <c r="J635" t="s">
        <v>31</v>
      </c>
    </row>
    <row r="636" spans="1:14" x14ac:dyDescent="0.25">
      <c r="A636" t="s">
        <v>1063</v>
      </c>
      <c r="B636">
        <v>109</v>
      </c>
      <c r="C636">
        <v>52277485</v>
      </c>
      <c r="D636" t="s">
        <v>1064</v>
      </c>
      <c r="E636" t="s">
        <v>13</v>
      </c>
      <c r="F636" t="s">
        <v>14</v>
      </c>
      <c r="G636">
        <v>35000000</v>
      </c>
      <c r="H636">
        <v>6.9</v>
      </c>
      <c r="I636" t="s">
        <v>42</v>
      </c>
      <c r="J636" t="s">
        <v>31</v>
      </c>
      <c r="K636" t="s">
        <v>41</v>
      </c>
    </row>
    <row r="637" spans="1:14" x14ac:dyDescent="0.25">
      <c r="A637" t="s">
        <v>1065</v>
      </c>
      <c r="B637">
        <v>97</v>
      </c>
      <c r="C637">
        <v>52200504</v>
      </c>
      <c r="D637" t="s">
        <v>1066</v>
      </c>
      <c r="E637" t="s">
        <v>13</v>
      </c>
      <c r="F637" t="s">
        <v>98</v>
      </c>
      <c r="G637">
        <v>10000000</v>
      </c>
      <c r="H637">
        <v>6.1</v>
      </c>
      <c r="I637" t="s">
        <v>17</v>
      </c>
      <c r="J637" t="s">
        <v>22</v>
      </c>
      <c r="K637" t="s">
        <v>24</v>
      </c>
    </row>
    <row r="638" spans="1:14" x14ac:dyDescent="0.25">
      <c r="A638" t="s">
        <v>1067</v>
      </c>
      <c r="B638">
        <v>128</v>
      </c>
      <c r="C638">
        <v>52066000</v>
      </c>
      <c r="D638" t="s">
        <v>1068</v>
      </c>
      <c r="E638" t="s">
        <v>13</v>
      </c>
      <c r="F638" t="s">
        <v>82</v>
      </c>
      <c r="G638">
        <v>20000000</v>
      </c>
      <c r="H638">
        <v>7.5</v>
      </c>
      <c r="I638" t="s">
        <v>42</v>
      </c>
      <c r="J638" t="s">
        <v>31</v>
      </c>
      <c r="K638" t="s">
        <v>64</v>
      </c>
    </row>
    <row r="639" spans="1:14" x14ac:dyDescent="0.25">
      <c r="A639" t="s">
        <v>1069</v>
      </c>
      <c r="B639">
        <v>81</v>
      </c>
      <c r="C639">
        <v>52008288</v>
      </c>
      <c r="D639" t="s">
        <v>1070</v>
      </c>
      <c r="E639" t="s">
        <v>13</v>
      </c>
      <c r="F639" t="s">
        <v>14</v>
      </c>
      <c r="G639">
        <v>21000000</v>
      </c>
      <c r="H639">
        <v>7.8</v>
      </c>
      <c r="I639" t="s">
        <v>46</v>
      </c>
      <c r="J639" t="s">
        <v>15</v>
      </c>
      <c r="K639" t="s">
        <v>17</v>
      </c>
      <c r="L639" t="s">
        <v>59</v>
      </c>
    </row>
    <row r="640" spans="1:14" x14ac:dyDescent="0.25">
      <c r="A640" t="s">
        <v>1071</v>
      </c>
      <c r="B640">
        <v>107</v>
      </c>
      <c r="C640">
        <v>52000688</v>
      </c>
      <c r="D640" t="s">
        <v>1072</v>
      </c>
      <c r="E640" t="s">
        <v>13</v>
      </c>
      <c r="F640" t="s">
        <v>14</v>
      </c>
      <c r="G640">
        <v>40000000</v>
      </c>
      <c r="H640">
        <v>6.4</v>
      </c>
      <c r="I640" t="s">
        <v>34</v>
      </c>
      <c r="J640" t="s">
        <v>28</v>
      </c>
      <c r="K640" t="s">
        <v>37</v>
      </c>
      <c r="L640" t="s">
        <v>24</v>
      </c>
    </row>
    <row r="641" spans="1:13" x14ac:dyDescent="0.25">
      <c r="A641" t="s">
        <v>1073</v>
      </c>
      <c r="B641">
        <v>94</v>
      </c>
      <c r="C641">
        <v>51872378</v>
      </c>
      <c r="D641" t="s">
        <v>1074</v>
      </c>
      <c r="E641" t="s">
        <v>13</v>
      </c>
      <c r="F641" t="s">
        <v>14</v>
      </c>
      <c r="G641">
        <v>13000000</v>
      </c>
      <c r="H641">
        <v>6.7</v>
      </c>
      <c r="I641" t="s">
        <v>38</v>
      </c>
      <c r="J641" t="s">
        <v>24</v>
      </c>
    </row>
    <row r="642" spans="1:13" x14ac:dyDescent="0.25">
      <c r="A642" t="s">
        <v>1075</v>
      </c>
      <c r="B642">
        <v>105</v>
      </c>
      <c r="C642">
        <v>51853450</v>
      </c>
      <c r="D642" t="s">
        <v>1076</v>
      </c>
      <c r="E642" t="s">
        <v>13</v>
      </c>
      <c r="F642" t="s">
        <v>14</v>
      </c>
      <c r="G642">
        <v>25000000</v>
      </c>
      <c r="H642">
        <v>6.6</v>
      </c>
      <c r="I642" t="s">
        <v>15</v>
      </c>
      <c r="J642" t="s">
        <v>31</v>
      </c>
      <c r="K642" t="s">
        <v>16</v>
      </c>
      <c r="L642" t="s">
        <v>17</v>
      </c>
    </row>
    <row r="643" spans="1:13" x14ac:dyDescent="0.25">
      <c r="A643" t="s">
        <v>25</v>
      </c>
      <c r="B643">
        <v>153</v>
      </c>
      <c r="C643">
        <v>51814190</v>
      </c>
      <c r="D643" t="s">
        <v>1077</v>
      </c>
      <c r="E643" t="s">
        <v>13</v>
      </c>
      <c r="F643" t="s">
        <v>14</v>
      </c>
      <c r="G643">
        <v>75000000</v>
      </c>
      <c r="H643">
        <v>6.4</v>
      </c>
      <c r="I643" t="s">
        <v>15</v>
      </c>
      <c r="J643" t="s">
        <v>31</v>
      </c>
    </row>
    <row r="644" spans="1:13" x14ac:dyDescent="0.25">
      <c r="A644" t="s">
        <v>1078</v>
      </c>
      <c r="B644">
        <v>96</v>
      </c>
      <c r="C644">
        <v>51774002</v>
      </c>
      <c r="D644" t="s">
        <v>1079</v>
      </c>
      <c r="E644" t="s">
        <v>13</v>
      </c>
      <c r="F644" t="s">
        <v>14</v>
      </c>
      <c r="G644">
        <v>57000000</v>
      </c>
      <c r="H644">
        <v>4.3</v>
      </c>
      <c r="I644" t="s">
        <v>34</v>
      </c>
      <c r="J644" t="s">
        <v>17</v>
      </c>
      <c r="K644" t="s">
        <v>24</v>
      </c>
    </row>
    <row r="645" spans="1:13" x14ac:dyDescent="0.25">
      <c r="A645" t="s">
        <v>1080</v>
      </c>
      <c r="B645">
        <v>136</v>
      </c>
      <c r="C645">
        <v>51768623</v>
      </c>
      <c r="D645" t="s">
        <v>1081</v>
      </c>
      <c r="E645" t="s">
        <v>13</v>
      </c>
      <c r="F645" t="s">
        <v>14</v>
      </c>
      <c r="G645">
        <v>43000000</v>
      </c>
      <c r="H645">
        <v>7.3</v>
      </c>
      <c r="I645" t="s">
        <v>31</v>
      </c>
    </row>
    <row r="646" spans="1:13" x14ac:dyDescent="0.25">
      <c r="A646" t="s">
        <v>946</v>
      </c>
      <c r="B646">
        <v>101</v>
      </c>
      <c r="C646">
        <v>51758599</v>
      </c>
      <c r="D646" t="s">
        <v>1082</v>
      </c>
      <c r="E646" t="s">
        <v>13</v>
      </c>
      <c r="F646" t="s">
        <v>14</v>
      </c>
      <c r="G646">
        <v>33000000</v>
      </c>
      <c r="H646">
        <v>5.5</v>
      </c>
      <c r="I646" t="s">
        <v>34</v>
      </c>
      <c r="J646" t="s">
        <v>15</v>
      </c>
      <c r="K646" t="s">
        <v>38</v>
      </c>
      <c r="L646" t="s">
        <v>31</v>
      </c>
      <c r="M646" t="s">
        <v>24</v>
      </c>
    </row>
    <row r="647" spans="1:13" x14ac:dyDescent="0.25">
      <c r="A647" t="s">
        <v>276</v>
      </c>
      <c r="B647">
        <v>113</v>
      </c>
      <c r="C647">
        <v>51697449</v>
      </c>
      <c r="D647" t="s">
        <v>1083</v>
      </c>
      <c r="E647" t="s">
        <v>13</v>
      </c>
      <c r="F647" t="s">
        <v>14</v>
      </c>
      <c r="G647">
        <v>13000000</v>
      </c>
      <c r="H647">
        <v>4.0999999999999996</v>
      </c>
      <c r="I647" t="s">
        <v>15</v>
      </c>
      <c r="J647" t="s">
        <v>31</v>
      </c>
    </row>
    <row r="648" spans="1:13" x14ac:dyDescent="0.25">
      <c r="A648" t="s">
        <v>1084</v>
      </c>
      <c r="B648">
        <v>101</v>
      </c>
      <c r="C648">
        <v>51676606</v>
      </c>
      <c r="D648" t="s">
        <v>1085</v>
      </c>
      <c r="E648" t="s">
        <v>13</v>
      </c>
      <c r="F648" t="s">
        <v>14</v>
      </c>
      <c r="G648">
        <v>25000000</v>
      </c>
      <c r="H648">
        <v>7.8</v>
      </c>
      <c r="I648" t="s">
        <v>42</v>
      </c>
      <c r="J648" t="s">
        <v>31</v>
      </c>
      <c r="K648" t="s">
        <v>16</v>
      </c>
    </row>
    <row r="649" spans="1:13" x14ac:dyDescent="0.25">
      <c r="A649" t="s">
        <v>1086</v>
      </c>
      <c r="B649">
        <v>180</v>
      </c>
      <c r="C649">
        <v>51600000</v>
      </c>
      <c r="D649" t="s">
        <v>1087</v>
      </c>
      <c r="E649" t="s">
        <v>13</v>
      </c>
      <c r="F649" t="s">
        <v>14</v>
      </c>
      <c r="G649">
        <v>18000000</v>
      </c>
      <c r="H649">
        <v>8.3000000000000007</v>
      </c>
      <c r="I649" t="s">
        <v>42</v>
      </c>
      <c r="J649" t="s">
        <v>31</v>
      </c>
      <c r="K649" t="s">
        <v>64</v>
      </c>
      <c r="L649" t="s">
        <v>18</v>
      </c>
    </row>
    <row r="650" spans="1:13" x14ac:dyDescent="0.25">
      <c r="A650" t="s">
        <v>1088</v>
      </c>
      <c r="B650">
        <v>117</v>
      </c>
      <c r="C650">
        <v>51533608</v>
      </c>
      <c r="D650" t="s">
        <v>1089</v>
      </c>
      <c r="E650" t="s">
        <v>13</v>
      </c>
      <c r="F650" t="s">
        <v>14</v>
      </c>
      <c r="G650">
        <v>25000000</v>
      </c>
      <c r="H650">
        <v>6.8</v>
      </c>
      <c r="I650" t="s">
        <v>34</v>
      </c>
      <c r="J650" t="s">
        <v>28</v>
      </c>
      <c r="K650" t="s">
        <v>31</v>
      </c>
      <c r="L650" t="s">
        <v>24</v>
      </c>
    </row>
    <row r="651" spans="1:13" x14ac:dyDescent="0.25">
      <c r="A651" t="s">
        <v>1090</v>
      </c>
      <c r="B651">
        <v>101</v>
      </c>
      <c r="C651">
        <v>51527787</v>
      </c>
      <c r="D651" t="s">
        <v>1091</v>
      </c>
      <c r="E651" t="s">
        <v>13</v>
      </c>
      <c r="F651" t="s">
        <v>14</v>
      </c>
      <c r="G651">
        <v>15000000</v>
      </c>
      <c r="H651">
        <v>5.5</v>
      </c>
      <c r="I651" t="s">
        <v>22</v>
      </c>
      <c r="J651" t="s">
        <v>24</v>
      </c>
    </row>
    <row r="652" spans="1:13" x14ac:dyDescent="0.25">
      <c r="A652" t="s">
        <v>787</v>
      </c>
      <c r="B652">
        <v>133</v>
      </c>
      <c r="C652">
        <v>51483949</v>
      </c>
      <c r="D652" t="s">
        <v>1092</v>
      </c>
      <c r="E652" t="s">
        <v>13</v>
      </c>
      <c r="F652" t="s">
        <v>82</v>
      </c>
      <c r="G652">
        <v>22000000</v>
      </c>
      <c r="H652">
        <v>7</v>
      </c>
      <c r="I652" t="s">
        <v>34</v>
      </c>
      <c r="J652" t="s">
        <v>17</v>
      </c>
      <c r="K652" t="s">
        <v>24</v>
      </c>
    </row>
    <row r="653" spans="1:13" x14ac:dyDescent="0.25">
      <c r="A653" t="s">
        <v>1026</v>
      </c>
      <c r="B653">
        <v>91</v>
      </c>
      <c r="C653">
        <v>51475962</v>
      </c>
      <c r="D653" t="s">
        <v>1093</v>
      </c>
      <c r="E653" t="s">
        <v>13</v>
      </c>
      <c r="F653" t="s">
        <v>14</v>
      </c>
      <c r="G653">
        <v>30000000</v>
      </c>
      <c r="H653">
        <v>7.3</v>
      </c>
      <c r="I653" t="s">
        <v>23</v>
      </c>
      <c r="J653" t="s">
        <v>24</v>
      </c>
    </row>
    <row r="654" spans="1:13" x14ac:dyDescent="0.25">
      <c r="A654" t="s">
        <v>1094</v>
      </c>
      <c r="B654">
        <v>99</v>
      </c>
      <c r="C654">
        <v>51432423</v>
      </c>
      <c r="D654" t="s">
        <v>1095</v>
      </c>
      <c r="E654" t="s">
        <v>13</v>
      </c>
      <c r="F654" t="s">
        <v>14</v>
      </c>
      <c r="G654">
        <v>30000000</v>
      </c>
      <c r="H654">
        <v>5.0999999999999996</v>
      </c>
      <c r="I654" t="s">
        <v>15</v>
      </c>
      <c r="J654" t="s">
        <v>16</v>
      </c>
      <c r="K654" t="s">
        <v>17</v>
      </c>
      <c r="L654" t="s">
        <v>41</v>
      </c>
    </row>
    <row r="655" spans="1:13" x14ac:dyDescent="0.25">
      <c r="A655" t="s">
        <v>1096</v>
      </c>
      <c r="B655">
        <v>95</v>
      </c>
      <c r="C655">
        <v>51431160</v>
      </c>
      <c r="D655" t="s">
        <v>1097</v>
      </c>
      <c r="E655" t="s">
        <v>13</v>
      </c>
      <c r="F655" t="s">
        <v>14</v>
      </c>
      <c r="G655">
        <v>20000000</v>
      </c>
      <c r="H655">
        <v>5.9</v>
      </c>
      <c r="I655" t="s">
        <v>15</v>
      </c>
      <c r="J655" t="s">
        <v>16</v>
      </c>
      <c r="K655" t="s">
        <v>19</v>
      </c>
    </row>
    <row r="656" spans="1:13" x14ac:dyDescent="0.25">
      <c r="A656" t="s">
        <v>1098</v>
      </c>
      <c r="B656">
        <v>131</v>
      </c>
      <c r="C656">
        <v>51396781</v>
      </c>
      <c r="D656" t="s">
        <v>1099</v>
      </c>
      <c r="E656" t="s">
        <v>13</v>
      </c>
      <c r="F656" t="s">
        <v>14</v>
      </c>
      <c r="G656">
        <v>68000000</v>
      </c>
      <c r="H656">
        <v>7.6</v>
      </c>
      <c r="I656" t="s">
        <v>31</v>
      </c>
      <c r="J656" t="s">
        <v>64</v>
      </c>
      <c r="K656" t="s">
        <v>83</v>
      </c>
    </row>
    <row r="657" spans="1:13" x14ac:dyDescent="0.25">
      <c r="A657" t="s">
        <v>1100</v>
      </c>
      <c r="B657">
        <v>103</v>
      </c>
      <c r="C657">
        <v>51317350</v>
      </c>
      <c r="D657" t="s">
        <v>1101</v>
      </c>
      <c r="E657" t="s">
        <v>13</v>
      </c>
      <c r="F657" t="s">
        <v>14</v>
      </c>
      <c r="G657">
        <v>57000000</v>
      </c>
      <c r="H657">
        <v>6.4</v>
      </c>
      <c r="I657" t="s">
        <v>34</v>
      </c>
      <c r="J657" t="s">
        <v>28</v>
      </c>
      <c r="K657" t="s">
        <v>17</v>
      </c>
    </row>
    <row r="658" spans="1:13" x14ac:dyDescent="0.25">
      <c r="A658" t="s">
        <v>50</v>
      </c>
      <c r="B658">
        <v>143</v>
      </c>
      <c r="C658">
        <v>51225796</v>
      </c>
      <c r="D658" t="s">
        <v>1102</v>
      </c>
      <c r="E658" t="s">
        <v>13</v>
      </c>
      <c r="F658" t="s">
        <v>82</v>
      </c>
      <c r="G658">
        <v>70000000</v>
      </c>
      <c r="H658">
        <v>7.4</v>
      </c>
      <c r="I658" t="s">
        <v>31</v>
      </c>
      <c r="J658" t="s">
        <v>59</v>
      </c>
      <c r="K658" t="s">
        <v>19</v>
      </c>
      <c r="L658" t="s">
        <v>24</v>
      </c>
    </row>
    <row r="659" spans="1:13" x14ac:dyDescent="0.25">
      <c r="A659" t="s">
        <v>661</v>
      </c>
      <c r="B659">
        <v>130</v>
      </c>
      <c r="C659">
        <v>51185897</v>
      </c>
      <c r="D659" t="s">
        <v>1103</v>
      </c>
      <c r="E659" t="s">
        <v>13</v>
      </c>
      <c r="F659" t="s">
        <v>82</v>
      </c>
      <c r="G659">
        <v>30000000</v>
      </c>
      <c r="H659">
        <v>6.7</v>
      </c>
      <c r="I659" t="s">
        <v>34</v>
      </c>
      <c r="J659" t="s">
        <v>28</v>
      </c>
      <c r="K659" t="s">
        <v>24</v>
      </c>
    </row>
    <row r="660" spans="1:13" x14ac:dyDescent="0.25">
      <c r="A660" t="s">
        <v>300</v>
      </c>
      <c r="B660">
        <v>119</v>
      </c>
      <c r="C660">
        <v>51178893</v>
      </c>
      <c r="D660" t="s">
        <v>1104</v>
      </c>
      <c r="E660" t="s">
        <v>13</v>
      </c>
      <c r="F660" t="s">
        <v>14</v>
      </c>
      <c r="G660">
        <v>50000000</v>
      </c>
      <c r="H660">
        <v>6.4</v>
      </c>
      <c r="I660" t="s">
        <v>28</v>
      </c>
      <c r="J660" t="s">
        <v>15</v>
      </c>
      <c r="K660" t="s">
        <v>38</v>
      </c>
      <c r="L660" t="s">
        <v>16</v>
      </c>
      <c r="M660" t="s">
        <v>59</v>
      </c>
    </row>
    <row r="661" spans="1:13" x14ac:dyDescent="0.25">
      <c r="A661" t="s">
        <v>1105</v>
      </c>
      <c r="B661">
        <v>83</v>
      </c>
      <c r="C661">
        <v>51109400</v>
      </c>
      <c r="D661" t="s">
        <v>1106</v>
      </c>
      <c r="E661" t="s">
        <v>13</v>
      </c>
      <c r="F661" t="s">
        <v>14</v>
      </c>
      <c r="G661">
        <v>30000000</v>
      </c>
      <c r="H661">
        <v>6.4</v>
      </c>
      <c r="I661" t="s">
        <v>15</v>
      </c>
      <c r="J661" t="s">
        <v>38</v>
      </c>
    </row>
    <row r="662" spans="1:13" x14ac:dyDescent="0.25">
      <c r="A662" t="s">
        <v>1107</v>
      </c>
      <c r="B662">
        <v>110</v>
      </c>
      <c r="C662">
        <v>51100000</v>
      </c>
      <c r="D662" t="s">
        <v>1108</v>
      </c>
      <c r="E662" t="s">
        <v>13</v>
      </c>
      <c r="F662" t="s">
        <v>82</v>
      </c>
      <c r="G662">
        <v>3000000</v>
      </c>
      <c r="H662">
        <v>7.8</v>
      </c>
      <c r="I662" t="s">
        <v>34</v>
      </c>
      <c r="J662" t="s">
        <v>28</v>
      </c>
      <c r="K662" t="s">
        <v>24</v>
      </c>
    </row>
    <row r="663" spans="1:13" x14ac:dyDescent="0.25">
      <c r="A663" t="s">
        <v>1109</v>
      </c>
      <c r="B663">
        <v>101</v>
      </c>
      <c r="C663">
        <v>51097664</v>
      </c>
      <c r="D663" t="s">
        <v>1110</v>
      </c>
      <c r="E663" t="s">
        <v>13</v>
      </c>
      <c r="F663" t="s">
        <v>14</v>
      </c>
      <c r="G663">
        <v>30000000</v>
      </c>
      <c r="H663">
        <v>5.9</v>
      </c>
      <c r="I663" t="s">
        <v>31</v>
      </c>
      <c r="J663" t="s">
        <v>22</v>
      </c>
      <c r="K663" t="s">
        <v>23</v>
      </c>
      <c r="L663" t="s">
        <v>24</v>
      </c>
    </row>
    <row r="664" spans="1:13" x14ac:dyDescent="0.25">
      <c r="A664" t="s">
        <v>1111</v>
      </c>
      <c r="B664">
        <v>80</v>
      </c>
      <c r="C664">
        <v>51053787</v>
      </c>
      <c r="D664" t="s">
        <v>1112</v>
      </c>
      <c r="E664" t="s">
        <v>13</v>
      </c>
      <c r="F664" t="s">
        <v>14</v>
      </c>
      <c r="G664">
        <v>17500000</v>
      </c>
      <c r="H664">
        <v>6.5</v>
      </c>
      <c r="I664" t="s">
        <v>34</v>
      </c>
      <c r="J664" t="s">
        <v>46</v>
      </c>
      <c r="K664" t="s">
        <v>15</v>
      </c>
      <c r="L664" t="s">
        <v>38</v>
      </c>
      <c r="M664" t="s">
        <v>16</v>
      </c>
    </row>
    <row r="665" spans="1:13" x14ac:dyDescent="0.25">
      <c r="A665" t="s">
        <v>1113</v>
      </c>
      <c r="B665">
        <v>124</v>
      </c>
      <c r="C665">
        <v>51045801</v>
      </c>
      <c r="D665" t="s">
        <v>1114</v>
      </c>
      <c r="E665" t="s">
        <v>13</v>
      </c>
      <c r="F665" t="s">
        <v>14</v>
      </c>
      <c r="G665">
        <v>60000000</v>
      </c>
      <c r="H665">
        <v>6.1</v>
      </c>
      <c r="I665" t="s">
        <v>31</v>
      </c>
      <c r="J665" t="s">
        <v>19</v>
      </c>
    </row>
    <row r="666" spans="1:13" x14ac:dyDescent="0.25">
      <c r="A666" t="s">
        <v>1115</v>
      </c>
      <c r="B666">
        <v>109</v>
      </c>
      <c r="C666">
        <v>51019112</v>
      </c>
      <c r="D666" t="s">
        <v>1116</v>
      </c>
      <c r="E666" t="s">
        <v>13</v>
      </c>
      <c r="F666" t="s">
        <v>14</v>
      </c>
      <c r="G666">
        <v>50000000</v>
      </c>
      <c r="H666">
        <v>6.8</v>
      </c>
      <c r="I666" t="s">
        <v>28</v>
      </c>
      <c r="J666" t="s">
        <v>15</v>
      </c>
      <c r="K666" t="s">
        <v>37</v>
      </c>
    </row>
    <row r="667" spans="1:13" x14ac:dyDescent="0.25">
      <c r="A667" t="s">
        <v>1117</v>
      </c>
      <c r="B667">
        <v>123</v>
      </c>
      <c r="C667">
        <v>50921738</v>
      </c>
      <c r="D667" t="s">
        <v>1118</v>
      </c>
      <c r="E667" t="s">
        <v>13</v>
      </c>
      <c r="F667" t="s">
        <v>82</v>
      </c>
      <c r="G667">
        <v>30000000</v>
      </c>
      <c r="H667">
        <v>7.8</v>
      </c>
      <c r="I667" t="s">
        <v>31</v>
      </c>
      <c r="J667" t="s">
        <v>23</v>
      </c>
      <c r="K667" t="s">
        <v>19</v>
      </c>
      <c r="L667" t="s">
        <v>83</v>
      </c>
    </row>
    <row r="668" spans="1:13" x14ac:dyDescent="0.25">
      <c r="A668" t="s">
        <v>512</v>
      </c>
      <c r="B668">
        <v>139</v>
      </c>
      <c r="C668">
        <v>50859889</v>
      </c>
      <c r="D668" t="s">
        <v>1119</v>
      </c>
      <c r="E668" t="s">
        <v>1120</v>
      </c>
      <c r="F668" t="s">
        <v>14</v>
      </c>
      <c r="G668">
        <v>40000000</v>
      </c>
      <c r="H668">
        <v>7.8</v>
      </c>
      <c r="I668" t="s">
        <v>34</v>
      </c>
      <c r="J668" t="s">
        <v>28</v>
      </c>
      <c r="K668" t="s">
        <v>31</v>
      </c>
      <c r="L668" t="s">
        <v>24</v>
      </c>
    </row>
    <row r="669" spans="1:13" x14ac:dyDescent="0.25">
      <c r="A669" t="s">
        <v>1121</v>
      </c>
      <c r="B669">
        <v>89</v>
      </c>
      <c r="C669">
        <v>50820940</v>
      </c>
      <c r="D669" t="s">
        <v>1122</v>
      </c>
      <c r="E669" t="s">
        <v>13</v>
      </c>
      <c r="F669" t="s">
        <v>14</v>
      </c>
      <c r="G669">
        <v>5000000</v>
      </c>
      <c r="H669">
        <v>4.4000000000000004</v>
      </c>
      <c r="I669" t="s">
        <v>17</v>
      </c>
      <c r="J669" t="s">
        <v>22</v>
      </c>
    </row>
    <row r="670" spans="1:13" x14ac:dyDescent="0.25">
      <c r="A670" t="s">
        <v>1123</v>
      </c>
      <c r="B670">
        <v>93</v>
      </c>
      <c r="C670">
        <v>50818750</v>
      </c>
      <c r="D670" t="s">
        <v>1124</v>
      </c>
      <c r="E670" t="s">
        <v>13</v>
      </c>
      <c r="F670" t="s">
        <v>82</v>
      </c>
      <c r="G670">
        <v>60000000</v>
      </c>
      <c r="H670">
        <v>6.1</v>
      </c>
      <c r="I670" t="s">
        <v>28</v>
      </c>
      <c r="J670" t="s">
        <v>46</v>
      </c>
      <c r="K670" t="s">
        <v>15</v>
      </c>
      <c r="L670" t="s">
        <v>16</v>
      </c>
      <c r="M670" t="s">
        <v>17</v>
      </c>
    </row>
    <row r="671" spans="1:13" x14ac:dyDescent="0.25">
      <c r="A671" t="s">
        <v>1125</v>
      </c>
      <c r="B671">
        <v>128</v>
      </c>
      <c r="C671">
        <v>50815288</v>
      </c>
      <c r="D671" t="s">
        <v>1126</v>
      </c>
      <c r="E671" t="s">
        <v>13</v>
      </c>
      <c r="F671" t="s">
        <v>14</v>
      </c>
      <c r="G671">
        <v>50000000</v>
      </c>
      <c r="H671">
        <v>7</v>
      </c>
      <c r="I671" t="s">
        <v>31</v>
      </c>
      <c r="J671" t="s">
        <v>24</v>
      </c>
    </row>
    <row r="672" spans="1:13" x14ac:dyDescent="0.25">
      <c r="A672" t="s">
        <v>1125</v>
      </c>
      <c r="B672">
        <v>128</v>
      </c>
      <c r="C672">
        <v>50815288</v>
      </c>
      <c r="D672" t="s">
        <v>1126</v>
      </c>
      <c r="E672" t="s">
        <v>13</v>
      </c>
      <c r="F672" t="s">
        <v>14</v>
      </c>
      <c r="G672">
        <v>50000000</v>
      </c>
      <c r="H672">
        <v>7</v>
      </c>
      <c r="I672" t="s">
        <v>31</v>
      </c>
      <c r="J672" t="s">
        <v>24</v>
      </c>
    </row>
    <row r="673" spans="1:13" x14ac:dyDescent="0.25">
      <c r="A673" t="s">
        <v>1127</v>
      </c>
      <c r="B673">
        <v>96</v>
      </c>
      <c r="C673">
        <v>50807639</v>
      </c>
      <c r="D673" t="s">
        <v>1128</v>
      </c>
      <c r="E673" t="s">
        <v>13</v>
      </c>
      <c r="F673" t="s">
        <v>14</v>
      </c>
      <c r="G673">
        <v>60000000</v>
      </c>
      <c r="H673">
        <v>6.8</v>
      </c>
      <c r="I673" t="s">
        <v>28</v>
      </c>
      <c r="J673" t="s">
        <v>46</v>
      </c>
      <c r="K673" t="s">
        <v>15</v>
      </c>
      <c r="L673" t="s">
        <v>16</v>
      </c>
      <c r="M673" t="s">
        <v>17</v>
      </c>
    </row>
    <row r="674" spans="1:13" x14ac:dyDescent="0.25">
      <c r="A674" t="s">
        <v>1129</v>
      </c>
      <c r="B674">
        <v>175</v>
      </c>
      <c r="C674">
        <v>50800000</v>
      </c>
      <c r="D674" t="s">
        <v>1130</v>
      </c>
      <c r="E674" t="s">
        <v>13</v>
      </c>
      <c r="F674" t="s">
        <v>14</v>
      </c>
      <c r="G674">
        <v>26000000</v>
      </c>
      <c r="H674">
        <v>7.4</v>
      </c>
      <c r="I674" t="s">
        <v>31</v>
      </c>
      <c r="J674" t="s">
        <v>64</v>
      </c>
      <c r="K674" t="s">
        <v>83</v>
      </c>
    </row>
    <row r="675" spans="1:13" x14ac:dyDescent="0.25">
      <c r="A675" t="s">
        <v>378</v>
      </c>
      <c r="B675">
        <v>100</v>
      </c>
      <c r="C675">
        <v>50752337</v>
      </c>
      <c r="D675" t="s">
        <v>1131</v>
      </c>
      <c r="E675" t="s">
        <v>13</v>
      </c>
      <c r="F675" t="s">
        <v>14</v>
      </c>
      <c r="G675">
        <v>10000000</v>
      </c>
      <c r="H675">
        <v>6.4</v>
      </c>
      <c r="I675" t="s">
        <v>15</v>
      </c>
      <c r="J675" t="s">
        <v>31</v>
      </c>
      <c r="K675" t="s">
        <v>16</v>
      </c>
      <c r="L675" t="s">
        <v>41</v>
      </c>
    </row>
    <row r="676" spans="1:13" x14ac:dyDescent="0.25">
      <c r="A676" t="s">
        <v>1132</v>
      </c>
      <c r="B676">
        <v>98</v>
      </c>
      <c r="C676">
        <v>50740078</v>
      </c>
      <c r="D676" t="s">
        <v>1133</v>
      </c>
      <c r="E676" t="s">
        <v>13</v>
      </c>
      <c r="F676" t="s">
        <v>241</v>
      </c>
      <c r="G676">
        <v>45000000</v>
      </c>
      <c r="H676">
        <v>6.2</v>
      </c>
      <c r="I676" t="s">
        <v>34</v>
      </c>
      <c r="J676" t="s">
        <v>22</v>
      </c>
      <c r="K676" t="s">
        <v>37</v>
      </c>
      <c r="L676" t="s">
        <v>24</v>
      </c>
    </row>
    <row r="677" spans="1:13" x14ac:dyDescent="0.25">
      <c r="A677" t="s">
        <v>1134</v>
      </c>
      <c r="B677">
        <v>114</v>
      </c>
      <c r="C677">
        <v>50728000</v>
      </c>
      <c r="D677" t="s">
        <v>1135</v>
      </c>
      <c r="E677" t="s">
        <v>13</v>
      </c>
      <c r="F677" t="s">
        <v>14</v>
      </c>
      <c r="G677">
        <v>22000000</v>
      </c>
      <c r="H677">
        <v>5.8</v>
      </c>
      <c r="I677" t="s">
        <v>34</v>
      </c>
      <c r="J677" t="s">
        <v>38</v>
      </c>
      <c r="K677" t="s">
        <v>31</v>
      </c>
      <c r="L677" t="s">
        <v>23</v>
      </c>
      <c r="M677" t="s">
        <v>24</v>
      </c>
    </row>
    <row r="678" spans="1:13" x14ac:dyDescent="0.25">
      <c r="A678" t="s">
        <v>439</v>
      </c>
      <c r="B678">
        <v>98</v>
      </c>
      <c r="C678">
        <v>50693162</v>
      </c>
      <c r="D678" t="s">
        <v>1136</v>
      </c>
      <c r="E678" t="s">
        <v>13</v>
      </c>
      <c r="F678" t="s">
        <v>14</v>
      </c>
      <c r="G678">
        <v>23000000</v>
      </c>
      <c r="H678">
        <v>7.6</v>
      </c>
      <c r="I678" t="s">
        <v>34</v>
      </c>
      <c r="J678" t="s">
        <v>31</v>
      </c>
      <c r="K678" t="s">
        <v>17</v>
      </c>
    </row>
    <row r="679" spans="1:13" x14ac:dyDescent="0.25">
      <c r="A679" t="s">
        <v>1137</v>
      </c>
      <c r="B679">
        <v>146</v>
      </c>
      <c r="C679">
        <v>50668906</v>
      </c>
      <c r="D679" t="s">
        <v>1138</v>
      </c>
      <c r="E679" t="s">
        <v>13</v>
      </c>
      <c r="F679" t="s">
        <v>14</v>
      </c>
      <c r="G679">
        <v>38000000</v>
      </c>
      <c r="H679">
        <v>7.6</v>
      </c>
      <c r="I679" t="s">
        <v>42</v>
      </c>
      <c r="J679" t="s">
        <v>31</v>
      </c>
      <c r="K679" t="s">
        <v>41</v>
      </c>
    </row>
    <row r="680" spans="1:13" x14ac:dyDescent="0.25">
      <c r="A680" t="s">
        <v>1139</v>
      </c>
      <c r="B680">
        <v>94</v>
      </c>
      <c r="C680">
        <v>50648679</v>
      </c>
      <c r="D680" t="s">
        <v>1140</v>
      </c>
      <c r="E680" t="s">
        <v>13</v>
      </c>
      <c r="F680" t="s">
        <v>295</v>
      </c>
      <c r="G680">
        <v>45000000</v>
      </c>
      <c r="H680">
        <v>6.3</v>
      </c>
      <c r="I680" t="s">
        <v>34</v>
      </c>
      <c r="J680" t="s">
        <v>22</v>
      </c>
      <c r="K680" t="s">
        <v>37</v>
      </c>
      <c r="L680" t="s">
        <v>24</v>
      </c>
    </row>
    <row r="681" spans="1:13" x14ac:dyDescent="0.25">
      <c r="A681" t="s">
        <v>1141</v>
      </c>
      <c r="B681">
        <v>114</v>
      </c>
      <c r="C681">
        <v>50628009</v>
      </c>
      <c r="D681" t="s">
        <v>1142</v>
      </c>
      <c r="E681" t="s">
        <v>13</v>
      </c>
      <c r="F681" t="s">
        <v>14</v>
      </c>
      <c r="G681">
        <v>90000000</v>
      </c>
      <c r="H681">
        <v>5.6</v>
      </c>
      <c r="I681" t="s">
        <v>34</v>
      </c>
      <c r="J681" t="s">
        <v>28</v>
      </c>
      <c r="K681" t="s">
        <v>16</v>
      </c>
      <c r="L681" t="s">
        <v>17</v>
      </c>
      <c r="M681" t="s">
        <v>24</v>
      </c>
    </row>
    <row r="682" spans="1:13" x14ac:dyDescent="0.25">
      <c r="A682" t="s">
        <v>235</v>
      </c>
      <c r="B682">
        <v>95</v>
      </c>
      <c r="C682">
        <v>50562555</v>
      </c>
      <c r="D682" t="s">
        <v>1143</v>
      </c>
      <c r="E682" t="s">
        <v>13</v>
      </c>
      <c r="F682" t="s">
        <v>14</v>
      </c>
      <c r="G682">
        <v>39751583.5</v>
      </c>
      <c r="H682">
        <v>6.5</v>
      </c>
      <c r="I682" t="s">
        <v>15</v>
      </c>
      <c r="J682" t="s">
        <v>18</v>
      </c>
      <c r="K682" t="s">
        <v>19</v>
      </c>
    </row>
    <row r="683" spans="1:13" x14ac:dyDescent="0.25">
      <c r="A683" t="s">
        <v>1144</v>
      </c>
      <c r="B683">
        <v>105</v>
      </c>
      <c r="C683">
        <v>50549107</v>
      </c>
      <c r="D683" t="s">
        <v>1145</v>
      </c>
      <c r="E683" t="s">
        <v>13</v>
      </c>
      <c r="F683" t="s">
        <v>14</v>
      </c>
      <c r="G683">
        <v>60000000</v>
      </c>
      <c r="H683">
        <v>6.2</v>
      </c>
      <c r="I683" t="s">
        <v>34</v>
      </c>
      <c r="J683" t="s">
        <v>31</v>
      </c>
      <c r="K683" t="s">
        <v>24</v>
      </c>
    </row>
    <row r="684" spans="1:13" x14ac:dyDescent="0.25">
      <c r="A684" t="s">
        <v>1146</v>
      </c>
      <c r="B684">
        <v>107</v>
      </c>
      <c r="C684">
        <v>50461335</v>
      </c>
      <c r="D684" t="s">
        <v>1147</v>
      </c>
      <c r="E684" t="s">
        <v>13</v>
      </c>
      <c r="F684" t="s">
        <v>14</v>
      </c>
      <c r="G684">
        <v>11000000</v>
      </c>
      <c r="H684">
        <v>6.8</v>
      </c>
      <c r="I684" t="s">
        <v>31</v>
      </c>
      <c r="J684" t="s">
        <v>17</v>
      </c>
      <c r="K684" t="s">
        <v>18</v>
      </c>
      <c r="L684" t="s">
        <v>19</v>
      </c>
    </row>
    <row r="685" spans="1:13" x14ac:dyDescent="0.25">
      <c r="A685" t="s">
        <v>1148</v>
      </c>
      <c r="B685">
        <v>116</v>
      </c>
      <c r="C685">
        <v>50382128</v>
      </c>
      <c r="D685" t="s">
        <v>1149</v>
      </c>
      <c r="E685" t="s">
        <v>13</v>
      </c>
      <c r="F685" t="s">
        <v>14</v>
      </c>
      <c r="G685">
        <v>5500000</v>
      </c>
      <c r="H685">
        <v>5.6</v>
      </c>
      <c r="I685" t="s">
        <v>15</v>
      </c>
      <c r="J685" t="s">
        <v>31</v>
      </c>
      <c r="K685" t="s">
        <v>19</v>
      </c>
    </row>
    <row r="686" spans="1:13" x14ac:dyDescent="0.25">
      <c r="A686" t="s">
        <v>661</v>
      </c>
      <c r="B686">
        <v>131</v>
      </c>
      <c r="C686">
        <v>50300000</v>
      </c>
      <c r="D686" t="s">
        <v>1150</v>
      </c>
      <c r="E686" t="s">
        <v>13</v>
      </c>
      <c r="F686" t="s">
        <v>82</v>
      </c>
      <c r="G686">
        <v>30000000</v>
      </c>
      <c r="H686">
        <v>6.3</v>
      </c>
      <c r="I686" t="s">
        <v>34</v>
      </c>
      <c r="J686" t="s">
        <v>28</v>
      </c>
      <c r="K686" t="s">
        <v>24</v>
      </c>
    </row>
    <row r="687" spans="1:13" x14ac:dyDescent="0.25">
      <c r="A687" t="s">
        <v>1151</v>
      </c>
      <c r="B687">
        <v>101</v>
      </c>
      <c r="C687">
        <v>50213619</v>
      </c>
      <c r="D687" t="s">
        <v>1152</v>
      </c>
      <c r="E687" t="s">
        <v>13</v>
      </c>
      <c r="F687" t="s">
        <v>14</v>
      </c>
      <c r="G687">
        <v>36000000</v>
      </c>
      <c r="H687">
        <v>6.4</v>
      </c>
      <c r="I687" t="s">
        <v>15</v>
      </c>
      <c r="J687" t="s">
        <v>37</v>
      </c>
    </row>
    <row r="688" spans="1:13" x14ac:dyDescent="0.25">
      <c r="A688" t="s">
        <v>1153</v>
      </c>
      <c r="B688">
        <v>98</v>
      </c>
      <c r="C688">
        <v>50189179</v>
      </c>
      <c r="D688" t="s">
        <v>1154</v>
      </c>
      <c r="E688" t="s">
        <v>13</v>
      </c>
      <c r="F688" t="s">
        <v>14</v>
      </c>
      <c r="G688">
        <v>60000000</v>
      </c>
      <c r="H688">
        <v>5.3</v>
      </c>
      <c r="I688" t="s">
        <v>34</v>
      </c>
      <c r="J688" t="s">
        <v>15</v>
      </c>
      <c r="K688" t="s">
        <v>37</v>
      </c>
    </row>
    <row r="689" spans="1:16" x14ac:dyDescent="0.25">
      <c r="A689" t="s">
        <v>1155</v>
      </c>
      <c r="B689">
        <v>120</v>
      </c>
      <c r="C689">
        <v>50173190</v>
      </c>
      <c r="D689" t="s">
        <v>1156</v>
      </c>
      <c r="E689" t="s">
        <v>13</v>
      </c>
      <c r="F689" t="s">
        <v>14</v>
      </c>
      <c r="G689">
        <v>48000000</v>
      </c>
      <c r="H689">
        <v>7.4</v>
      </c>
      <c r="I689" t="s">
        <v>31</v>
      </c>
      <c r="J689" t="s">
        <v>23</v>
      </c>
      <c r="K689" t="s">
        <v>37</v>
      </c>
    </row>
    <row r="690" spans="1:16" x14ac:dyDescent="0.25">
      <c r="A690" t="s">
        <v>1157</v>
      </c>
      <c r="B690">
        <v>95</v>
      </c>
      <c r="C690">
        <v>50150619</v>
      </c>
      <c r="D690" t="s">
        <v>1158</v>
      </c>
      <c r="E690" t="s">
        <v>13</v>
      </c>
      <c r="F690" t="s">
        <v>14</v>
      </c>
      <c r="G690">
        <v>50000000</v>
      </c>
      <c r="H690">
        <v>7.3</v>
      </c>
      <c r="I690" t="s">
        <v>28</v>
      </c>
      <c r="J690" t="s">
        <v>46</v>
      </c>
      <c r="K690" t="s">
        <v>15</v>
      </c>
      <c r="L690" t="s">
        <v>16</v>
      </c>
      <c r="M690" t="s">
        <v>17</v>
      </c>
      <c r="N690" t="s">
        <v>19</v>
      </c>
    </row>
    <row r="691" spans="1:16" x14ac:dyDescent="0.25">
      <c r="A691" t="s">
        <v>477</v>
      </c>
      <c r="B691">
        <v>93</v>
      </c>
      <c r="C691">
        <v>50129186</v>
      </c>
      <c r="D691" t="s">
        <v>1159</v>
      </c>
      <c r="E691" t="s">
        <v>13</v>
      </c>
      <c r="F691" t="s">
        <v>14</v>
      </c>
      <c r="G691">
        <v>36000000</v>
      </c>
      <c r="H691">
        <v>6.9</v>
      </c>
      <c r="I691" t="s">
        <v>34</v>
      </c>
      <c r="J691" t="s">
        <v>38</v>
      </c>
      <c r="K691" t="s">
        <v>31</v>
      </c>
      <c r="L691" t="s">
        <v>23</v>
      </c>
      <c r="M691" t="s">
        <v>24</v>
      </c>
    </row>
    <row r="692" spans="1:16" x14ac:dyDescent="0.25">
      <c r="A692" t="s">
        <v>1160</v>
      </c>
      <c r="B692">
        <v>103</v>
      </c>
      <c r="C692">
        <v>50041732</v>
      </c>
      <c r="D692" t="s">
        <v>1161</v>
      </c>
      <c r="E692" t="s">
        <v>13</v>
      </c>
      <c r="F692" t="s">
        <v>14</v>
      </c>
      <c r="G692">
        <v>29000000</v>
      </c>
      <c r="H692">
        <v>6.2</v>
      </c>
      <c r="I692" t="s">
        <v>22</v>
      </c>
    </row>
    <row r="693" spans="1:16" x14ac:dyDescent="0.25">
      <c r="A693" t="s">
        <v>1162</v>
      </c>
      <c r="B693">
        <v>92</v>
      </c>
      <c r="C693">
        <v>50024083</v>
      </c>
      <c r="D693" t="s">
        <v>1163</v>
      </c>
      <c r="E693" t="s">
        <v>13</v>
      </c>
      <c r="F693" t="s">
        <v>14</v>
      </c>
      <c r="G693">
        <v>60000000</v>
      </c>
      <c r="H693">
        <v>5.4</v>
      </c>
      <c r="I693" t="s">
        <v>34</v>
      </c>
      <c r="J693" t="s">
        <v>24</v>
      </c>
    </row>
    <row r="694" spans="1:16" x14ac:dyDescent="0.25">
      <c r="A694" t="s">
        <v>182</v>
      </c>
      <c r="B694">
        <v>130</v>
      </c>
      <c r="C694">
        <v>50016394</v>
      </c>
      <c r="D694" t="s">
        <v>1164</v>
      </c>
      <c r="E694" t="s">
        <v>13</v>
      </c>
      <c r="F694" t="s">
        <v>14</v>
      </c>
      <c r="G694">
        <v>70000000</v>
      </c>
      <c r="H694">
        <v>6.2</v>
      </c>
      <c r="I694" t="s">
        <v>34</v>
      </c>
      <c r="J694" t="s">
        <v>28</v>
      </c>
      <c r="K694" t="s">
        <v>15</v>
      </c>
      <c r="L694" t="s">
        <v>17</v>
      </c>
    </row>
    <row r="695" spans="1:16" x14ac:dyDescent="0.25">
      <c r="A695" t="s">
        <v>154</v>
      </c>
      <c r="B695">
        <v>121</v>
      </c>
      <c r="C695">
        <v>50007168</v>
      </c>
      <c r="D695" t="s">
        <v>1165</v>
      </c>
      <c r="E695" t="s">
        <v>13</v>
      </c>
      <c r="F695" t="s">
        <v>14</v>
      </c>
      <c r="G695">
        <v>50000000</v>
      </c>
      <c r="H695">
        <v>6.7</v>
      </c>
      <c r="I695" t="s">
        <v>34</v>
      </c>
      <c r="J695" t="s">
        <v>38</v>
      </c>
      <c r="K695" t="s">
        <v>31</v>
      </c>
      <c r="L695" t="s">
        <v>24</v>
      </c>
      <c r="P695" t="s">
        <v>19</v>
      </c>
    </row>
    <row r="696" spans="1:16" x14ac:dyDescent="0.25">
      <c r="A696" t="s">
        <v>1166</v>
      </c>
      <c r="B696">
        <v>115</v>
      </c>
      <c r="C696">
        <v>50003300</v>
      </c>
      <c r="D696" t="s">
        <v>1167</v>
      </c>
      <c r="E696" t="s">
        <v>13</v>
      </c>
      <c r="F696" t="s">
        <v>14</v>
      </c>
      <c r="G696">
        <v>15000000</v>
      </c>
      <c r="H696">
        <v>7.3</v>
      </c>
      <c r="I696" t="s">
        <v>31</v>
      </c>
      <c r="J696" t="s">
        <v>16</v>
      </c>
      <c r="K696" t="s">
        <v>19</v>
      </c>
    </row>
    <row r="697" spans="1:16" x14ac:dyDescent="0.25">
      <c r="A697" t="s">
        <v>1137</v>
      </c>
      <c r="B697">
        <v>181</v>
      </c>
      <c r="C697">
        <v>50000000</v>
      </c>
      <c r="D697" t="s">
        <v>1168</v>
      </c>
      <c r="E697" t="s">
        <v>13</v>
      </c>
      <c r="F697" t="s">
        <v>14</v>
      </c>
      <c r="G697">
        <v>9000000</v>
      </c>
      <c r="H697">
        <v>8</v>
      </c>
      <c r="I697" t="s">
        <v>31</v>
      </c>
      <c r="J697" t="s">
        <v>16</v>
      </c>
      <c r="K697" t="s">
        <v>59</v>
      </c>
      <c r="L697" t="s">
        <v>19</v>
      </c>
    </row>
    <row r="698" spans="1:16" x14ac:dyDescent="0.25">
      <c r="A698" t="s">
        <v>1169</v>
      </c>
      <c r="B698">
        <v>135</v>
      </c>
      <c r="C698">
        <v>49994804</v>
      </c>
      <c r="D698" t="s">
        <v>1170</v>
      </c>
      <c r="E698" t="s">
        <v>13</v>
      </c>
      <c r="F698" t="s">
        <v>14</v>
      </c>
      <c r="G698">
        <v>55000000</v>
      </c>
      <c r="H698">
        <v>6.3</v>
      </c>
      <c r="I698" t="s">
        <v>42</v>
      </c>
      <c r="J698" t="s">
        <v>31</v>
      </c>
      <c r="K698" t="s">
        <v>64</v>
      </c>
      <c r="L698" t="s">
        <v>59</v>
      </c>
    </row>
    <row r="699" spans="1:16" x14ac:dyDescent="0.25">
      <c r="A699" t="s">
        <v>448</v>
      </c>
      <c r="B699">
        <v>82</v>
      </c>
      <c r="C699">
        <v>49968653</v>
      </c>
      <c r="D699" t="s">
        <v>1171</v>
      </c>
      <c r="E699" t="s">
        <v>13</v>
      </c>
      <c r="F699" t="s">
        <v>14</v>
      </c>
      <c r="G699">
        <v>28000000</v>
      </c>
      <c r="H699">
        <v>6.9</v>
      </c>
      <c r="I699" t="s">
        <v>15</v>
      </c>
      <c r="J699" t="s">
        <v>19</v>
      </c>
    </row>
    <row r="700" spans="1:16" x14ac:dyDescent="0.25">
      <c r="A700" t="s">
        <v>1172</v>
      </c>
      <c r="B700">
        <v>125</v>
      </c>
      <c r="C700">
        <v>49875589</v>
      </c>
      <c r="D700" t="s">
        <v>1173</v>
      </c>
      <c r="E700" t="s">
        <v>13</v>
      </c>
      <c r="F700" t="s">
        <v>14</v>
      </c>
      <c r="G700">
        <v>58000000</v>
      </c>
      <c r="H700">
        <v>5.9</v>
      </c>
      <c r="I700" t="s">
        <v>34</v>
      </c>
      <c r="J700" t="s">
        <v>28</v>
      </c>
      <c r="K700" t="s">
        <v>31</v>
      </c>
      <c r="L700" t="s">
        <v>64</v>
      </c>
      <c r="M700" t="s">
        <v>83</v>
      </c>
    </row>
    <row r="701" spans="1:16" x14ac:dyDescent="0.25">
      <c r="A701" t="s">
        <v>711</v>
      </c>
      <c r="B701">
        <v>129</v>
      </c>
      <c r="C701">
        <v>49874933</v>
      </c>
      <c r="D701" t="s">
        <v>1174</v>
      </c>
      <c r="E701" t="s">
        <v>13</v>
      </c>
      <c r="F701" t="s">
        <v>14</v>
      </c>
      <c r="G701">
        <v>26000000</v>
      </c>
      <c r="H701">
        <v>6.5</v>
      </c>
      <c r="I701" t="s">
        <v>15</v>
      </c>
      <c r="J701" t="s">
        <v>38</v>
      </c>
      <c r="K701" t="s">
        <v>31</v>
      </c>
    </row>
    <row r="702" spans="1:16" x14ac:dyDescent="0.25">
      <c r="A702" t="s">
        <v>250</v>
      </c>
      <c r="B702">
        <v>116</v>
      </c>
      <c r="C702">
        <v>49851591</v>
      </c>
      <c r="D702" t="s">
        <v>1175</v>
      </c>
      <c r="E702" t="s">
        <v>13</v>
      </c>
      <c r="F702" t="s">
        <v>14</v>
      </c>
      <c r="G702">
        <v>40000000</v>
      </c>
      <c r="H702">
        <v>5.9</v>
      </c>
      <c r="I702" t="s">
        <v>15</v>
      </c>
      <c r="J702" t="s">
        <v>38</v>
      </c>
      <c r="K702" t="s">
        <v>19</v>
      </c>
    </row>
    <row r="703" spans="1:16" x14ac:dyDescent="0.25">
      <c r="A703" t="s">
        <v>1176</v>
      </c>
      <c r="B703">
        <v>107</v>
      </c>
      <c r="C703">
        <v>49797148</v>
      </c>
      <c r="D703" t="s">
        <v>1177</v>
      </c>
      <c r="E703" t="s">
        <v>13</v>
      </c>
      <c r="F703" t="s">
        <v>14</v>
      </c>
      <c r="G703">
        <v>11000000</v>
      </c>
      <c r="H703">
        <v>7.2</v>
      </c>
      <c r="I703" t="s">
        <v>15</v>
      </c>
      <c r="J703" t="s">
        <v>41</v>
      </c>
    </row>
    <row r="704" spans="1:16" x14ac:dyDescent="0.25">
      <c r="A704" t="s">
        <v>323</v>
      </c>
      <c r="B704">
        <v>88</v>
      </c>
      <c r="C704">
        <v>49474048</v>
      </c>
      <c r="D704" t="s">
        <v>1178</v>
      </c>
      <c r="E704" t="s">
        <v>13</v>
      </c>
      <c r="F704" t="s">
        <v>14</v>
      </c>
      <c r="G704">
        <v>35000000</v>
      </c>
      <c r="H704">
        <v>5.4</v>
      </c>
      <c r="I704" t="s">
        <v>15</v>
      </c>
      <c r="J704" t="s">
        <v>16</v>
      </c>
    </row>
    <row r="705" spans="1:13" x14ac:dyDescent="0.25">
      <c r="A705" t="s">
        <v>348</v>
      </c>
      <c r="B705">
        <v>99</v>
      </c>
      <c r="C705">
        <v>49369900</v>
      </c>
      <c r="D705" t="s">
        <v>1179</v>
      </c>
      <c r="E705" t="s">
        <v>13</v>
      </c>
      <c r="F705" t="s">
        <v>14</v>
      </c>
      <c r="G705">
        <v>7000000</v>
      </c>
      <c r="H705">
        <v>5.7</v>
      </c>
      <c r="I705" t="s">
        <v>17</v>
      </c>
      <c r="J705" t="s">
        <v>22</v>
      </c>
      <c r="K705" t="s">
        <v>24</v>
      </c>
    </row>
    <row r="706" spans="1:13" x14ac:dyDescent="0.25">
      <c r="A706" t="s">
        <v>1180</v>
      </c>
      <c r="B706">
        <v>102</v>
      </c>
      <c r="C706">
        <v>49186871</v>
      </c>
      <c r="D706" t="s">
        <v>1181</v>
      </c>
      <c r="E706" t="s">
        <v>13</v>
      </c>
      <c r="F706" t="s">
        <v>14</v>
      </c>
      <c r="G706">
        <v>39751583.5</v>
      </c>
      <c r="H706">
        <v>5.2</v>
      </c>
      <c r="I706" t="s">
        <v>28</v>
      </c>
      <c r="J706" t="s">
        <v>15</v>
      </c>
      <c r="K706" t="s">
        <v>31</v>
      </c>
      <c r="L706" t="s">
        <v>16</v>
      </c>
      <c r="M706" t="s">
        <v>41</v>
      </c>
    </row>
    <row r="707" spans="1:13" x14ac:dyDescent="0.25">
      <c r="A707" t="s">
        <v>350</v>
      </c>
      <c r="B707">
        <v>109</v>
      </c>
      <c r="C707">
        <v>49185998</v>
      </c>
      <c r="D707" t="s">
        <v>1182</v>
      </c>
      <c r="E707" t="s">
        <v>13</v>
      </c>
      <c r="F707" t="s">
        <v>14</v>
      </c>
      <c r="G707">
        <v>30000000</v>
      </c>
      <c r="H707">
        <v>7.4</v>
      </c>
      <c r="I707" t="s">
        <v>31</v>
      </c>
    </row>
    <row r="708" spans="1:13" x14ac:dyDescent="0.25">
      <c r="A708" t="s">
        <v>1183</v>
      </c>
      <c r="B708">
        <v>92</v>
      </c>
      <c r="C708">
        <v>49122319</v>
      </c>
      <c r="D708" t="s">
        <v>1184</v>
      </c>
      <c r="E708" t="s">
        <v>13</v>
      </c>
      <c r="F708" t="s">
        <v>14</v>
      </c>
      <c r="G708">
        <v>14000000</v>
      </c>
      <c r="H708">
        <v>5.9</v>
      </c>
      <c r="I708" t="s">
        <v>22</v>
      </c>
      <c r="J708" t="s">
        <v>24</v>
      </c>
    </row>
    <row r="709" spans="1:13" x14ac:dyDescent="0.25">
      <c r="A709" t="s">
        <v>1185</v>
      </c>
      <c r="B709">
        <v>117</v>
      </c>
      <c r="C709">
        <v>49121934</v>
      </c>
      <c r="D709" t="s">
        <v>1186</v>
      </c>
      <c r="E709" t="s">
        <v>13</v>
      </c>
      <c r="F709" t="s">
        <v>14</v>
      </c>
      <c r="G709">
        <v>13000000</v>
      </c>
      <c r="H709">
        <v>6.1</v>
      </c>
      <c r="I709" t="s">
        <v>15</v>
      </c>
      <c r="J709" t="s">
        <v>31</v>
      </c>
      <c r="K709" t="s">
        <v>19</v>
      </c>
    </row>
    <row r="710" spans="1:13" x14ac:dyDescent="0.25">
      <c r="A710" t="s">
        <v>1187</v>
      </c>
      <c r="B710">
        <v>119</v>
      </c>
      <c r="C710">
        <v>49024969</v>
      </c>
      <c r="D710" t="s">
        <v>1188</v>
      </c>
      <c r="E710" t="s">
        <v>13</v>
      </c>
      <c r="F710" t="s">
        <v>14</v>
      </c>
      <c r="G710">
        <v>25000000</v>
      </c>
      <c r="H710">
        <v>7.3</v>
      </c>
      <c r="I710" t="s">
        <v>38</v>
      </c>
      <c r="J710" t="s">
        <v>31</v>
      </c>
      <c r="K710" t="s">
        <v>23</v>
      </c>
      <c r="L710" t="s">
        <v>24</v>
      </c>
    </row>
    <row r="711" spans="1:13" x14ac:dyDescent="0.25">
      <c r="A711" t="s">
        <v>1048</v>
      </c>
      <c r="B711">
        <v>94</v>
      </c>
      <c r="C711">
        <v>49002815</v>
      </c>
      <c r="D711" t="s">
        <v>1189</v>
      </c>
      <c r="E711" t="s">
        <v>13</v>
      </c>
      <c r="F711" t="s">
        <v>14</v>
      </c>
      <c r="G711">
        <v>22000000</v>
      </c>
      <c r="H711">
        <v>6.4</v>
      </c>
      <c r="I711" t="s">
        <v>15</v>
      </c>
      <c r="J711" t="s">
        <v>16</v>
      </c>
    </row>
    <row r="712" spans="1:13" x14ac:dyDescent="0.25">
      <c r="A712" t="s">
        <v>1190</v>
      </c>
      <c r="B712">
        <v>129</v>
      </c>
      <c r="C712">
        <v>48814909</v>
      </c>
      <c r="D712" t="s">
        <v>1191</v>
      </c>
      <c r="E712" t="s">
        <v>13</v>
      </c>
      <c r="F712" t="s">
        <v>14</v>
      </c>
      <c r="G712">
        <v>32000000</v>
      </c>
      <c r="H712">
        <v>7.2</v>
      </c>
      <c r="I712" t="s">
        <v>42</v>
      </c>
      <c r="J712" t="s">
        <v>31</v>
      </c>
    </row>
    <row r="713" spans="1:13" x14ac:dyDescent="0.25">
      <c r="A713" t="s">
        <v>1192</v>
      </c>
      <c r="B713">
        <v>105</v>
      </c>
      <c r="C713">
        <v>48745150</v>
      </c>
      <c r="D713" t="s">
        <v>1193</v>
      </c>
      <c r="E713" t="s">
        <v>13</v>
      </c>
      <c r="F713" t="s">
        <v>14</v>
      </c>
      <c r="G713">
        <v>50000000</v>
      </c>
      <c r="H713">
        <v>5.8</v>
      </c>
      <c r="I713" t="s">
        <v>38</v>
      </c>
      <c r="J713" t="s">
        <v>24</v>
      </c>
    </row>
    <row r="714" spans="1:13" x14ac:dyDescent="0.25">
      <c r="A714" t="s">
        <v>1151</v>
      </c>
      <c r="B714">
        <v>100</v>
      </c>
      <c r="C714">
        <v>48637684</v>
      </c>
      <c r="D714" t="s">
        <v>1194</v>
      </c>
      <c r="E714" t="s">
        <v>13</v>
      </c>
      <c r="F714" t="s">
        <v>14</v>
      </c>
      <c r="G714">
        <v>12500000</v>
      </c>
      <c r="H714">
        <v>6.1</v>
      </c>
      <c r="I714" t="s">
        <v>15</v>
      </c>
      <c r="J714" t="s">
        <v>19</v>
      </c>
    </row>
    <row r="715" spans="1:13" x14ac:dyDescent="0.25">
      <c r="A715" t="s">
        <v>1195</v>
      </c>
      <c r="B715">
        <v>85</v>
      </c>
      <c r="C715">
        <v>48546578</v>
      </c>
      <c r="D715" t="s">
        <v>1196</v>
      </c>
      <c r="E715" t="s">
        <v>13</v>
      </c>
      <c r="F715" t="s">
        <v>14</v>
      </c>
      <c r="G715">
        <v>20000000</v>
      </c>
      <c r="H715">
        <v>2.7</v>
      </c>
      <c r="I715" t="s">
        <v>15</v>
      </c>
      <c r="J715" t="s">
        <v>19</v>
      </c>
    </row>
    <row r="716" spans="1:13" x14ac:dyDescent="0.25">
      <c r="A716" t="s">
        <v>1197</v>
      </c>
      <c r="B716">
        <v>115</v>
      </c>
      <c r="C716">
        <v>48472213</v>
      </c>
      <c r="D716" t="s">
        <v>1198</v>
      </c>
      <c r="E716" t="s">
        <v>13</v>
      </c>
      <c r="F716" t="s">
        <v>14</v>
      </c>
      <c r="G716">
        <v>45000000</v>
      </c>
      <c r="H716">
        <v>5</v>
      </c>
      <c r="I716" t="s">
        <v>34</v>
      </c>
      <c r="J716" t="s">
        <v>15</v>
      </c>
      <c r="K716" t="s">
        <v>38</v>
      </c>
    </row>
    <row r="717" spans="1:13" x14ac:dyDescent="0.25">
      <c r="A717" t="s">
        <v>638</v>
      </c>
      <c r="B717">
        <v>111</v>
      </c>
      <c r="C717">
        <v>48430355</v>
      </c>
      <c r="D717" t="s">
        <v>1199</v>
      </c>
      <c r="E717" t="s">
        <v>13</v>
      </c>
      <c r="F717" t="s">
        <v>14</v>
      </c>
      <c r="G717">
        <v>70000000</v>
      </c>
      <c r="H717">
        <v>5.3</v>
      </c>
      <c r="I717" t="s">
        <v>15</v>
      </c>
      <c r="J717" t="s">
        <v>31</v>
      </c>
    </row>
    <row r="718" spans="1:13" x14ac:dyDescent="0.25">
      <c r="A718" t="s">
        <v>1200</v>
      </c>
      <c r="B718">
        <v>72</v>
      </c>
      <c r="C718">
        <v>48423368</v>
      </c>
      <c r="D718" t="s">
        <v>1201</v>
      </c>
      <c r="E718" t="s">
        <v>13</v>
      </c>
      <c r="F718" t="s">
        <v>14</v>
      </c>
      <c r="G718">
        <v>20000000</v>
      </c>
      <c r="H718">
        <v>5.8</v>
      </c>
      <c r="I718" t="s">
        <v>28</v>
      </c>
      <c r="J718" t="s">
        <v>46</v>
      </c>
      <c r="K718" t="s">
        <v>16</v>
      </c>
      <c r="L718" t="s">
        <v>17</v>
      </c>
    </row>
    <row r="719" spans="1:13" x14ac:dyDescent="0.25">
      <c r="A719" t="s">
        <v>1202</v>
      </c>
      <c r="B719">
        <v>116</v>
      </c>
      <c r="C719">
        <v>48334413</v>
      </c>
      <c r="D719" t="s">
        <v>1203</v>
      </c>
      <c r="E719" t="s">
        <v>473</v>
      </c>
      <c r="F719" t="s">
        <v>295</v>
      </c>
      <c r="G719">
        <v>78000000</v>
      </c>
      <c r="H719">
        <v>5.0999999999999996</v>
      </c>
      <c r="I719" t="s">
        <v>28</v>
      </c>
      <c r="J719" t="s">
        <v>15</v>
      </c>
      <c r="K719" t="s">
        <v>16</v>
      </c>
      <c r="L719" t="s">
        <v>17</v>
      </c>
    </row>
    <row r="720" spans="1:13" x14ac:dyDescent="0.25">
      <c r="A720" t="s">
        <v>1204</v>
      </c>
      <c r="B720">
        <v>119</v>
      </c>
      <c r="C720">
        <v>48334413</v>
      </c>
      <c r="D720" t="s">
        <v>1205</v>
      </c>
      <c r="E720" t="s">
        <v>13</v>
      </c>
      <c r="F720" t="s">
        <v>1206</v>
      </c>
      <c r="G720">
        <v>68005000</v>
      </c>
      <c r="H720">
        <v>6</v>
      </c>
      <c r="I720" t="s">
        <v>34</v>
      </c>
      <c r="J720" t="s">
        <v>28</v>
      </c>
      <c r="K720" t="s">
        <v>17</v>
      </c>
    </row>
    <row r="721" spans="1:13" x14ac:dyDescent="0.25">
      <c r="A721" t="s">
        <v>1207</v>
      </c>
      <c r="B721">
        <v>91</v>
      </c>
      <c r="C721">
        <v>48334413</v>
      </c>
      <c r="D721" t="s">
        <v>1208</v>
      </c>
      <c r="E721" t="s">
        <v>13</v>
      </c>
      <c r="F721" t="s">
        <v>14</v>
      </c>
      <c r="G721">
        <v>65000000</v>
      </c>
      <c r="H721">
        <v>1.7</v>
      </c>
      <c r="I721" t="s">
        <v>34</v>
      </c>
      <c r="J721" t="s">
        <v>46</v>
      </c>
      <c r="K721" t="s">
        <v>15</v>
      </c>
      <c r="L721" t="s">
        <v>16</v>
      </c>
      <c r="M721" t="s">
        <v>17</v>
      </c>
    </row>
    <row r="722" spans="1:13" x14ac:dyDescent="0.25">
      <c r="A722" t="s">
        <v>1209</v>
      </c>
      <c r="B722">
        <v>102</v>
      </c>
      <c r="C722">
        <v>48334413</v>
      </c>
      <c r="D722" t="s">
        <v>1210</v>
      </c>
      <c r="E722" t="s">
        <v>13</v>
      </c>
      <c r="F722" t="s">
        <v>14</v>
      </c>
      <c r="G722">
        <v>65000000</v>
      </c>
      <c r="H722">
        <v>7.3</v>
      </c>
      <c r="I722" t="s">
        <v>28</v>
      </c>
      <c r="J722" t="s">
        <v>16</v>
      </c>
      <c r="K722" t="s">
        <v>17</v>
      </c>
    </row>
    <row r="723" spans="1:13" x14ac:dyDescent="0.25">
      <c r="A723" t="s">
        <v>1211</v>
      </c>
      <c r="B723">
        <v>92</v>
      </c>
      <c r="C723">
        <v>48334413</v>
      </c>
      <c r="D723" t="s">
        <v>1212</v>
      </c>
      <c r="E723" t="s">
        <v>13</v>
      </c>
      <c r="F723" t="s">
        <v>1213</v>
      </c>
      <c r="G723">
        <v>60000000</v>
      </c>
      <c r="H723">
        <v>6.7</v>
      </c>
      <c r="I723" t="s">
        <v>28</v>
      </c>
      <c r="J723" t="s">
        <v>16</v>
      </c>
    </row>
    <row r="724" spans="1:13" x14ac:dyDescent="0.25">
      <c r="A724" t="s">
        <v>574</v>
      </c>
      <c r="B724">
        <v>96</v>
      </c>
      <c r="C724">
        <v>48334413</v>
      </c>
      <c r="D724" t="s">
        <v>1214</v>
      </c>
      <c r="E724" t="s">
        <v>13</v>
      </c>
      <c r="F724" t="s">
        <v>14</v>
      </c>
      <c r="G724">
        <v>55000000</v>
      </c>
      <c r="H724">
        <v>5.3</v>
      </c>
      <c r="I724" t="s">
        <v>38</v>
      </c>
      <c r="J724" t="s">
        <v>22</v>
      </c>
      <c r="K724" t="s">
        <v>23</v>
      </c>
      <c r="L724" t="s">
        <v>24</v>
      </c>
    </row>
    <row r="725" spans="1:13" x14ac:dyDescent="0.25">
      <c r="A725" t="s">
        <v>754</v>
      </c>
      <c r="B725">
        <v>140</v>
      </c>
      <c r="C725">
        <v>48334413</v>
      </c>
      <c r="D725" t="s">
        <v>1215</v>
      </c>
      <c r="E725" t="s">
        <v>13</v>
      </c>
      <c r="F725" t="s">
        <v>1216</v>
      </c>
      <c r="G725">
        <v>48000000</v>
      </c>
      <c r="H725">
        <v>2.7</v>
      </c>
      <c r="I725" t="s">
        <v>31</v>
      </c>
      <c r="J725" t="s">
        <v>64</v>
      </c>
      <c r="K725" t="s">
        <v>83</v>
      </c>
    </row>
    <row r="726" spans="1:13" x14ac:dyDescent="0.25">
      <c r="A726" t="s">
        <v>1217</v>
      </c>
      <c r="B726">
        <v>88</v>
      </c>
      <c r="C726">
        <v>48334413</v>
      </c>
      <c r="D726" t="s">
        <v>1218</v>
      </c>
      <c r="E726" t="s">
        <v>13</v>
      </c>
      <c r="F726" t="s">
        <v>1206</v>
      </c>
      <c r="G726">
        <v>40000000</v>
      </c>
      <c r="H726">
        <v>6.4</v>
      </c>
      <c r="I726" t="s">
        <v>28</v>
      </c>
      <c r="J726" t="s">
        <v>46</v>
      </c>
      <c r="K726" t="s">
        <v>16</v>
      </c>
      <c r="L726" t="s">
        <v>17</v>
      </c>
    </row>
    <row r="727" spans="1:13" x14ac:dyDescent="0.25">
      <c r="A727" t="s">
        <v>1219</v>
      </c>
      <c r="B727">
        <v>107</v>
      </c>
      <c r="C727">
        <v>48334413</v>
      </c>
      <c r="D727" t="s">
        <v>1220</v>
      </c>
      <c r="E727" t="s">
        <v>13</v>
      </c>
      <c r="F727" t="s">
        <v>14</v>
      </c>
      <c r="G727">
        <v>39751583.5</v>
      </c>
      <c r="H727">
        <v>7.1</v>
      </c>
      <c r="I727" t="s">
        <v>52</v>
      </c>
    </row>
    <row r="728" spans="1:13" x14ac:dyDescent="0.25">
      <c r="A728" t="s">
        <v>1221</v>
      </c>
      <c r="B728">
        <v>109</v>
      </c>
      <c r="C728">
        <v>48334413</v>
      </c>
      <c r="D728" t="s">
        <v>1222</v>
      </c>
      <c r="E728" t="s">
        <v>13</v>
      </c>
      <c r="F728" t="s">
        <v>1223</v>
      </c>
      <c r="G728">
        <v>39751583.5</v>
      </c>
      <c r="H728">
        <v>4.5</v>
      </c>
      <c r="I728" t="s">
        <v>34</v>
      </c>
      <c r="J728" t="s">
        <v>28</v>
      </c>
      <c r="K728" t="s">
        <v>19</v>
      </c>
      <c r="L728" t="s">
        <v>37</v>
      </c>
    </row>
    <row r="729" spans="1:13" x14ac:dyDescent="0.25">
      <c r="A729" t="s">
        <v>1224</v>
      </c>
      <c r="B729">
        <v>120</v>
      </c>
      <c r="C729">
        <v>48334413</v>
      </c>
      <c r="D729" t="s">
        <v>1225</v>
      </c>
      <c r="E729" t="s">
        <v>1226</v>
      </c>
      <c r="F729" t="s">
        <v>27</v>
      </c>
      <c r="G729">
        <v>39751583.5</v>
      </c>
      <c r="H729">
        <v>8.1999999999999993</v>
      </c>
      <c r="I729" t="s">
        <v>34</v>
      </c>
      <c r="J729" t="s">
        <v>28</v>
      </c>
      <c r="K729" t="s">
        <v>31</v>
      </c>
      <c r="L729" t="s">
        <v>22</v>
      </c>
      <c r="M729" t="s">
        <v>37</v>
      </c>
    </row>
    <row r="730" spans="1:13" x14ac:dyDescent="0.25">
      <c r="A730" t="s">
        <v>1227</v>
      </c>
      <c r="B730">
        <v>107</v>
      </c>
      <c r="C730">
        <v>48334413</v>
      </c>
      <c r="D730" t="s">
        <v>1228</v>
      </c>
      <c r="E730" t="s">
        <v>13</v>
      </c>
      <c r="F730" t="s">
        <v>82</v>
      </c>
      <c r="G730">
        <v>39751583.5</v>
      </c>
      <c r="H730">
        <v>7.5</v>
      </c>
      <c r="I730" t="s">
        <v>34</v>
      </c>
      <c r="J730" t="s">
        <v>17</v>
      </c>
    </row>
    <row r="731" spans="1:13" x14ac:dyDescent="0.25">
      <c r="A731" t="s">
        <v>1227</v>
      </c>
      <c r="B731">
        <v>107</v>
      </c>
      <c r="C731">
        <v>48334413</v>
      </c>
      <c r="D731" t="s">
        <v>1229</v>
      </c>
      <c r="E731" t="s">
        <v>13</v>
      </c>
      <c r="F731" t="s">
        <v>82</v>
      </c>
      <c r="G731">
        <v>39751583.5</v>
      </c>
      <c r="H731">
        <v>6.4</v>
      </c>
      <c r="I731" t="s">
        <v>17</v>
      </c>
    </row>
    <row r="732" spans="1:13" x14ac:dyDescent="0.25">
      <c r="A732" t="s">
        <v>1230</v>
      </c>
      <c r="B732">
        <v>60</v>
      </c>
      <c r="C732">
        <v>48334413</v>
      </c>
      <c r="D732" t="s">
        <v>1231</v>
      </c>
      <c r="E732" t="s">
        <v>13</v>
      </c>
      <c r="F732" t="s">
        <v>14</v>
      </c>
      <c r="G732">
        <v>39751583.5</v>
      </c>
      <c r="H732">
        <v>7.6</v>
      </c>
      <c r="I732" t="s">
        <v>34</v>
      </c>
      <c r="J732" t="s">
        <v>28</v>
      </c>
      <c r="K732" t="s">
        <v>38</v>
      </c>
    </row>
    <row r="733" spans="1:13" x14ac:dyDescent="0.25">
      <c r="A733" t="s">
        <v>1232</v>
      </c>
      <c r="B733">
        <v>22</v>
      </c>
      <c r="C733">
        <v>48334413</v>
      </c>
      <c r="D733" t="s">
        <v>1233</v>
      </c>
      <c r="E733" t="s">
        <v>13</v>
      </c>
      <c r="F733" t="s">
        <v>14</v>
      </c>
      <c r="G733">
        <v>39751583.5</v>
      </c>
      <c r="H733">
        <v>7.2</v>
      </c>
      <c r="I733" t="s">
        <v>15</v>
      </c>
    </row>
    <row r="734" spans="1:13" x14ac:dyDescent="0.25">
      <c r="A734" t="s">
        <v>1234</v>
      </c>
      <c r="B734">
        <v>141</v>
      </c>
      <c r="C734">
        <v>48334413</v>
      </c>
      <c r="D734" t="s">
        <v>1235</v>
      </c>
      <c r="E734" t="s">
        <v>13</v>
      </c>
      <c r="F734" t="s">
        <v>14</v>
      </c>
      <c r="G734">
        <v>39751583.5</v>
      </c>
      <c r="H734">
        <v>6.1</v>
      </c>
      <c r="I734" t="s">
        <v>28</v>
      </c>
      <c r="J734" t="s">
        <v>31</v>
      </c>
      <c r="K734" t="s">
        <v>64</v>
      </c>
    </row>
    <row r="735" spans="1:13" x14ac:dyDescent="0.25">
      <c r="A735" t="s">
        <v>1230</v>
      </c>
      <c r="B735">
        <v>44</v>
      </c>
      <c r="C735">
        <v>48334413</v>
      </c>
      <c r="D735" t="s">
        <v>1236</v>
      </c>
      <c r="E735" t="s">
        <v>13</v>
      </c>
      <c r="F735" t="s">
        <v>14</v>
      </c>
      <c r="G735">
        <v>39751583.5</v>
      </c>
      <c r="H735">
        <v>8.6</v>
      </c>
      <c r="I735" t="s">
        <v>38</v>
      </c>
      <c r="J735" t="s">
        <v>31</v>
      </c>
      <c r="K735" t="s">
        <v>22</v>
      </c>
      <c r="L735" t="s">
        <v>23</v>
      </c>
      <c r="M735" t="s">
        <v>24</v>
      </c>
    </row>
    <row r="736" spans="1:13" x14ac:dyDescent="0.25">
      <c r="A736" t="s">
        <v>1237</v>
      </c>
      <c r="B736">
        <v>123</v>
      </c>
      <c r="C736">
        <v>48334413</v>
      </c>
      <c r="D736" t="s">
        <v>1238</v>
      </c>
      <c r="E736" t="s">
        <v>13</v>
      </c>
      <c r="F736" t="s">
        <v>14</v>
      </c>
      <c r="G736">
        <v>39751583.5</v>
      </c>
      <c r="H736">
        <v>7.8</v>
      </c>
      <c r="I736" t="s">
        <v>15</v>
      </c>
      <c r="J736" t="s">
        <v>31</v>
      </c>
      <c r="K736" t="s">
        <v>18</v>
      </c>
      <c r="L736" t="s">
        <v>59</v>
      </c>
    </row>
    <row r="737" spans="1:14" x14ac:dyDescent="0.25">
      <c r="A737" t="s">
        <v>1230</v>
      </c>
      <c r="B737">
        <v>54</v>
      </c>
      <c r="C737">
        <v>48334413</v>
      </c>
      <c r="D737" t="s">
        <v>1239</v>
      </c>
      <c r="E737" t="s">
        <v>13</v>
      </c>
      <c r="F737" t="s">
        <v>14</v>
      </c>
      <c r="G737">
        <v>39751583.5</v>
      </c>
      <c r="H737">
        <v>8.8000000000000007</v>
      </c>
      <c r="I737" t="s">
        <v>34</v>
      </c>
      <c r="J737" t="s">
        <v>28</v>
      </c>
      <c r="K737" t="s">
        <v>38</v>
      </c>
      <c r="L737" t="s">
        <v>31</v>
      </c>
      <c r="M737" t="s">
        <v>37</v>
      </c>
      <c r="N737" t="s">
        <v>24</v>
      </c>
    </row>
    <row r="738" spans="1:14" x14ac:dyDescent="0.25">
      <c r="A738" t="s">
        <v>1230</v>
      </c>
      <c r="B738">
        <v>25</v>
      </c>
      <c r="C738">
        <v>48334413</v>
      </c>
      <c r="D738" t="s">
        <v>1240</v>
      </c>
      <c r="E738" t="s">
        <v>13</v>
      </c>
      <c r="F738" t="s">
        <v>14</v>
      </c>
      <c r="G738">
        <v>39751583.5</v>
      </c>
      <c r="H738">
        <v>7.6</v>
      </c>
      <c r="I738" t="s">
        <v>15</v>
      </c>
      <c r="J738" t="s">
        <v>16</v>
      </c>
      <c r="K738" t="s">
        <v>17</v>
      </c>
    </row>
    <row r="739" spans="1:14" x14ac:dyDescent="0.25">
      <c r="A739" t="s">
        <v>1241</v>
      </c>
      <c r="B739">
        <v>81</v>
      </c>
      <c r="C739">
        <v>48334413</v>
      </c>
      <c r="D739" t="s">
        <v>1242</v>
      </c>
      <c r="E739" t="s">
        <v>473</v>
      </c>
      <c r="F739" t="s">
        <v>295</v>
      </c>
      <c r="G739">
        <v>39751583.5</v>
      </c>
      <c r="H739">
        <v>6.4</v>
      </c>
      <c r="I739" t="s">
        <v>31</v>
      </c>
      <c r="J739" t="s">
        <v>22</v>
      </c>
      <c r="K739" t="s">
        <v>23</v>
      </c>
      <c r="L739" t="s">
        <v>37</v>
      </c>
    </row>
    <row r="740" spans="1:14" x14ac:dyDescent="0.25">
      <c r="A740" t="s">
        <v>1230</v>
      </c>
      <c r="B740">
        <v>43</v>
      </c>
      <c r="C740">
        <v>48334413</v>
      </c>
      <c r="D740" t="s">
        <v>1243</v>
      </c>
      <c r="E740" t="s">
        <v>13</v>
      </c>
      <c r="F740" t="s">
        <v>14</v>
      </c>
      <c r="G740">
        <v>39751583.5</v>
      </c>
      <c r="H740">
        <v>7.5</v>
      </c>
      <c r="I740" t="s">
        <v>31</v>
      </c>
      <c r="J740" t="s">
        <v>17</v>
      </c>
      <c r="K740" t="s">
        <v>22</v>
      </c>
      <c r="L740" t="s">
        <v>24</v>
      </c>
    </row>
    <row r="741" spans="1:14" x14ac:dyDescent="0.25">
      <c r="A741" t="s">
        <v>1230</v>
      </c>
      <c r="B741">
        <v>45</v>
      </c>
      <c r="C741">
        <v>48334413</v>
      </c>
      <c r="D741" t="s">
        <v>1244</v>
      </c>
      <c r="E741" t="s">
        <v>13</v>
      </c>
      <c r="F741" t="s">
        <v>14</v>
      </c>
      <c r="G741">
        <v>39751583.5</v>
      </c>
      <c r="H741">
        <v>8.3000000000000007</v>
      </c>
      <c r="I741" t="s">
        <v>38</v>
      </c>
      <c r="J741" t="s">
        <v>31</v>
      </c>
      <c r="K741" t="s">
        <v>23</v>
      </c>
    </row>
    <row r="742" spans="1:14" x14ac:dyDescent="0.25">
      <c r="A742" t="s">
        <v>1230</v>
      </c>
      <c r="B742">
        <v>45</v>
      </c>
      <c r="C742">
        <v>48334413</v>
      </c>
      <c r="D742" t="s">
        <v>1245</v>
      </c>
      <c r="E742" t="s">
        <v>13</v>
      </c>
      <c r="F742" t="s">
        <v>14</v>
      </c>
      <c r="G742">
        <v>39751583.5</v>
      </c>
      <c r="H742">
        <v>7.5</v>
      </c>
      <c r="I742" t="s">
        <v>28</v>
      </c>
      <c r="J742" t="s">
        <v>31</v>
      </c>
      <c r="K742" t="s">
        <v>17</v>
      </c>
      <c r="L742" t="s">
        <v>23</v>
      </c>
      <c r="M742" t="s">
        <v>24</v>
      </c>
    </row>
    <row r="743" spans="1:14" x14ac:dyDescent="0.25">
      <c r="A743" t="s">
        <v>1230</v>
      </c>
      <c r="B743">
        <v>30</v>
      </c>
      <c r="C743">
        <v>48334413</v>
      </c>
      <c r="D743" t="s">
        <v>1246</v>
      </c>
      <c r="E743" t="s">
        <v>13</v>
      </c>
      <c r="F743" t="s">
        <v>14</v>
      </c>
      <c r="G743">
        <v>39751583.5</v>
      </c>
      <c r="H743">
        <v>7.4</v>
      </c>
      <c r="I743" t="s">
        <v>15</v>
      </c>
    </row>
    <row r="744" spans="1:14" x14ac:dyDescent="0.25">
      <c r="A744" t="s">
        <v>1230</v>
      </c>
      <c r="B744">
        <v>60</v>
      </c>
      <c r="C744">
        <v>48334413</v>
      </c>
      <c r="D744" t="s">
        <v>1247</v>
      </c>
      <c r="E744" t="s">
        <v>13</v>
      </c>
      <c r="F744" t="s">
        <v>82</v>
      </c>
      <c r="G744">
        <v>39751583.5</v>
      </c>
      <c r="H744">
        <v>8.1</v>
      </c>
      <c r="I744" t="s">
        <v>38</v>
      </c>
      <c r="J744" t="s">
        <v>31</v>
      </c>
      <c r="K744" t="s">
        <v>23</v>
      </c>
    </row>
    <row r="745" spans="1:14" x14ac:dyDescent="0.25">
      <c r="A745" t="s">
        <v>1230</v>
      </c>
      <c r="B745">
        <v>22</v>
      </c>
      <c r="C745">
        <v>48334413</v>
      </c>
      <c r="D745" t="s">
        <v>1248</v>
      </c>
      <c r="E745" t="s">
        <v>13</v>
      </c>
      <c r="F745" t="s">
        <v>14</v>
      </c>
      <c r="G745">
        <v>39751583.5</v>
      </c>
      <c r="H745">
        <v>7.3</v>
      </c>
      <c r="I745" t="s">
        <v>15</v>
      </c>
      <c r="J745" t="s">
        <v>19</v>
      </c>
    </row>
    <row r="746" spans="1:14" x14ac:dyDescent="0.25">
      <c r="A746" t="s">
        <v>415</v>
      </c>
      <c r="B746">
        <v>119</v>
      </c>
      <c r="C746">
        <v>48334413</v>
      </c>
      <c r="D746" t="s">
        <v>1249</v>
      </c>
      <c r="E746" t="s">
        <v>13</v>
      </c>
      <c r="F746" t="s">
        <v>14</v>
      </c>
      <c r="G746">
        <v>39751583.5</v>
      </c>
      <c r="H746">
        <v>4.9000000000000004</v>
      </c>
      <c r="I746" t="s">
        <v>15</v>
      </c>
      <c r="J746" t="s">
        <v>69</v>
      </c>
    </row>
    <row r="747" spans="1:14" x14ac:dyDescent="0.25">
      <c r="A747" t="s">
        <v>1230</v>
      </c>
      <c r="B747">
        <v>30</v>
      </c>
      <c r="C747">
        <v>48334413</v>
      </c>
      <c r="D747" t="s">
        <v>1250</v>
      </c>
      <c r="E747" t="s">
        <v>13</v>
      </c>
      <c r="F747" t="s">
        <v>14</v>
      </c>
      <c r="G747">
        <v>39751583.5</v>
      </c>
      <c r="H747">
        <v>7</v>
      </c>
      <c r="I747" t="s">
        <v>15</v>
      </c>
      <c r="J747" t="s">
        <v>19</v>
      </c>
    </row>
    <row r="748" spans="1:14" x14ac:dyDescent="0.25">
      <c r="A748" t="s">
        <v>1230</v>
      </c>
      <c r="B748">
        <v>22</v>
      </c>
      <c r="C748">
        <v>48334413</v>
      </c>
      <c r="D748" t="s">
        <v>1251</v>
      </c>
      <c r="E748" t="s">
        <v>13</v>
      </c>
      <c r="F748" t="s">
        <v>14</v>
      </c>
      <c r="G748">
        <v>39751583.5</v>
      </c>
      <c r="H748">
        <v>6.7</v>
      </c>
      <c r="I748" t="s">
        <v>15</v>
      </c>
      <c r="J748" t="s">
        <v>19</v>
      </c>
    </row>
    <row r="749" spans="1:14" x14ac:dyDescent="0.25">
      <c r="A749" t="s">
        <v>1230</v>
      </c>
      <c r="B749">
        <v>45</v>
      </c>
      <c r="C749">
        <v>48334413</v>
      </c>
      <c r="D749" t="s">
        <v>1252</v>
      </c>
      <c r="E749" t="s">
        <v>13</v>
      </c>
      <c r="F749" t="s">
        <v>82</v>
      </c>
      <c r="G749">
        <v>39751583.5</v>
      </c>
      <c r="H749">
        <v>7.9</v>
      </c>
      <c r="I749" t="s">
        <v>38</v>
      </c>
      <c r="J749" t="s">
        <v>31</v>
      </c>
    </row>
    <row r="750" spans="1:14" x14ac:dyDescent="0.25">
      <c r="A750" t="s">
        <v>1230</v>
      </c>
      <c r="B750">
        <v>105</v>
      </c>
      <c r="C750">
        <v>48334413</v>
      </c>
      <c r="D750" t="s">
        <v>1253</v>
      </c>
      <c r="E750" t="s">
        <v>13</v>
      </c>
      <c r="F750" t="s">
        <v>82</v>
      </c>
      <c r="G750">
        <v>39751583.5</v>
      </c>
      <c r="H750">
        <v>7.8</v>
      </c>
      <c r="I750" t="s">
        <v>38</v>
      </c>
      <c r="J750" t="s">
        <v>31</v>
      </c>
      <c r="K750" t="s">
        <v>23</v>
      </c>
    </row>
    <row r="751" spans="1:14" x14ac:dyDescent="0.25">
      <c r="A751" t="s">
        <v>1230</v>
      </c>
      <c r="B751">
        <v>60</v>
      </c>
      <c r="C751">
        <v>48334413</v>
      </c>
      <c r="D751" t="s">
        <v>1254</v>
      </c>
      <c r="E751" t="s">
        <v>13</v>
      </c>
      <c r="F751" t="s">
        <v>14</v>
      </c>
      <c r="G751">
        <v>39751583.5</v>
      </c>
      <c r="H751">
        <v>7.5</v>
      </c>
      <c r="I751" t="s">
        <v>31</v>
      </c>
      <c r="J751" t="s">
        <v>23</v>
      </c>
      <c r="K751" t="s">
        <v>24</v>
      </c>
    </row>
    <row r="752" spans="1:14" x14ac:dyDescent="0.25">
      <c r="A752" t="s">
        <v>1230</v>
      </c>
      <c r="B752">
        <v>43</v>
      </c>
      <c r="C752">
        <v>48334413</v>
      </c>
      <c r="D752" t="s">
        <v>1255</v>
      </c>
      <c r="E752" t="s">
        <v>13</v>
      </c>
      <c r="F752" t="s">
        <v>14</v>
      </c>
      <c r="G752">
        <v>39751583.5</v>
      </c>
      <c r="H752">
        <v>7</v>
      </c>
      <c r="I752" t="s">
        <v>34</v>
      </c>
      <c r="J752" t="s">
        <v>31</v>
      </c>
      <c r="K752" t="s">
        <v>37</v>
      </c>
    </row>
    <row r="753" spans="1:12" x14ac:dyDescent="0.25">
      <c r="A753" t="s">
        <v>1230</v>
      </c>
      <c r="B753">
        <v>64</v>
      </c>
      <c r="C753">
        <v>48334413</v>
      </c>
      <c r="D753" t="s">
        <v>1256</v>
      </c>
      <c r="E753" t="s">
        <v>13</v>
      </c>
      <c r="F753" t="s">
        <v>14</v>
      </c>
      <c r="G753">
        <v>39751583.5</v>
      </c>
      <c r="H753">
        <v>8.5</v>
      </c>
      <c r="I753" t="s">
        <v>31</v>
      </c>
      <c r="J753" t="s">
        <v>19</v>
      </c>
      <c r="K753" t="s">
        <v>37</v>
      </c>
    </row>
    <row r="754" spans="1:12" x14ac:dyDescent="0.25">
      <c r="A754" t="s">
        <v>1230</v>
      </c>
      <c r="B754">
        <v>52</v>
      </c>
      <c r="C754">
        <v>48334413</v>
      </c>
      <c r="D754" t="s">
        <v>1257</v>
      </c>
      <c r="E754" t="s">
        <v>473</v>
      </c>
      <c r="F754" t="s">
        <v>295</v>
      </c>
      <c r="G754">
        <v>39751583.5</v>
      </c>
      <c r="H754">
        <v>8.3000000000000007</v>
      </c>
      <c r="I754" t="s">
        <v>31</v>
      </c>
      <c r="J754" t="s">
        <v>17</v>
      </c>
      <c r="K754" t="s">
        <v>22</v>
      </c>
      <c r="L754" t="s">
        <v>23</v>
      </c>
    </row>
    <row r="755" spans="1:12" x14ac:dyDescent="0.25">
      <c r="A755" t="s">
        <v>1230</v>
      </c>
      <c r="B755">
        <v>30</v>
      </c>
      <c r="C755">
        <v>48334413</v>
      </c>
      <c r="D755" t="s">
        <v>1258</v>
      </c>
      <c r="E755" t="s">
        <v>13</v>
      </c>
      <c r="F755" t="s">
        <v>14</v>
      </c>
      <c r="G755">
        <v>39751583.5</v>
      </c>
      <c r="H755">
        <v>7.5</v>
      </c>
      <c r="I755" t="s">
        <v>15</v>
      </c>
      <c r="J755" t="s">
        <v>83</v>
      </c>
    </row>
    <row r="756" spans="1:12" x14ac:dyDescent="0.25">
      <c r="A756" t="s">
        <v>1259</v>
      </c>
      <c r="B756">
        <v>101</v>
      </c>
      <c r="C756">
        <v>48334413</v>
      </c>
      <c r="D756" t="s">
        <v>1260</v>
      </c>
      <c r="E756" t="s">
        <v>473</v>
      </c>
      <c r="F756" t="s">
        <v>295</v>
      </c>
      <c r="G756">
        <v>39751583.5</v>
      </c>
      <c r="H756">
        <v>4.9000000000000004</v>
      </c>
      <c r="I756" t="s">
        <v>28</v>
      </c>
      <c r="J756" t="s">
        <v>46</v>
      </c>
      <c r="K756" t="s">
        <v>15</v>
      </c>
      <c r="L756" t="s">
        <v>16</v>
      </c>
    </row>
    <row r="757" spans="1:12" x14ac:dyDescent="0.25">
      <c r="A757" t="s">
        <v>1230</v>
      </c>
      <c r="B757">
        <v>30</v>
      </c>
      <c r="C757">
        <v>48334413</v>
      </c>
      <c r="D757" t="s">
        <v>1261</v>
      </c>
      <c r="E757" t="s">
        <v>13</v>
      </c>
      <c r="F757" t="s">
        <v>98</v>
      </c>
      <c r="G757">
        <v>39751583.5</v>
      </c>
      <c r="H757">
        <v>7.4</v>
      </c>
      <c r="I757" t="s">
        <v>46</v>
      </c>
      <c r="J757" t="s">
        <v>15</v>
      </c>
      <c r="K757" t="s">
        <v>16</v>
      </c>
    </row>
    <row r="758" spans="1:12" x14ac:dyDescent="0.25">
      <c r="A758" t="s">
        <v>1230</v>
      </c>
      <c r="B758">
        <v>60</v>
      </c>
      <c r="C758">
        <v>48334413</v>
      </c>
      <c r="D758" t="s">
        <v>1262</v>
      </c>
      <c r="E758" t="s">
        <v>13</v>
      </c>
      <c r="F758" t="s">
        <v>14</v>
      </c>
      <c r="G758">
        <v>39751583.5</v>
      </c>
      <c r="H758">
        <v>7.8</v>
      </c>
      <c r="I758" t="s">
        <v>15</v>
      </c>
      <c r="J758" t="s">
        <v>16</v>
      </c>
      <c r="K758" t="s">
        <v>37</v>
      </c>
    </row>
    <row r="759" spans="1:12" x14ac:dyDescent="0.25">
      <c r="A759" t="s">
        <v>1230</v>
      </c>
      <c r="B759">
        <v>43</v>
      </c>
      <c r="C759">
        <v>48334413</v>
      </c>
      <c r="D759" t="s">
        <v>1263</v>
      </c>
      <c r="E759" t="s">
        <v>13</v>
      </c>
      <c r="F759" t="s">
        <v>14</v>
      </c>
      <c r="G759">
        <v>39751583.5</v>
      </c>
      <c r="H759">
        <v>5.8</v>
      </c>
      <c r="I759" t="s">
        <v>34</v>
      </c>
      <c r="J759" t="s">
        <v>15</v>
      </c>
      <c r="K759" t="s">
        <v>38</v>
      </c>
    </row>
    <row r="760" spans="1:12" x14ac:dyDescent="0.25">
      <c r="A760" t="s">
        <v>1230</v>
      </c>
      <c r="B760">
        <v>60</v>
      </c>
      <c r="C760">
        <v>48334413</v>
      </c>
      <c r="D760" t="s">
        <v>1264</v>
      </c>
      <c r="E760" t="s">
        <v>13</v>
      </c>
      <c r="F760" t="s">
        <v>14</v>
      </c>
      <c r="G760">
        <v>39751583.5</v>
      </c>
      <c r="H760">
        <v>7</v>
      </c>
      <c r="I760" t="s">
        <v>31</v>
      </c>
      <c r="J760" t="s">
        <v>19</v>
      </c>
    </row>
    <row r="761" spans="1:12" x14ac:dyDescent="0.25">
      <c r="A761" t="s">
        <v>444</v>
      </c>
      <c r="B761">
        <v>102</v>
      </c>
      <c r="C761">
        <v>48334413</v>
      </c>
      <c r="D761" t="s">
        <v>1265</v>
      </c>
      <c r="E761" t="s">
        <v>13</v>
      </c>
      <c r="F761" t="s">
        <v>14</v>
      </c>
      <c r="G761">
        <v>39751583.5</v>
      </c>
      <c r="H761">
        <v>7.3</v>
      </c>
      <c r="I761" t="s">
        <v>15</v>
      </c>
      <c r="J761" t="s">
        <v>31</v>
      </c>
      <c r="K761" t="s">
        <v>16</v>
      </c>
      <c r="L761" t="s">
        <v>41</v>
      </c>
    </row>
    <row r="762" spans="1:12" x14ac:dyDescent="0.25">
      <c r="A762" t="s">
        <v>1230</v>
      </c>
      <c r="B762">
        <v>60</v>
      </c>
      <c r="C762">
        <v>48334413</v>
      </c>
      <c r="D762" t="s">
        <v>1266</v>
      </c>
      <c r="E762" t="s">
        <v>13</v>
      </c>
      <c r="F762" t="s">
        <v>82</v>
      </c>
      <c r="G762">
        <v>39751583.5</v>
      </c>
      <c r="H762">
        <v>8.6</v>
      </c>
      <c r="I762" t="s">
        <v>38</v>
      </c>
      <c r="J762" t="s">
        <v>31</v>
      </c>
      <c r="K762" t="s">
        <v>23</v>
      </c>
      <c r="L762" t="s">
        <v>24</v>
      </c>
    </row>
    <row r="763" spans="1:12" x14ac:dyDescent="0.25">
      <c r="A763" t="s">
        <v>1230</v>
      </c>
      <c r="B763">
        <v>44</v>
      </c>
      <c r="C763">
        <v>48334413</v>
      </c>
      <c r="D763" t="s">
        <v>1267</v>
      </c>
      <c r="E763" t="s">
        <v>13</v>
      </c>
      <c r="F763" t="s">
        <v>14</v>
      </c>
      <c r="G763">
        <v>39751583.5</v>
      </c>
      <c r="H763">
        <v>8.6999999999999993</v>
      </c>
      <c r="I763" t="s">
        <v>31</v>
      </c>
      <c r="J763" t="s">
        <v>41</v>
      </c>
    </row>
    <row r="764" spans="1:12" x14ac:dyDescent="0.25">
      <c r="A764" t="s">
        <v>1230</v>
      </c>
      <c r="B764">
        <v>60</v>
      </c>
      <c r="C764">
        <v>48334413</v>
      </c>
      <c r="D764" t="s">
        <v>1268</v>
      </c>
      <c r="E764" t="s">
        <v>13</v>
      </c>
      <c r="F764" t="s">
        <v>14</v>
      </c>
      <c r="G764">
        <v>39751583.5</v>
      </c>
      <c r="H764">
        <v>7.5</v>
      </c>
      <c r="I764" t="s">
        <v>31</v>
      </c>
      <c r="J764" t="s">
        <v>23</v>
      </c>
    </row>
    <row r="765" spans="1:12" x14ac:dyDescent="0.25">
      <c r="A765" t="s">
        <v>1230</v>
      </c>
      <c r="B765">
        <v>28</v>
      </c>
      <c r="C765">
        <v>48334413</v>
      </c>
      <c r="D765" t="s">
        <v>1269</v>
      </c>
      <c r="E765" t="s">
        <v>13</v>
      </c>
      <c r="F765" t="s">
        <v>14</v>
      </c>
      <c r="G765">
        <v>39751583.5</v>
      </c>
      <c r="H765">
        <v>8.5</v>
      </c>
      <c r="I765" t="s">
        <v>15</v>
      </c>
      <c r="J765" t="s">
        <v>31</v>
      </c>
    </row>
    <row r="766" spans="1:12" x14ac:dyDescent="0.25">
      <c r="A766" t="s">
        <v>1230</v>
      </c>
      <c r="B766">
        <v>511</v>
      </c>
      <c r="C766">
        <v>48334413</v>
      </c>
      <c r="D766" t="s">
        <v>1270</v>
      </c>
      <c r="E766" t="s">
        <v>1271</v>
      </c>
      <c r="F766" t="s">
        <v>1272</v>
      </c>
      <c r="G766">
        <v>39751583.5</v>
      </c>
      <c r="H766">
        <v>8.1999999999999993</v>
      </c>
      <c r="I766" t="s">
        <v>38</v>
      </c>
      <c r="J766" t="s">
        <v>31</v>
      </c>
      <c r="K766" t="s">
        <v>24</v>
      </c>
    </row>
    <row r="767" spans="1:12" x14ac:dyDescent="0.25">
      <c r="A767" t="s">
        <v>1273</v>
      </c>
      <c r="B767">
        <v>91</v>
      </c>
      <c r="C767">
        <v>48334413</v>
      </c>
      <c r="D767" t="s">
        <v>1274</v>
      </c>
      <c r="E767" t="s">
        <v>473</v>
      </c>
      <c r="F767" t="s">
        <v>295</v>
      </c>
      <c r="G767">
        <v>39751583.5</v>
      </c>
      <c r="H767">
        <v>7.2</v>
      </c>
      <c r="I767" t="s">
        <v>15</v>
      </c>
      <c r="J767" t="s">
        <v>16</v>
      </c>
    </row>
    <row r="768" spans="1:12" x14ac:dyDescent="0.25">
      <c r="A768" t="s">
        <v>1275</v>
      </c>
      <c r="B768">
        <v>93</v>
      </c>
      <c r="C768">
        <v>48334413</v>
      </c>
      <c r="D768" t="s">
        <v>1276</v>
      </c>
      <c r="E768" t="s">
        <v>1277</v>
      </c>
      <c r="F768" t="s">
        <v>241</v>
      </c>
      <c r="G768">
        <v>39751583.5</v>
      </c>
      <c r="H768">
        <v>4.9000000000000004</v>
      </c>
      <c r="I768" t="s">
        <v>46</v>
      </c>
      <c r="J768" t="s">
        <v>15</v>
      </c>
      <c r="K768" t="s">
        <v>16</v>
      </c>
    </row>
    <row r="769" spans="1:14" x14ac:dyDescent="0.25">
      <c r="A769" t="s">
        <v>1230</v>
      </c>
      <c r="B769">
        <v>42</v>
      </c>
      <c r="C769">
        <v>48334413</v>
      </c>
      <c r="D769" t="s">
        <v>1278</v>
      </c>
      <c r="E769" t="s">
        <v>13</v>
      </c>
      <c r="F769" t="s">
        <v>14</v>
      </c>
      <c r="G769">
        <v>39751583.5</v>
      </c>
      <c r="H769">
        <v>7.6</v>
      </c>
      <c r="I769" t="s">
        <v>28</v>
      </c>
      <c r="J769" t="s">
        <v>31</v>
      </c>
      <c r="K769" t="s">
        <v>23</v>
      </c>
      <c r="L769" t="s">
        <v>37</v>
      </c>
      <c r="M769" t="s">
        <v>24</v>
      </c>
    </row>
    <row r="770" spans="1:14" x14ac:dyDescent="0.25">
      <c r="A770" t="s">
        <v>1230</v>
      </c>
      <c r="B770">
        <v>42</v>
      </c>
      <c r="C770">
        <v>48334413</v>
      </c>
      <c r="D770" t="s">
        <v>1279</v>
      </c>
      <c r="E770" t="s">
        <v>13</v>
      </c>
      <c r="F770" t="s">
        <v>14</v>
      </c>
      <c r="G770">
        <v>39751583.5</v>
      </c>
      <c r="H770">
        <v>7.9</v>
      </c>
      <c r="I770" t="s">
        <v>38</v>
      </c>
      <c r="J770" t="s">
        <v>31</v>
      </c>
      <c r="K770" t="s">
        <v>37</v>
      </c>
      <c r="L770" t="s">
        <v>24</v>
      </c>
    </row>
    <row r="771" spans="1:14" x14ac:dyDescent="0.25">
      <c r="A771" t="s">
        <v>1230</v>
      </c>
      <c r="B771">
        <v>30</v>
      </c>
      <c r="C771">
        <v>48334413</v>
      </c>
      <c r="D771" t="s">
        <v>1280</v>
      </c>
      <c r="E771" t="s">
        <v>13</v>
      </c>
      <c r="F771" t="s">
        <v>14</v>
      </c>
      <c r="G771">
        <v>39751583.5</v>
      </c>
      <c r="H771">
        <v>8.6999999999999993</v>
      </c>
      <c r="I771" t="s">
        <v>15</v>
      </c>
      <c r="J771" t="s">
        <v>16</v>
      </c>
    </row>
    <row r="772" spans="1:14" x14ac:dyDescent="0.25">
      <c r="A772" t="s">
        <v>1230</v>
      </c>
      <c r="B772">
        <v>22</v>
      </c>
      <c r="C772">
        <v>48334413</v>
      </c>
      <c r="D772" t="s">
        <v>1281</v>
      </c>
      <c r="E772" t="s">
        <v>13</v>
      </c>
      <c r="F772" t="s">
        <v>14</v>
      </c>
      <c r="G772">
        <v>39751583.5</v>
      </c>
      <c r="H772">
        <v>8.8000000000000007</v>
      </c>
      <c r="I772" t="s">
        <v>15</v>
      </c>
    </row>
    <row r="773" spans="1:14" x14ac:dyDescent="0.25">
      <c r="A773" t="s">
        <v>1282</v>
      </c>
      <c r="B773">
        <v>101</v>
      </c>
      <c r="C773">
        <v>48334413</v>
      </c>
      <c r="D773" t="s">
        <v>1283</v>
      </c>
      <c r="E773" t="s">
        <v>13</v>
      </c>
      <c r="F773" t="s">
        <v>82</v>
      </c>
      <c r="G773">
        <v>39751583.5</v>
      </c>
      <c r="H773">
        <v>4.7</v>
      </c>
      <c r="I773" t="s">
        <v>31</v>
      </c>
    </row>
    <row r="774" spans="1:14" x14ac:dyDescent="0.25">
      <c r="A774" t="s">
        <v>1230</v>
      </c>
      <c r="B774">
        <v>7</v>
      </c>
      <c r="C774">
        <v>48334413</v>
      </c>
      <c r="D774" t="s">
        <v>1284</v>
      </c>
      <c r="E774" t="s">
        <v>13</v>
      </c>
      <c r="F774" t="s">
        <v>82</v>
      </c>
      <c r="G774">
        <v>39751583.5</v>
      </c>
      <c r="H774">
        <v>8.3000000000000007</v>
      </c>
      <c r="I774" t="s">
        <v>46</v>
      </c>
      <c r="J774" t="s">
        <v>15</v>
      </c>
      <c r="K774" t="s">
        <v>16</v>
      </c>
    </row>
    <row r="775" spans="1:14" x14ac:dyDescent="0.25">
      <c r="A775" t="s">
        <v>1230</v>
      </c>
      <c r="B775">
        <v>30</v>
      </c>
      <c r="C775">
        <v>48334413</v>
      </c>
      <c r="D775" t="s">
        <v>1285</v>
      </c>
      <c r="E775" t="s">
        <v>13</v>
      </c>
      <c r="F775" t="s">
        <v>14</v>
      </c>
      <c r="G775">
        <v>39751583.5</v>
      </c>
      <c r="H775">
        <v>7.2</v>
      </c>
      <c r="I775" t="s">
        <v>34</v>
      </c>
      <c r="J775" t="s">
        <v>46</v>
      </c>
      <c r="K775" t="s">
        <v>15</v>
      </c>
      <c r="L775" t="s">
        <v>16</v>
      </c>
      <c r="M775" t="s">
        <v>17</v>
      </c>
      <c r="N775" t="s">
        <v>37</v>
      </c>
    </row>
    <row r="776" spans="1:14" x14ac:dyDescent="0.25">
      <c r="A776" t="s">
        <v>1286</v>
      </c>
      <c r="B776">
        <v>88</v>
      </c>
      <c r="C776">
        <v>48334413</v>
      </c>
      <c r="D776" t="s">
        <v>1287</v>
      </c>
      <c r="E776" t="s">
        <v>13</v>
      </c>
      <c r="F776" t="s">
        <v>295</v>
      </c>
      <c r="G776">
        <v>39751583.5</v>
      </c>
      <c r="H776">
        <v>6.1</v>
      </c>
      <c r="I776" t="s">
        <v>28</v>
      </c>
      <c r="J776" t="s">
        <v>46</v>
      </c>
      <c r="K776" t="s">
        <v>16</v>
      </c>
    </row>
    <row r="777" spans="1:14" x14ac:dyDescent="0.25">
      <c r="A777" t="s">
        <v>1230</v>
      </c>
      <c r="B777">
        <v>50</v>
      </c>
      <c r="C777">
        <v>48334413</v>
      </c>
      <c r="D777" t="s">
        <v>1288</v>
      </c>
      <c r="E777" t="s">
        <v>13</v>
      </c>
      <c r="F777" t="s">
        <v>14</v>
      </c>
      <c r="G777">
        <v>39751583.5</v>
      </c>
      <c r="H777">
        <v>6.8</v>
      </c>
      <c r="I777" t="s">
        <v>34</v>
      </c>
      <c r="J777" t="s">
        <v>38</v>
      </c>
      <c r="K777" t="s">
        <v>31</v>
      </c>
      <c r="L777" t="s">
        <v>24</v>
      </c>
    </row>
    <row r="778" spans="1:14" x14ac:dyDescent="0.25">
      <c r="A778" t="s">
        <v>1230</v>
      </c>
      <c r="B778">
        <v>30</v>
      </c>
      <c r="C778">
        <v>48334413</v>
      </c>
      <c r="D778" t="s">
        <v>1289</v>
      </c>
      <c r="E778" t="s">
        <v>13</v>
      </c>
      <c r="F778" t="s">
        <v>14</v>
      </c>
      <c r="G778">
        <v>39751583.5</v>
      </c>
      <c r="H778">
        <v>3.5</v>
      </c>
      <c r="I778" t="s">
        <v>15</v>
      </c>
    </row>
    <row r="779" spans="1:14" x14ac:dyDescent="0.25">
      <c r="A779" t="s">
        <v>1230</v>
      </c>
      <c r="B779">
        <v>24</v>
      </c>
      <c r="C779">
        <v>48334413</v>
      </c>
      <c r="D779" t="s">
        <v>1290</v>
      </c>
      <c r="E779" t="s">
        <v>1226</v>
      </c>
      <c r="F779" t="s">
        <v>27</v>
      </c>
      <c r="G779">
        <v>39751583.5</v>
      </c>
      <c r="H779">
        <v>7</v>
      </c>
      <c r="I779" t="s">
        <v>34</v>
      </c>
      <c r="J779" t="s">
        <v>28</v>
      </c>
      <c r="K779" t="s">
        <v>46</v>
      </c>
      <c r="L779" t="s">
        <v>16</v>
      </c>
      <c r="M779" t="s">
        <v>17</v>
      </c>
    </row>
    <row r="780" spans="1:14" x14ac:dyDescent="0.25">
      <c r="A780" t="s">
        <v>1230</v>
      </c>
      <c r="B780">
        <v>30</v>
      </c>
      <c r="C780">
        <v>48334413</v>
      </c>
      <c r="D780" t="s">
        <v>1291</v>
      </c>
      <c r="E780" t="s">
        <v>13</v>
      </c>
      <c r="F780" t="s">
        <v>14</v>
      </c>
      <c r="G780">
        <v>39751583.5</v>
      </c>
      <c r="H780">
        <v>6.7</v>
      </c>
      <c r="I780" t="s">
        <v>15</v>
      </c>
    </row>
    <row r="781" spans="1:14" x14ac:dyDescent="0.25">
      <c r="A781" t="s">
        <v>1230</v>
      </c>
      <c r="B781">
        <v>42</v>
      </c>
      <c r="C781">
        <v>48334413</v>
      </c>
      <c r="D781" t="s">
        <v>1292</v>
      </c>
      <c r="E781" t="s">
        <v>13</v>
      </c>
      <c r="F781" t="s">
        <v>14</v>
      </c>
      <c r="G781">
        <v>39751583.5</v>
      </c>
      <c r="H781">
        <v>7.5</v>
      </c>
      <c r="I781" t="s">
        <v>38</v>
      </c>
      <c r="J781" t="s">
        <v>31</v>
      </c>
      <c r="K781" t="s">
        <v>23</v>
      </c>
      <c r="L781" t="s">
        <v>24</v>
      </c>
    </row>
    <row r="782" spans="1:14" x14ac:dyDescent="0.25">
      <c r="A782" t="s">
        <v>1230</v>
      </c>
      <c r="B782">
        <v>30</v>
      </c>
      <c r="C782">
        <v>48334413</v>
      </c>
      <c r="D782" t="s">
        <v>1293</v>
      </c>
      <c r="E782" t="s">
        <v>13</v>
      </c>
      <c r="F782" t="s">
        <v>82</v>
      </c>
      <c r="G782">
        <v>39751583.5</v>
      </c>
      <c r="H782">
        <v>7.2</v>
      </c>
      <c r="I782" t="s">
        <v>31</v>
      </c>
      <c r="J782" t="s">
        <v>16</v>
      </c>
    </row>
    <row r="783" spans="1:14" x14ac:dyDescent="0.25">
      <c r="A783" t="s">
        <v>1294</v>
      </c>
      <c r="B783">
        <v>153</v>
      </c>
      <c r="C783">
        <v>48334413</v>
      </c>
      <c r="D783" t="s">
        <v>1295</v>
      </c>
      <c r="E783" t="s">
        <v>13</v>
      </c>
      <c r="F783" t="s">
        <v>1296</v>
      </c>
      <c r="G783">
        <v>39751583.5</v>
      </c>
      <c r="H783">
        <v>7</v>
      </c>
      <c r="I783" t="s">
        <v>42</v>
      </c>
      <c r="J783" t="s">
        <v>31</v>
      </c>
      <c r="K783" t="s">
        <v>64</v>
      </c>
    </row>
    <row r="784" spans="1:14" x14ac:dyDescent="0.25">
      <c r="A784" t="s">
        <v>1230</v>
      </c>
      <c r="B784">
        <v>43</v>
      </c>
      <c r="C784">
        <v>48334413</v>
      </c>
      <c r="D784" t="s">
        <v>1297</v>
      </c>
      <c r="E784" t="s">
        <v>13</v>
      </c>
      <c r="F784" t="s">
        <v>14</v>
      </c>
      <c r="G784">
        <v>39751583.5</v>
      </c>
      <c r="H784">
        <v>6.6</v>
      </c>
      <c r="I784" t="s">
        <v>15</v>
      </c>
      <c r="J784" t="s">
        <v>31</v>
      </c>
      <c r="K784" t="s">
        <v>89</v>
      </c>
      <c r="L784" t="s">
        <v>19</v>
      </c>
    </row>
    <row r="785" spans="1:13" x14ac:dyDescent="0.25">
      <c r="A785" t="s">
        <v>1298</v>
      </c>
      <c r="B785">
        <v>118</v>
      </c>
      <c r="C785">
        <v>48334413</v>
      </c>
      <c r="D785" t="s">
        <v>1299</v>
      </c>
      <c r="E785" t="s">
        <v>1300</v>
      </c>
      <c r="F785" t="s">
        <v>1206</v>
      </c>
      <c r="G785">
        <v>39751583.5</v>
      </c>
      <c r="H785">
        <v>6.2</v>
      </c>
      <c r="I785" t="s">
        <v>34</v>
      </c>
      <c r="J785" t="s">
        <v>38</v>
      </c>
      <c r="K785" t="s">
        <v>24</v>
      </c>
    </row>
    <row r="786" spans="1:13" x14ac:dyDescent="0.25">
      <c r="A786" t="s">
        <v>1301</v>
      </c>
      <c r="B786">
        <v>107</v>
      </c>
      <c r="C786">
        <v>48334413</v>
      </c>
      <c r="D786" t="s">
        <v>1302</v>
      </c>
      <c r="E786" t="s">
        <v>1303</v>
      </c>
      <c r="F786" t="s">
        <v>1206</v>
      </c>
      <c r="G786">
        <v>39751583.5</v>
      </c>
      <c r="H786">
        <v>5.7</v>
      </c>
      <c r="I786" t="s">
        <v>34</v>
      </c>
    </row>
    <row r="787" spans="1:13" x14ac:dyDescent="0.25">
      <c r="A787" t="s">
        <v>1230</v>
      </c>
      <c r="B787">
        <v>44</v>
      </c>
      <c r="C787">
        <v>48334413</v>
      </c>
      <c r="D787" t="s">
        <v>1304</v>
      </c>
      <c r="E787" t="s">
        <v>13</v>
      </c>
      <c r="F787" t="s">
        <v>14</v>
      </c>
      <c r="G787">
        <v>39751583.5</v>
      </c>
      <c r="H787">
        <v>7.5</v>
      </c>
      <c r="I787" t="s">
        <v>15</v>
      </c>
      <c r="J787" t="s">
        <v>31</v>
      </c>
      <c r="K787" t="s">
        <v>19</v>
      </c>
    </row>
    <row r="788" spans="1:13" x14ac:dyDescent="0.25">
      <c r="A788" t="s">
        <v>1230</v>
      </c>
      <c r="B788">
        <v>60</v>
      </c>
      <c r="C788">
        <v>48334413</v>
      </c>
      <c r="D788" t="s">
        <v>1305</v>
      </c>
      <c r="E788" t="s">
        <v>13</v>
      </c>
      <c r="F788" t="s">
        <v>14</v>
      </c>
      <c r="G788">
        <v>39751583.5</v>
      </c>
      <c r="H788">
        <v>6.7</v>
      </c>
      <c r="I788" t="s">
        <v>31</v>
      </c>
      <c r="J788" t="s">
        <v>23</v>
      </c>
    </row>
    <row r="789" spans="1:13" x14ac:dyDescent="0.25">
      <c r="A789" t="s">
        <v>1306</v>
      </c>
      <c r="B789">
        <v>92</v>
      </c>
      <c r="C789">
        <v>48334413</v>
      </c>
      <c r="D789" t="s">
        <v>1307</v>
      </c>
      <c r="E789" t="s">
        <v>13</v>
      </c>
      <c r="F789" t="s">
        <v>14</v>
      </c>
      <c r="G789">
        <v>39751583.5</v>
      </c>
      <c r="H789">
        <v>4</v>
      </c>
      <c r="I789" t="s">
        <v>22</v>
      </c>
    </row>
    <row r="790" spans="1:13" x14ac:dyDescent="0.25">
      <c r="A790" t="s">
        <v>1230</v>
      </c>
      <c r="B790">
        <v>60</v>
      </c>
      <c r="C790">
        <v>48334413</v>
      </c>
      <c r="D790" t="s">
        <v>1308</v>
      </c>
      <c r="E790" t="s">
        <v>13</v>
      </c>
      <c r="F790" t="s">
        <v>14</v>
      </c>
      <c r="G790">
        <v>39751583.5</v>
      </c>
      <c r="H790">
        <v>6.6</v>
      </c>
      <c r="I790" t="s">
        <v>31</v>
      </c>
      <c r="J790" t="s">
        <v>17</v>
      </c>
      <c r="K790" t="s">
        <v>23</v>
      </c>
      <c r="L790" t="s">
        <v>24</v>
      </c>
    </row>
    <row r="791" spans="1:13" x14ac:dyDescent="0.25">
      <c r="A791" t="s">
        <v>1230</v>
      </c>
      <c r="B791">
        <v>45</v>
      </c>
      <c r="C791">
        <v>48334413</v>
      </c>
      <c r="D791" t="s">
        <v>1309</v>
      </c>
      <c r="E791" t="s">
        <v>13</v>
      </c>
      <c r="F791" t="s">
        <v>14</v>
      </c>
      <c r="G791">
        <v>39751583.5</v>
      </c>
      <c r="H791">
        <v>7.3</v>
      </c>
      <c r="I791" t="s">
        <v>38</v>
      </c>
      <c r="J791" t="s">
        <v>31</v>
      </c>
      <c r="K791" t="s">
        <v>22</v>
      </c>
      <c r="L791" t="s">
        <v>23</v>
      </c>
      <c r="M791" t="s">
        <v>24</v>
      </c>
    </row>
    <row r="792" spans="1:13" x14ac:dyDescent="0.25">
      <c r="A792" t="s">
        <v>1310</v>
      </c>
      <c r="B792">
        <v>103</v>
      </c>
      <c r="C792">
        <v>48334413</v>
      </c>
      <c r="D792" t="s">
        <v>1311</v>
      </c>
      <c r="E792" t="s">
        <v>1312</v>
      </c>
      <c r="F792" t="s">
        <v>1216</v>
      </c>
      <c r="G792">
        <v>39751583.5</v>
      </c>
      <c r="H792">
        <v>5.7</v>
      </c>
      <c r="I792" t="s">
        <v>34</v>
      </c>
      <c r="J792" t="s">
        <v>15</v>
      </c>
      <c r="K792" t="s">
        <v>31</v>
      </c>
      <c r="L792" t="s">
        <v>24</v>
      </c>
    </row>
    <row r="793" spans="1:13" x14ac:dyDescent="0.25">
      <c r="A793" t="s">
        <v>1230</v>
      </c>
      <c r="B793">
        <v>60</v>
      </c>
      <c r="C793">
        <v>48334413</v>
      </c>
      <c r="D793" t="s">
        <v>1313</v>
      </c>
      <c r="E793" t="s">
        <v>13</v>
      </c>
      <c r="F793" t="s">
        <v>98</v>
      </c>
      <c r="G793">
        <v>39751583.5</v>
      </c>
      <c r="H793">
        <v>7.5</v>
      </c>
      <c r="I793" t="s">
        <v>31</v>
      </c>
      <c r="J793" t="s">
        <v>17</v>
      </c>
      <c r="K793" t="s">
        <v>23</v>
      </c>
      <c r="L793" t="s">
        <v>37</v>
      </c>
    </row>
    <row r="794" spans="1:13" x14ac:dyDescent="0.25">
      <c r="A794" t="s">
        <v>1314</v>
      </c>
      <c r="B794">
        <v>99</v>
      </c>
      <c r="C794">
        <v>48334413</v>
      </c>
      <c r="D794" t="s">
        <v>1315</v>
      </c>
      <c r="E794" t="s">
        <v>13</v>
      </c>
      <c r="F794" t="s">
        <v>14</v>
      </c>
      <c r="G794">
        <v>39751583.5</v>
      </c>
      <c r="H794">
        <v>7.4</v>
      </c>
      <c r="I794" t="s">
        <v>17</v>
      </c>
      <c r="J794" t="s">
        <v>19</v>
      </c>
    </row>
    <row r="795" spans="1:13" x14ac:dyDescent="0.25">
      <c r="A795" t="s">
        <v>1230</v>
      </c>
      <c r="B795">
        <v>286</v>
      </c>
      <c r="C795">
        <v>48334413</v>
      </c>
      <c r="D795" t="s">
        <v>1316</v>
      </c>
      <c r="E795" t="s">
        <v>13</v>
      </c>
      <c r="F795" t="s">
        <v>14</v>
      </c>
      <c r="G795">
        <v>39751583.5</v>
      </c>
      <c r="H795">
        <v>7.9</v>
      </c>
      <c r="I795" t="s">
        <v>31</v>
      </c>
      <c r="J795" t="s">
        <v>64</v>
      </c>
      <c r="K795" t="s">
        <v>24</v>
      </c>
    </row>
    <row r="796" spans="1:13" x14ac:dyDescent="0.25">
      <c r="A796" t="s">
        <v>1317</v>
      </c>
      <c r="B796">
        <v>100</v>
      </c>
      <c r="C796">
        <v>48334413</v>
      </c>
      <c r="D796" t="s">
        <v>1318</v>
      </c>
      <c r="E796" t="s">
        <v>13</v>
      </c>
      <c r="F796" t="s">
        <v>1319</v>
      </c>
      <c r="G796">
        <v>39751583.5</v>
      </c>
      <c r="H796">
        <v>5.6</v>
      </c>
      <c r="I796" t="s">
        <v>31</v>
      </c>
      <c r="J796" t="s">
        <v>37</v>
      </c>
      <c r="K796" t="s">
        <v>24</v>
      </c>
    </row>
    <row r="797" spans="1:13" x14ac:dyDescent="0.25">
      <c r="A797" t="s">
        <v>1320</v>
      </c>
      <c r="B797">
        <v>141</v>
      </c>
      <c r="C797">
        <v>48334413</v>
      </c>
      <c r="D797" t="s">
        <v>1321</v>
      </c>
      <c r="E797" t="s">
        <v>13</v>
      </c>
      <c r="F797" t="s">
        <v>1322</v>
      </c>
      <c r="G797">
        <v>39751583.5</v>
      </c>
      <c r="H797">
        <v>6</v>
      </c>
      <c r="I797" t="s">
        <v>42</v>
      </c>
      <c r="J797" t="s">
        <v>31</v>
      </c>
      <c r="K797" t="s">
        <v>17</v>
      </c>
      <c r="L797" t="s">
        <v>64</v>
      </c>
    </row>
    <row r="798" spans="1:13" x14ac:dyDescent="0.25">
      <c r="A798" t="s">
        <v>1323</v>
      </c>
      <c r="B798">
        <v>65</v>
      </c>
      <c r="C798">
        <v>48334413</v>
      </c>
      <c r="D798" t="s">
        <v>1324</v>
      </c>
      <c r="E798" t="s">
        <v>13</v>
      </c>
      <c r="F798" t="s">
        <v>98</v>
      </c>
      <c r="G798">
        <v>39751583.5</v>
      </c>
      <c r="H798">
        <v>9.5</v>
      </c>
      <c r="I798" t="s">
        <v>15</v>
      </c>
    </row>
    <row r="799" spans="1:13" x14ac:dyDescent="0.25">
      <c r="A799" t="s">
        <v>1230</v>
      </c>
      <c r="B799">
        <v>60</v>
      </c>
      <c r="C799">
        <v>48334413</v>
      </c>
      <c r="D799" t="s">
        <v>1325</v>
      </c>
      <c r="E799" t="s">
        <v>13</v>
      </c>
      <c r="F799" t="s">
        <v>14</v>
      </c>
      <c r="G799">
        <v>39751583.5</v>
      </c>
      <c r="H799">
        <v>6.6</v>
      </c>
      <c r="I799" t="s">
        <v>52</v>
      </c>
    </row>
    <row r="800" spans="1:13" x14ac:dyDescent="0.25">
      <c r="A800" t="s">
        <v>1326</v>
      </c>
      <c r="B800">
        <v>90</v>
      </c>
      <c r="C800">
        <v>48334413</v>
      </c>
      <c r="D800" t="s">
        <v>1327</v>
      </c>
      <c r="E800" t="s">
        <v>13</v>
      </c>
      <c r="F800" t="s">
        <v>98</v>
      </c>
      <c r="G800">
        <v>39751583.5</v>
      </c>
      <c r="H800">
        <v>3.6</v>
      </c>
      <c r="I800" t="s">
        <v>15</v>
      </c>
      <c r="J800" t="s">
        <v>22</v>
      </c>
    </row>
    <row r="801" spans="1:15" x14ac:dyDescent="0.25">
      <c r="A801" t="s">
        <v>1230</v>
      </c>
      <c r="B801">
        <v>41</v>
      </c>
      <c r="C801">
        <v>48334413</v>
      </c>
      <c r="D801" t="s">
        <v>1328</v>
      </c>
      <c r="E801" t="s">
        <v>1329</v>
      </c>
      <c r="F801" t="s">
        <v>1330</v>
      </c>
      <c r="G801">
        <v>39751583.5</v>
      </c>
      <c r="H801">
        <v>7.4</v>
      </c>
      <c r="I801" t="s">
        <v>34</v>
      </c>
      <c r="J801" t="s">
        <v>38</v>
      </c>
      <c r="K801" t="s">
        <v>31</v>
      </c>
      <c r="L801" t="s">
        <v>24</v>
      </c>
    </row>
    <row r="802" spans="1:15" x14ac:dyDescent="0.25">
      <c r="A802" t="s">
        <v>1331</v>
      </c>
      <c r="B802">
        <v>88</v>
      </c>
      <c r="C802">
        <v>48334413</v>
      </c>
      <c r="D802" t="s">
        <v>1332</v>
      </c>
      <c r="E802" t="s">
        <v>1333</v>
      </c>
      <c r="F802" t="s">
        <v>1334</v>
      </c>
      <c r="G802">
        <v>39751583.5</v>
      </c>
      <c r="H802">
        <v>8.1</v>
      </c>
      <c r="I802" t="s">
        <v>34</v>
      </c>
      <c r="J802" t="s">
        <v>38</v>
      </c>
      <c r="K802" t="s">
        <v>23</v>
      </c>
      <c r="L802" t="s">
        <v>24</v>
      </c>
    </row>
    <row r="803" spans="1:15" x14ac:dyDescent="0.25">
      <c r="A803" t="s">
        <v>1335</v>
      </c>
      <c r="B803">
        <v>101</v>
      </c>
      <c r="C803">
        <v>48334413</v>
      </c>
      <c r="D803" t="s">
        <v>1336</v>
      </c>
      <c r="E803" t="s">
        <v>13</v>
      </c>
      <c r="F803" t="s">
        <v>14</v>
      </c>
      <c r="G803">
        <v>39751583.5</v>
      </c>
      <c r="H803">
        <v>7.8</v>
      </c>
      <c r="I803" t="s">
        <v>28</v>
      </c>
      <c r="J803" t="s">
        <v>31</v>
      </c>
      <c r="K803" t="s">
        <v>19</v>
      </c>
    </row>
    <row r="804" spans="1:15" x14ac:dyDescent="0.25">
      <c r="A804" t="s">
        <v>1230</v>
      </c>
      <c r="B804">
        <v>55</v>
      </c>
      <c r="C804">
        <v>48334413</v>
      </c>
      <c r="D804" t="s">
        <v>1337</v>
      </c>
      <c r="E804" t="s">
        <v>13</v>
      </c>
      <c r="F804" t="s">
        <v>14</v>
      </c>
      <c r="G804">
        <v>39751583.5</v>
      </c>
      <c r="H804">
        <v>8.6</v>
      </c>
      <c r="I804" t="s">
        <v>34</v>
      </c>
      <c r="J804" t="s">
        <v>28</v>
      </c>
      <c r="K804" t="s">
        <v>42</v>
      </c>
      <c r="L804" t="s">
        <v>31</v>
      </c>
      <c r="M804" t="s">
        <v>64</v>
      </c>
    </row>
    <row r="805" spans="1:15" x14ac:dyDescent="0.25">
      <c r="A805" t="s">
        <v>1338</v>
      </c>
      <c r="B805">
        <v>89</v>
      </c>
      <c r="C805">
        <v>48334413</v>
      </c>
      <c r="D805" t="s">
        <v>1339</v>
      </c>
      <c r="E805" t="s">
        <v>1300</v>
      </c>
      <c r="F805" t="s">
        <v>1206</v>
      </c>
      <c r="G805">
        <v>39751583.5</v>
      </c>
      <c r="H805">
        <v>3.2</v>
      </c>
      <c r="I805" t="s">
        <v>34</v>
      </c>
      <c r="J805" t="s">
        <v>28</v>
      </c>
      <c r="K805" t="s">
        <v>46</v>
      </c>
      <c r="L805" t="s">
        <v>15</v>
      </c>
      <c r="M805" t="s">
        <v>16</v>
      </c>
    </row>
    <row r="806" spans="1:15" x14ac:dyDescent="0.25">
      <c r="A806" t="s">
        <v>1340</v>
      </c>
      <c r="B806">
        <v>96</v>
      </c>
      <c r="C806">
        <v>48334413</v>
      </c>
      <c r="D806" t="s">
        <v>1341</v>
      </c>
      <c r="E806" t="s">
        <v>13</v>
      </c>
      <c r="F806" t="s">
        <v>1342</v>
      </c>
      <c r="G806">
        <v>39751583.5</v>
      </c>
      <c r="H806">
        <v>6.2</v>
      </c>
      <c r="I806" t="s">
        <v>38</v>
      </c>
      <c r="J806" t="s">
        <v>31</v>
      </c>
      <c r="K806" t="s">
        <v>24</v>
      </c>
    </row>
    <row r="807" spans="1:15" x14ac:dyDescent="0.25">
      <c r="A807" t="s">
        <v>1230</v>
      </c>
      <c r="B807">
        <v>24</v>
      </c>
      <c r="C807">
        <v>48334413</v>
      </c>
      <c r="D807" t="s">
        <v>1343</v>
      </c>
      <c r="E807" t="s">
        <v>13</v>
      </c>
      <c r="F807" t="s">
        <v>82</v>
      </c>
      <c r="G807">
        <v>39751583.5</v>
      </c>
      <c r="H807">
        <v>7.9</v>
      </c>
      <c r="I807" t="s">
        <v>15</v>
      </c>
    </row>
    <row r="808" spans="1:15" x14ac:dyDescent="0.25">
      <c r="A808" t="s">
        <v>1230</v>
      </c>
      <c r="B808">
        <v>40</v>
      </c>
      <c r="C808">
        <v>48334413</v>
      </c>
      <c r="D808" t="s">
        <v>1344</v>
      </c>
      <c r="E808" t="s">
        <v>13</v>
      </c>
      <c r="F808" t="s">
        <v>14</v>
      </c>
      <c r="G808">
        <v>39751583.5</v>
      </c>
      <c r="H808">
        <v>7.9</v>
      </c>
      <c r="I808" t="s">
        <v>15</v>
      </c>
      <c r="J808" t="s">
        <v>38</v>
      </c>
      <c r="K808" t="s">
        <v>31</v>
      </c>
      <c r="L808" t="s">
        <v>23</v>
      </c>
      <c r="M808" t="s">
        <v>19</v>
      </c>
    </row>
    <row r="809" spans="1:15" x14ac:dyDescent="0.25">
      <c r="A809" t="s">
        <v>1345</v>
      </c>
      <c r="B809">
        <v>85</v>
      </c>
      <c r="C809">
        <v>48334413</v>
      </c>
      <c r="D809" t="s">
        <v>1346</v>
      </c>
      <c r="E809" t="s">
        <v>13</v>
      </c>
      <c r="F809" t="s">
        <v>14</v>
      </c>
      <c r="G809">
        <v>39751583.5</v>
      </c>
      <c r="H809">
        <v>5.2</v>
      </c>
      <c r="I809" t="s">
        <v>15</v>
      </c>
      <c r="J809" t="s">
        <v>38</v>
      </c>
      <c r="K809" t="s">
        <v>18</v>
      </c>
    </row>
    <row r="810" spans="1:15" x14ac:dyDescent="0.25">
      <c r="A810" t="s">
        <v>1347</v>
      </c>
      <c r="B810">
        <v>94</v>
      </c>
      <c r="C810">
        <v>48334413</v>
      </c>
      <c r="D810" t="s">
        <v>1348</v>
      </c>
      <c r="E810" t="s">
        <v>13</v>
      </c>
      <c r="F810" t="s">
        <v>45</v>
      </c>
      <c r="G810">
        <v>39751583.5</v>
      </c>
      <c r="H810">
        <v>5.8</v>
      </c>
      <c r="I810" t="s">
        <v>22</v>
      </c>
      <c r="J810" t="s">
        <v>24</v>
      </c>
    </row>
    <row r="811" spans="1:15" x14ac:dyDescent="0.25">
      <c r="A811" t="s">
        <v>1349</v>
      </c>
      <c r="B811">
        <v>110</v>
      </c>
      <c r="C811">
        <v>48334413</v>
      </c>
      <c r="D811" t="s">
        <v>1350</v>
      </c>
      <c r="E811" t="s">
        <v>1351</v>
      </c>
      <c r="F811" t="s">
        <v>1342</v>
      </c>
      <c r="G811">
        <v>39751583.5</v>
      </c>
      <c r="H811">
        <v>7.3</v>
      </c>
      <c r="I811" t="s">
        <v>15</v>
      </c>
      <c r="J811" t="s">
        <v>31</v>
      </c>
      <c r="K811" t="s">
        <v>19</v>
      </c>
    </row>
    <row r="812" spans="1:15" x14ac:dyDescent="0.25">
      <c r="A812" t="s">
        <v>1230</v>
      </c>
      <c r="B812">
        <v>30</v>
      </c>
      <c r="C812">
        <v>48334413</v>
      </c>
      <c r="D812" t="s">
        <v>1352</v>
      </c>
      <c r="E812" t="s">
        <v>13</v>
      </c>
      <c r="F812" t="s">
        <v>14</v>
      </c>
      <c r="G812">
        <v>39751583.5</v>
      </c>
      <c r="H812">
        <v>3.5</v>
      </c>
      <c r="I812" t="s">
        <v>31</v>
      </c>
      <c r="J812" t="s">
        <v>19</v>
      </c>
    </row>
    <row r="813" spans="1:15" x14ac:dyDescent="0.25">
      <c r="A813" t="s">
        <v>1353</v>
      </c>
      <c r="B813">
        <v>98</v>
      </c>
      <c r="C813">
        <v>48334413</v>
      </c>
      <c r="D813" t="s">
        <v>1354</v>
      </c>
      <c r="E813" t="s">
        <v>473</v>
      </c>
      <c r="F813" t="s">
        <v>295</v>
      </c>
      <c r="G813">
        <v>39751583.5</v>
      </c>
      <c r="H813">
        <v>6.1</v>
      </c>
      <c r="I813" t="s">
        <v>15</v>
      </c>
    </row>
    <row r="814" spans="1:15" x14ac:dyDescent="0.25">
      <c r="A814" t="s">
        <v>1355</v>
      </c>
      <c r="B814">
        <v>102</v>
      </c>
      <c r="C814">
        <v>48334413</v>
      </c>
      <c r="D814" t="s">
        <v>1356</v>
      </c>
      <c r="E814" t="s">
        <v>13</v>
      </c>
      <c r="F814" t="s">
        <v>82</v>
      </c>
      <c r="G814">
        <v>39751583.5</v>
      </c>
      <c r="H814">
        <v>7.1</v>
      </c>
      <c r="I814" t="s">
        <v>38</v>
      </c>
      <c r="J814" t="s">
        <v>31</v>
      </c>
      <c r="K814" t="s">
        <v>23</v>
      </c>
      <c r="L814" t="s">
        <v>24</v>
      </c>
    </row>
    <row r="815" spans="1:15" x14ac:dyDescent="0.25">
      <c r="A815" t="s">
        <v>1357</v>
      </c>
      <c r="B815">
        <v>76</v>
      </c>
      <c r="C815">
        <v>48334413</v>
      </c>
      <c r="D815" t="s">
        <v>1358</v>
      </c>
      <c r="E815" t="s">
        <v>13</v>
      </c>
      <c r="F815" t="s">
        <v>82</v>
      </c>
      <c r="G815">
        <v>39751583.5</v>
      </c>
      <c r="H815">
        <v>5.7</v>
      </c>
      <c r="I815" t="s">
        <v>34</v>
      </c>
      <c r="J815" t="s">
        <v>46</v>
      </c>
      <c r="K815" t="s">
        <v>17</v>
      </c>
      <c r="L815" t="s">
        <v>22</v>
      </c>
      <c r="M815" t="s">
        <v>23</v>
      </c>
      <c r="N815" t="s">
        <v>37</v>
      </c>
      <c r="O815" t="s">
        <v>24</v>
      </c>
    </row>
    <row r="816" spans="1:15" x14ac:dyDescent="0.25">
      <c r="A816" t="s">
        <v>1230</v>
      </c>
      <c r="B816">
        <v>23</v>
      </c>
      <c r="C816">
        <v>48334413</v>
      </c>
      <c r="D816" t="s">
        <v>1359</v>
      </c>
      <c r="E816" t="s">
        <v>13</v>
      </c>
      <c r="F816" t="s">
        <v>14</v>
      </c>
      <c r="G816">
        <v>39751583.5</v>
      </c>
      <c r="H816">
        <v>7.9</v>
      </c>
      <c r="I816" t="s">
        <v>34</v>
      </c>
      <c r="J816" t="s">
        <v>28</v>
      </c>
      <c r="K816" t="s">
        <v>46</v>
      </c>
      <c r="L816" t="s">
        <v>31</v>
      </c>
      <c r="M816" t="s">
        <v>17</v>
      </c>
      <c r="N816" t="s">
        <v>37</v>
      </c>
    </row>
    <row r="817" spans="1:13" x14ac:dyDescent="0.25">
      <c r="A817" t="s">
        <v>1360</v>
      </c>
      <c r="B817">
        <v>80</v>
      </c>
      <c r="C817">
        <v>48334413</v>
      </c>
      <c r="D817" t="s">
        <v>1361</v>
      </c>
      <c r="E817" t="s">
        <v>13</v>
      </c>
      <c r="F817" t="s">
        <v>14</v>
      </c>
      <c r="G817">
        <v>39751583.5</v>
      </c>
      <c r="H817">
        <v>7.8</v>
      </c>
      <c r="I817" t="s">
        <v>28</v>
      </c>
    </row>
    <row r="818" spans="1:13" x14ac:dyDescent="0.25">
      <c r="A818" t="s">
        <v>1230</v>
      </c>
      <c r="B818">
        <v>60</v>
      </c>
      <c r="C818">
        <v>48334413</v>
      </c>
      <c r="D818" t="s">
        <v>1362</v>
      </c>
      <c r="E818" t="s">
        <v>13</v>
      </c>
      <c r="F818" t="s">
        <v>14</v>
      </c>
      <c r="G818">
        <v>39751583.5</v>
      </c>
      <c r="H818">
        <v>7.1</v>
      </c>
      <c r="I818" t="s">
        <v>34</v>
      </c>
      <c r="J818" t="s">
        <v>38</v>
      </c>
      <c r="K818" t="s">
        <v>31</v>
      </c>
      <c r="L818" t="s">
        <v>24</v>
      </c>
    </row>
    <row r="819" spans="1:13" x14ac:dyDescent="0.25">
      <c r="A819" t="s">
        <v>1230</v>
      </c>
      <c r="B819">
        <v>60</v>
      </c>
      <c r="C819">
        <v>48334413</v>
      </c>
      <c r="D819" t="s">
        <v>1363</v>
      </c>
      <c r="E819" t="s">
        <v>13</v>
      </c>
      <c r="F819" t="s">
        <v>14</v>
      </c>
      <c r="G819">
        <v>39751583.5</v>
      </c>
      <c r="H819">
        <v>8.3000000000000007</v>
      </c>
      <c r="I819" t="s">
        <v>28</v>
      </c>
      <c r="J819" t="s">
        <v>31</v>
      </c>
      <c r="K819" t="s">
        <v>17</v>
      </c>
      <c r="L819" t="s">
        <v>23</v>
      </c>
    </row>
    <row r="820" spans="1:13" x14ac:dyDescent="0.25">
      <c r="A820" t="s">
        <v>1364</v>
      </c>
      <c r="B820">
        <v>180</v>
      </c>
      <c r="C820">
        <v>48334413</v>
      </c>
      <c r="D820" t="s">
        <v>1365</v>
      </c>
      <c r="E820" t="s">
        <v>13</v>
      </c>
      <c r="F820" t="s">
        <v>82</v>
      </c>
      <c r="G820">
        <v>39751583.5</v>
      </c>
      <c r="H820">
        <v>7.2</v>
      </c>
      <c r="I820" t="s">
        <v>31</v>
      </c>
      <c r="J820" t="s">
        <v>19</v>
      </c>
    </row>
    <row r="821" spans="1:13" x14ac:dyDescent="0.25">
      <c r="A821" t="s">
        <v>1230</v>
      </c>
      <c r="B821">
        <v>142</v>
      </c>
      <c r="C821">
        <v>48334413</v>
      </c>
      <c r="D821" t="s">
        <v>1366</v>
      </c>
      <c r="E821" t="s">
        <v>13</v>
      </c>
      <c r="F821" t="s">
        <v>82</v>
      </c>
      <c r="G821">
        <v>39751583.5</v>
      </c>
      <c r="H821">
        <v>7.7</v>
      </c>
      <c r="I821" t="s">
        <v>31</v>
      </c>
      <c r="J821" t="s">
        <v>19</v>
      </c>
    </row>
    <row r="822" spans="1:13" x14ac:dyDescent="0.25">
      <c r="A822" t="s">
        <v>1367</v>
      </c>
      <c r="B822">
        <v>93</v>
      </c>
      <c r="C822">
        <v>48334413</v>
      </c>
      <c r="D822" t="s">
        <v>1368</v>
      </c>
      <c r="E822" t="s">
        <v>13</v>
      </c>
      <c r="F822" t="s">
        <v>82</v>
      </c>
      <c r="G822">
        <v>39751583.5</v>
      </c>
      <c r="H822">
        <v>5.4</v>
      </c>
      <c r="I822" t="s">
        <v>34</v>
      </c>
      <c r="J822" t="s">
        <v>31</v>
      </c>
    </row>
    <row r="823" spans="1:13" x14ac:dyDescent="0.25">
      <c r="A823" t="s">
        <v>1230</v>
      </c>
      <c r="B823">
        <v>53</v>
      </c>
      <c r="C823">
        <v>48334413</v>
      </c>
      <c r="D823" t="s">
        <v>1369</v>
      </c>
      <c r="E823" t="s">
        <v>13</v>
      </c>
      <c r="F823" t="s">
        <v>14</v>
      </c>
      <c r="G823">
        <v>39751583.5</v>
      </c>
      <c r="H823">
        <v>9</v>
      </c>
      <c r="I823" t="s">
        <v>38</v>
      </c>
      <c r="J823" t="s">
        <v>31</v>
      </c>
      <c r="K823" t="s">
        <v>24</v>
      </c>
    </row>
    <row r="824" spans="1:13" x14ac:dyDescent="0.25">
      <c r="A824" t="s">
        <v>1230</v>
      </c>
      <c r="B824">
        <v>60</v>
      </c>
      <c r="C824">
        <v>48334413</v>
      </c>
      <c r="D824" t="s">
        <v>1370</v>
      </c>
      <c r="E824" t="s">
        <v>13</v>
      </c>
      <c r="F824" t="s">
        <v>14</v>
      </c>
      <c r="G824">
        <v>39751583.5</v>
      </c>
      <c r="H824">
        <v>7.7</v>
      </c>
      <c r="I824" t="s">
        <v>34</v>
      </c>
      <c r="J824" t="s">
        <v>38</v>
      </c>
      <c r="K824" t="s">
        <v>31</v>
      </c>
      <c r="L824" t="s">
        <v>24</v>
      </c>
    </row>
    <row r="825" spans="1:13" x14ac:dyDescent="0.25">
      <c r="A825" t="s">
        <v>1230</v>
      </c>
      <c r="B825">
        <v>60</v>
      </c>
      <c r="C825">
        <v>48334413</v>
      </c>
      <c r="D825" t="s">
        <v>1371</v>
      </c>
      <c r="E825" t="s">
        <v>13</v>
      </c>
      <c r="F825" t="s">
        <v>14</v>
      </c>
      <c r="G825">
        <v>39751583.5</v>
      </c>
      <c r="H825">
        <v>7.4</v>
      </c>
      <c r="I825" t="s">
        <v>34</v>
      </c>
      <c r="J825" t="s">
        <v>31</v>
      </c>
      <c r="K825" t="s">
        <v>23</v>
      </c>
      <c r="L825" t="s">
        <v>37</v>
      </c>
    </row>
    <row r="826" spans="1:13" x14ac:dyDescent="0.25">
      <c r="A826" t="s">
        <v>1372</v>
      </c>
      <c r="B826">
        <v>97</v>
      </c>
      <c r="C826">
        <v>48334413</v>
      </c>
      <c r="D826" t="s">
        <v>1373</v>
      </c>
      <c r="E826" t="s">
        <v>13</v>
      </c>
      <c r="F826" t="s">
        <v>14</v>
      </c>
      <c r="G826">
        <v>39751583.5</v>
      </c>
      <c r="H826">
        <v>7.4</v>
      </c>
      <c r="I826" t="s">
        <v>34</v>
      </c>
      <c r="J826" t="s">
        <v>28</v>
      </c>
      <c r="K826" t="s">
        <v>31</v>
      </c>
      <c r="L826" t="s">
        <v>17</v>
      </c>
      <c r="M826" t="s">
        <v>37</v>
      </c>
    </row>
    <row r="827" spans="1:13" x14ac:dyDescent="0.25">
      <c r="A827" t="s">
        <v>1374</v>
      </c>
      <c r="B827">
        <v>107</v>
      </c>
      <c r="C827">
        <v>48334413</v>
      </c>
      <c r="D827" t="s">
        <v>1375</v>
      </c>
      <c r="E827" t="s">
        <v>13</v>
      </c>
      <c r="F827" t="s">
        <v>14</v>
      </c>
      <c r="G827">
        <v>39751583.5</v>
      </c>
      <c r="H827">
        <v>7.2</v>
      </c>
      <c r="I827" t="s">
        <v>15</v>
      </c>
      <c r="J827" t="s">
        <v>31</v>
      </c>
    </row>
    <row r="828" spans="1:13" x14ac:dyDescent="0.25">
      <c r="A828" t="s">
        <v>1230</v>
      </c>
      <c r="B828">
        <v>55</v>
      </c>
      <c r="C828">
        <v>48334413</v>
      </c>
      <c r="D828" t="s">
        <v>1376</v>
      </c>
      <c r="E828" t="s">
        <v>1351</v>
      </c>
      <c r="F828" t="s">
        <v>1342</v>
      </c>
      <c r="G828">
        <v>39751583.5</v>
      </c>
      <c r="H828">
        <v>8.6999999999999993</v>
      </c>
      <c r="I828" t="s">
        <v>38</v>
      </c>
      <c r="J828" t="s">
        <v>31</v>
      </c>
      <c r="K828" t="s">
        <v>24</v>
      </c>
    </row>
    <row r="829" spans="1:13" x14ac:dyDescent="0.25">
      <c r="A829" t="s">
        <v>1230</v>
      </c>
      <c r="B829">
        <v>107</v>
      </c>
      <c r="C829">
        <v>48334413</v>
      </c>
      <c r="D829" t="s">
        <v>1377</v>
      </c>
      <c r="E829" t="s">
        <v>13</v>
      </c>
      <c r="F829" t="s">
        <v>82</v>
      </c>
      <c r="G829">
        <v>39751583.5</v>
      </c>
      <c r="H829">
        <v>8.1999999999999993</v>
      </c>
      <c r="I829" t="s">
        <v>31</v>
      </c>
      <c r="J829" t="s">
        <v>64</v>
      </c>
      <c r="K829" t="s">
        <v>19</v>
      </c>
      <c r="L829" t="s">
        <v>83</v>
      </c>
    </row>
    <row r="830" spans="1:13" x14ac:dyDescent="0.25">
      <c r="A830" t="s">
        <v>1230</v>
      </c>
      <c r="B830">
        <v>44</v>
      </c>
      <c r="C830">
        <v>48334413</v>
      </c>
      <c r="D830" t="s">
        <v>1378</v>
      </c>
      <c r="E830" t="s">
        <v>13</v>
      </c>
      <c r="F830" t="s">
        <v>14</v>
      </c>
      <c r="G830">
        <v>39751583.5</v>
      </c>
      <c r="H830">
        <v>8.4</v>
      </c>
      <c r="I830" t="s">
        <v>38</v>
      </c>
      <c r="J830" t="s">
        <v>31</v>
      </c>
      <c r="K830" t="s">
        <v>23</v>
      </c>
    </row>
    <row r="831" spans="1:13" x14ac:dyDescent="0.25">
      <c r="A831" t="s">
        <v>1379</v>
      </c>
      <c r="B831">
        <v>93</v>
      </c>
      <c r="C831">
        <v>48334413</v>
      </c>
      <c r="D831" t="s">
        <v>1380</v>
      </c>
      <c r="E831" t="s">
        <v>13</v>
      </c>
      <c r="F831" t="s">
        <v>14</v>
      </c>
      <c r="G831">
        <v>39751583.5</v>
      </c>
      <c r="H831">
        <v>5.4</v>
      </c>
      <c r="I831" t="s">
        <v>31</v>
      </c>
      <c r="J831" t="s">
        <v>22</v>
      </c>
      <c r="K831" t="s">
        <v>23</v>
      </c>
      <c r="L831" t="s">
        <v>24</v>
      </c>
    </row>
    <row r="832" spans="1:13" x14ac:dyDescent="0.25">
      <c r="A832" t="s">
        <v>1381</v>
      </c>
      <c r="B832">
        <v>87</v>
      </c>
      <c r="C832">
        <v>48334413</v>
      </c>
      <c r="D832" t="s">
        <v>1382</v>
      </c>
      <c r="E832" t="s">
        <v>13</v>
      </c>
      <c r="F832" t="s">
        <v>14</v>
      </c>
      <c r="G832">
        <v>39751583.5</v>
      </c>
      <c r="H832">
        <v>5.9</v>
      </c>
      <c r="I832" t="s">
        <v>31</v>
      </c>
      <c r="J832" t="s">
        <v>23</v>
      </c>
      <c r="K832" t="s">
        <v>24</v>
      </c>
    </row>
    <row r="833" spans="1:11" x14ac:dyDescent="0.25">
      <c r="A833" t="s">
        <v>1230</v>
      </c>
      <c r="B833">
        <v>240</v>
      </c>
      <c r="C833">
        <v>48334413</v>
      </c>
      <c r="D833" t="s">
        <v>1383</v>
      </c>
      <c r="E833" t="s">
        <v>13</v>
      </c>
      <c r="F833" t="s">
        <v>82</v>
      </c>
      <c r="G833">
        <v>39751583.5</v>
      </c>
      <c r="H833">
        <v>8.1999999999999993</v>
      </c>
      <c r="I833" t="s">
        <v>15</v>
      </c>
      <c r="J833" t="s">
        <v>31</v>
      </c>
      <c r="K833" t="s">
        <v>19</v>
      </c>
    </row>
    <row r="834" spans="1:11" x14ac:dyDescent="0.25">
      <c r="A834" t="s">
        <v>1230</v>
      </c>
      <c r="B834">
        <v>25</v>
      </c>
      <c r="C834">
        <v>48334413</v>
      </c>
      <c r="D834" t="s">
        <v>1384</v>
      </c>
      <c r="E834" t="s">
        <v>13</v>
      </c>
      <c r="F834" t="s">
        <v>82</v>
      </c>
      <c r="G834">
        <v>39751583.5</v>
      </c>
      <c r="H834">
        <v>8.4</v>
      </c>
      <c r="I834" t="s">
        <v>15</v>
      </c>
      <c r="J834" t="s">
        <v>19</v>
      </c>
    </row>
    <row r="835" spans="1:11" x14ac:dyDescent="0.25">
      <c r="A835" t="s">
        <v>1385</v>
      </c>
      <c r="B835">
        <v>95</v>
      </c>
      <c r="C835">
        <v>48334413</v>
      </c>
      <c r="D835" t="s">
        <v>1386</v>
      </c>
      <c r="E835" t="s">
        <v>13</v>
      </c>
      <c r="F835" t="s">
        <v>14</v>
      </c>
      <c r="G835">
        <v>39751583.5</v>
      </c>
      <c r="H835">
        <v>3.4</v>
      </c>
      <c r="I835" t="s">
        <v>15</v>
      </c>
      <c r="J835" t="s">
        <v>37</v>
      </c>
    </row>
    <row r="836" spans="1:11" x14ac:dyDescent="0.25">
      <c r="A836" t="s">
        <v>1387</v>
      </c>
      <c r="B836">
        <v>90</v>
      </c>
      <c r="C836">
        <v>48334413</v>
      </c>
      <c r="D836" t="s">
        <v>1388</v>
      </c>
      <c r="E836" t="s">
        <v>13</v>
      </c>
      <c r="F836" t="s">
        <v>14</v>
      </c>
      <c r="G836">
        <v>39751583.5</v>
      </c>
      <c r="H836">
        <v>6.2</v>
      </c>
      <c r="I836" t="s">
        <v>31</v>
      </c>
    </row>
    <row r="837" spans="1:11" x14ac:dyDescent="0.25">
      <c r="A837" t="s">
        <v>1230</v>
      </c>
      <c r="B837">
        <v>60</v>
      </c>
      <c r="C837">
        <v>48334413</v>
      </c>
      <c r="D837" t="s">
        <v>1389</v>
      </c>
      <c r="E837" t="s">
        <v>13</v>
      </c>
      <c r="F837" t="s">
        <v>14</v>
      </c>
      <c r="G837">
        <v>39751583.5</v>
      </c>
      <c r="H837">
        <v>7.5</v>
      </c>
      <c r="I837" t="s">
        <v>31</v>
      </c>
      <c r="J837" t="s">
        <v>17</v>
      </c>
    </row>
    <row r="838" spans="1:11" x14ac:dyDescent="0.25">
      <c r="A838" t="s">
        <v>1390</v>
      </c>
      <c r="B838">
        <v>80</v>
      </c>
      <c r="C838">
        <v>48334413</v>
      </c>
      <c r="D838" t="s">
        <v>1391</v>
      </c>
      <c r="E838" t="s">
        <v>13</v>
      </c>
      <c r="F838" t="s">
        <v>14</v>
      </c>
      <c r="G838">
        <v>39751583.5</v>
      </c>
      <c r="H838">
        <v>4.2</v>
      </c>
      <c r="I838" t="s">
        <v>46</v>
      </c>
      <c r="J838" t="s">
        <v>15</v>
      </c>
    </row>
    <row r="839" spans="1:11" x14ac:dyDescent="0.25">
      <c r="A839" t="s">
        <v>1392</v>
      </c>
      <c r="B839">
        <v>90</v>
      </c>
      <c r="C839">
        <v>48334413</v>
      </c>
      <c r="D839" t="s">
        <v>1393</v>
      </c>
      <c r="E839" t="s">
        <v>13</v>
      </c>
      <c r="F839" t="s">
        <v>14</v>
      </c>
      <c r="G839">
        <v>39751583.5</v>
      </c>
      <c r="H839">
        <v>4.5</v>
      </c>
      <c r="I839" t="s">
        <v>31</v>
      </c>
      <c r="J839" t="s">
        <v>16</v>
      </c>
      <c r="K839" t="s">
        <v>18</v>
      </c>
    </row>
    <row r="840" spans="1:11" x14ac:dyDescent="0.25">
      <c r="A840" t="s">
        <v>1230</v>
      </c>
      <c r="B840">
        <v>44</v>
      </c>
      <c r="C840">
        <v>48334413</v>
      </c>
      <c r="D840" t="s">
        <v>1394</v>
      </c>
      <c r="E840" t="s">
        <v>13</v>
      </c>
      <c r="F840" t="s">
        <v>14</v>
      </c>
      <c r="G840">
        <v>39751583.5</v>
      </c>
      <c r="H840">
        <v>8.4</v>
      </c>
      <c r="I840" t="s">
        <v>15</v>
      </c>
      <c r="J840" t="s">
        <v>38</v>
      </c>
      <c r="K840" t="s">
        <v>23</v>
      </c>
    </row>
    <row r="841" spans="1:11" x14ac:dyDescent="0.25">
      <c r="A841" t="s">
        <v>1395</v>
      </c>
      <c r="B841">
        <v>95</v>
      </c>
      <c r="C841">
        <v>48334413</v>
      </c>
      <c r="D841" t="s">
        <v>1396</v>
      </c>
      <c r="E841" t="s">
        <v>13</v>
      </c>
      <c r="F841" t="s">
        <v>14</v>
      </c>
      <c r="G841">
        <v>39751583.5</v>
      </c>
      <c r="H841">
        <v>5.0999999999999996</v>
      </c>
      <c r="I841" t="s">
        <v>15</v>
      </c>
    </row>
    <row r="842" spans="1:11" x14ac:dyDescent="0.25">
      <c r="A842" t="s">
        <v>1397</v>
      </c>
      <c r="B842">
        <v>97</v>
      </c>
      <c r="C842">
        <v>48334413</v>
      </c>
      <c r="D842" t="s">
        <v>1398</v>
      </c>
      <c r="E842" t="s">
        <v>13</v>
      </c>
      <c r="F842" t="s">
        <v>14</v>
      </c>
      <c r="G842">
        <v>39751583.5</v>
      </c>
      <c r="H842">
        <v>3.4</v>
      </c>
      <c r="I842" t="s">
        <v>34</v>
      </c>
      <c r="J842" t="s">
        <v>22</v>
      </c>
    </row>
    <row r="843" spans="1:11" x14ac:dyDescent="0.25">
      <c r="A843" t="s">
        <v>1399</v>
      </c>
      <c r="B843">
        <v>79</v>
      </c>
      <c r="C843">
        <v>48334413</v>
      </c>
      <c r="D843" t="s">
        <v>1400</v>
      </c>
      <c r="E843" t="s">
        <v>473</v>
      </c>
      <c r="F843" t="s">
        <v>295</v>
      </c>
      <c r="G843">
        <v>39751583.5</v>
      </c>
      <c r="H843">
        <v>5.4</v>
      </c>
      <c r="I843" t="s">
        <v>31</v>
      </c>
    </row>
    <row r="844" spans="1:11" x14ac:dyDescent="0.25">
      <c r="A844" t="s">
        <v>1401</v>
      </c>
      <c r="B844">
        <v>107</v>
      </c>
      <c r="C844">
        <v>48334413</v>
      </c>
      <c r="D844" t="s">
        <v>1402</v>
      </c>
      <c r="E844" t="s">
        <v>1403</v>
      </c>
      <c r="F844" t="s">
        <v>1296</v>
      </c>
      <c r="G844">
        <v>39751583.5</v>
      </c>
      <c r="H844">
        <v>7.1</v>
      </c>
      <c r="I844" t="s">
        <v>15</v>
      </c>
      <c r="J844" t="s">
        <v>19</v>
      </c>
    </row>
    <row r="845" spans="1:11" x14ac:dyDescent="0.25">
      <c r="A845" t="s">
        <v>1230</v>
      </c>
      <c r="B845">
        <v>43</v>
      </c>
      <c r="C845">
        <v>48334413</v>
      </c>
      <c r="D845" t="s">
        <v>1404</v>
      </c>
      <c r="E845" t="s">
        <v>13</v>
      </c>
      <c r="F845" t="s">
        <v>14</v>
      </c>
      <c r="G845">
        <v>39751583.5</v>
      </c>
      <c r="H845">
        <v>7.7</v>
      </c>
      <c r="I845" t="s">
        <v>38</v>
      </c>
      <c r="J845" t="s">
        <v>31</v>
      </c>
    </row>
    <row r="846" spans="1:11" x14ac:dyDescent="0.25">
      <c r="A846" t="s">
        <v>1405</v>
      </c>
      <c r="B846">
        <v>100</v>
      </c>
      <c r="C846">
        <v>48334413</v>
      </c>
      <c r="D846" t="s">
        <v>1406</v>
      </c>
      <c r="E846" t="s">
        <v>13</v>
      </c>
      <c r="F846" t="s">
        <v>14</v>
      </c>
      <c r="G846">
        <v>39751583.5</v>
      </c>
      <c r="H846">
        <v>7.1</v>
      </c>
      <c r="I846" t="s">
        <v>59</v>
      </c>
      <c r="J846" t="s">
        <v>19</v>
      </c>
    </row>
    <row r="847" spans="1:11" x14ac:dyDescent="0.25">
      <c r="A847" t="s">
        <v>1407</v>
      </c>
      <c r="B847">
        <v>134</v>
      </c>
      <c r="C847">
        <v>48334413</v>
      </c>
      <c r="D847" t="s">
        <v>1408</v>
      </c>
      <c r="E847" t="s">
        <v>1409</v>
      </c>
      <c r="F847" t="s">
        <v>1296</v>
      </c>
      <c r="G847">
        <v>39751583.5</v>
      </c>
      <c r="H847">
        <v>4.7</v>
      </c>
      <c r="I847" t="s">
        <v>31</v>
      </c>
      <c r="J847" t="s">
        <v>24</v>
      </c>
    </row>
    <row r="848" spans="1:11" x14ac:dyDescent="0.25">
      <c r="A848" t="s">
        <v>1230</v>
      </c>
      <c r="B848">
        <v>199</v>
      </c>
      <c r="C848">
        <v>48334413</v>
      </c>
      <c r="D848" t="s">
        <v>1410</v>
      </c>
      <c r="E848" t="s">
        <v>13</v>
      </c>
      <c r="F848" t="s">
        <v>98</v>
      </c>
      <c r="G848">
        <v>39751583.5</v>
      </c>
      <c r="H848">
        <v>8.4</v>
      </c>
      <c r="I848" t="s">
        <v>31</v>
      </c>
      <c r="J848" t="s">
        <v>16</v>
      </c>
    </row>
    <row r="849" spans="1:13" x14ac:dyDescent="0.25">
      <c r="A849" t="s">
        <v>1230</v>
      </c>
      <c r="B849">
        <v>60</v>
      </c>
      <c r="C849">
        <v>48334413</v>
      </c>
      <c r="D849" t="s">
        <v>1411</v>
      </c>
      <c r="E849" t="s">
        <v>13</v>
      </c>
      <c r="F849" t="s">
        <v>14</v>
      </c>
      <c r="G849">
        <v>39751583.5</v>
      </c>
      <c r="H849">
        <v>8.1</v>
      </c>
      <c r="I849" t="s">
        <v>38</v>
      </c>
      <c r="J849" t="s">
        <v>31</v>
      </c>
    </row>
    <row r="850" spans="1:13" x14ac:dyDescent="0.25">
      <c r="A850" t="s">
        <v>1412</v>
      </c>
      <c r="B850">
        <v>115</v>
      </c>
      <c r="C850">
        <v>48334413</v>
      </c>
      <c r="D850" t="s">
        <v>1413</v>
      </c>
      <c r="E850" t="s">
        <v>473</v>
      </c>
      <c r="F850" t="s">
        <v>295</v>
      </c>
      <c r="G850">
        <v>39751583.5</v>
      </c>
      <c r="H850">
        <v>7.1</v>
      </c>
      <c r="I850" t="s">
        <v>31</v>
      </c>
      <c r="J850" t="s">
        <v>17</v>
      </c>
    </row>
    <row r="851" spans="1:13" x14ac:dyDescent="0.25">
      <c r="A851" t="s">
        <v>1230</v>
      </c>
      <c r="B851">
        <v>23</v>
      </c>
      <c r="C851">
        <v>48334413</v>
      </c>
      <c r="D851" t="s">
        <v>1414</v>
      </c>
      <c r="E851" t="s">
        <v>13</v>
      </c>
      <c r="F851" t="s">
        <v>14</v>
      </c>
      <c r="G851">
        <v>39751583.5</v>
      </c>
      <c r="H851">
        <v>6.1</v>
      </c>
      <c r="I851" t="s">
        <v>15</v>
      </c>
      <c r="J851" t="s">
        <v>16</v>
      </c>
      <c r="K851" t="s">
        <v>19</v>
      </c>
    </row>
    <row r="852" spans="1:13" x14ac:dyDescent="0.25">
      <c r="A852" t="s">
        <v>1415</v>
      </c>
      <c r="B852">
        <v>90</v>
      </c>
      <c r="C852">
        <v>48334413</v>
      </c>
      <c r="D852" t="s">
        <v>1416</v>
      </c>
      <c r="E852" t="s">
        <v>13</v>
      </c>
      <c r="F852" t="s">
        <v>98</v>
      </c>
      <c r="G852">
        <v>39751583.5</v>
      </c>
      <c r="H852">
        <v>6.3</v>
      </c>
      <c r="I852" t="s">
        <v>15</v>
      </c>
      <c r="J852" t="s">
        <v>17</v>
      </c>
    </row>
    <row r="853" spans="1:13" x14ac:dyDescent="0.25">
      <c r="A853" t="s">
        <v>1417</v>
      </c>
      <c r="B853">
        <v>84</v>
      </c>
      <c r="C853">
        <v>48334413</v>
      </c>
      <c r="D853" t="s">
        <v>1418</v>
      </c>
      <c r="E853" t="s">
        <v>13</v>
      </c>
      <c r="F853" t="s">
        <v>45</v>
      </c>
      <c r="G853">
        <v>39751583.5</v>
      </c>
      <c r="H853">
        <v>6.7</v>
      </c>
      <c r="I853" t="s">
        <v>22</v>
      </c>
      <c r="J853" t="s">
        <v>24</v>
      </c>
    </row>
    <row r="854" spans="1:13" x14ac:dyDescent="0.25">
      <c r="A854" t="s">
        <v>1419</v>
      </c>
      <c r="B854">
        <v>92</v>
      </c>
      <c r="C854">
        <v>48334413</v>
      </c>
      <c r="D854" t="s">
        <v>1420</v>
      </c>
      <c r="E854" t="s">
        <v>13</v>
      </c>
      <c r="F854" t="s">
        <v>14</v>
      </c>
      <c r="G854">
        <v>39751583.5</v>
      </c>
      <c r="H854">
        <v>7.3</v>
      </c>
      <c r="I854" t="s">
        <v>31</v>
      </c>
    </row>
    <row r="855" spans="1:13" x14ac:dyDescent="0.25">
      <c r="A855" t="s">
        <v>1230</v>
      </c>
      <c r="B855">
        <v>25</v>
      </c>
      <c r="C855">
        <v>48334413</v>
      </c>
      <c r="D855" t="s">
        <v>1421</v>
      </c>
      <c r="E855" t="s">
        <v>13</v>
      </c>
      <c r="F855" t="s">
        <v>14</v>
      </c>
      <c r="G855">
        <v>39751583.5</v>
      </c>
      <c r="H855">
        <v>8.4</v>
      </c>
      <c r="I855" t="s">
        <v>15</v>
      </c>
      <c r="J855" t="s">
        <v>31</v>
      </c>
      <c r="K855" t="s">
        <v>83</v>
      </c>
    </row>
    <row r="856" spans="1:13" x14ac:dyDescent="0.25">
      <c r="A856" t="s">
        <v>1230</v>
      </c>
      <c r="B856">
        <v>42</v>
      </c>
      <c r="C856">
        <v>48334413</v>
      </c>
      <c r="D856" t="s">
        <v>1422</v>
      </c>
      <c r="E856" t="s">
        <v>13</v>
      </c>
      <c r="F856" t="s">
        <v>14</v>
      </c>
      <c r="G856">
        <v>39751583.5</v>
      </c>
      <c r="H856">
        <v>7.8</v>
      </c>
      <c r="I856" t="s">
        <v>31</v>
      </c>
      <c r="J856" t="s">
        <v>18</v>
      </c>
    </row>
    <row r="857" spans="1:13" x14ac:dyDescent="0.25">
      <c r="A857" t="s">
        <v>1423</v>
      </c>
      <c r="B857">
        <v>94</v>
      </c>
      <c r="C857">
        <v>48334413</v>
      </c>
      <c r="D857" t="s">
        <v>1424</v>
      </c>
      <c r="E857" t="s">
        <v>13</v>
      </c>
      <c r="F857" t="s">
        <v>14</v>
      </c>
      <c r="G857">
        <v>39751583.5</v>
      </c>
      <c r="H857">
        <v>4.8</v>
      </c>
      <c r="I857" t="s">
        <v>22</v>
      </c>
      <c r="J857" t="s">
        <v>24</v>
      </c>
    </row>
    <row r="858" spans="1:13" x14ac:dyDescent="0.25">
      <c r="A858" t="s">
        <v>1230</v>
      </c>
      <c r="B858">
        <v>45</v>
      </c>
      <c r="C858">
        <v>48334413</v>
      </c>
      <c r="D858" t="s">
        <v>1425</v>
      </c>
      <c r="E858" t="s">
        <v>13</v>
      </c>
      <c r="F858" t="s">
        <v>82</v>
      </c>
      <c r="G858">
        <v>39751583.5</v>
      </c>
      <c r="H858">
        <v>7.3</v>
      </c>
      <c r="I858" t="s">
        <v>31</v>
      </c>
      <c r="J858" t="s">
        <v>24</v>
      </c>
    </row>
    <row r="859" spans="1:13" x14ac:dyDescent="0.25">
      <c r="A859" t="s">
        <v>1426</v>
      </c>
      <c r="B859">
        <v>99</v>
      </c>
      <c r="C859">
        <v>48334413</v>
      </c>
      <c r="D859" t="s">
        <v>1427</v>
      </c>
      <c r="E859" t="s">
        <v>13</v>
      </c>
      <c r="F859" t="s">
        <v>14</v>
      </c>
      <c r="G859">
        <v>39751583.5</v>
      </c>
      <c r="H859">
        <v>6.1</v>
      </c>
      <c r="I859" t="s">
        <v>31</v>
      </c>
      <c r="J859" t="s">
        <v>19</v>
      </c>
    </row>
    <row r="860" spans="1:13" x14ac:dyDescent="0.25">
      <c r="A860" t="s">
        <v>1230</v>
      </c>
      <c r="B860">
        <v>11</v>
      </c>
      <c r="C860">
        <v>48334413</v>
      </c>
      <c r="D860" t="s">
        <v>1428</v>
      </c>
      <c r="E860" t="s">
        <v>13</v>
      </c>
      <c r="F860" t="s">
        <v>14</v>
      </c>
      <c r="G860">
        <v>39751583.5</v>
      </c>
      <c r="H860">
        <v>7.8</v>
      </c>
      <c r="I860" t="s">
        <v>46</v>
      </c>
      <c r="J860" t="s">
        <v>15</v>
      </c>
    </row>
    <row r="861" spans="1:13" x14ac:dyDescent="0.25">
      <c r="A861" t="s">
        <v>1230</v>
      </c>
      <c r="B861">
        <v>173</v>
      </c>
      <c r="C861">
        <v>48334413</v>
      </c>
      <c r="D861" t="s">
        <v>1429</v>
      </c>
      <c r="E861" t="s">
        <v>13</v>
      </c>
      <c r="F861" t="s">
        <v>14</v>
      </c>
      <c r="G861">
        <v>39751583.5</v>
      </c>
      <c r="H861">
        <v>5</v>
      </c>
      <c r="I861" t="s">
        <v>22</v>
      </c>
      <c r="J861" t="s">
        <v>37</v>
      </c>
      <c r="K861" t="s">
        <v>24</v>
      </c>
    </row>
    <row r="862" spans="1:13" x14ac:dyDescent="0.25">
      <c r="A862" t="s">
        <v>1230</v>
      </c>
      <c r="B862">
        <v>44</v>
      </c>
      <c r="C862">
        <v>48334413</v>
      </c>
      <c r="D862" t="s">
        <v>1430</v>
      </c>
      <c r="E862" t="s">
        <v>13</v>
      </c>
      <c r="F862" t="s">
        <v>14</v>
      </c>
      <c r="G862">
        <v>39751583.5</v>
      </c>
      <c r="H862">
        <v>7.9</v>
      </c>
      <c r="I862" t="s">
        <v>15</v>
      </c>
      <c r="J862" t="s">
        <v>31</v>
      </c>
      <c r="K862" t="s">
        <v>22</v>
      </c>
      <c r="L862" t="s">
        <v>37</v>
      </c>
      <c r="M862" t="s">
        <v>24</v>
      </c>
    </row>
    <row r="863" spans="1:13" x14ac:dyDescent="0.25">
      <c r="A863" t="s">
        <v>1431</v>
      </c>
      <c r="B863">
        <v>120</v>
      </c>
      <c r="C863">
        <v>48334413</v>
      </c>
      <c r="D863" t="s">
        <v>1432</v>
      </c>
      <c r="E863" t="s">
        <v>13</v>
      </c>
      <c r="F863" t="s">
        <v>14</v>
      </c>
      <c r="G863">
        <v>39751583.5</v>
      </c>
      <c r="H863">
        <v>5</v>
      </c>
      <c r="I863" t="s">
        <v>31</v>
      </c>
      <c r="J863" t="s">
        <v>16</v>
      </c>
      <c r="K863" t="s">
        <v>18</v>
      </c>
    </row>
    <row r="864" spans="1:13" x14ac:dyDescent="0.25">
      <c r="A864" t="s">
        <v>1230</v>
      </c>
      <c r="B864">
        <v>60</v>
      </c>
      <c r="C864">
        <v>48334413</v>
      </c>
      <c r="D864" t="s">
        <v>1433</v>
      </c>
      <c r="E864" t="s">
        <v>13</v>
      </c>
      <c r="F864" t="s">
        <v>82</v>
      </c>
      <c r="G864">
        <v>39751583.5</v>
      </c>
      <c r="H864">
        <v>7.6</v>
      </c>
      <c r="I864" t="s">
        <v>31</v>
      </c>
    </row>
    <row r="865" spans="1:13" x14ac:dyDescent="0.25">
      <c r="A865" t="s">
        <v>668</v>
      </c>
      <c r="B865">
        <v>83</v>
      </c>
      <c r="C865">
        <v>48334413</v>
      </c>
      <c r="D865" t="s">
        <v>1434</v>
      </c>
      <c r="E865" t="s">
        <v>13</v>
      </c>
      <c r="F865" t="s">
        <v>14</v>
      </c>
      <c r="G865">
        <v>39751583.5</v>
      </c>
      <c r="H865">
        <v>5.5</v>
      </c>
      <c r="I865" t="s">
        <v>15</v>
      </c>
    </row>
    <row r="866" spans="1:13" x14ac:dyDescent="0.25">
      <c r="A866" t="s">
        <v>1435</v>
      </c>
      <c r="B866">
        <v>95</v>
      </c>
      <c r="C866">
        <v>48334413</v>
      </c>
      <c r="D866" t="s">
        <v>1436</v>
      </c>
      <c r="E866" t="s">
        <v>13</v>
      </c>
      <c r="F866" t="s">
        <v>14</v>
      </c>
      <c r="G866">
        <v>39751583.5</v>
      </c>
      <c r="H866">
        <v>5.9</v>
      </c>
      <c r="I866" t="s">
        <v>15</v>
      </c>
      <c r="J866" t="s">
        <v>31</v>
      </c>
      <c r="K866" t="s">
        <v>19</v>
      </c>
    </row>
    <row r="867" spans="1:13" x14ac:dyDescent="0.25">
      <c r="A867" t="s">
        <v>1437</v>
      </c>
      <c r="B867">
        <v>90</v>
      </c>
      <c r="C867">
        <v>48334413</v>
      </c>
      <c r="D867" t="s">
        <v>1438</v>
      </c>
      <c r="E867" t="s">
        <v>13</v>
      </c>
      <c r="F867" t="s">
        <v>45</v>
      </c>
      <c r="G867">
        <v>39751583.5</v>
      </c>
      <c r="H867">
        <v>6.1</v>
      </c>
      <c r="I867" t="s">
        <v>15</v>
      </c>
      <c r="J867" t="s">
        <v>31</v>
      </c>
      <c r="K867" t="s">
        <v>19</v>
      </c>
      <c r="L867" t="s">
        <v>37</v>
      </c>
    </row>
    <row r="868" spans="1:13" x14ac:dyDescent="0.25">
      <c r="A868" t="s">
        <v>1439</v>
      </c>
      <c r="B868">
        <v>90</v>
      </c>
      <c r="C868">
        <v>48334413</v>
      </c>
      <c r="D868" t="s">
        <v>1440</v>
      </c>
      <c r="E868" t="s">
        <v>1441</v>
      </c>
      <c r="F868" t="s">
        <v>1442</v>
      </c>
      <c r="G868">
        <v>39751583.5</v>
      </c>
      <c r="H868">
        <v>5.7</v>
      </c>
      <c r="I868" t="s">
        <v>34</v>
      </c>
      <c r="J868" t="s">
        <v>28</v>
      </c>
      <c r="K868" t="s">
        <v>46</v>
      </c>
      <c r="L868" t="s">
        <v>15</v>
      </c>
      <c r="M868" t="s">
        <v>37</v>
      </c>
    </row>
    <row r="869" spans="1:13" x14ac:dyDescent="0.25">
      <c r="A869" t="s">
        <v>1443</v>
      </c>
      <c r="B869">
        <v>108</v>
      </c>
      <c r="C869">
        <v>48334413</v>
      </c>
      <c r="D869" t="s">
        <v>1444</v>
      </c>
      <c r="E869" t="s">
        <v>13</v>
      </c>
      <c r="F869" t="s">
        <v>14</v>
      </c>
      <c r="G869">
        <v>39751583.5</v>
      </c>
      <c r="H869">
        <v>5.8</v>
      </c>
      <c r="I869" t="s">
        <v>24</v>
      </c>
    </row>
    <row r="870" spans="1:13" x14ac:dyDescent="0.25">
      <c r="A870" t="s">
        <v>1445</v>
      </c>
      <c r="B870">
        <v>90</v>
      </c>
      <c r="C870">
        <v>48334413</v>
      </c>
      <c r="D870" t="s">
        <v>1446</v>
      </c>
      <c r="E870" t="s">
        <v>13</v>
      </c>
      <c r="F870" t="s">
        <v>910</v>
      </c>
      <c r="G870">
        <v>39751583.5</v>
      </c>
      <c r="H870">
        <v>4.8</v>
      </c>
      <c r="I870" t="s">
        <v>31</v>
      </c>
      <c r="J870" t="s">
        <v>24</v>
      </c>
    </row>
    <row r="871" spans="1:13" x14ac:dyDescent="0.25">
      <c r="A871" t="s">
        <v>1447</v>
      </c>
      <c r="B871">
        <v>77</v>
      </c>
      <c r="C871">
        <v>48334413</v>
      </c>
      <c r="D871" t="s">
        <v>1448</v>
      </c>
      <c r="E871" t="s">
        <v>13</v>
      </c>
      <c r="F871" t="s">
        <v>82</v>
      </c>
      <c r="G871">
        <v>39751583.5</v>
      </c>
      <c r="H871">
        <v>4.8</v>
      </c>
      <c r="I871" t="s">
        <v>22</v>
      </c>
      <c r="J871" t="s">
        <v>37</v>
      </c>
      <c r="K871" t="s">
        <v>24</v>
      </c>
    </row>
    <row r="872" spans="1:13" x14ac:dyDescent="0.25">
      <c r="A872" t="s">
        <v>1230</v>
      </c>
      <c r="B872">
        <v>60</v>
      </c>
      <c r="C872">
        <v>48334413</v>
      </c>
      <c r="D872" t="s">
        <v>1449</v>
      </c>
      <c r="E872" t="s">
        <v>13</v>
      </c>
      <c r="F872" t="s">
        <v>14</v>
      </c>
      <c r="G872">
        <v>39751583.5</v>
      </c>
      <c r="H872">
        <v>7.4</v>
      </c>
      <c r="I872" t="s">
        <v>38</v>
      </c>
      <c r="J872" t="s">
        <v>31</v>
      </c>
      <c r="K872" t="s">
        <v>23</v>
      </c>
    </row>
    <row r="873" spans="1:13" x14ac:dyDescent="0.25">
      <c r="A873" t="s">
        <v>1230</v>
      </c>
      <c r="B873">
        <v>22</v>
      </c>
      <c r="C873">
        <v>48334413</v>
      </c>
      <c r="D873" t="s">
        <v>1450</v>
      </c>
      <c r="E873" t="s">
        <v>13</v>
      </c>
      <c r="F873" t="s">
        <v>14</v>
      </c>
      <c r="G873">
        <v>39751583.5</v>
      </c>
      <c r="H873">
        <v>8.1</v>
      </c>
      <c r="I873" t="s">
        <v>15</v>
      </c>
    </row>
    <row r="874" spans="1:13" x14ac:dyDescent="0.25">
      <c r="A874" t="s">
        <v>1230</v>
      </c>
      <c r="B874">
        <v>60</v>
      </c>
      <c r="C874">
        <v>48334413</v>
      </c>
      <c r="D874" t="s">
        <v>1451</v>
      </c>
      <c r="E874" t="s">
        <v>13</v>
      </c>
      <c r="F874" t="s">
        <v>14</v>
      </c>
      <c r="G874">
        <v>39751583.5</v>
      </c>
      <c r="H874">
        <v>7.3</v>
      </c>
      <c r="I874" t="s">
        <v>15</v>
      </c>
      <c r="J874" t="s">
        <v>31</v>
      </c>
      <c r="K874" t="s">
        <v>19</v>
      </c>
    </row>
    <row r="875" spans="1:13" x14ac:dyDescent="0.25">
      <c r="A875" t="s">
        <v>1452</v>
      </c>
      <c r="B875">
        <v>107</v>
      </c>
      <c r="C875">
        <v>48334413</v>
      </c>
      <c r="D875" t="s">
        <v>1453</v>
      </c>
      <c r="E875" t="s">
        <v>1409</v>
      </c>
      <c r="F875" t="s">
        <v>1296</v>
      </c>
      <c r="G875">
        <v>39751583.5</v>
      </c>
      <c r="H875">
        <v>2.8</v>
      </c>
      <c r="I875" t="s">
        <v>34</v>
      </c>
      <c r="J875" t="s">
        <v>15</v>
      </c>
      <c r="K875" t="s">
        <v>19</v>
      </c>
      <c r="L875" t="s">
        <v>24</v>
      </c>
    </row>
    <row r="876" spans="1:13" x14ac:dyDescent="0.25">
      <c r="A876" t="s">
        <v>1454</v>
      </c>
      <c r="B876">
        <v>96</v>
      </c>
      <c r="C876">
        <v>48334413</v>
      </c>
      <c r="D876" t="s">
        <v>1455</v>
      </c>
      <c r="E876" t="s">
        <v>13</v>
      </c>
      <c r="F876" t="s">
        <v>82</v>
      </c>
      <c r="G876">
        <v>39751583.5</v>
      </c>
      <c r="H876">
        <v>7.1</v>
      </c>
      <c r="I876" t="s">
        <v>15</v>
      </c>
      <c r="J876" t="s">
        <v>31</v>
      </c>
      <c r="K876" t="s">
        <v>19</v>
      </c>
      <c r="L876" t="s">
        <v>41</v>
      </c>
    </row>
    <row r="877" spans="1:13" x14ac:dyDescent="0.25">
      <c r="A877" t="s">
        <v>1230</v>
      </c>
      <c r="B877">
        <v>60</v>
      </c>
      <c r="C877">
        <v>48334413</v>
      </c>
      <c r="D877" t="s">
        <v>1456</v>
      </c>
      <c r="E877" t="s">
        <v>13</v>
      </c>
      <c r="F877" t="s">
        <v>14</v>
      </c>
      <c r="G877">
        <v>39751583.5</v>
      </c>
      <c r="H877">
        <v>7.9</v>
      </c>
      <c r="I877" t="s">
        <v>15</v>
      </c>
      <c r="J877" t="s">
        <v>31</v>
      </c>
      <c r="K877" t="s">
        <v>37</v>
      </c>
    </row>
    <row r="878" spans="1:13" x14ac:dyDescent="0.25">
      <c r="A878" t="s">
        <v>1457</v>
      </c>
      <c r="B878">
        <v>100</v>
      </c>
      <c r="C878">
        <v>48334413</v>
      </c>
      <c r="D878" t="s">
        <v>1458</v>
      </c>
      <c r="E878" t="s">
        <v>13</v>
      </c>
      <c r="F878" t="s">
        <v>14</v>
      </c>
      <c r="G878">
        <v>39751583.5</v>
      </c>
      <c r="H878">
        <v>5.4</v>
      </c>
      <c r="I878" t="s">
        <v>38</v>
      </c>
      <c r="J878" t="s">
        <v>31</v>
      </c>
    </row>
    <row r="879" spans="1:13" x14ac:dyDescent="0.25">
      <c r="A879" t="s">
        <v>1459</v>
      </c>
      <c r="B879">
        <v>87</v>
      </c>
      <c r="C879">
        <v>48334413</v>
      </c>
      <c r="D879" t="s">
        <v>1460</v>
      </c>
      <c r="E879" t="s">
        <v>13</v>
      </c>
      <c r="F879" t="s">
        <v>14</v>
      </c>
      <c r="G879">
        <v>39751583.5</v>
      </c>
      <c r="H879">
        <v>6</v>
      </c>
      <c r="I879" t="s">
        <v>31</v>
      </c>
      <c r="J879" t="s">
        <v>22</v>
      </c>
      <c r="K879" t="s">
        <v>23</v>
      </c>
      <c r="L879" t="s">
        <v>37</v>
      </c>
      <c r="M879" t="s">
        <v>24</v>
      </c>
    </row>
    <row r="880" spans="1:13" x14ac:dyDescent="0.25">
      <c r="A880" t="s">
        <v>1461</v>
      </c>
      <c r="B880">
        <v>88</v>
      </c>
      <c r="C880">
        <v>48334413</v>
      </c>
      <c r="D880" t="s">
        <v>1462</v>
      </c>
      <c r="E880" t="s">
        <v>13</v>
      </c>
      <c r="F880" t="s">
        <v>82</v>
      </c>
      <c r="G880">
        <v>39751583.5</v>
      </c>
      <c r="H880">
        <v>5.2</v>
      </c>
      <c r="I880" t="s">
        <v>34</v>
      </c>
      <c r="J880" t="s">
        <v>15</v>
      </c>
      <c r="K880" t="s">
        <v>17</v>
      </c>
      <c r="L880" t="s">
        <v>22</v>
      </c>
    </row>
    <row r="881" spans="1:12" x14ac:dyDescent="0.25">
      <c r="A881" t="s">
        <v>1463</v>
      </c>
      <c r="B881">
        <v>86</v>
      </c>
      <c r="C881">
        <v>48334413</v>
      </c>
      <c r="D881" t="s">
        <v>1464</v>
      </c>
      <c r="E881" t="s">
        <v>13</v>
      </c>
      <c r="F881" t="s">
        <v>1465</v>
      </c>
      <c r="G881">
        <v>39751583.5</v>
      </c>
      <c r="H881">
        <v>5.7</v>
      </c>
      <c r="I881" t="s">
        <v>15</v>
      </c>
      <c r="J881" t="s">
        <v>22</v>
      </c>
    </row>
    <row r="882" spans="1:12" x14ac:dyDescent="0.25">
      <c r="A882" t="s">
        <v>1230</v>
      </c>
      <c r="B882">
        <v>30</v>
      </c>
      <c r="C882">
        <v>48334413</v>
      </c>
      <c r="D882" t="s">
        <v>1466</v>
      </c>
      <c r="E882" t="s">
        <v>13</v>
      </c>
      <c r="F882" t="s">
        <v>14</v>
      </c>
      <c r="G882">
        <v>39751583.5</v>
      </c>
      <c r="H882">
        <v>7.3</v>
      </c>
      <c r="I882" t="s">
        <v>15</v>
      </c>
      <c r="J882" t="s">
        <v>31</v>
      </c>
    </row>
    <row r="883" spans="1:12" x14ac:dyDescent="0.25">
      <c r="A883" t="s">
        <v>1467</v>
      </c>
      <c r="B883">
        <v>80</v>
      </c>
      <c r="C883">
        <v>48334413</v>
      </c>
      <c r="D883" t="s">
        <v>1468</v>
      </c>
      <c r="E883" t="s">
        <v>1277</v>
      </c>
      <c r="F883" t="s">
        <v>1469</v>
      </c>
      <c r="G883">
        <v>39751583.5</v>
      </c>
      <c r="H883">
        <v>6</v>
      </c>
      <c r="I883" t="s">
        <v>22</v>
      </c>
      <c r="J883" t="s">
        <v>23</v>
      </c>
    </row>
    <row r="884" spans="1:12" x14ac:dyDescent="0.25">
      <c r="A884" t="s">
        <v>1470</v>
      </c>
      <c r="B884">
        <v>86</v>
      </c>
      <c r="C884">
        <v>48334413</v>
      </c>
      <c r="D884" t="s">
        <v>1471</v>
      </c>
      <c r="E884" t="s">
        <v>13</v>
      </c>
      <c r="F884" t="s">
        <v>1472</v>
      </c>
      <c r="G884">
        <v>39751583.5</v>
      </c>
      <c r="H884">
        <v>6.3</v>
      </c>
      <c r="I884" t="s">
        <v>31</v>
      </c>
    </row>
    <row r="885" spans="1:12" x14ac:dyDescent="0.25">
      <c r="A885" t="s">
        <v>1473</v>
      </c>
      <c r="B885">
        <v>87</v>
      </c>
      <c r="C885">
        <v>48334413</v>
      </c>
      <c r="D885" t="s">
        <v>1474</v>
      </c>
      <c r="E885" t="s">
        <v>13</v>
      </c>
      <c r="F885" t="s">
        <v>14</v>
      </c>
      <c r="G885">
        <v>39751583.5</v>
      </c>
      <c r="H885">
        <v>7.2</v>
      </c>
      <c r="I885" t="s">
        <v>38</v>
      </c>
      <c r="J885" t="s">
        <v>31</v>
      </c>
      <c r="K885" t="s">
        <v>75</v>
      </c>
    </row>
    <row r="886" spans="1:12" x14ac:dyDescent="0.25">
      <c r="A886" t="s">
        <v>1475</v>
      </c>
      <c r="B886">
        <v>87</v>
      </c>
      <c r="C886">
        <v>48334413</v>
      </c>
      <c r="D886" t="s">
        <v>1476</v>
      </c>
      <c r="E886" t="s">
        <v>13</v>
      </c>
      <c r="F886" t="s">
        <v>14</v>
      </c>
      <c r="G886">
        <v>39751583.5</v>
      </c>
      <c r="H886">
        <v>8.6999999999999993</v>
      </c>
      <c r="I886" t="s">
        <v>15</v>
      </c>
      <c r="J886" t="s">
        <v>22</v>
      </c>
      <c r="K886" t="s">
        <v>24</v>
      </c>
    </row>
    <row r="887" spans="1:12" x14ac:dyDescent="0.25">
      <c r="A887" t="s">
        <v>1477</v>
      </c>
      <c r="B887">
        <v>92</v>
      </c>
      <c r="C887">
        <v>48334413</v>
      </c>
      <c r="D887" t="s">
        <v>1478</v>
      </c>
      <c r="E887" t="s">
        <v>13</v>
      </c>
      <c r="F887" t="s">
        <v>14</v>
      </c>
      <c r="G887">
        <v>39751583.5</v>
      </c>
      <c r="H887">
        <v>4.7</v>
      </c>
      <c r="I887" t="s">
        <v>22</v>
      </c>
      <c r="J887" t="s">
        <v>24</v>
      </c>
    </row>
    <row r="888" spans="1:12" x14ac:dyDescent="0.25">
      <c r="A888" t="s">
        <v>1479</v>
      </c>
      <c r="B888">
        <v>99</v>
      </c>
      <c r="C888">
        <v>48334413</v>
      </c>
      <c r="D888" t="s">
        <v>1480</v>
      </c>
      <c r="E888" t="s">
        <v>13</v>
      </c>
      <c r="F888" t="s">
        <v>14</v>
      </c>
      <c r="G888">
        <v>39751583.5</v>
      </c>
      <c r="H888">
        <v>3.7</v>
      </c>
      <c r="I888" t="s">
        <v>22</v>
      </c>
    </row>
    <row r="889" spans="1:12" x14ac:dyDescent="0.25">
      <c r="A889" t="s">
        <v>1481</v>
      </c>
      <c r="B889">
        <v>94</v>
      </c>
      <c r="C889">
        <v>48334413</v>
      </c>
      <c r="D889" t="s">
        <v>1482</v>
      </c>
      <c r="E889" t="s">
        <v>13</v>
      </c>
      <c r="F889" t="s">
        <v>14</v>
      </c>
      <c r="G889">
        <v>39751583.5</v>
      </c>
      <c r="H889">
        <v>6.7</v>
      </c>
      <c r="I889" t="s">
        <v>31</v>
      </c>
      <c r="J889" t="s">
        <v>16</v>
      </c>
    </row>
    <row r="890" spans="1:12" x14ac:dyDescent="0.25">
      <c r="A890" t="s">
        <v>1230</v>
      </c>
      <c r="B890">
        <v>120</v>
      </c>
      <c r="C890">
        <v>48334413</v>
      </c>
      <c r="D890" t="s">
        <v>1483</v>
      </c>
      <c r="E890" t="s">
        <v>13</v>
      </c>
      <c r="F890" t="s">
        <v>14</v>
      </c>
      <c r="G890">
        <v>39751583.5</v>
      </c>
      <c r="H890">
        <v>7.3</v>
      </c>
      <c r="I890" t="s">
        <v>34</v>
      </c>
      <c r="J890" t="s">
        <v>38</v>
      </c>
      <c r="K890" t="s">
        <v>31</v>
      </c>
      <c r="L890" t="s">
        <v>23</v>
      </c>
    </row>
    <row r="891" spans="1:12" x14ac:dyDescent="0.25">
      <c r="A891" t="s">
        <v>1230</v>
      </c>
      <c r="B891">
        <v>27</v>
      </c>
      <c r="C891">
        <v>48334413</v>
      </c>
      <c r="D891" t="s">
        <v>1484</v>
      </c>
      <c r="E891" t="s">
        <v>13</v>
      </c>
      <c r="F891" t="s">
        <v>14</v>
      </c>
      <c r="G891">
        <v>39751583.5</v>
      </c>
      <c r="H891">
        <v>7.3</v>
      </c>
      <c r="I891" t="s">
        <v>31</v>
      </c>
    </row>
    <row r="892" spans="1:12" x14ac:dyDescent="0.25">
      <c r="A892" t="s">
        <v>1405</v>
      </c>
      <c r="B892">
        <v>83</v>
      </c>
      <c r="C892">
        <v>48334413</v>
      </c>
      <c r="D892" t="s">
        <v>1485</v>
      </c>
      <c r="E892" t="s">
        <v>13</v>
      </c>
      <c r="F892" t="s">
        <v>14</v>
      </c>
      <c r="G892">
        <v>39751583.5</v>
      </c>
      <c r="H892">
        <v>6.5</v>
      </c>
      <c r="I892" t="s">
        <v>31</v>
      </c>
      <c r="J892" t="s">
        <v>16</v>
      </c>
      <c r="K892" t="s">
        <v>17</v>
      </c>
    </row>
    <row r="893" spans="1:12" x14ac:dyDescent="0.25">
      <c r="A893" t="s">
        <v>1486</v>
      </c>
      <c r="B893">
        <v>88</v>
      </c>
      <c r="C893">
        <v>48334413</v>
      </c>
      <c r="D893" t="s">
        <v>1487</v>
      </c>
      <c r="E893" t="s">
        <v>13</v>
      </c>
      <c r="F893" t="s">
        <v>14</v>
      </c>
      <c r="G893">
        <v>39751583.5</v>
      </c>
      <c r="H893">
        <v>6.1</v>
      </c>
      <c r="I893" t="s">
        <v>28</v>
      </c>
      <c r="J893" t="s">
        <v>15</v>
      </c>
      <c r="K893" t="s">
        <v>31</v>
      </c>
    </row>
    <row r="894" spans="1:12" x14ac:dyDescent="0.25">
      <c r="A894" t="s">
        <v>1488</v>
      </c>
      <c r="B894">
        <v>76</v>
      </c>
      <c r="C894">
        <v>48334413</v>
      </c>
      <c r="D894" t="s">
        <v>1489</v>
      </c>
      <c r="E894" t="s">
        <v>13</v>
      </c>
      <c r="F894" t="s">
        <v>14</v>
      </c>
      <c r="G894">
        <v>39751583.5</v>
      </c>
      <c r="H894">
        <v>3.8</v>
      </c>
      <c r="I894" t="s">
        <v>15</v>
      </c>
    </row>
    <row r="895" spans="1:12" x14ac:dyDescent="0.25">
      <c r="A895" t="s">
        <v>1230</v>
      </c>
      <c r="B895">
        <v>107</v>
      </c>
      <c r="C895">
        <v>48334413</v>
      </c>
      <c r="D895" t="s">
        <v>1490</v>
      </c>
      <c r="E895" t="s">
        <v>13</v>
      </c>
      <c r="F895" t="s">
        <v>45</v>
      </c>
      <c r="G895">
        <v>39751583.5</v>
      </c>
      <c r="H895">
        <v>7.1</v>
      </c>
      <c r="I895" t="s">
        <v>31</v>
      </c>
      <c r="J895" t="s">
        <v>22</v>
      </c>
      <c r="K895" t="s">
        <v>24</v>
      </c>
    </row>
    <row r="896" spans="1:12" x14ac:dyDescent="0.25">
      <c r="A896" t="s">
        <v>1491</v>
      </c>
      <c r="B896">
        <v>150</v>
      </c>
      <c r="C896">
        <v>48334413</v>
      </c>
      <c r="D896" t="s">
        <v>1492</v>
      </c>
      <c r="E896" t="s">
        <v>1409</v>
      </c>
      <c r="F896" t="s">
        <v>1296</v>
      </c>
      <c r="G896">
        <v>39751583.5</v>
      </c>
      <c r="H896">
        <v>7.5</v>
      </c>
      <c r="I896" t="s">
        <v>15</v>
      </c>
      <c r="J896" t="s">
        <v>31</v>
      </c>
    </row>
    <row r="897" spans="1:12" x14ac:dyDescent="0.25">
      <c r="A897" t="s">
        <v>1107</v>
      </c>
      <c r="B897">
        <v>94</v>
      </c>
      <c r="C897">
        <v>48334413</v>
      </c>
      <c r="D897" t="s">
        <v>1493</v>
      </c>
      <c r="E897" t="s">
        <v>13</v>
      </c>
      <c r="F897" t="s">
        <v>82</v>
      </c>
      <c r="G897">
        <v>39751583.5</v>
      </c>
      <c r="H897">
        <v>7.3</v>
      </c>
      <c r="I897" t="s">
        <v>31</v>
      </c>
    </row>
    <row r="898" spans="1:12" x14ac:dyDescent="0.25">
      <c r="A898" t="s">
        <v>1494</v>
      </c>
      <c r="B898">
        <v>93</v>
      </c>
      <c r="C898">
        <v>48334413</v>
      </c>
      <c r="D898" t="s">
        <v>1495</v>
      </c>
      <c r="E898" t="s">
        <v>13</v>
      </c>
      <c r="F898" t="s">
        <v>14</v>
      </c>
      <c r="G898">
        <v>39751583.5</v>
      </c>
      <c r="H898">
        <v>6.5</v>
      </c>
      <c r="I898" t="s">
        <v>31</v>
      </c>
    </row>
    <row r="899" spans="1:12" x14ac:dyDescent="0.25">
      <c r="A899" t="s">
        <v>1496</v>
      </c>
      <c r="B899">
        <v>96</v>
      </c>
      <c r="C899">
        <v>48334413</v>
      </c>
      <c r="D899" t="s">
        <v>1497</v>
      </c>
      <c r="E899" t="s">
        <v>1498</v>
      </c>
      <c r="F899" t="s">
        <v>910</v>
      </c>
      <c r="G899">
        <v>39751583.5</v>
      </c>
      <c r="H899">
        <v>7.2</v>
      </c>
      <c r="I899" t="s">
        <v>31</v>
      </c>
      <c r="J899" t="s">
        <v>19</v>
      </c>
    </row>
    <row r="900" spans="1:12" x14ac:dyDescent="0.25">
      <c r="A900" t="s">
        <v>1499</v>
      </c>
      <c r="B900">
        <v>83</v>
      </c>
      <c r="C900">
        <v>48334413</v>
      </c>
      <c r="D900" t="s">
        <v>1500</v>
      </c>
      <c r="E900" t="s">
        <v>13</v>
      </c>
      <c r="F900" t="s">
        <v>14</v>
      </c>
      <c r="G900">
        <v>39751583.5</v>
      </c>
      <c r="H900">
        <v>4.7</v>
      </c>
      <c r="I900" t="s">
        <v>22</v>
      </c>
      <c r="J900" t="s">
        <v>24</v>
      </c>
    </row>
    <row r="901" spans="1:12" x14ac:dyDescent="0.25">
      <c r="A901" t="s">
        <v>1501</v>
      </c>
      <c r="B901">
        <v>103</v>
      </c>
      <c r="C901">
        <v>48334413</v>
      </c>
      <c r="D901" t="s">
        <v>1502</v>
      </c>
      <c r="E901" t="s">
        <v>13</v>
      </c>
      <c r="F901" t="s">
        <v>14</v>
      </c>
      <c r="G901">
        <v>39751583.5</v>
      </c>
      <c r="H901">
        <v>7.1</v>
      </c>
      <c r="I901" t="s">
        <v>31</v>
      </c>
      <c r="J901" t="s">
        <v>19</v>
      </c>
      <c r="K901" t="s">
        <v>37</v>
      </c>
    </row>
    <row r="902" spans="1:12" x14ac:dyDescent="0.25">
      <c r="A902" t="s">
        <v>1230</v>
      </c>
      <c r="B902">
        <v>30</v>
      </c>
      <c r="C902">
        <v>48334413</v>
      </c>
      <c r="D902" t="s">
        <v>1503</v>
      </c>
      <c r="E902" t="s">
        <v>13</v>
      </c>
      <c r="F902" t="s">
        <v>14</v>
      </c>
      <c r="G902">
        <v>39751583.5</v>
      </c>
      <c r="H902">
        <v>5.9</v>
      </c>
      <c r="I902" t="s">
        <v>15</v>
      </c>
    </row>
    <row r="903" spans="1:12" x14ac:dyDescent="0.25">
      <c r="A903" t="s">
        <v>1504</v>
      </c>
      <c r="B903">
        <v>93</v>
      </c>
      <c r="C903">
        <v>48334413</v>
      </c>
      <c r="D903" t="s">
        <v>1505</v>
      </c>
      <c r="E903" t="s">
        <v>13</v>
      </c>
      <c r="F903" t="s">
        <v>82</v>
      </c>
      <c r="G903">
        <v>39751583.5</v>
      </c>
      <c r="H903">
        <v>6.9</v>
      </c>
      <c r="I903" t="s">
        <v>24</v>
      </c>
    </row>
    <row r="904" spans="1:12" x14ac:dyDescent="0.25">
      <c r="A904" t="s">
        <v>1506</v>
      </c>
      <c r="B904">
        <v>14</v>
      </c>
      <c r="C904">
        <v>48334413</v>
      </c>
      <c r="D904" t="s">
        <v>1507</v>
      </c>
      <c r="E904" t="s">
        <v>13</v>
      </c>
      <c r="F904" t="s">
        <v>14</v>
      </c>
      <c r="G904">
        <v>39751583.5</v>
      </c>
      <c r="H904">
        <v>6.2</v>
      </c>
      <c r="I904" t="s">
        <v>22</v>
      </c>
      <c r="J904" t="s">
        <v>37</v>
      </c>
      <c r="K904" t="s">
        <v>86</v>
      </c>
      <c r="L904" t="s">
        <v>24</v>
      </c>
    </row>
    <row r="905" spans="1:12" x14ac:dyDescent="0.25">
      <c r="A905" t="s">
        <v>1508</v>
      </c>
      <c r="B905">
        <v>107</v>
      </c>
      <c r="C905">
        <v>48334413</v>
      </c>
      <c r="D905" t="s">
        <v>1509</v>
      </c>
      <c r="E905" t="s">
        <v>13</v>
      </c>
      <c r="F905" t="s">
        <v>14</v>
      </c>
      <c r="G905">
        <v>39751583.5</v>
      </c>
      <c r="H905">
        <v>8.1</v>
      </c>
      <c r="I905" t="s">
        <v>34</v>
      </c>
      <c r="J905" t="s">
        <v>28</v>
      </c>
      <c r="K905" t="s">
        <v>17</v>
      </c>
      <c r="L905" t="s">
        <v>37</v>
      </c>
    </row>
    <row r="906" spans="1:12" x14ac:dyDescent="0.25">
      <c r="A906" t="s">
        <v>1510</v>
      </c>
      <c r="B906">
        <v>88</v>
      </c>
      <c r="C906">
        <v>48334413</v>
      </c>
      <c r="D906" t="s">
        <v>1511</v>
      </c>
      <c r="E906" t="s">
        <v>13</v>
      </c>
      <c r="F906" t="s">
        <v>14</v>
      </c>
      <c r="G906">
        <v>39751583.5</v>
      </c>
      <c r="H906">
        <v>4</v>
      </c>
      <c r="I906" t="s">
        <v>31</v>
      </c>
      <c r="J906" t="s">
        <v>18</v>
      </c>
      <c r="K906" t="s">
        <v>19</v>
      </c>
    </row>
    <row r="907" spans="1:12" x14ac:dyDescent="0.25">
      <c r="A907" t="s">
        <v>1512</v>
      </c>
      <c r="B907">
        <v>102</v>
      </c>
      <c r="C907">
        <v>48334413</v>
      </c>
      <c r="D907" t="s">
        <v>1513</v>
      </c>
      <c r="E907" t="s">
        <v>473</v>
      </c>
      <c r="F907" t="s">
        <v>295</v>
      </c>
      <c r="G907">
        <v>39751583.5</v>
      </c>
      <c r="H907">
        <v>7.2</v>
      </c>
      <c r="I907" t="s">
        <v>15</v>
      </c>
      <c r="J907" t="s">
        <v>31</v>
      </c>
    </row>
    <row r="908" spans="1:12" x14ac:dyDescent="0.25">
      <c r="A908" t="s">
        <v>1514</v>
      </c>
      <c r="B908">
        <v>87</v>
      </c>
      <c r="C908">
        <v>48334413</v>
      </c>
      <c r="D908" t="s">
        <v>1515</v>
      </c>
      <c r="E908" t="s">
        <v>13</v>
      </c>
      <c r="F908" t="s">
        <v>14</v>
      </c>
      <c r="G908">
        <v>39751583.5</v>
      </c>
      <c r="H908">
        <v>5.4</v>
      </c>
      <c r="I908" t="s">
        <v>15</v>
      </c>
    </row>
    <row r="909" spans="1:12" x14ac:dyDescent="0.25">
      <c r="A909" t="s">
        <v>1516</v>
      </c>
      <c r="B909">
        <v>87</v>
      </c>
      <c r="C909">
        <v>48334413</v>
      </c>
      <c r="D909" t="s">
        <v>1517</v>
      </c>
      <c r="E909" t="s">
        <v>13</v>
      </c>
      <c r="F909" t="s">
        <v>14</v>
      </c>
      <c r="G909">
        <v>39751583.5</v>
      </c>
      <c r="H909">
        <v>5</v>
      </c>
      <c r="I909" t="s">
        <v>31</v>
      </c>
    </row>
    <row r="910" spans="1:12" x14ac:dyDescent="0.25">
      <c r="A910" t="s">
        <v>1518</v>
      </c>
      <c r="B910">
        <v>103</v>
      </c>
      <c r="C910">
        <v>48334413</v>
      </c>
      <c r="D910" t="s">
        <v>1519</v>
      </c>
      <c r="E910" t="s">
        <v>13</v>
      </c>
      <c r="F910" t="s">
        <v>82</v>
      </c>
      <c r="G910">
        <v>39751583.5</v>
      </c>
      <c r="H910">
        <v>7.2</v>
      </c>
      <c r="I910" t="s">
        <v>31</v>
      </c>
      <c r="J910" t="s">
        <v>19</v>
      </c>
    </row>
    <row r="911" spans="1:12" x14ac:dyDescent="0.25">
      <c r="A911" t="s">
        <v>1520</v>
      </c>
      <c r="B911">
        <v>90</v>
      </c>
      <c r="C911">
        <v>48334413</v>
      </c>
      <c r="D911" t="s">
        <v>1521</v>
      </c>
      <c r="E911" t="s">
        <v>13</v>
      </c>
      <c r="F911" t="s">
        <v>14</v>
      </c>
      <c r="G911">
        <v>39751583.5</v>
      </c>
      <c r="H911">
        <v>7.5</v>
      </c>
      <c r="I911" t="s">
        <v>64</v>
      </c>
    </row>
    <row r="912" spans="1:12" x14ac:dyDescent="0.25">
      <c r="A912" t="s">
        <v>1522</v>
      </c>
      <c r="B912">
        <v>122</v>
      </c>
      <c r="C912">
        <v>48334413</v>
      </c>
      <c r="D912" t="s">
        <v>1523</v>
      </c>
      <c r="E912" t="s">
        <v>13</v>
      </c>
      <c r="F912" t="s">
        <v>14</v>
      </c>
      <c r="G912">
        <v>39751583.5</v>
      </c>
      <c r="H912">
        <v>2.2000000000000002</v>
      </c>
      <c r="I912" t="s">
        <v>34</v>
      </c>
      <c r="J912" t="s">
        <v>23</v>
      </c>
      <c r="K912" t="s">
        <v>24</v>
      </c>
    </row>
    <row r="913" spans="1:12" x14ac:dyDescent="0.25">
      <c r="A913" t="s">
        <v>1524</v>
      </c>
      <c r="B913">
        <v>90</v>
      </c>
      <c r="C913">
        <v>48334413</v>
      </c>
      <c r="D913" t="s">
        <v>1525</v>
      </c>
      <c r="E913" t="s">
        <v>13</v>
      </c>
      <c r="F913" t="s">
        <v>14</v>
      </c>
      <c r="G913">
        <v>39751583.5</v>
      </c>
      <c r="H913">
        <v>8.3000000000000007</v>
      </c>
      <c r="I913" t="s">
        <v>15</v>
      </c>
      <c r="J913" t="s">
        <v>23</v>
      </c>
      <c r="K913" t="s">
        <v>24</v>
      </c>
    </row>
    <row r="914" spans="1:12" x14ac:dyDescent="0.25">
      <c r="A914" t="s">
        <v>1526</v>
      </c>
      <c r="B914">
        <v>81</v>
      </c>
      <c r="C914">
        <v>48334413</v>
      </c>
      <c r="D914" t="s">
        <v>1527</v>
      </c>
      <c r="E914" t="s">
        <v>13</v>
      </c>
      <c r="F914" t="s">
        <v>14</v>
      </c>
      <c r="G914">
        <v>39751583.5</v>
      </c>
      <c r="H914">
        <v>4.0999999999999996</v>
      </c>
      <c r="I914" t="s">
        <v>31</v>
      </c>
      <c r="J914" t="s">
        <v>22</v>
      </c>
      <c r="K914" t="s">
        <v>23</v>
      </c>
      <c r="L914" t="s">
        <v>24</v>
      </c>
    </row>
    <row r="915" spans="1:12" x14ac:dyDescent="0.25">
      <c r="A915" t="s">
        <v>1230</v>
      </c>
      <c r="B915">
        <v>60</v>
      </c>
      <c r="C915">
        <v>48334413</v>
      </c>
      <c r="D915" t="s">
        <v>1528</v>
      </c>
      <c r="E915" t="s">
        <v>13</v>
      </c>
      <c r="F915" t="s">
        <v>14</v>
      </c>
      <c r="G915">
        <v>39751583.5</v>
      </c>
      <c r="H915">
        <v>7.7</v>
      </c>
      <c r="I915" t="s">
        <v>31</v>
      </c>
      <c r="J915" t="s">
        <v>17</v>
      </c>
      <c r="K915" t="s">
        <v>37</v>
      </c>
      <c r="L915" t="s">
        <v>24</v>
      </c>
    </row>
    <row r="916" spans="1:12" x14ac:dyDescent="0.25">
      <c r="A916" t="s">
        <v>1230</v>
      </c>
      <c r="B916">
        <v>22</v>
      </c>
      <c r="C916">
        <v>48334413</v>
      </c>
      <c r="D916" t="s">
        <v>1529</v>
      </c>
      <c r="E916" t="s">
        <v>13</v>
      </c>
      <c r="F916" t="s">
        <v>14</v>
      </c>
      <c r="G916">
        <v>39751583.5</v>
      </c>
      <c r="H916">
        <v>8.1999999999999993</v>
      </c>
      <c r="I916" t="s">
        <v>46</v>
      </c>
      <c r="J916" t="s">
        <v>15</v>
      </c>
      <c r="K916" t="s">
        <v>31</v>
      </c>
    </row>
    <row r="917" spans="1:12" x14ac:dyDescent="0.25">
      <c r="A917" t="s">
        <v>1230</v>
      </c>
      <c r="B917">
        <v>43</v>
      </c>
      <c r="C917">
        <v>48334413</v>
      </c>
      <c r="D917" t="s">
        <v>1530</v>
      </c>
      <c r="E917" t="s">
        <v>13</v>
      </c>
      <c r="F917" t="s">
        <v>14</v>
      </c>
      <c r="G917">
        <v>39751583.5</v>
      </c>
      <c r="H917">
        <v>6.7</v>
      </c>
      <c r="I917" t="s">
        <v>34</v>
      </c>
      <c r="J917" t="s">
        <v>28</v>
      </c>
      <c r="K917" t="s">
        <v>31</v>
      </c>
      <c r="L917" t="s">
        <v>37</v>
      </c>
    </row>
    <row r="918" spans="1:12" x14ac:dyDescent="0.25">
      <c r="A918" t="s">
        <v>1531</v>
      </c>
      <c r="B918">
        <v>114</v>
      </c>
      <c r="C918">
        <v>48334413</v>
      </c>
      <c r="D918" t="s">
        <v>1532</v>
      </c>
      <c r="E918" t="s">
        <v>13</v>
      </c>
      <c r="F918" t="s">
        <v>82</v>
      </c>
      <c r="G918">
        <v>39751583.5</v>
      </c>
      <c r="H918">
        <v>5.6</v>
      </c>
      <c r="I918" t="s">
        <v>31</v>
      </c>
    </row>
    <row r="919" spans="1:12" x14ac:dyDescent="0.25">
      <c r="A919" t="s">
        <v>1533</v>
      </c>
      <c r="B919">
        <v>94</v>
      </c>
      <c r="C919">
        <v>48334413</v>
      </c>
      <c r="D919" t="s">
        <v>1534</v>
      </c>
      <c r="E919" t="s">
        <v>13</v>
      </c>
      <c r="F919" t="s">
        <v>14</v>
      </c>
      <c r="G919">
        <v>39751583.5</v>
      </c>
      <c r="H919">
        <v>4.5</v>
      </c>
      <c r="I919" t="s">
        <v>22</v>
      </c>
    </row>
    <row r="920" spans="1:12" x14ac:dyDescent="0.25">
      <c r="A920" t="s">
        <v>1230</v>
      </c>
      <c r="B920">
        <v>58</v>
      </c>
      <c r="C920">
        <v>48334413</v>
      </c>
      <c r="D920" t="s">
        <v>1535</v>
      </c>
      <c r="E920" t="s">
        <v>13</v>
      </c>
      <c r="F920" t="s">
        <v>82</v>
      </c>
      <c r="G920">
        <v>39751583.5</v>
      </c>
      <c r="H920">
        <v>8.5</v>
      </c>
      <c r="I920" t="s">
        <v>38</v>
      </c>
      <c r="J920" t="s">
        <v>31</v>
      </c>
    </row>
    <row r="921" spans="1:12" x14ac:dyDescent="0.25">
      <c r="A921" t="s">
        <v>1536</v>
      </c>
      <c r="B921">
        <v>86</v>
      </c>
      <c r="C921">
        <v>48334413</v>
      </c>
      <c r="D921" t="s">
        <v>1537</v>
      </c>
      <c r="E921" t="s">
        <v>13</v>
      </c>
      <c r="F921" t="s">
        <v>14</v>
      </c>
      <c r="G921">
        <v>39751583.5</v>
      </c>
      <c r="H921">
        <v>6.9</v>
      </c>
      <c r="I921" t="s">
        <v>31</v>
      </c>
    </row>
    <row r="922" spans="1:12" x14ac:dyDescent="0.25">
      <c r="A922" t="s">
        <v>1538</v>
      </c>
      <c r="B922">
        <v>101</v>
      </c>
      <c r="C922">
        <v>48334413</v>
      </c>
      <c r="D922" t="s">
        <v>1539</v>
      </c>
      <c r="E922" t="s">
        <v>13</v>
      </c>
      <c r="F922" t="s">
        <v>82</v>
      </c>
      <c r="G922">
        <v>39751583.5</v>
      </c>
      <c r="H922">
        <v>6.9</v>
      </c>
      <c r="I922" t="s">
        <v>23</v>
      </c>
      <c r="J922" t="s">
        <v>24</v>
      </c>
    </row>
    <row r="923" spans="1:12" x14ac:dyDescent="0.25">
      <c r="A923" t="s">
        <v>1540</v>
      </c>
      <c r="B923">
        <v>93</v>
      </c>
      <c r="C923">
        <v>48334413</v>
      </c>
      <c r="D923" t="s">
        <v>1541</v>
      </c>
      <c r="E923" t="s">
        <v>13</v>
      </c>
      <c r="F923" t="s">
        <v>14</v>
      </c>
      <c r="G923">
        <v>39751583.5</v>
      </c>
      <c r="H923">
        <v>2.5</v>
      </c>
      <c r="I923" t="s">
        <v>31</v>
      </c>
      <c r="J923" t="s">
        <v>59</v>
      </c>
    </row>
    <row r="924" spans="1:12" x14ac:dyDescent="0.25">
      <c r="A924" t="s">
        <v>1542</v>
      </c>
      <c r="B924">
        <v>107</v>
      </c>
      <c r="C924">
        <v>48334413</v>
      </c>
      <c r="D924" t="s">
        <v>1543</v>
      </c>
      <c r="E924" t="s">
        <v>13</v>
      </c>
      <c r="F924" t="s">
        <v>14</v>
      </c>
      <c r="G924">
        <v>39751583.5</v>
      </c>
      <c r="H924">
        <v>7</v>
      </c>
      <c r="I924" t="s">
        <v>34</v>
      </c>
      <c r="J924" t="s">
        <v>31</v>
      </c>
      <c r="K924" t="s">
        <v>17</v>
      </c>
      <c r="L924" t="s">
        <v>37</v>
      </c>
    </row>
    <row r="925" spans="1:12" x14ac:dyDescent="0.25">
      <c r="A925" t="s">
        <v>1544</v>
      </c>
      <c r="B925">
        <v>35</v>
      </c>
      <c r="C925">
        <v>48334413</v>
      </c>
      <c r="D925" t="s">
        <v>1545</v>
      </c>
      <c r="E925" t="s">
        <v>13</v>
      </c>
      <c r="F925" t="s">
        <v>14</v>
      </c>
      <c r="G925">
        <v>39751583.5</v>
      </c>
      <c r="H925">
        <v>6.9</v>
      </c>
      <c r="I925" t="s">
        <v>15</v>
      </c>
      <c r="J925" t="s">
        <v>86</v>
      </c>
    </row>
    <row r="926" spans="1:12" x14ac:dyDescent="0.25">
      <c r="A926" t="s">
        <v>1546</v>
      </c>
      <c r="B926">
        <v>108</v>
      </c>
      <c r="C926">
        <v>48334413</v>
      </c>
      <c r="D926" t="s">
        <v>1547</v>
      </c>
      <c r="E926" t="s">
        <v>13</v>
      </c>
      <c r="F926" t="s">
        <v>14</v>
      </c>
      <c r="G926">
        <v>39751583.5</v>
      </c>
      <c r="H926">
        <v>4.5</v>
      </c>
      <c r="I926" t="s">
        <v>38</v>
      </c>
      <c r="J926" t="s">
        <v>31</v>
      </c>
    </row>
    <row r="927" spans="1:12" x14ac:dyDescent="0.25">
      <c r="A927" t="s">
        <v>1548</v>
      </c>
      <c r="B927">
        <v>89</v>
      </c>
      <c r="C927">
        <v>48334413</v>
      </c>
      <c r="D927" t="s">
        <v>1549</v>
      </c>
      <c r="E927" t="s">
        <v>13</v>
      </c>
      <c r="F927" t="s">
        <v>14</v>
      </c>
      <c r="G927">
        <v>39751583.5</v>
      </c>
      <c r="H927">
        <v>6.8</v>
      </c>
      <c r="I927" t="s">
        <v>15</v>
      </c>
      <c r="J927" t="s">
        <v>22</v>
      </c>
      <c r="K927" t="s">
        <v>23</v>
      </c>
      <c r="L927" t="s">
        <v>24</v>
      </c>
    </row>
    <row r="928" spans="1:12" x14ac:dyDescent="0.25">
      <c r="A928" t="s">
        <v>1550</v>
      </c>
      <c r="B928">
        <v>126</v>
      </c>
      <c r="C928">
        <v>48334413</v>
      </c>
      <c r="D928" t="s">
        <v>1551</v>
      </c>
      <c r="E928" t="s">
        <v>1441</v>
      </c>
      <c r="F928" t="s">
        <v>1442</v>
      </c>
      <c r="G928">
        <v>39751583.5</v>
      </c>
      <c r="H928">
        <v>8.1</v>
      </c>
      <c r="I928" t="s">
        <v>31</v>
      </c>
      <c r="J928" t="s">
        <v>17</v>
      </c>
    </row>
    <row r="929" spans="1:11" x14ac:dyDescent="0.25">
      <c r="A929" t="s">
        <v>1552</v>
      </c>
      <c r="B929">
        <v>93</v>
      </c>
      <c r="C929">
        <v>48334413</v>
      </c>
      <c r="D929" t="s">
        <v>1553</v>
      </c>
      <c r="E929" t="s">
        <v>13</v>
      </c>
      <c r="F929" t="s">
        <v>14</v>
      </c>
      <c r="G929">
        <v>39751583.5</v>
      </c>
      <c r="H929">
        <v>6.3</v>
      </c>
      <c r="I929" t="s">
        <v>31</v>
      </c>
      <c r="J929" t="s">
        <v>37</v>
      </c>
      <c r="K929" t="s">
        <v>24</v>
      </c>
    </row>
    <row r="930" spans="1:11" x14ac:dyDescent="0.25">
      <c r="A930" t="s">
        <v>1554</v>
      </c>
      <c r="B930">
        <v>86</v>
      </c>
      <c r="C930">
        <v>48334413</v>
      </c>
      <c r="D930" t="s">
        <v>1555</v>
      </c>
      <c r="E930" t="s">
        <v>13</v>
      </c>
      <c r="F930" t="s">
        <v>82</v>
      </c>
      <c r="G930">
        <v>39751583.5</v>
      </c>
      <c r="H930">
        <v>5.4</v>
      </c>
      <c r="I930" t="s">
        <v>22</v>
      </c>
    </row>
    <row r="931" spans="1:11" x14ac:dyDescent="0.25">
      <c r="A931" t="s">
        <v>1556</v>
      </c>
      <c r="B931">
        <v>98</v>
      </c>
      <c r="C931">
        <v>48334413</v>
      </c>
      <c r="D931" t="s">
        <v>1557</v>
      </c>
      <c r="E931" t="s">
        <v>13</v>
      </c>
      <c r="F931" t="s">
        <v>14</v>
      </c>
      <c r="G931">
        <v>39751583.5</v>
      </c>
      <c r="H931">
        <v>7.1</v>
      </c>
      <c r="I931" t="s">
        <v>34</v>
      </c>
      <c r="J931" t="s">
        <v>31</v>
      </c>
      <c r="K931" t="s">
        <v>41</v>
      </c>
    </row>
    <row r="932" spans="1:11" x14ac:dyDescent="0.25">
      <c r="A932" t="s">
        <v>1558</v>
      </c>
      <c r="B932">
        <v>68</v>
      </c>
      <c r="C932">
        <v>48334413</v>
      </c>
      <c r="D932" t="s">
        <v>1559</v>
      </c>
      <c r="E932" t="s">
        <v>13</v>
      </c>
      <c r="F932" t="s">
        <v>14</v>
      </c>
      <c r="G932">
        <v>39751583.5</v>
      </c>
      <c r="H932">
        <v>7.1</v>
      </c>
      <c r="I932" t="s">
        <v>38</v>
      </c>
      <c r="J932" t="s">
        <v>31</v>
      </c>
    </row>
    <row r="933" spans="1:11" x14ac:dyDescent="0.25">
      <c r="A933" t="s">
        <v>1560</v>
      </c>
      <c r="B933">
        <v>106</v>
      </c>
      <c r="C933">
        <v>48334413</v>
      </c>
      <c r="D933" t="s">
        <v>1561</v>
      </c>
      <c r="E933" t="s">
        <v>13</v>
      </c>
      <c r="F933" t="s">
        <v>14</v>
      </c>
      <c r="G933">
        <v>39751583.5</v>
      </c>
      <c r="H933">
        <v>6.8</v>
      </c>
      <c r="I933" t="s">
        <v>38</v>
      </c>
      <c r="J933" t="s">
        <v>22</v>
      </c>
      <c r="K933" t="s">
        <v>24</v>
      </c>
    </row>
    <row r="934" spans="1:11" x14ac:dyDescent="0.25">
      <c r="A934" t="s">
        <v>1562</v>
      </c>
      <c r="B934">
        <v>87</v>
      </c>
      <c r="C934">
        <v>48334413</v>
      </c>
      <c r="D934" t="s">
        <v>1563</v>
      </c>
      <c r="E934" t="s">
        <v>13</v>
      </c>
      <c r="F934" t="s">
        <v>14</v>
      </c>
      <c r="G934">
        <v>39751583.5</v>
      </c>
      <c r="H934">
        <v>6.3</v>
      </c>
      <c r="I934" t="s">
        <v>15</v>
      </c>
    </row>
    <row r="935" spans="1:11" x14ac:dyDescent="0.25">
      <c r="A935" t="s">
        <v>1564</v>
      </c>
      <c r="B935">
        <v>83</v>
      </c>
      <c r="C935">
        <v>48334413</v>
      </c>
      <c r="D935" t="s">
        <v>1565</v>
      </c>
      <c r="E935" t="s">
        <v>13</v>
      </c>
      <c r="F935" t="s">
        <v>98</v>
      </c>
      <c r="G935">
        <v>39751583.5</v>
      </c>
      <c r="H935">
        <v>6.7</v>
      </c>
      <c r="I935" t="s">
        <v>38</v>
      </c>
      <c r="J935" t="s">
        <v>31</v>
      </c>
      <c r="K935" t="s">
        <v>24</v>
      </c>
    </row>
    <row r="936" spans="1:11" x14ac:dyDescent="0.25">
      <c r="A936" t="s">
        <v>1566</v>
      </c>
      <c r="B936">
        <v>99</v>
      </c>
      <c r="C936">
        <v>48334413</v>
      </c>
      <c r="D936" t="s">
        <v>1567</v>
      </c>
      <c r="E936" t="s">
        <v>1568</v>
      </c>
      <c r="F936" t="s">
        <v>1569</v>
      </c>
      <c r="G936">
        <v>39751583.5</v>
      </c>
      <c r="H936">
        <v>6.4</v>
      </c>
      <c r="I936" t="s">
        <v>15</v>
      </c>
      <c r="J936" t="s">
        <v>31</v>
      </c>
      <c r="K936" t="s">
        <v>19</v>
      </c>
    </row>
    <row r="937" spans="1:11" x14ac:dyDescent="0.25">
      <c r="A937" t="s">
        <v>1570</v>
      </c>
      <c r="B937">
        <v>107</v>
      </c>
      <c r="C937">
        <v>48334413</v>
      </c>
      <c r="D937" t="s">
        <v>1571</v>
      </c>
      <c r="E937" t="s">
        <v>13</v>
      </c>
      <c r="F937" t="s">
        <v>14</v>
      </c>
      <c r="G937">
        <v>39751583.5</v>
      </c>
      <c r="H937">
        <v>4.7</v>
      </c>
      <c r="I937" t="s">
        <v>15</v>
      </c>
      <c r="J937" t="s">
        <v>31</v>
      </c>
    </row>
    <row r="938" spans="1:11" x14ac:dyDescent="0.25">
      <c r="A938" t="s">
        <v>1572</v>
      </c>
      <c r="B938">
        <v>109</v>
      </c>
      <c r="C938">
        <v>48334413</v>
      </c>
      <c r="D938" t="s">
        <v>1573</v>
      </c>
      <c r="E938" t="s">
        <v>13</v>
      </c>
      <c r="F938" t="s">
        <v>14</v>
      </c>
      <c r="G938">
        <v>39751583.5</v>
      </c>
      <c r="H938">
        <v>6.9</v>
      </c>
      <c r="I938" t="s">
        <v>15</v>
      </c>
    </row>
    <row r="939" spans="1:11" x14ac:dyDescent="0.25">
      <c r="A939" t="s">
        <v>1572</v>
      </c>
      <c r="B939">
        <v>85</v>
      </c>
      <c r="C939">
        <v>48334413</v>
      </c>
      <c r="D939" t="s">
        <v>1574</v>
      </c>
      <c r="E939" t="s">
        <v>13</v>
      </c>
      <c r="F939" t="s">
        <v>14</v>
      </c>
      <c r="G939">
        <v>39751583.5</v>
      </c>
      <c r="H939">
        <v>6.4</v>
      </c>
      <c r="I939" t="s">
        <v>15</v>
      </c>
      <c r="J939" t="s">
        <v>31</v>
      </c>
    </row>
    <row r="940" spans="1:11" x14ac:dyDescent="0.25">
      <c r="A940" t="s">
        <v>1575</v>
      </c>
      <c r="B940">
        <v>80</v>
      </c>
      <c r="C940">
        <v>48334413</v>
      </c>
      <c r="D940" t="s">
        <v>1576</v>
      </c>
      <c r="E940" t="s">
        <v>13</v>
      </c>
      <c r="F940" t="s">
        <v>98</v>
      </c>
      <c r="G940">
        <v>39751583.5</v>
      </c>
      <c r="H940">
        <v>6.3</v>
      </c>
      <c r="I940" t="s">
        <v>34</v>
      </c>
      <c r="J940" t="s">
        <v>38</v>
      </c>
      <c r="K940" t="s">
        <v>24</v>
      </c>
    </row>
    <row r="941" spans="1:11" x14ac:dyDescent="0.25">
      <c r="A941" t="s">
        <v>1577</v>
      </c>
      <c r="B941">
        <v>91</v>
      </c>
      <c r="C941">
        <v>48334413</v>
      </c>
      <c r="D941" t="s">
        <v>1578</v>
      </c>
      <c r="E941" t="s">
        <v>13</v>
      </c>
      <c r="F941" t="s">
        <v>14</v>
      </c>
      <c r="G941">
        <v>39751583.5</v>
      </c>
      <c r="H941">
        <v>4.5999999999999996</v>
      </c>
      <c r="I941" t="s">
        <v>22</v>
      </c>
      <c r="J941" t="s">
        <v>23</v>
      </c>
      <c r="K941" t="s">
        <v>24</v>
      </c>
    </row>
    <row r="942" spans="1:11" x14ac:dyDescent="0.25">
      <c r="A942" t="s">
        <v>1579</v>
      </c>
      <c r="B942">
        <v>84</v>
      </c>
      <c r="C942">
        <v>48334413</v>
      </c>
      <c r="D942" t="s">
        <v>1580</v>
      </c>
      <c r="E942" t="s">
        <v>13</v>
      </c>
      <c r="F942" t="s">
        <v>14</v>
      </c>
      <c r="G942">
        <v>39751583.5</v>
      </c>
      <c r="H942">
        <v>6.1</v>
      </c>
      <c r="I942" t="s">
        <v>31</v>
      </c>
    </row>
    <row r="943" spans="1:11" x14ac:dyDescent="0.25">
      <c r="A943" t="s">
        <v>1581</v>
      </c>
      <c r="B943">
        <v>98</v>
      </c>
      <c r="C943">
        <v>48334413</v>
      </c>
      <c r="D943" t="s">
        <v>1582</v>
      </c>
      <c r="E943" t="s">
        <v>13</v>
      </c>
      <c r="F943" t="s">
        <v>14</v>
      </c>
      <c r="G943">
        <v>39751583.5</v>
      </c>
      <c r="H943">
        <v>6.4</v>
      </c>
      <c r="I943" t="s">
        <v>38</v>
      </c>
      <c r="J943" t="s">
        <v>31</v>
      </c>
    </row>
    <row r="944" spans="1:11" x14ac:dyDescent="0.25">
      <c r="A944" t="s">
        <v>1583</v>
      </c>
      <c r="B944">
        <v>87</v>
      </c>
      <c r="C944">
        <v>48334413</v>
      </c>
      <c r="D944" t="s">
        <v>1584</v>
      </c>
      <c r="E944" t="s">
        <v>13</v>
      </c>
      <c r="F944" t="s">
        <v>98</v>
      </c>
      <c r="G944">
        <v>39751583.5</v>
      </c>
      <c r="H944">
        <v>7.7</v>
      </c>
      <c r="I944" t="s">
        <v>15</v>
      </c>
      <c r="J944" t="s">
        <v>31</v>
      </c>
    </row>
    <row r="945" spans="1:13" x14ac:dyDescent="0.25">
      <c r="A945" t="s">
        <v>1230</v>
      </c>
      <c r="B945">
        <v>43</v>
      </c>
      <c r="C945">
        <v>48334413</v>
      </c>
      <c r="D945" t="s">
        <v>1585</v>
      </c>
      <c r="E945" t="s">
        <v>13</v>
      </c>
      <c r="F945" t="s">
        <v>14</v>
      </c>
      <c r="G945">
        <v>39751583.5</v>
      </c>
      <c r="H945">
        <v>7.5</v>
      </c>
      <c r="I945" t="s">
        <v>38</v>
      </c>
      <c r="J945" t="s">
        <v>31</v>
      </c>
      <c r="K945" t="s">
        <v>23</v>
      </c>
      <c r="L945" t="s">
        <v>24</v>
      </c>
    </row>
    <row r="946" spans="1:13" x14ac:dyDescent="0.25">
      <c r="A946" t="s">
        <v>1586</v>
      </c>
      <c r="B946">
        <v>97</v>
      </c>
      <c r="C946">
        <v>48334413</v>
      </c>
      <c r="D946" t="s">
        <v>1587</v>
      </c>
      <c r="E946" t="s">
        <v>13</v>
      </c>
      <c r="F946" t="s">
        <v>1342</v>
      </c>
      <c r="G946">
        <v>38000000</v>
      </c>
      <c r="H946">
        <v>4.8</v>
      </c>
      <c r="I946" t="s">
        <v>28</v>
      </c>
      <c r="J946" t="s">
        <v>15</v>
      </c>
      <c r="K946" t="s">
        <v>64</v>
      </c>
      <c r="L946" t="s">
        <v>19</v>
      </c>
    </row>
    <row r="947" spans="1:13" x14ac:dyDescent="0.25">
      <c r="A947" t="s">
        <v>1588</v>
      </c>
      <c r="B947">
        <v>156</v>
      </c>
      <c r="C947">
        <v>48334413</v>
      </c>
      <c r="D947" t="s">
        <v>1589</v>
      </c>
      <c r="E947" t="s">
        <v>13</v>
      </c>
      <c r="F947" t="s">
        <v>1590</v>
      </c>
      <c r="G947">
        <v>35000000</v>
      </c>
      <c r="H947">
        <v>8.4</v>
      </c>
      <c r="I947" t="s">
        <v>42</v>
      </c>
      <c r="J947" t="s">
        <v>31</v>
      </c>
      <c r="K947" t="s">
        <v>64</v>
      </c>
      <c r="L947" t="s">
        <v>83</v>
      </c>
    </row>
    <row r="948" spans="1:13" x14ac:dyDescent="0.25">
      <c r="A948" t="s">
        <v>1591</v>
      </c>
      <c r="B948">
        <v>195</v>
      </c>
      <c r="C948">
        <v>48334413</v>
      </c>
      <c r="D948" t="s">
        <v>1592</v>
      </c>
      <c r="E948" t="s">
        <v>13</v>
      </c>
      <c r="F948" t="s">
        <v>14</v>
      </c>
      <c r="G948">
        <v>35000000</v>
      </c>
      <c r="H948">
        <v>7.5</v>
      </c>
      <c r="I948" t="s">
        <v>42</v>
      </c>
      <c r="J948" t="s">
        <v>31</v>
      </c>
      <c r="K948" t="s">
        <v>64</v>
      </c>
      <c r="L948" t="s">
        <v>19</v>
      </c>
    </row>
    <row r="949" spans="1:13" x14ac:dyDescent="0.25">
      <c r="A949" t="s">
        <v>196</v>
      </c>
      <c r="B949">
        <v>142</v>
      </c>
      <c r="C949">
        <v>48334413</v>
      </c>
      <c r="D949" t="s">
        <v>1593</v>
      </c>
      <c r="E949" t="s">
        <v>13</v>
      </c>
      <c r="F949" t="s">
        <v>14</v>
      </c>
      <c r="G949">
        <v>35000000</v>
      </c>
      <c r="H949">
        <v>5.9</v>
      </c>
      <c r="I949" t="s">
        <v>34</v>
      </c>
      <c r="J949" t="s">
        <v>15</v>
      </c>
      <c r="K949" t="s">
        <v>83</v>
      </c>
    </row>
    <row r="950" spans="1:13" x14ac:dyDescent="0.25">
      <c r="A950" t="s">
        <v>1230</v>
      </c>
      <c r="B950">
        <v>45</v>
      </c>
      <c r="C950">
        <v>48334413</v>
      </c>
      <c r="D950" t="s">
        <v>1594</v>
      </c>
      <c r="E950" t="s">
        <v>13</v>
      </c>
      <c r="F950" t="s">
        <v>1213</v>
      </c>
      <c r="G950">
        <v>34000000</v>
      </c>
      <c r="H950">
        <v>8.1</v>
      </c>
      <c r="I950" t="s">
        <v>15</v>
      </c>
      <c r="J950" t="s">
        <v>38</v>
      </c>
      <c r="K950" t="s">
        <v>31</v>
      </c>
    </row>
    <row r="951" spans="1:13" x14ac:dyDescent="0.25">
      <c r="A951" t="s">
        <v>1595</v>
      </c>
      <c r="B951">
        <v>93</v>
      </c>
      <c r="C951">
        <v>48334413</v>
      </c>
      <c r="D951" t="s">
        <v>1596</v>
      </c>
      <c r="E951" t="s">
        <v>13</v>
      </c>
      <c r="F951" t="s">
        <v>295</v>
      </c>
      <c r="G951">
        <v>32000000</v>
      </c>
      <c r="H951">
        <v>5.7</v>
      </c>
      <c r="I951" t="s">
        <v>34</v>
      </c>
      <c r="J951" t="s">
        <v>15</v>
      </c>
      <c r="K951" t="s">
        <v>38</v>
      </c>
      <c r="L951" t="s">
        <v>69</v>
      </c>
    </row>
    <row r="952" spans="1:13" x14ac:dyDescent="0.25">
      <c r="A952" t="s">
        <v>1597</v>
      </c>
      <c r="B952">
        <v>93</v>
      </c>
      <c r="C952">
        <v>48334413</v>
      </c>
      <c r="D952" t="s">
        <v>1598</v>
      </c>
      <c r="E952" t="s">
        <v>13</v>
      </c>
      <c r="F952" t="s">
        <v>14</v>
      </c>
      <c r="G952">
        <v>32000000</v>
      </c>
      <c r="H952">
        <v>5.7</v>
      </c>
      <c r="I952" t="s">
        <v>34</v>
      </c>
      <c r="J952" t="s">
        <v>28</v>
      </c>
      <c r="K952" t="s">
        <v>15</v>
      </c>
      <c r="L952" t="s">
        <v>17</v>
      </c>
      <c r="M952" t="s">
        <v>19</v>
      </c>
    </row>
    <row r="953" spans="1:13" x14ac:dyDescent="0.25">
      <c r="A953" t="s">
        <v>1599</v>
      </c>
      <c r="B953">
        <v>93</v>
      </c>
      <c r="C953">
        <v>48334413</v>
      </c>
      <c r="D953" t="s">
        <v>1600</v>
      </c>
      <c r="E953" t="s">
        <v>13</v>
      </c>
      <c r="F953" t="s">
        <v>45</v>
      </c>
      <c r="G953">
        <v>30000000</v>
      </c>
      <c r="H953">
        <v>5.2</v>
      </c>
      <c r="I953" t="s">
        <v>34</v>
      </c>
      <c r="J953" t="s">
        <v>22</v>
      </c>
      <c r="K953" t="s">
        <v>37</v>
      </c>
    </row>
    <row r="954" spans="1:13" x14ac:dyDescent="0.25">
      <c r="A954" t="s">
        <v>158</v>
      </c>
      <c r="B954">
        <v>92</v>
      </c>
      <c r="C954">
        <v>48334413</v>
      </c>
      <c r="D954" t="s">
        <v>1601</v>
      </c>
      <c r="E954" t="s">
        <v>13</v>
      </c>
      <c r="F954" t="s">
        <v>14</v>
      </c>
      <c r="G954">
        <v>30000000</v>
      </c>
      <c r="H954">
        <v>5.6</v>
      </c>
      <c r="I954" t="s">
        <v>34</v>
      </c>
      <c r="J954" t="s">
        <v>38</v>
      </c>
      <c r="K954" t="s">
        <v>31</v>
      </c>
      <c r="L954" t="s">
        <v>24</v>
      </c>
    </row>
    <row r="955" spans="1:13" x14ac:dyDescent="0.25">
      <c r="A955" t="s">
        <v>1602</v>
      </c>
      <c r="B955">
        <v>118</v>
      </c>
      <c r="C955">
        <v>48334413</v>
      </c>
      <c r="D955" t="s">
        <v>1603</v>
      </c>
      <c r="E955" t="s">
        <v>13</v>
      </c>
      <c r="F955" t="s">
        <v>241</v>
      </c>
      <c r="G955">
        <v>30000000</v>
      </c>
      <c r="H955">
        <v>7.1</v>
      </c>
      <c r="I955" t="s">
        <v>42</v>
      </c>
      <c r="J955" t="s">
        <v>31</v>
      </c>
      <c r="K955" t="s">
        <v>64</v>
      </c>
    </row>
    <row r="956" spans="1:13" x14ac:dyDescent="0.25">
      <c r="A956" t="s">
        <v>1604</v>
      </c>
      <c r="B956">
        <v>103</v>
      </c>
      <c r="C956">
        <v>48334413</v>
      </c>
      <c r="D956" t="s">
        <v>1605</v>
      </c>
      <c r="E956" t="s">
        <v>13</v>
      </c>
      <c r="F956" t="s">
        <v>1606</v>
      </c>
      <c r="G956">
        <v>30000000</v>
      </c>
      <c r="H956">
        <v>5.7</v>
      </c>
      <c r="I956" t="s">
        <v>42</v>
      </c>
      <c r="J956" t="s">
        <v>31</v>
      </c>
      <c r="K956" t="s">
        <v>19</v>
      </c>
    </row>
    <row r="957" spans="1:13" x14ac:dyDescent="0.25">
      <c r="A957" t="s">
        <v>1607</v>
      </c>
      <c r="B957">
        <v>85</v>
      </c>
      <c r="C957">
        <v>48334413</v>
      </c>
      <c r="D957" t="s">
        <v>1608</v>
      </c>
      <c r="E957" t="s">
        <v>1609</v>
      </c>
      <c r="F957" t="s">
        <v>1610</v>
      </c>
      <c r="G957">
        <v>30000000</v>
      </c>
      <c r="H957">
        <v>4.0999999999999996</v>
      </c>
      <c r="I957" t="s">
        <v>28</v>
      </c>
      <c r="J957" t="s">
        <v>46</v>
      </c>
      <c r="K957" t="s">
        <v>17</v>
      </c>
    </row>
    <row r="958" spans="1:13" x14ac:dyDescent="0.25">
      <c r="A958" t="s">
        <v>1611</v>
      </c>
      <c r="B958">
        <v>110</v>
      </c>
      <c r="C958">
        <v>48334413</v>
      </c>
      <c r="D958" t="s">
        <v>1612</v>
      </c>
      <c r="E958" t="s">
        <v>13</v>
      </c>
      <c r="F958" t="s">
        <v>1342</v>
      </c>
      <c r="G958">
        <v>30000000</v>
      </c>
      <c r="H958">
        <v>6.7</v>
      </c>
      <c r="I958" t="s">
        <v>38</v>
      </c>
      <c r="J958" t="s">
        <v>31</v>
      </c>
      <c r="K958" t="s">
        <v>23</v>
      </c>
      <c r="L958" t="s">
        <v>24</v>
      </c>
    </row>
    <row r="959" spans="1:13" x14ac:dyDescent="0.25">
      <c r="A959" t="s">
        <v>1613</v>
      </c>
      <c r="B959">
        <v>115</v>
      </c>
      <c r="C959">
        <v>48334413</v>
      </c>
      <c r="D959" t="s">
        <v>1614</v>
      </c>
      <c r="E959" t="s">
        <v>1226</v>
      </c>
      <c r="F959" t="s">
        <v>27</v>
      </c>
      <c r="G959">
        <v>30000000</v>
      </c>
      <c r="H959">
        <v>6.5</v>
      </c>
      <c r="I959" t="s">
        <v>28</v>
      </c>
      <c r="J959" t="s">
        <v>46</v>
      </c>
      <c r="K959" t="s">
        <v>37</v>
      </c>
    </row>
    <row r="960" spans="1:13" x14ac:dyDescent="0.25">
      <c r="A960" t="s">
        <v>1615</v>
      </c>
      <c r="B960">
        <v>115</v>
      </c>
      <c r="C960">
        <v>48334413</v>
      </c>
      <c r="D960" t="s">
        <v>1616</v>
      </c>
      <c r="E960" t="s">
        <v>1609</v>
      </c>
      <c r="F960" t="s">
        <v>1610</v>
      </c>
      <c r="G960">
        <v>29500000</v>
      </c>
      <c r="H960">
        <v>5.3</v>
      </c>
      <c r="I960" t="s">
        <v>34</v>
      </c>
      <c r="J960" t="s">
        <v>28</v>
      </c>
      <c r="K960" t="s">
        <v>37</v>
      </c>
    </row>
    <row r="961" spans="1:14" x14ac:dyDescent="0.25">
      <c r="A961" t="s">
        <v>467</v>
      </c>
      <c r="B961">
        <v>113</v>
      </c>
      <c r="C961">
        <v>48334413</v>
      </c>
      <c r="D961" t="s">
        <v>1617</v>
      </c>
      <c r="E961" t="s">
        <v>13</v>
      </c>
      <c r="F961" t="s">
        <v>14</v>
      </c>
      <c r="G961">
        <v>29000000</v>
      </c>
      <c r="H961">
        <v>7.1</v>
      </c>
      <c r="I961" t="s">
        <v>42</v>
      </c>
      <c r="J961" t="s">
        <v>15</v>
      </c>
      <c r="K961" t="s">
        <v>38</v>
      </c>
      <c r="L961" t="s">
        <v>31</v>
      </c>
      <c r="M961" t="s">
        <v>19</v>
      </c>
      <c r="N961" t="s">
        <v>24</v>
      </c>
    </row>
    <row r="962" spans="1:14" x14ac:dyDescent="0.25">
      <c r="A962" t="s">
        <v>932</v>
      </c>
      <c r="B962">
        <v>110</v>
      </c>
      <c r="C962">
        <v>48334413</v>
      </c>
      <c r="D962" t="s">
        <v>1618</v>
      </c>
      <c r="E962" t="s">
        <v>13</v>
      </c>
      <c r="F962" t="s">
        <v>82</v>
      </c>
      <c r="G962">
        <v>29000000</v>
      </c>
      <c r="H962">
        <v>7.1</v>
      </c>
      <c r="I962" t="s">
        <v>42</v>
      </c>
      <c r="J962" t="s">
        <v>15</v>
      </c>
      <c r="K962" t="s">
        <v>31</v>
      </c>
      <c r="L962" t="s">
        <v>18</v>
      </c>
      <c r="M962" t="s">
        <v>19</v>
      </c>
    </row>
    <row r="963" spans="1:14" x14ac:dyDescent="0.25">
      <c r="A963" t="s">
        <v>1619</v>
      </c>
      <c r="B963">
        <v>105</v>
      </c>
      <c r="C963">
        <v>48334413</v>
      </c>
      <c r="D963" t="s">
        <v>1620</v>
      </c>
      <c r="E963" t="s">
        <v>13</v>
      </c>
      <c r="F963" t="s">
        <v>14</v>
      </c>
      <c r="G963">
        <v>27220000</v>
      </c>
      <c r="H963">
        <v>6.4</v>
      </c>
      <c r="I963" t="s">
        <v>38</v>
      </c>
      <c r="J963" t="s">
        <v>31</v>
      </c>
      <c r="K963" t="s">
        <v>23</v>
      </c>
      <c r="L963" t="s">
        <v>24</v>
      </c>
    </row>
    <row r="964" spans="1:14" x14ac:dyDescent="0.25">
      <c r="A964" t="s">
        <v>1621</v>
      </c>
      <c r="B964">
        <v>116</v>
      </c>
      <c r="C964">
        <v>48334413</v>
      </c>
      <c r="D964" t="s">
        <v>1622</v>
      </c>
      <c r="E964" t="s">
        <v>13</v>
      </c>
      <c r="F964" t="s">
        <v>82</v>
      </c>
      <c r="G964">
        <v>27000000</v>
      </c>
      <c r="H964">
        <v>6</v>
      </c>
      <c r="I964" t="s">
        <v>34</v>
      </c>
      <c r="J964" t="s">
        <v>28</v>
      </c>
      <c r="K964" t="s">
        <v>17</v>
      </c>
    </row>
    <row r="965" spans="1:14" x14ac:dyDescent="0.25">
      <c r="A965" t="s">
        <v>663</v>
      </c>
      <c r="B965">
        <v>94</v>
      </c>
      <c r="C965">
        <v>48334413</v>
      </c>
      <c r="D965" t="s">
        <v>1623</v>
      </c>
      <c r="E965" t="s">
        <v>13</v>
      </c>
      <c r="F965" t="s">
        <v>1469</v>
      </c>
      <c r="G965">
        <v>27000000</v>
      </c>
      <c r="H965">
        <v>7.4</v>
      </c>
      <c r="I965" t="s">
        <v>28</v>
      </c>
      <c r="J965" t="s">
        <v>31</v>
      </c>
      <c r="K965" t="s">
        <v>16</v>
      </c>
      <c r="L965" t="s">
        <v>17</v>
      </c>
    </row>
    <row r="966" spans="1:14" x14ac:dyDescent="0.25">
      <c r="A966" t="s">
        <v>1144</v>
      </c>
      <c r="B966">
        <v>135</v>
      </c>
      <c r="C966">
        <v>48334413</v>
      </c>
      <c r="D966" t="s">
        <v>1624</v>
      </c>
      <c r="E966" t="s">
        <v>13</v>
      </c>
      <c r="F966" t="s">
        <v>295</v>
      </c>
      <c r="G966">
        <v>27000000</v>
      </c>
      <c r="H966">
        <v>6.6</v>
      </c>
      <c r="I966" t="s">
        <v>31</v>
      </c>
      <c r="J966" t="s">
        <v>59</v>
      </c>
      <c r="K966" t="s">
        <v>19</v>
      </c>
    </row>
    <row r="967" spans="1:14" x14ac:dyDescent="0.25">
      <c r="A967" t="s">
        <v>1625</v>
      </c>
      <c r="B967">
        <v>90</v>
      </c>
      <c r="C967">
        <v>48334413</v>
      </c>
      <c r="D967" t="s">
        <v>1626</v>
      </c>
      <c r="E967" t="s">
        <v>13</v>
      </c>
      <c r="F967" t="s">
        <v>14</v>
      </c>
      <c r="G967">
        <v>27000000</v>
      </c>
      <c r="H967">
        <v>5</v>
      </c>
      <c r="I967" t="s">
        <v>34</v>
      </c>
      <c r="J967" t="s">
        <v>31</v>
      </c>
    </row>
    <row r="968" spans="1:14" x14ac:dyDescent="0.25">
      <c r="A968" t="s">
        <v>1627</v>
      </c>
      <c r="B968">
        <v>100</v>
      </c>
      <c r="C968">
        <v>48334413</v>
      </c>
      <c r="D968" t="s">
        <v>1628</v>
      </c>
      <c r="E968" t="s">
        <v>13</v>
      </c>
      <c r="F968" t="s">
        <v>14</v>
      </c>
      <c r="G968">
        <v>26000000</v>
      </c>
      <c r="H968">
        <v>6.3</v>
      </c>
      <c r="I968" t="s">
        <v>17</v>
      </c>
      <c r="J968" t="s">
        <v>22</v>
      </c>
    </row>
    <row r="969" spans="1:14" x14ac:dyDescent="0.25">
      <c r="A969" t="s">
        <v>229</v>
      </c>
      <c r="B969">
        <v>100</v>
      </c>
      <c r="C969">
        <v>48334413</v>
      </c>
      <c r="D969" t="s">
        <v>1629</v>
      </c>
      <c r="E969" t="s">
        <v>13</v>
      </c>
      <c r="F969" t="s">
        <v>14</v>
      </c>
      <c r="G969">
        <v>26000000</v>
      </c>
      <c r="H969">
        <v>4</v>
      </c>
      <c r="I969" t="s">
        <v>15</v>
      </c>
      <c r="J969" t="s">
        <v>19</v>
      </c>
    </row>
    <row r="970" spans="1:14" x14ac:dyDescent="0.25">
      <c r="A970" t="s">
        <v>1630</v>
      </c>
      <c r="B970">
        <v>107</v>
      </c>
      <c r="C970">
        <v>48334413</v>
      </c>
      <c r="D970" t="s">
        <v>1631</v>
      </c>
      <c r="E970" t="s">
        <v>1609</v>
      </c>
      <c r="F970" t="s">
        <v>1610</v>
      </c>
      <c r="G970">
        <v>26000000</v>
      </c>
      <c r="H970">
        <v>5.4</v>
      </c>
      <c r="I970" t="s">
        <v>28</v>
      </c>
      <c r="J970" t="s">
        <v>17</v>
      </c>
      <c r="K970" t="s">
        <v>23</v>
      </c>
      <c r="L970" t="s">
        <v>24</v>
      </c>
    </row>
    <row r="971" spans="1:14" x14ac:dyDescent="0.25">
      <c r="A971" t="s">
        <v>1632</v>
      </c>
      <c r="B971">
        <v>90</v>
      </c>
      <c r="C971">
        <v>48334413</v>
      </c>
      <c r="D971" t="s">
        <v>1633</v>
      </c>
      <c r="E971" t="s">
        <v>473</v>
      </c>
      <c r="F971" t="s">
        <v>295</v>
      </c>
      <c r="G971">
        <v>25000000</v>
      </c>
      <c r="H971">
        <v>6.8</v>
      </c>
      <c r="I971" t="s">
        <v>28</v>
      </c>
      <c r="J971" t="s">
        <v>46</v>
      </c>
      <c r="K971" t="s">
        <v>15</v>
      </c>
      <c r="L971" t="s">
        <v>17</v>
      </c>
      <c r="M971" t="s">
        <v>18</v>
      </c>
      <c r="N971" t="s">
        <v>19</v>
      </c>
    </row>
    <row r="972" spans="1:14" x14ac:dyDescent="0.25">
      <c r="A972" t="s">
        <v>1634</v>
      </c>
      <c r="B972">
        <v>109</v>
      </c>
      <c r="C972">
        <v>48334413</v>
      </c>
      <c r="D972" t="s">
        <v>1635</v>
      </c>
      <c r="E972" t="s">
        <v>13</v>
      </c>
      <c r="F972" t="s">
        <v>82</v>
      </c>
      <c r="G972">
        <v>25000000</v>
      </c>
      <c r="H972">
        <v>6.7</v>
      </c>
      <c r="I972" t="s">
        <v>28</v>
      </c>
      <c r="J972" t="s">
        <v>16</v>
      </c>
      <c r="K972" t="s">
        <v>17</v>
      </c>
      <c r="L972" t="s">
        <v>22</v>
      </c>
      <c r="M972" t="s">
        <v>23</v>
      </c>
    </row>
    <row r="973" spans="1:14" x14ac:dyDescent="0.25">
      <c r="A973" t="s">
        <v>484</v>
      </c>
      <c r="B973">
        <v>101</v>
      </c>
      <c r="C973">
        <v>48334413</v>
      </c>
      <c r="D973" t="s">
        <v>1636</v>
      </c>
      <c r="E973" t="s">
        <v>13</v>
      </c>
      <c r="F973" t="s">
        <v>82</v>
      </c>
      <c r="G973">
        <v>25000000</v>
      </c>
      <c r="H973">
        <v>6.1</v>
      </c>
      <c r="I973" t="s">
        <v>34</v>
      </c>
      <c r="J973" t="s">
        <v>22</v>
      </c>
      <c r="K973" t="s">
        <v>37</v>
      </c>
      <c r="L973" t="s">
        <v>24</v>
      </c>
    </row>
    <row r="974" spans="1:14" x14ac:dyDescent="0.25">
      <c r="A974" t="s">
        <v>1637</v>
      </c>
      <c r="B974">
        <v>117</v>
      </c>
      <c r="C974">
        <v>48334413</v>
      </c>
      <c r="D974" t="s">
        <v>1638</v>
      </c>
      <c r="E974" t="s">
        <v>13</v>
      </c>
      <c r="F974" t="s">
        <v>82</v>
      </c>
      <c r="G974">
        <v>25000000</v>
      </c>
      <c r="H974">
        <v>4.8</v>
      </c>
      <c r="I974" t="s">
        <v>28</v>
      </c>
      <c r="J974" t="s">
        <v>17</v>
      </c>
    </row>
    <row r="975" spans="1:14" x14ac:dyDescent="0.25">
      <c r="A975" t="s">
        <v>1639</v>
      </c>
      <c r="B975">
        <v>80</v>
      </c>
      <c r="C975">
        <v>48334413</v>
      </c>
      <c r="D975" t="s">
        <v>1640</v>
      </c>
      <c r="E975" t="s">
        <v>13</v>
      </c>
      <c r="F975" t="s">
        <v>295</v>
      </c>
      <c r="G975">
        <v>25000000</v>
      </c>
      <c r="H975">
        <v>7.2</v>
      </c>
      <c r="I975" t="s">
        <v>15</v>
      </c>
      <c r="J975" t="s">
        <v>31</v>
      </c>
    </row>
    <row r="976" spans="1:14" x14ac:dyDescent="0.25">
      <c r="A976" t="s">
        <v>1641</v>
      </c>
      <c r="B976">
        <v>80</v>
      </c>
      <c r="C976">
        <v>48334413</v>
      </c>
      <c r="D976" t="s">
        <v>1642</v>
      </c>
      <c r="E976" t="s">
        <v>13</v>
      </c>
      <c r="F976" t="s">
        <v>295</v>
      </c>
      <c r="G976">
        <v>25000000</v>
      </c>
      <c r="H976">
        <v>2.9</v>
      </c>
      <c r="I976" t="s">
        <v>28</v>
      </c>
      <c r="J976" t="s">
        <v>46</v>
      </c>
      <c r="K976" t="s">
        <v>15</v>
      </c>
    </row>
    <row r="977" spans="1:14" x14ac:dyDescent="0.25">
      <c r="A977" t="s">
        <v>1643</v>
      </c>
      <c r="B977">
        <v>85</v>
      </c>
      <c r="C977">
        <v>48334413</v>
      </c>
      <c r="D977" t="s">
        <v>1644</v>
      </c>
      <c r="E977" t="s">
        <v>1609</v>
      </c>
      <c r="F977" t="s">
        <v>1610</v>
      </c>
      <c r="G977">
        <v>25000000</v>
      </c>
      <c r="H977">
        <v>5.2</v>
      </c>
      <c r="I977" t="s">
        <v>28</v>
      </c>
      <c r="J977" t="s">
        <v>46</v>
      </c>
      <c r="K977" t="s">
        <v>15</v>
      </c>
      <c r="L977" t="s">
        <v>16</v>
      </c>
    </row>
    <row r="978" spans="1:14" x14ac:dyDescent="0.25">
      <c r="A978" t="s">
        <v>1645</v>
      </c>
      <c r="B978">
        <v>121</v>
      </c>
      <c r="C978">
        <v>48334413</v>
      </c>
      <c r="D978" t="s">
        <v>1646</v>
      </c>
      <c r="E978" t="s">
        <v>13</v>
      </c>
      <c r="F978" t="s">
        <v>82</v>
      </c>
      <c r="G978">
        <v>25000000</v>
      </c>
      <c r="H978">
        <v>6.2</v>
      </c>
      <c r="I978" t="s">
        <v>34</v>
      </c>
      <c r="J978" t="s">
        <v>28</v>
      </c>
      <c r="K978" t="s">
        <v>64</v>
      </c>
      <c r="L978" t="s">
        <v>19</v>
      </c>
    </row>
    <row r="979" spans="1:14" x14ac:dyDescent="0.25">
      <c r="A979" t="s">
        <v>1647</v>
      </c>
      <c r="B979">
        <v>134</v>
      </c>
      <c r="C979">
        <v>48334413</v>
      </c>
      <c r="D979" t="s">
        <v>1648</v>
      </c>
      <c r="E979" t="s">
        <v>13</v>
      </c>
      <c r="F979" t="s">
        <v>1342</v>
      </c>
      <c r="G979">
        <v>25000000</v>
      </c>
      <c r="H979">
        <v>7.3</v>
      </c>
      <c r="I979" t="s">
        <v>34</v>
      </c>
      <c r="J979" t="s">
        <v>31</v>
      </c>
      <c r="K979" t="s">
        <v>64</v>
      </c>
      <c r="L979" t="s">
        <v>83</v>
      </c>
    </row>
    <row r="980" spans="1:14" x14ac:dyDescent="0.25">
      <c r="A980" t="s">
        <v>1649</v>
      </c>
      <c r="B980">
        <v>100</v>
      </c>
      <c r="C980">
        <v>48334413</v>
      </c>
      <c r="D980" t="s">
        <v>1650</v>
      </c>
      <c r="E980" t="s">
        <v>13</v>
      </c>
      <c r="F980" t="s">
        <v>14</v>
      </c>
      <c r="G980">
        <v>25000000</v>
      </c>
      <c r="H980">
        <v>4.0999999999999996</v>
      </c>
      <c r="I980" t="s">
        <v>34</v>
      </c>
      <c r="J980" t="s">
        <v>24</v>
      </c>
    </row>
    <row r="981" spans="1:14" x14ac:dyDescent="0.25">
      <c r="A981" t="s">
        <v>1651</v>
      </c>
      <c r="B981">
        <v>102</v>
      </c>
      <c r="C981">
        <v>48334413</v>
      </c>
      <c r="D981" t="s">
        <v>1652</v>
      </c>
      <c r="E981" t="s">
        <v>1300</v>
      </c>
      <c r="F981" t="s">
        <v>1206</v>
      </c>
      <c r="G981">
        <v>25000000</v>
      </c>
      <c r="H981">
        <v>6.2</v>
      </c>
      <c r="I981" t="s">
        <v>34</v>
      </c>
      <c r="J981" t="s">
        <v>31</v>
      </c>
      <c r="K981" t="s">
        <v>64</v>
      </c>
      <c r="L981" t="s">
        <v>83</v>
      </c>
    </row>
    <row r="982" spans="1:14" x14ac:dyDescent="0.25">
      <c r="A982" t="s">
        <v>1653</v>
      </c>
      <c r="B982">
        <v>270</v>
      </c>
      <c r="C982">
        <v>48334413</v>
      </c>
      <c r="D982" t="s">
        <v>1654</v>
      </c>
      <c r="E982" t="s">
        <v>1333</v>
      </c>
      <c r="F982" t="s">
        <v>1334</v>
      </c>
      <c r="G982">
        <v>25000000</v>
      </c>
      <c r="H982">
        <v>6.6</v>
      </c>
      <c r="I982" t="s">
        <v>34</v>
      </c>
      <c r="J982" t="s">
        <v>28</v>
      </c>
      <c r="K982" t="s">
        <v>31</v>
      </c>
      <c r="L982" t="s">
        <v>19</v>
      </c>
      <c r="M982" t="s">
        <v>83</v>
      </c>
    </row>
    <row r="983" spans="1:14" x14ac:dyDescent="0.25">
      <c r="A983" t="s">
        <v>1655</v>
      </c>
      <c r="B983">
        <v>110</v>
      </c>
      <c r="C983">
        <v>48334413</v>
      </c>
      <c r="D983" t="s">
        <v>1656</v>
      </c>
      <c r="E983" t="s">
        <v>13</v>
      </c>
      <c r="F983" t="s">
        <v>295</v>
      </c>
      <c r="G983">
        <v>24000000</v>
      </c>
      <c r="H983">
        <v>2</v>
      </c>
      <c r="I983" t="s">
        <v>31</v>
      </c>
      <c r="J983" t="s">
        <v>64</v>
      </c>
      <c r="K983" t="s">
        <v>41</v>
      </c>
    </row>
    <row r="984" spans="1:14" x14ac:dyDescent="0.25">
      <c r="A984" t="s">
        <v>1657</v>
      </c>
      <c r="B984">
        <v>145</v>
      </c>
      <c r="C984">
        <v>48334413</v>
      </c>
      <c r="D984" t="s">
        <v>1658</v>
      </c>
      <c r="E984" t="s">
        <v>1498</v>
      </c>
      <c r="F984" t="s">
        <v>910</v>
      </c>
      <c r="G984">
        <v>24000000</v>
      </c>
      <c r="H984">
        <v>6.1</v>
      </c>
      <c r="I984" t="s">
        <v>28</v>
      </c>
      <c r="J984" t="s">
        <v>31</v>
      </c>
      <c r="K984" t="s">
        <v>64</v>
      </c>
      <c r="L984" t="s">
        <v>19</v>
      </c>
      <c r="M984" t="s">
        <v>24</v>
      </c>
      <c r="N984" t="s">
        <v>83</v>
      </c>
    </row>
    <row r="985" spans="1:14" x14ac:dyDescent="0.25">
      <c r="A985" t="s">
        <v>1659</v>
      </c>
      <c r="B985">
        <v>107</v>
      </c>
      <c r="C985">
        <v>48334413</v>
      </c>
      <c r="D985" t="s">
        <v>1660</v>
      </c>
      <c r="E985" t="s">
        <v>13</v>
      </c>
      <c r="F985" t="s">
        <v>14</v>
      </c>
      <c r="G985">
        <v>23000000</v>
      </c>
      <c r="H985">
        <v>7.2</v>
      </c>
      <c r="I985" t="s">
        <v>38</v>
      </c>
      <c r="J985" t="s">
        <v>31</v>
      </c>
    </row>
    <row r="986" spans="1:14" x14ac:dyDescent="0.25">
      <c r="A986" t="s">
        <v>1661</v>
      </c>
      <c r="B986">
        <v>139</v>
      </c>
      <c r="C986">
        <v>48334413</v>
      </c>
      <c r="D986" t="s">
        <v>1662</v>
      </c>
      <c r="E986" t="s">
        <v>1300</v>
      </c>
      <c r="F986" t="s">
        <v>1206</v>
      </c>
      <c r="G986">
        <v>23000000</v>
      </c>
      <c r="H986">
        <v>6.9</v>
      </c>
      <c r="I986" t="s">
        <v>34</v>
      </c>
      <c r="J986" t="s">
        <v>31</v>
      </c>
      <c r="K986" t="s">
        <v>64</v>
      </c>
    </row>
    <row r="987" spans="1:14" x14ac:dyDescent="0.25">
      <c r="A987" t="s">
        <v>1129</v>
      </c>
      <c r="B987">
        <v>240</v>
      </c>
      <c r="C987">
        <v>48334413</v>
      </c>
      <c r="D987" t="s">
        <v>1663</v>
      </c>
      <c r="E987" t="s">
        <v>13</v>
      </c>
      <c r="F987" t="s">
        <v>82</v>
      </c>
      <c r="G987">
        <v>22000000</v>
      </c>
      <c r="H987">
        <v>8.1</v>
      </c>
      <c r="I987" t="s">
        <v>42</v>
      </c>
      <c r="J987" t="s">
        <v>31</v>
      </c>
      <c r="K987" t="s">
        <v>64</v>
      </c>
    </row>
    <row r="988" spans="1:14" x14ac:dyDescent="0.25">
      <c r="A988" t="s">
        <v>1664</v>
      </c>
      <c r="B988">
        <v>106</v>
      </c>
      <c r="C988">
        <v>48334413</v>
      </c>
      <c r="D988" t="s">
        <v>1665</v>
      </c>
      <c r="E988" t="s">
        <v>1498</v>
      </c>
      <c r="F988" t="s">
        <v>910</v>
      </c>
      <c r="G988">
        <v>22000000</v>
      </c>
      <c r="H988">
        <v>6.7</v>
      </c>
      <c r="I988" t="s">
        <v>28</v>
      </c>
      <c r="J988" t="s">
        <v>46</v>
      </c>
      <c r="K988" t="s">
        <v>16</v>
      </c>
      <c r="L988" t="s">
        <v>41</v>
      </c>
    </row>
    <row r="989" spans="1:14" x14ac:dyDescent="0.25">
      <c r="A989" t="s">
        <v>1666</v>
      </c>
      <c r="B989">
        <v>97</v>
      </c>
      <c r="C989">
        <v>48334413</v>
      </c>
      <c r="D989" t="s">
        <v>1667</v>
      </c>
      <c r="E989" t="s">
        <v>13</v>
      </c>
      <c r="F989" t="s">
        <v>14</v>
      </c>
      <c r="G989">
        <v>22000000</v>
      </c>
      <c r="H989">
        <v>5.9</v>
      </c>
      <c r="I989" t="s">
        <v>34</v>
      </c>
      <c r="J989" t="s">
        <v>38</v>
      </c>
      <c r="K989" t="s">
        <v>24</v>
      </c>
    </row>
    <row r="990" spans="1:14" x14ac:dyDescent="0.25">
      <c r="A990" t="s">
        <v>1668</v>
      </c>
      <c r="B990">
        <v>111</v>
      </c>
      <c r="C990">
        <v>48334413</v>
      </c>
      <c r="D990" t="s">
        <v>1669</v>
      </c>
      <c r="E990" t="s">
        <v>13</v>
      </c>
      <c r="F990" t="s">
        <v>82</v>
      </c>
      <c r="G990">
        <v>20000000</v>
      </c>
      <c r="H990">
        <v>6.4</v>
      </c>
      <c r="I990" t="s">
        <v>34</v>
      </c>
      <c r="J990" t="s">
        <v>28</v>
      </c>
      <c r="K990" t="s">
        <v>37</v>
      </c>
    </row>
    <row r="991" spans="1:14" x14ac:dyDescent="0.25">
      <c r="A991" t="s">
        <v>1670</v>
      </c>
      <c r="B991">
        <v>98</v>
      </c>
      <c r="C991">
        <v>48334413</v>
      </c>
      <c r="D991" t="s">
        <v>1671</v>
      </c>
      <c r="E991" t="s">
        <v>13</v>
      </c>
      <c r="F991" t="s">
        <v>14</v>
      </c>
      <c r="G991">
        <v>20000000</v>
      </c>
      <c r="H991">
        <v>5.9</v>
      </c>
      <c r="I991" t="s">
        <v>34</v>
      </c>
      <c r="J991" t="s">
        <v>37</v>
      </c>
    </row>
    <row r="992" spans="1:14" x14ac:dyDescent="0.25">
      <c r="A992" t="s">
        <v>1672</v>
      </c>
      <c r="B992">
        <v>158</v>
      </c>
      <c r="C992">
        <v>48334413</v>
      </c>
      <c r="D992" t="s">
        <v>1673</v>
      </c>
      <c r="E992" t="s">
        <v>13</v>
      </c>
      <c r="F992" t="s">
        <v>14</v>
      </c>
      <c r="G992">
        <v>20000000</v>
      </c>
      <c r="H992">
        <v>6.7</v>
      </c>
      <c r="I992" t="s">
        <v>15</v>
      </c>
      <c r="J992" t="s">
        <v>31</v>
      </c>
      <c r="K992" t="s">
        <v>59</v>
      </c>
      <c r="L992" t="s">
        <v>19</v>
      </c>
      <c r="M992" t="s">
        <v>69</v>
      </c>
    </row>
    <row r="993" spans="1:16" x14ac:dyDescent="0.25">
      <c r="A993" t="s">
        <v>495</v>
      </c>
      <c r="B993">
        <v>121</v>
      </c>
      <c r="C993">
        <v>48334413</v>
      </c>
      <c r="D993" t="s">
        <v>1674</v>
      </c>
      <c r="E993" t="s">
        <v>13</v>
      </c>
      <c r="F993" t="s">
        <v>14</v>
      </c>
      <c r="G993">
        <v>20000000</v>
      </c>
      <c r="H993">
        <v>7</v>
      </c>
      <c r="I993" t="s">
        <v>28</v>
      </c>
      <c r="J993" t="s">
        <v>15</v>
      </c>
      <c r="K993" t="s">
        <v>31</v>
      </c>
      <c r="L993" t="s">
        <v>17</v>
      </c>
    </row>
    <row r="994" spans="1:16" x14ac:dyDescent="0.25">
      <c r="A994" t="s">
        <v>1237</v>
      </c>
      <c r="B994">
        <v>154</v>
      </c>
      <c r="C994">
        <v>48334413</v>
      </c>
      <c r="D994" t="s">
        <v>1675</v>
      </c>
      <c r="E994" t="s">
        <v>13</v>
      </c>
      <c r="F994" t="s">
        <v>14</v>
      </c>
      <c r="G994">
        <v>20000000</v>
      </c>
      <c r="H994">
        <v>7</v>
      </c>
      <c r="I994" t="s">
        <v>15</v>
      </c>
      <c r="J994" t="s">
        <v>31</v>
      </c>
      <c r="K994" t="s">
        <v>18</v>
      </c>
      <c r="L994" t="s">
        <v>59</v>
      </c>
      <c r="M994" t="s">
        <v>19</v>
      </c>
    </row>
    <row r="995" spans="1:16" x14ac:dyDescent="0.25">
      <c r="A995" t="s">
        <v>1676</v>
      </c>
      <c r="B995">
        <v>114</v>
      </c>
      <c r="C995">
        <v>48334413</v>
      </c>
      <c r="D995" t="s">
        <v>1677</v>
      </c>
      <c r="E995" t="s">
        <v>13</v>
      </c>
      <c r="F995" t="s">
        <v>98</v>
      </c>
      <c r="G995">
        <v>20000000</v>
      </c>
      <c r="H995">
        <v>6.5</v>
      </c>
      <c r="I995" t="s">
        <v>31</v>
      </c>
      <c r="J995" t="s">
        <v>64</v>
      </c>
      <c r="K995" t="s">
        <v>19</v>
      </c>
      <c r="L995" t="s">
        <v>83</v>
      </c>
    </row>
    <row r="996" spans="1:16" x14ac:dyDescent="0.25">
      <c r="A996" t="s">
        <v>1678</v>
      </c>
      <c r="B996">
        <v>98</v>
      </c>
      <c r="C996">
        <v>48334413</v>
      </c>
      <c r="D996" t="s">
        <v>1679</v>
      </c>
      <c r="E996" t="s">
        <v>13</v>
      </c>
      <c r="F996" t="s">
        <v>82</v>
      </c>
      <c r="G996">
        <v>20000000</v>
      </c>
      <c r="H996">
        <v>6.7</v>
      </c>
      <c r="I996" t="s">
        <v>38</v>
      </c>
      <c r="J996" t="s">
        <v>31</v>
      </c>
      <c r="K996" t="s">
        <v>24</v>
      </c>
    </row>
    <row r="997" spans="1:16" x14ac:dyDescent="0.25">
      <c r="A997" t="s">
        <v>1680</v>
      </c>
      <c r="B997">
        <v>83</v>
      </c>
      <c r="C997">
        <v>48334413</v>
      </c>
      <c r="D997" t="s">
        <v>1681</v>
      </c>
      <c r="E997" t="s">
        <v>13</v>
      </c>
      <c r="F997" t="s">
        <v>1682</v>
      </c>
      <c r="G997">
        <v>20000000</v>
      </c>
      <c r="H997">
        <v>5.8</v>
      </c>
      <c r="I997" t="s">
        <v>28</v>
      </c>
      <c r="J997" t="s">
        <v>46</v>
      </c>
      <c r="K997" t="s">
        <v>15</v>
      </c>
      <c r="L997" t="s">
        <v>16</v>
      </c>
    </row>
    <row r="998" spans="1:16" x14ac:dyDescent="0.25">
      <c r="A998" t="s">
        <v>1683</v>
      </c>
      <c r="B998">
        <v>98</v>
      </c>
      <c r="C998">
        <v>48334413</v>
      </c>
      <c r="D998" t="s">
        <v>1684</v>
      </c>
      <c r="E998" t="s">
        <v>13</v>
      </c>
      <c r="F998" t="s">
        <v>14</v>
      </c>
      <c r="G998">
        <v>20000000</v>
      </c>
      <c r="H998">
        <v>4.8</v>
      </c>
      <c r="I998" t="s">
        <v>46</v>
      </c>
    </row>
    <row r="999" spans="1:16" x14ac:dyDescent="0.25">
      <c r="A999" t="s">
        <v>1685</v>
      </c>
      <c r="B999">
        <v>105</v>
      </c>
      <c r="C999">
        <v>48334413</v>
      </c>
      <c r="D999" t="s">
        <v>1686</v>
      </c>
      <c r="E999" t="s">
        <v>13</v>
      </c>
      <c r="F999" t="s">
        <v>1687</v>
      </c>
      <c r="G999">
        <v>20000000</v>
      </c>
      <c r="H999">
        <v>7.2</v>
      </c>
      <c r="I999" t="s">
        <v>34</v>
      </c>
      <c r="J999" t="s">
        <v>42</v>
      </c>
      <c r="K999" t="s">
        <v>31</v>
      </c>
      <c r="L999" t="s">
        <v>41</v>
      </c>
    </row>
    <row r="1000" spans="1:16" x14ac:dyDescent="0.25">
      <c r="A1000" t="s">
        <v>609</v>
      </c>
      <c r="B1000">
        <v>96</v>
      </c>
      <c r="C1000">
        <v>48334413</v>
      </c>
      <c r="D1000" t="s">
        <v>1688</v>
      </c>
      <c r="E1000" t="s">
        <v>13</v>
      </c>
      <c r="F1000" t="s">
        <v>14</v>
      </c>
      <c r="G1000">
        <v>20000000</v>
      </c>
      <c r="H1000">
        <v>5.6</v>
      </c>
      <c r="I1000" t="s">
        <v>34</v>
      </c>
      <c r="J1000" t="s">
        <v>38</v>
      </c>
      <c r="K1000" t="s">
        <v>24</v>
      </c>
    </row>
    <row r="1001" spans="1:16" x14ac:dyDescent="0.25">
      <c r="A1001" t="s">
        <v>1689</v>
      </c>
      <c r="B1001">
        <v>85</v>
      </c>
      <c r="C1001">
        <v>48334413</v>
      </c>
      <c r="D1001" t="s">
        <v>1690</v>
      </c>
      <c r="E1001" t="s">
        <v>13</v>
      </c>
      <c r="F1001" t="s">
        <v>1682</v>
      </c>
      <c r="G1001">
        <v>20000000</v>
      </c>
      <c r="H1001">
        <v>5.8</v>
      </c>
      <c r="I1001" t="s">
        <v>28</v>
      </c>
      <c r="J1001" t="s">
        <v>46</v>
      </c>
      <c r="K1001" t="s">
        <v>16</v>
      </c>
    </row>
    <row r="1002" spans="1:16" x14ac:dyDescent="0.25">
      <c r="A1002" t="s">
        <v>1691</v>
      </c>
      <c r="B1002">
        <v>111</v>
      </c>
      <c r="C1002">
        <v>48334413</v>
      </c>
      <c r="D1002" t="s">
        <v>1692</v>
      </c>
      <c r="E1002" t="s">
        <v>13</v>
      </c>
      <c r="F1002" t="s">
        <v>14</v>
      </c>
      <c r="G1002">
        <v>19500000</v>
      </c>
      <c r="H1002">
        <v>6.2</v>
      </c>
      <c r="I1002" t="s">
        <v>38</v>
      </c>
      <c r="J1002" t="s">
        <v>31</v>
      </c>
      <c r="K1002" t="s">
        <v>23</v>
      </c>
      <c r="L1002" t="s">
        <v>24</v>
      </c>
      <c r="P1002" t="s">
        <v>24</v>
      </c>
    </row>
    <row r="1003" spans="1:16" x14ac:dyDescent="0.25">
      <c r="A1003" t="s">
        <v>1693</v>
      </c>
      <c r="B1003">
        <v>93</v>
      </c>
      <c r="C1003">
        <v>48334413</v>
      </c>
      <c r="D1003" t="s">
        <v>1694</v>
      </c>
      <c r="E1003" t="s">
        <v>13</v>
      </c>
      <c r="F1003" t="s">
        <v>14</v>
      </c>
      <c r="G1003">
        <v>19000000</v>
      </c>
      <c r="H1003">
        <v>6.1</v>
      </c>
      <c r="I1003" t="s">
        <v>34</v>
      </c>
      <c r="J1003" t="s">
        <v>38</v>
      </c>
      <c r="K1003" t="s">
        <v>24</v>
      </c>
    </row>
    <row r="1004" spans="1:16" x14ac:dyDescent="0.25">
      <c r="A1004" t="s">
        <v>1695</v>
      </c>
      <c r="B1004">
        <v>89</v>
      </c>
      <c r="C1004">
        <v>48334413</v>
      </c>
      <c r="D1004" t="s">
        <v>1696</v>
      </c>
      <c r="E1004" t="s">
        <v>13</v>
      </c>
      <c r="F1004" t="s">
        <v>14</v>
      </c>
      <c r="G1004">
        <v>19000000</v>
      </c>
      <c r="H1004">
        <v>7.5</v>
      </c>
      <c r="I1004" t="s">
        <v>28</v>
      </c>
      <c r="J1004" t="s">
        <v>46</v>
      </c>
      <c r="K1004" t="s">
        <v>15</v>
      </c>
      <c r="L1004" t="s">
        <v>17</v>
      </c>
    </row>
    <row r="1005" spans="1:16" x14ac:dyDescent="0.25">
      <c r="A1005" t="s">
        <v>915</v>
      </c>
      <c r="B1005">
        <v>146</v>
      </c>
      <c r="C1005">
        <v>48334413</v>
      </c>
      <c r="D1005" t="s">
        <v>1697</v>
      </c>
      <c r="E1005" t="s">
        <v>13</v>
      </c>
      <c r="F1005" t="s">
        <v>14</v>
      </c>
      <c r="G1005">
        <v>19000000</v>
      </c>
      <c r="H1005">
        <v>8.4</v>
      </c>
      <c r="I1005" t="s">
        <v>31</v>
      </c>
      <c r="J1005" t="s">
        <v>22</v>
      </c>
    </row>
    <row r="1006" spans="1:16" x14ac:dyDescent="0.25">
      <c r="A1006" t="s">
        <v>1698</v>
      </c>
      <c r="B1006">
        <v>172</v>
      </c>
      <c r="C1006">
        <v>48334413</v>
      </c>
      <c r="D1006" t="s">
        <v>1699</v>
      </c>
      <c r="E1006" t="s">
        <v>13</v>
      </c>
      <c r="F1006" t="s">
        <v>14</v>
      </c>
      <c r="G1006">
        <v>19000000</v>
      </c>
      <c r="H1006">
        <v>6.7</v>
      </c>
      <c r="I1006" t="s">
        <v>31</v>
      </c>
      <c r="J1006" t="s">
        <v>64</v>
      </c>
      <c r="K1006" t="s">
        <v>83</v>
      </c>
    </row>
    <row r="1007" spans="1:16" x14ac:dyDescent="0.25">
      <c r="A1007" t="s">
        <v>1693</v>
      </c>
      <c r="B1007">
        <v>93</v>
      </c>
      <c r="C1007">
        <v>48334413</v>
      </c>
      <c r="D1007" t="s">
        <v>1694</v>
      </c>
      <c r="E1007" t="s">
        <v>13</v>
      </c>
      <c r="F1007" t="s">
        <v>14</v>
      </c>
      <c r="G1007">
        <v>19000000</v>
      </c>
      <c r="H1007">
        <v>6.1</v>
      </c>
      <c r="I1007" t="s">
        <v>34</v>
      </c>
      <c r="J1007" t="s">
        <v>38</v>
      </c>
      <c r="K1007" t="s">
        <v>24</v>
      </c>
    </row>
    <row r="1008" spans="1:16" x14ac:dyDescent="0.25">
      <c r="A1008" t="s">
        <v>688</v>
      </c>
      <c r="B1008">
        <v>122</v>
      </c>
      <c r="C1008">
        <v>48334413</v>
      </c>
      <c r="D1008" t="s">
        <v>1700</v>
      </c>
      <c r="E1008" t="s">
        <v>13</v>
      </c>
      <c r="F1008" t="s">
        <v>14</v>
      </c>
      <c r="G1008">
        <v>18000000</v>
      </c>
      <c r="H1008">
        <v>7.2</v>
      </c>
      <c r="I1008" t="s">
        <v>15</v>
      </c>
      <c r="J1008" t="s">
        <v>31</v>
      </c>
      <c r="K1008" t="s">
        <v>83</v>
      </c>
    </row>
    <row r="1009" spans="1:12" x14ac:dyDescent="0.25">
      <c r="A1009" t="s">
        <v>490</v>
      </c>
      <c r="B1009">
        <v>107</v>
      </c>
      <c r="C1009">
        <v>48334413</v>
      </c>
      <c r="D1009" t="s">
        <v>1701</v>
      </c>
      <c r="E1009" t="s">
        <v>13</v>
      </c>
      <c r="F1009" t="s">
        <v>14</v>
      </c>
      <c r="G1009">
        <v>18000000</v>
      </c>
      <c r="H1009">
        <v>7.4</v>
      </c>
      <c r="I1009" t="s">
        <v>23</v>
      </c>
      <c r="J1009" t="s">
        <v>24</v>
      </c>
    </row>
    <row r="1010" spans="1:12" x14ac:dyDescent="0.25">
      <c r="A1010" t="s">
        <v>1702</v>
      </c>
      <c r="B1010">
        <v>98</v>
      </c>
      <c r="C1010">
        <v>48334413</v>
      </c>
      <c r="D1010" t="s">
        <v>1703</v>
      </c>
      <c r="E1010" t="s">
        <v>13</v>
      </c>
      <c r="F1010" t="s">
        <v>241</v>
      </c>
      <c r="G1010">
        <v>18000000</v>
      </c>
      <c r="H1010">
        <v>5.0999999999999996</v>
      </c>
      <c r="I1010" t="s">
        <v>38</v>
      </c>
      <c r="J1010" t="s">
        <v>31</v>
      </c>
      <c r="K1010" t="s">
        <v>24</v>
      </c>
    </row>
    <row r="1011" spans="1:12" x14ac:dyDescent="0.25">
      <c r="A1011" t="s">
        <v>1704</v>
      </c>
      <c r="B1011">
        <v>114</v>
      </c>
      <c r="C1011">
        <v>48334413</v>
      </c>
      <c r="D1011" t="s">
        <v>1705</v>
      </c>
      <c r="E1011" t="s">
        <v>13</v>
      </c>
      <c r="F1011" t="s">
        <v>295</v>
      </c>
      <c r="G1011">
        <v>18000000</v>
      </c>
      <c r="H1011">
        <v>5.5</v>
      </c>
      <c r="I1011" t="s">
        <v>24</v>
      </c>
    </row>
    <row r="1012" spans="1:12" x14ac:dyDescent="0.25">
      <c r="A1012" t="s">
        <v>287</v>
      </c>
      <c r="B1012">
        <v>92</v>
      </c>
      <c r="C1012">
        <v>48334413</v>
      </c>
      <c r="D1012" t="s">
        <v>1706</v>
      </c>
      <c r="E1012" t="s">
        <v>13</v>
      </c>
      <c r="F1012" t="s">
        <v>14</v>
      </c>
      <c r="G1012">
        <v>18000000</v>
      </c>
      <c r="H1012">
        <v>5.2</v>
      </c>
      <c r="I1012" t="s">
        <v>34</v>
      </c>
      <c r="J1012" t="s">
        <v>38</v>
      </c>
      <c r="K1012" t="s">
        <v>31</v>
      </c>
      <c r="L1012" t="s">
        <v>24</v>
      </c>
    </row>
    <row r="1013" spans="1:12" x14ac:dyDescent="0.25">
      <c r="A1013" t="s">
        <v>1707</v>
      </c>
      <c r="B1013">
        <v>91</v>
      </c>
      <c r="C1013">
        <v>48334413</v>
      </c>
      <c r="D1013" t="s">
        <v>1708</v>
      </c>
      <c r="E1013" t="s">
        <v>13</v>
      </c>
      <c r="F1013" t="s">
        <v>295</v>
      </c>
      <c r="G1013">
        <v>18000000</v>
      </c>
      <c r="H1013">
        <v>5.3</v>
      </c>
      <c r="I1013" t="s">
        <v>34</v>
      </c>
      <c r="J1013" t="s">
        <v>22</v>
      </c>
    </row>
    <row r="1014" spans="1:12" x14ac:dyDescent="0.25">
      <c r="A1014" t="s">
        <v>1709</v>
      </c>
      <c r="B1014">
        <v>93</v>
      </c>
      <c r="C1014">
        <v>48334413</v>
      </c>
      <c r="D1014" t="s">
        <v>1710</v>
      </c>
      <c r="E1014" t="s">
        <v>13</v>
      </c>
      <c r="F1014" t="s">
        <v>14</v>
      </c>
      <c r="G1014">
        <v>18000000</v>
      </c>
      <c r="H1014">
        <v>4.5999999999999996</v>
      </c>
      <c r="I1014" t="s">
        <v>34</v>
      </c>
      <c r="J1014" t="s">
        <v>24</v>
      </c>
    </row>
    <row r="1015" spans="1:12" x14ac:dyDescent="0.25">
      <c r="A1015" t="s">
        <v>1711</v>
      </c>
      <c r="B1015">
        <v>93</v>
      </c>
      <c r="C1015">
        <v>48334413</v>
      </c>
      <c r="D1015" t="s">
        <v>1712</v>
      </c>
      <c r="E1015" t="s">
        <v>13</v>
      </c>
      <c r="F1015" t="s">
        <v>14</v>
      </c>
      <c r="G1015">
        <v>18000000</v>
      </c>
      <c r="H1015">
        <v>6.1</v>
      </c>
      <c r="I1015" t="s">
        <v>17</v>
      </c>
      <c r="J1015" t="s">
        <v>22</v>
      </c>
      <c r="K1015" t="s">
        <v>24</v>
      </c>
    </row>
    <row r="1016" spans="1:12" x14ac:dyDescent="0.25">
      <c r="A1016" t="s">
        <v>1713</v>
      </c>
      <c r="B1016">
        <v>89</v>
      </c>
      <c r="C1016">
        <v>48334413</v>
      </c>
      <c r="D1016" t="s">
        <v>1714</v>
      </c>
      <c r="E1016" t="s">
        <v>13</v>
      </c>
      <c r="F1016" t="s">
        <v>1715</v>
      </c>
      <c r="G1016">
        <v>17900000</v>
      </c>
      <c r="H1016">
        <v>5</v>
      </c>
      <c r="I1016" t="s">
        <v>34</v>
      </c>
      <c r="J1016" t="s">
        <v>28</v>
      </c>
      <c r="K1016" t="s">
        <v>17</v>
      </c>
    </row>
    <row r="1017" spans="1:12" x14ac:dyDescent="0.25">
      <c r="A1017" t="s">
        <v>1716</v>
      </c>
      <c r="B1017">
        <v>104</v>
      </c>
      <c r="C1017">
        <v>48334413</v>
      </c>
      <c r="D1017" t="s">
        <v>1717</v>
      </c>
      <c r="E1017" t="s">
        <v>473</v>
      </c>
      <c r="F1017" t="s">
        <v>295</v>
      </c>
      <c r="G1017">
        <v>17000000</v>
      </c>
      <c r="H1017">
        <v>6.3</v>
      </c>
      <c r="I1017" t="s">
        <v>15</v>
      </c>
      <c r="J1017" t="s">
        <v>19</v>
      </c>
    </row>
    <row r="1018" spans="1:12" x14ac:dyDescent="0.25">
      <c r="A1018" t="s">
        <v>1718</v>
      </c>
      <c r="B1018">
        <v>91</v>
      </c>
      <c r="C1018">
        <v>48334413</v>
      </c>
      <c r="D1018" t="s">
        <v>1719</v>
      </c>
      <c r="E1018" t="s">
        <v>13</v>
      </c>
      <c r="F1018" t="s">
        <v>14</v>
      </c>
      <c r="G1018">
        <v>17000000</v>
      </c>
      <c r="H1018">
        <v>5.2</v>
      </c>
      <c r="I1018" t="s">
        <v>37</v>
      </c>
    </row>
    <row r="1019" spans="1:12" x14ac:dyDescent="0.25">
      <c r="A1019" t="s">
        <v>1720</v>
      </c>
      <c r="B1019">
        <v>98</v>
      </c>
      <c r="C1019">
        <v>48334413</v>
      </c>
      <c r="D1019" t="s">
        <v>1721</v>
      </c>
      <c r="E1019" t="s">
        <v>473</v>
      </c>
      <c r="F1019" t="s">
        <v>295</v>
      </c>
      <c r="G1019">
        <v>17000000</v>
      </c>
      <c r="H1019">
        <v>6.5</v>
      </c>
      <c r="I1019" t="s">
        <v>15</v>
      </c>
      <c r="J1019" t="s">
        <v>31</v>
      </c>
      <c r="K1019" t="s">
        <v>24</v>
      </c>
    </row>
    <row r="1020" spans="1:12" x14ac:dyDescent="0.25">
      <c r="A1020" t="s">
        <v>1722</v>
      </c>
      <c r="B1020">
        <v>90</v>
      </c>
      <c r="C1020">
        <v>48334413</v>
      </c>
      <c r="D1020" t="s">
        <v>1723</v>
      </c>
      <c r="E1020" t="s">
        <v>13</v>
      </c>
      <c r="F1020" t="s">
        <v>14</v>
      </c>
      <c r="G1020">
        <v>17000000</v>
      </c>
      <c r="H1020">
        <v>9.1</v>
      </c>
      <c r="I1020" t="s">
        <v>34</v>
      </c>
    </row>
    <row r="1021" spans="1:12" x14ac:dyDescent="0.25">
      <c r="A1021" t="s">
        <v>1724</v>
      </c>
      <c r="B1021">
        <v>114</v>
      </c>
      <c r="C1021">
        <v>48334413</v>
      </c>
      <c r="D1021" t="s">
        <v>1725</v>
      </c>
      <c r="E1021" t="s">
        <v>13</v>
      </c>
      <c r="F1021" t="s">
        <v>14</v>
      </c>
      <c r="G1021">
        <v>16900000</v>
      </c>
      <c r="H1021">
        <v>6.4</v>
      </c>
      <c r="I1021" t="s">
        <v>34</v>
      </c>
      <c r="J1021" t="s">
        <v>31</v>
      </c>
      <c r="K1021" t="s">
        <v>83</v>
      </c>
    </row>
    <row r="1022" spans="1:12" x14ac:dyDescent="0.25">
      <c r="A1022" t="s">
        <v>1726</v>
      </c>
      <c r="B1022">
        <v>108</v>
      </c>
      <c r="C1022">
        <v>48334413</v>
      </c>
      <c r="D1022" t="s">
        <v>1727</v>
      </c>
      <c r="E1022" t="s">
        <v>13</v>
      </c>
      <c r="F1022" t="s">
        <v>14</v>
      </c>
      <c r="G1022">
        <v>16000000</v>
      </c>
      <c r="H1022">
        <v>4.9000000000000004</v>
      </c>
      <c r="I1022" t="s">
        <v>34</v>
      </c>
      <c r="J1022" t="s">
        <v>31</v>
      </c>
      <c r="K1022" t="s">
        <v>37</v>
      </c>
      <c r="L1022" t="s">
        <v>24</v>
      </c>
    </row>
    <row r="1023" spans="1:12" x14ac:dyDescent="0.25">
      <c r="A1023" t="s">
        <v>435</v>
      </c>
      <c r="B1023">
        <v>93</v>
      </c>
      <c r="C1023">
        <v>48334413</v>
      </c>
      <c r="D1023" t="s">
        <v>1728</v>
      </c>
      <c r="E1023" t="s">
        <v>13</v>
      </c>
      <c r="F1023" t="s">
        <v>14</v>
      </c>
      <c r="G1023">
        <v>16000000</v>
      </c>
      <c r="H1023">
        <v>8.1</v>
      </c>
      <c r="I1023" t="s">
        <v>31</v>
      </c>
      <c r="J1023" t="s">
        <v>16</v>
      </c>
    </row>
    <row r="1024" spans="1:12" x14ac:dyDescent="0.25">
      <c r="A1024" t="s">
        <v>1729</v>
      </c>
      <c r="B1024">
        <v>110</v>
      </c>
      <c r="C1024">
        <v>48334413</v>
      </c>
      <c r="D1024" t="s">
        <v>1730</v>
      </c>
      <c r="E1024" t="s">
        <v>13</v>
      </c>
      <c r="F1024" t="s">
        <v>295</v>
      </c>
      <c r="G1024">
        <v>16000000</v>
      </c>
      <c r="H1024">
        <v>6.7</v>
      </c>
      <c r="I1024" t="s">
        <v>38</v>
      </c>
      <c r="J1024" t="s">
        <v>31</v>
      </c>
      <c r="K1024" t="s">
        <v>24</v>
      </c>
    </row>
    <row r="1025" spans="1:14" x14ac:dyDescent="0.25">
      <c r="A1025" t="s">
        <v>1731</v>
      </c>
      <c r="B1025">
        <v>93</v>
      </c>
      <c r="C1025">
        <v>48334413</v>
      </c>
      <c r="D1025" t="s">
        <v>1732</v>
      </c>
      <c r="E1025" t="s">
        <v>1226</v>
      </c>
      <c r="F1025" t="s">
        <v>27</v>
      </c>
      <c r="G1025">
        <v>16000000</v>
      </c>
      <c r="H1025">
        <v>5.6</v>
      </c>
      <c r="I1025" t="s">
        <v>34</v>
      </c>
      <c r="J1025" t="s">
        <v>28</v>
      </c>
      <c r="K1025" t="s">
        <v>46</v>
      </c>
      <c r="L1025" t="s">
        <v>16</v>
      </c>
      <c r="M1025" t="s">
        <v>17</v>
      </c>
      <c r="N1025" t="s">
        <v>37</v>
      </c>
    </row>
    <row r="1026" spans="1:14" x14ac:dyDescent="0.25">
      <c r="A1026" t="s">
        <v>1733</v>
      </c>
      <c r="B1026">
        <v>183</v>
      </c>
      <c r="C1026">
        <v>48334413</v>
      </c>
      <c r="D1026" t="s">
        <v>1734</v>
      </c>
      <c r="E1026" t="s">
        <v>13</v>
      </c>
      <c r="F1026" t="s">
        <v>82</v>
      </c>
      <c r="G1026">
        <v>15000000</v>
      </c>
      <c r="H1026">
        <v>8.1999999999999993</v>
      </c>
      <c r="I1026" t="s">
        <v>31</v>
      </c>
      <c r="J1026" t="s">
        <v>83</v>
      </c>
    </row>
    <row r="1027" spans="1:14" x14ac:dyDescent="0.25">
      <c r="A1027" t="s">
        <v>1735</v>
      </c>
      <c r="B1027">
        <v>104</v>
      </c>
      <c r="C1027">
        <v>48334413</v>
      </c>
      <c r="D1027" t="s">
        <v>1736</v>
      </c>
      <c r="E1027" t="s">
        <v>13</v>
      </c>
      <c r="F1027" t="s">
        <v>1682</v>
      </c>
      <c r="G1027">
        <v>15000000</v>
      </c>
      <c r="H1027">
        <v>6</v>
      </c>
      <c r="I1027" t="s">
        <v>42</v>
      </c>
      <c r="J1027" t="s">
        <v>31</v>
      </c>
      <c r="K1027" t="s">
        <v>64</v>
      </c>
    </row>
    <row r="1028" spans="1:14" x14ac:dyDescent="0.25">
      <c r="A1028" t="s">
        <v>1737</v>
      </c>
      <c r="B1028">
        <v>105</v>
      </c>
      <c r="C1028">
        <v>48334413</v>
      </c>
      <c r="D1028" t="s">
        <v>1738</v>
      </c>
      <c r="E1028" t="s">
        <v>13</v>
      </c>
      <c r="F1028" t="s">
        <v>241</v>
      </c>
      <c r="G1028">
        <v>15000000</v>
      </c>
      <c r="H1028">
        <v>4.9000000000000004</v>
      </c>
      <c r="I1028" t="s">
        <v>34</v>
      </c>
      <c r="J1028" t="s">
        <v>28</v>
      </c>
      <c r="K1028" t="s">
        <v>17</v>
      </c>
    </row>
    <row r="1029" spans="1:14" x14ac:dyDescent="0.25">
      <c r="A1029" t="s">
        <v>1739</v>
      </c>
      <c r="B1029">
        <v>98</v>
      </c>
      <c r="C1029">
        <v>48334413</v>
      </c>
      <c r="D1029" t="s">
        <v>1740</v>
      </c>
      <c r="E1029" t="s">
        <v>1498</v>
      </c>
      <c r="F1029" t="s">
        <v>1342</v>
      </c>
      <c r="G1029">
        <v>15000000</v>
      </c>
      <c r="H1029">
        <v>5.7</v>
      </c>
      <c r="I1029" t="s">
        <v>42</v>
      </c>
    </row>
    <row r="1030" spans="1:14" x14ac:dyDescent="0.25">
      <c r="A1030" t="s">
        <v>1741</v>
      </c>
      <c r="B1030">
        <v>119</v>
      </c>
      <c r="C1030">
        <v>48334413</v>
      </c>
      <c r="D1030" t="s">
        <v>1742</v>
      </c>
      <c r="E1030" t="s">
        <v>1300</v>
      </c>
      <c r="F1030" t="s">
        <v>1007</v>
      </c>
      <c r="G1030">
        <v>15000000</v>
      </c>
      <c r="H1030">
        <v>7.1</v>
      </c>
      <c r="I1030" t="s">
        <v>34</v>
      </c>
      <c r="J1030" t="s">
        <v>38</v>
      </c>
      <c r="K1030" t="s">
        <v>31</v>
      </c>
      <c r="L1030" t="s">
        <v>24</v>
      </c>
    </row>
    <row r="1031" spans="1:14" x14ac:dyDescent="0.25">
      <c r="A1031" t="s">
        <v>1743</v>
      </c>
      <c r="B1031">
        <v>124</v>
      </c>
      <c r="C1031">
        <v>48334413</v>
      </c>
      <c r="D1031" t="s">
        <v>1744</v>
      </c>
      <c r="E1031" t="s">
        <v>13</v>
      </c>
      <c r="F1031" t="s">
        <v>82</v>
      </c>
      <c r="G1031">
        <v>15000000</v>
      </c>
      <c r="H1031">
        <v>6.6</v>
      </c>
      <c r="I1031" t="s">
        <v>42</v>
      </c>
      <c r="J1031" t="s">
        <v>31</v>
      </c>
    </row>
    <row r="1032" spans="1:14" x14ac:dyDescent="0.25">
      <c r="A1032" t="s">
        <v>1745</v>
      </c>
      <c r="B1032">
        <v>101</v>
      </c>
      <c r="C1032">
        <v>48334413</v>
      </c>
      <c r="D1032" t="s">
        <v>1746</v>
      </c>
      <c r="E1032" t="s">
        <v>13</v>
      </c>
      <c r="F1032" t="s">
        <v>14</v>
      </c>
      <c r="G1032">
        <v>15000000</v>
      </c>
      <c r="H1032">
        <v>5.7</v>
      </c>
      <c r="I1032" t="s">
        <v>34</v>
      </c>
      <c r="J1032" t="s">
        <v>38</v>
      </c>
      <c r="K1032" t="s">
        <v>31</v>
      </c>
      <c r="L1032" t="s">
        <v>23</v>
      </c>
      <c r="M1032" t="s">
        <v>24</v>
      </c>
    </row>
    <row r="1033" spans="1:14" x14ac:dyDescent="0.25">
      <c r="A1033" t="s">
        <v>1230</v>
      </c>
      <c r="B1033">
        <v>197</v>
      </c>
      <c r="C1033">
        <v>48334413</v>
      </c>
      <c r="D1033" t="s">
        <v>1747</v>
      </c>
      <c r="E1033" t="s">
        <v>13</v>
      </c>
      <c r="F1033" t="s">
        <v>45</v>
      </c>
      <c r="G1033">
        <v>15000000</v>
      </c>
      <c r="H1033">
        <v>7.4</v>
      </c>
      <c r="I1033" t="s">
        <v>31</v>
      </c>
      <c r="J1033" t="s">
        <v>83</v>
      </c>
    </row>
    <row r="1034" spans="1:14" x14ac:dyDescent="0.25">
      <c r="A1034" t="s">
        <v>1748</v>
      </c>
      <c r="B1034">
        <v>99</v>
      </c>
      <c r="C1034">
        <v>48334413</v>
      </c>
      <c r="D1034" t="s">
        <v>1749</v>
      </c>
      <c r="E1034" t="s">
        <v>1300</v>
      </c>
      <c r="F1034" t="s">
        <v>1206</v>
      </c>
      <c r="G1034">
        <v>15000000</v>
      </c>
      <c r="H1034">
        <v>7.4</v>
      </c>
      <c r="I1034" t="s">
        <v>34</v>
      </c>
      <c r="J1034" t="s">
        <v>28</v>
      </c>
      <c r="K1034" t="s">
        <v>15</v>
      </c>
    </row>
    <row r="1035" spans="1:14" x14ac:dyDescent="0.25">
      <c r="A1035" t="s">
        <v>1750</v>
      </c>
      <c r="B1035">
        <v>87</v>
      </c>
      <c r="C1035">
        <v>48334413</v>
      </c>
      <c r="D1035" t="s">
        <v>1751</v>
      </c>
      <c r="E1035" t="s">
        <v>13</v>
      </c>
      <c r="F1035" t="s">
        <v>14</v>
      </c>
      <c r="G1035">
        <v>15000000</v>
      </c>
      <c r="H1035">
        <v>3.7</v>
      </c>
      <c r="I1035" t="s">
        <v>46</v>
      </c>
    </row>
    <row r="1036" spans="1:14" x14ac:dyDescent="0.25">
      <c r="A1036" t="s">
        <v>1752</v>
      </c>
      <c r="B1036">
        <v>94</v>
      </c>
      <c r="C1036">
        <v>48334413</v>
      </c>
      <c r="D1036" t="s">
        <v>1753</v>
      </c>
      <c r="E1036" t="s">
        <v>13</v>
      </c>
      <c r="F1036" t="s">
        <v>14</v>
      </c>
      <c r="G1036">
        <v>14500000</v>
      </c>
      <c r="H1036">
        <v>6.2</v>
      </c>
      <c r="I1036" t="s">
        <v>31</v>
      </c>
      <c r="J1036" t="s">
        <v>16</v>
      </c>
      <c r="K1036" t="s">
        <v>18</v>
      </c>
    </row>
    <row r="1037" spans="1:14" x14ac:dyDescent="0.25">
      <c r="A1037" t="s">
        <v>1754</v>
      </c>
      <c r="B1037">
        <v>93</v>
      </c>
      <c r="C1037">
        <v>48334413</v>
      </c>
      <c r="D1037" t="s">
        <v>1755</v>
      </c>
      <c r="E1037" t="s">
        <v>13</v>
      </c>
      <c r="F1037" t="s">
        <v>14</v>
      </c>
      <c r="G1037">
        <v>14000000</v>
      </c>
      <c r="H1037">
        <v>7.7</v>
      </c>
      <c r="I1037" t="s">
        <v>34</v>
      </c>
      <c r="J1037" t="s">
        <v>28</v>
      </c>
      <c r="K1037" t="s">
        <v>31</v>
      </c>
    </row>
    <row r="1038" spans="1:14" x14ac:dyDescent="0.25">
      <c r="A1038" t="s">
        <v>1756</v>
      </c>
      <c r="B1038">
        <v>114</v>
      </c>
      <c r="C1038">
        <v>48334413</v>
      </c>
      <c r="D1038" t="s">
        <v>1757</v>
      </c>
      <c r="E1038" t="s">
        <v>13</v>
      </c>
      <c r="F1038" t="s">
        <v>910</v>
      </c>
      <c r="G1038">
        <v>14000000</v>
      </c>
      <c r="H1038">
        <v>6.2</v>
      </c>
      <c r="I1038" t="s">
        <v>31</v>
      </c>
      <c r="J1038" t="s">
        <v>22</v>
      </c>
      <c r="K1038" t="s">
        <v>23</v>
      </c>
      <c r="L1038" t="s">
        <v>24</v>
      </c>
    </row>
    <row r="1039" spans="1:14" x14ac:dyDescent="0.25">
      <c r="A1039" t="s">
        <v>1754</v>
      </c>
      <c r="B1039">
        <v>93</v>
      </c>
      <c r="C1039">
        <v>48334413</v>
      </c>
      <c r="D1039" t="s">
        <v>1755</v>
      </c>
      <c r="E1039" t="s">
        <v>13</v>
      </c>
      <c r="F1039" t="s">
        <v>14</v>
      </c>
      <c r="G1039">
        <v>14000000</v>
      </c>
      <c r="H1039">
        <v>7.7</v>
      </c>
      <c r="I1039" t="s">
        <v>34</v>
      </c>
      <c r="J1039" t="s">
        <v>28</v>
      </c>
      <c r="K1039" t="s">
        <v>31</v>
      </c>
    </row>
    <row r="1040" spans="1:14" x14ac:dyDescent="0.25">
      <c r="A1040" t="s">
        <v>1758</v>
      </c>
      <c r="B1040">
        <v>118</v>
      </c>
      <c r="C1040">
        <v>48334413</v>
      </c>
      <c r="D1040" t="s">
        <v>1759</v>
      </c>
      <c r="E1040" t="s">
        <v>13</v>
      </c>
      <c r="F1040" t="s">
        <v>14</v>
      </c>
      <c r="G1040">
        <v>14000000</v>
      </c>
      <c r="H1040">
        <v>3.7</v>
      </c>
      <c r="I1040" t="s">
        <v>22</v>
      </c>
    </row>
    <row r="1041" spans="1:12" x14ac:dyDescent="0.25">
      <c r="A1041" t="s">
        <v>452</v>
      </c>
      <c r="B1041">
        <v>136</v>
      </c>
      <c r="C1041">
        <v>48334413</v>
      </c>
      <c r="D1041" t="s">
        <v>1760</v>
      </c>
      <c r="E1041" t="s">
        <v>13</v>
      </c>
      <c r="F1041" t="s">
        <v>14</v>
      </c>
      <c r="G1041">
        <v>14000000</v>
      </c>
      <c r="H1041">
        <v>6.7</v>
      </c>
      <c r="I1041" t="s">
        <v>31</v>
      </c>
      <c r="J1041" t="s">
        <v>18</v>
      </c>
      <c r="K1041" t="s">
        <v>59</v>
      </c>
      <c r="L1041" t="s">
        <v>19</v>
      </c>
    </row>
    <row r="1042" spans="1:12" x14ac:dyDescent="0.25">
      <c r="A1042" t="s">
        <v>1761</v>
      </c>
      <c r="B1042">
        <v>97</v>
      </c>
      <c r="C1042">
        <v>48334413</v>
      </c>
      <c r="D1042" t="s">
        <v>1762</v>
      </c>
      <c r="E1042" t="s">
        <v>13</v>
      </c>
      <c r="F1042" t="s">
        <v>14</v>
      </c>
      <c r="G1042">
        <v>14000000</v>
      </c>
      <c r="H1042">
        <v>6.3</v>
      </c>
      <c r="I1042" t="s">
        <v>38</v>
      </c>
      <c r="J1042" t="s">
        <v>31</v>
      </c>
    </row>
    <row r="1043" spans="1:12" x14ac:dyDescent="0.25">
      <c r="A1043" t="s">
        <v>1763</v>
      </c>
      <c r="B1043">
        <v>100</v>
      </c>
      <c r="C1043">
        <v>48334413</v>
      </c>
      <c r="D1043" t="s">
        <v>1764</v>
      </c>
      <c r="E1043" t="s">
        <v>13</v>
      </c>
      <c r="F1043" t="s">
        <v>82</v>
      </c>
      <c r="G1043">
        <v>13500000</v>
      </c>
      <c r="H1043">
        <v>5.8</v>
      </c>
      <c r="I1043" t="s">
        <v>15</v>
      </c>
    </row>
    <row r="1044" spans="1:12" x14ac:dyDescent="0.25">
      <c r="A1044" t="s">
        <v>1765</v>
      </c>
      <c r="B1044">
        <v>94</v>
      </c>
      <c r="C1044">
        <v>48334413</v>
      </c>
      <c r="D1044" t="s">
        <v>1766</v>
      </c>
      <c r="E1044" t="s">
        <v>13</v>
      </c>
      <c r="F1044" t="s">
        <v>14</v>
      </c>
      <c r="G1044">
        <v>13000000</v>
      </c>
      <c r="H1044">
        <v>3.9</v>
      </c>
      <c r="I1044" t="s">
        <v>22</v>
      </c>
      <c r="J1044" t="s">
        <v>37</v>
      </c>
      <c r="K1044" t="s">
        <v>24</v>
      </c>
    </row>
    <row r="1045" spans="1:12" x14ac:dyDescent="0.25">
      <c r="A1045" t="s">
        <v>1098</v>
      </c>
      <c r="B1045">
        <v>100</v>
      </c>
      <c r="C1045">
        <v>48334413</v>
      </c>
      <c r="D1045" t="s">
        <v>1767</v>
      </c>
      <c r="E1045" t="s">
        <v>13</v>
      </c>
      <c r="F1045" t="s">
        <v>98</v>
      </c>
      <c r="G1045">
        <v>12500000</v>
      </c>
      <c r="H1045">
        <v>7.4</v>
      </c>
      <c r="I1045" t="s">
        <v>28</v>
      </c>
      <c r="J1045" t="s">
        <v>31</v>
      </c>
      <c r="K1045" t="s">
        <v>64</v>
      </c>
    </row>
    <row r="1046" spans="1:12" x14ac:dyDescent="0.25">
      <c r="A1046" t="s">
        <v>1768</v>
      </c>
      <c r="B1046">
        <v>97</v>
      </c>
      <c r="C1046">
        <v>48334413</v>
      </c>
      <c r="D1046" t="s">
        <v>1769</v>
      </c>
      <c r="E1046" t="s">
        <v>13</v>
      </c>
      <c r="F1046" t="s">
        <v>98</v>
      </c>
      <c r="G1046">
        <v>12500000</v>
      </c>
      <c r="H1046">
        <v>6.3</v>
      </c>
      <c r="I1046" t="s">
        <v>28</v>
      </c>
      <c r="J1046" t="s">
        <v>31</v>
      </c>
    </row>
    <row r="1047" spans="1:12" x14ac:dyDescent="0.25">
      <c r="A1047" t="s">
        <v>1770</v>
      </c>
      <c r="B1047">
        <v>92</v>
      </c>
      <c r="C1047">
        <v>48334413</v>
      </c>
      <c r="D1047" t="s">
        <v>1771</v>
      </c>
      <c r="E1047" t="s">
        <v>13</v>
      </c>
      <c r="F1047" t="s">
        <v>14</v>
      </c>
      <c r="G1047">
        <v>12000000</v>
      </c>
      <c r="H1047">
        <v>7.7</v>
      </c>
      <c r="I1047" t="s">
        <v>28</v>
      </c>
      <c r="J1047" t="s">
        <v>31</v>
      </c>
      <c r="K1047" t="s">
        <v>24</v>
      </c>
    </row>
    <row r="1048" spans="1:12" x14ac:dyDescent="0.25">
      <c r="A1048" t="s">
        <v>1772</v>
      </c>
      <c r="B1048">
        <v>117</v>
      </c>
      <c r="C1048">
        <v>48334413</v>
      </c>
      <c r="D1048" t="s">
        <v>1773</v>
      </c>
      <c r="E1048" t="s">
        <v>1300</v>
      </c>
      <c r="F1048" t="s">
        <v>1206</v>
      </c>
      <c r="G1048">
        <v>12000000</v>
      </c>
      <c r="H1048">
        <v>6.9</v>
      </c>
      <c r="I1048" t="s">
        <v>34</v>
      </c>
    </row>
    <row r="1049" spans="1:12" x14ac:dyDescent="0.25">
      <c r="A1049" t="s">
        <v>1774</v>
      </c>
      <c r="B1049">
        <v>172</v>
      </c>
      <c r="C1049">
        <v>48334413</v>
      </c>
      <c r="D1049" t="s">
        <v>1775</v>
      </c>
      <c r="E1049" t="s">
        <v>13</v>
      </c>
      <c r="F1049" t="s">
        <v>14</v>
      </c>
      <c r="G1049">
        <v>12000000</v>
      </c>
      <c r="H1049">
        <v>8</v>
      </c>
      <c r="I1049" t="s">
        <v>42</v>
      </c>
      <c r="J1049" t="s">
        <v>31</v>
      </c>
      <c r="K1049" t="s">
        <v>83</v>
      </c>
    </row>
    <row r="1050" spans="1:12" x14ac:dyDescent="0.25">
      <c r="A1050" t="s">
        <v>1776</v>
      </c>
      <c r="B1050">
        <v>102</v>
      </c>
      <c r="C1050">
        <v>48334413</v>
      </c>
      <c r="D1050" t="s">
        <v>1777</v>
      </c>
      <c r="E1050" t="s">
        <v>13</v>
      </c>
      <c r="F1050" t="s">
        <v>14</v>
      </c>
      <c r="G1050">
        <v>12000000</v>
      </c>
      <c r="H1050">
        <v>5.4</v>
      </c>
      <c r="I1050" t="s">
        <v>22</v>
      </c>
      <c r="J1050" t="s">
        <v>37</v>
      </c>
    </row>
    <row r="1051" spans="1:12" x14ac:dyDescent="0.25">
      <c r="A1051" t="s">
        <v>1774</v>
      </c>
      <c r="B1051">
        <v>125</v>
      </c>
      <c r="C1051">
        <v>48334413</v>
      </c>
      <c r="D1051" t="s">
        <v>1778</v>
      </c>
      <c r="E1051" t="s">
        <v>13</v>
      </c>
      <c r="F1051" t="s">
        <v>82</v>
      </c>
      <c r="G1051">
        <v>12000000</v>
      </c>
      <c r="H1051">
        <v>7</v>
      </c>
      <c r="I1051" t="s">
        <v>31</v>
      </c>
      <c r="J1051" t="s">
        <v>24</v>
      </c>
    </row>
    <row r="1052" spans="1:12" x14ac:dyDescent="0.25">
      <c r="A1052" t="s">
        <v>1779</v>
      </c>
      <c r="B1052">
        <v>122</v>
      </c>
      <c r="C1052">
        <v>48334413</v>
      </c>
      <c r="D1052" t="s">
        <v>1780</v>
      </c>
      <c r="E1052" t="s">
        <v>13</v>
      </c>
      <c r="F1052" t="s">
        <v>14</v>
      </c>
      <c r="G1052">
        <v>12000000</v>
      </c>
      <c r="H1052">
        <v>6.6</v>
      </c>
      <c r="I1052" t="s">
        <v>38</v>
      </c>
      <c r="J1052" t="s">
        <v>31</v>
      </c>
      <c r="K1052" t="s">
        <v>19</v>
      </c>
      <c r="L1052" t="s">
        <v>24</v>
      </c>
    </row>
    <row r="1053" spans="1:12" x14ac:dyDescent="0.25">
      <c r="A1053" t="s">
        <v>1781</v>
      </c>
      <c r="B1053">
        <v>100</v>
      </c>
      <c r="C1053">
        <v>48334413</v>
      </c>
      <c r="D1053" t="s">
        <v>1782</v>
      </c>
      <c r="E1053" t="s">
        <v>13</v>
      </c>
      <c r="F1053" t="s">
        <v>14</v>
      </c>
      <c r="G1053">
        <v>12000000</v>
      </c>
      <c r="H1053">
        <v>5.7</v>
      </c>
      <c r="I1053" t="s">
        <v>28</v>
      </c>
      <c r="J1053" t="s">
        <v>38</v>
      </c>
      <c r="K1053" t="s">
        <v>24</v>
      </c>
    </row>
    <row r="1054" spans="1:12" x14ac:dyDescent="0.25">
      <c r="A1054" t="s">
        <v>1783</v>
      </c>
      <c r="B1054">
        <v>138</v>
      </c>
      <c r="C1054">
        <v>48334413</v>
      </c>
      <c r="D1054" t="s">
        <v>1784</v>
      </c>
      <c r="E1054" t="s">
        <v>1226</v>
      </c>
      <c r="F1054" t="s">
        <v>27</v>
      </c>
      <c r="G1054">
        <v>12000000</v>
      </c>
      <c r="H1054">
        <v>6.1</v>
      </c>
      <c r="I1054" t="s">
        <v>34</v>
      </c>
      <c r="J1054" t="s">
        <v>28</v>
      </c>
      <c r="K1054" t="s">
        <v>31</v>
      </c>
      <c r="L1054" t="s">
        <v>37</v>
      </c>
    </row>
    <row r="1055" spans="1:12" x14ac:dyDescent="0.25">
      <c r="A1055" t="s">
        <v>1785</v>
      </c>
      <c r="B1055">
        <v>99</v>
      </c>
      <c r="C1055">
        <v>48334413</v>
      </c>
      <c r="D1055" t="s">
        <v>1786</v>
      </c>
      <c r="E1055" t="s">
        <v>13</v>
      </c>
      <c r="F1055" t="s">
        <v>82</v>
      </c>
      <c r="G1055">
        <v>12000000</v>
      </c>
      <c r="H1055">
        <v>6.9</v>
      </c>
      <c r="I1055" t="s">
        <v>17</v>
      </c>
      <c r="J1055" t="s">
        <v>23</v>
      </c>
      <c r="K1055" t="s">
        <v>24</v>
      </c>
    </row>
    <row r="1056" spans="1:12" x14ac:dyDescent="0.25">
      <c r="A1056" t="s">
        <v>1787</v>
      </c>
      <c r="B1056">
        <v>89</v>
      </c>
      <c r="C1056">
        <v>48334413</v>
      </c>
      <c r="D1056" t="s">
        <v>1788</v>
      </c>
      <c r="E1056" t="s">
        <v>13</v>
      </c>
      <c r="F1056" t="s">
        <v>14</v>
      </c>
      <c r="G1056">
        <v>12000000</v>
      </c>
      <c r="H1056">
        <v>2.8</v>
      </c>
      <c r="I1056" t="s">
        <v>16</v>
      </c>
      <c r="J1056" t="s">
        <v>59</v>
      </c>
    </row>
    <row r="1057" spans="1:12" x14ac:dyDescent="0.25">
      <c r="A1057" t="s">
        <v>1789</v>
      </c>
      <c r="B1057">
        <v>130</v>
      </c>
      <c r="C1057">
        <v>48334413</v>
      </c>
      <c r="D1057" t="s">
        <v>1790</v>
      </c>
      <c r="E1057" t="s">
        <v>1303</v>
      </c>
      <c r="F1057" t="s">
        <v>1206</v>
      </c>
      <c r="G1057">
        <v>12000000</v>
      </c>
      <c r="H1057">
        <v>6.2</v>
      </c>
      <c r="I1057" t="s">
        <v>31</v>
      </c>
    </row>
    <row r="1058" spans="1:12" x14ac:dyDescent="0.25">
      <c r="A1058" t="s">
        <v>1791</v>
      </c>
      <c r="B1058">
        <v>92</v>
      </c>
      <c r="C1058">
        <v>48334413</v>
      </c>
      <c r="D1058" t="s">
        <v>1792</v>
      </c>
      <c r="E1058" t="s">
        <v>13</v>
      </c>
      <c r="F1058" t="s">
        <v>98</v>
      </c>
      <c r="G1058">
        <v>12000000</v>
      </c>
      <c r="H1058">
        <v>4.3</v>
      </c>
      <c r="I1058" t="s">
        <v>34</v>
      </c>
      <c r="J1058" t="s">
        <v>15</v>
      </c>
      <c r="K1058" t="s">
        <v>38</v>
      </c>
    </row>
    <row r="1059" spans="1:12" x14ac:dyDescent="0.25">
      <c r="A1059" t="s">
        <v>1793</v>
      </c>
      <c r="B1059">
        <v>111</v>
      </c>
      <c r="C1059">
        <v>48334413</v>
      </c>
      <c r="D1059" t="s">
        <v>1794</v>
      </c>
      <c r="E1059" t="s">
        <v>13</v>
      </c>
      <c r="F1059" t="s">
        <v>82</v>
      </c>
      <c r="G1059">
        <v>12000000</v>
      </c>
      <c r="H1059">
        <v>5.7</v>
      </c>
      <c r="I1059" t="s">
        <v>38</v>
      </c>
      <c r="J1059" t="s">
        <v>31</v>
      </c>
      <c r="K1059" t="s">
        <v>24</v>
      </c>
    </row>
    <row r="1060" spans="1:12" x14ac:dyDescent="0.25">
      <c r="A1060" t="s">
        <v>1014</v>
      </c>
      <c r="B1060">
        <v>92</v>
      </c>
      <c r="C1060">
        <v>48334413</v>
      </c>
      <c r="D1060" t="s">
        <v>1795</v>
      </c>
      <c r="E1060" t="s">
        <v>13</v>
      </c>
      <c r="F1060" t="s">
        <v>14</v>
      </c>
      <c r="G1060">
        <v>12000000</v>
      </c>
      <c r="H1060">
        <v>5.7</v>
      </c>
      <c r="I1060" t="s">
        <v>28</v>
      </c>
      <c r="J1060" t="s">
        <v>17</v>
      </c>
      <c r="K1060" t="s">
        <v>24</v>
      </c>
    </row>
    <row r="1061" spans="1:12" x14ac:dyDescent="0.25">
      <c r="A1061" t="s">
        <v>1796</v>
      </c>
      <c r="B1061">
        <v>100</v>
      </c>
      <c r="C1061">
        <v>48334413</v>
      </c>
      <c r="D1061" t="s">
        <v>1797</v>
      </c>
      <c r="E1061" t="s">
        <v>13</v>
      </c>
      <c r="F1061" t="s">
        <v>82</v>
      </c>
      <c r="G1061">
        <v>11500000</v>
      </c>
      <c r="H1061">
        <v>6</v>
      </c>
      <c r="I1061" t="s">
        <v>31</v>
      </c>
      <c r="J1061" t="s">
        <v>24</v>
      </c>
    </row>
    <row r="1062" spans="1:12" x14ac:dyDescent="0.25">
      <c r="A1062" t="s">
        <v>1798</v>
      </c>
      <c r="B1062">
        <v>90</v>
      </c>
      <c r="C1062">
        <v>48334413</v>
      </c>
      <c r="D1062" t="s">
        <v>1799</v>
      </c>
      <c r="E1062" t="s">
        <v>13</v>
      </c>
      <c r="F1062" t="s">
        <v>98</v>
      </c>
      <c r="G1062">
        <v>11000000</v>
      </c>
      <c r="H1062">
        <v>6.3</v>
      </c>
      <c r="I1062" t="s">
        <v>31</v>
      </c>
      <c r="J1062" t="s">
        <v>69</v>
      </c>
    </row>
    <row r="1063" spans="1:12" x14ac:dyDescent="0.25">
      <c r="A1063" t="s">
        <v>1800</v>
      </c>
      <c r="B1063">
        <v>80</v>
      </c>
      <c r="C1063">
        <v>48334413</v>
      </c>
      <c r="D1063" t="s">
        <v>1801</v>
      </c>
      <c r="E1063" t="s">
        <v>473</v>
      </c>
      <c r="F1063" t="s">
        <v>295</v>
      </c>
      <c r="G1063">
        <v>11000000</v>
      </c>
      <c r="H1063">
        <v>6.6</v>
      </c>
      <c r="I1063" t="s">
        <v>28</v>
      </c>
      <c r="J1063" t="s">
        <v>46</v>
      </c>
      <c r="K1063" t="s">
        <v>16</v>
      </c>
      <c r="L1063" t="s">
        <v>17</v>
      </c>
    </row>
    <row r="1064" spans="1:12" x14ac:dyDescent="0.25">
      <c r="A1064" t="s">
        <v>1802</v>
      </c>
      <c r="B1064">
        <v>106</v>
      </c>
      <c r="C1064">
        <v>48334413</v>
      </c>
      <c r="D1064" t="s">
        <v>1803</v>
      </c>
      <c r="E1064" t="s">
        <v>473</v>
      </c>
      <c r="F1064" t="s">
        <v>295</v>
      </c>
      <c r="G1064">
        <v>11000000</v>
      </c>
      <c r="H1064">
        <v>7.1</v>
      </c>
      <c r="I1064" t="s">
        <v>15</v>
      </c>
      <c r="J1064" t="s">
        <v>19</v>
      </c>
    </row>
    <row r="1065" spans="1:12" x14ac:dyDescent="0.25">
      <c r="A1065" t="s">
        <v>317</v>
      </c>
      <c r="B1065">
        <v>92</v>
      </c>
      <c r="C1065">
        <v>48334413</v>
      </c>
      <c r="D1065" t="s">
        <v>1804</v>
      </c>
      <c r="E1065" t="s">
        <v>13</v>
      </c>
      <c r="F1065" t="s">
        <v>14</v>
      </c>
      <c r="G1065">
        <v>11000000</v>
      </c>
      <c r="H1065">
        <v>6.9</v>
      </c>
      <c r="I1065" t="s">
        <v>15</v>
      </c>
    </row>
    <row r="1066" spans="1:12" x14ac:dyDescent="0.25">
      <c r="A1066" t="s">
        <v>1137</v>
      </c>
      <c r="B1066">
        <v>145</v>
      </c>
      <c r="C1066">
        <v>48334413</v>
      </c>
      <c r="D1066" t="s">
        <v>1805</v>
      </c>
      <c r="E1066" t="s">
        <v>13</v>
      </c>
      <c r="F1066" t="s">
        <v>14</v>
      </c>
      <c r="G1066">
        <v>11000000</v>
      </c>
      <c r="H1066">
        <v>6.4</v>
      </c>
      <c r="I1066" t="s">
        <v>31</v>
      </c>
    </row>
    <row r="1067" spans="1:12" x14ac:dyDescent="0.25">
      <c r="A1067" t="s">
        <v>915</v>
      </c>
      <c r="B1067">
        <v>184</v>
      </c>
      <c r="C1067">
        <v>48334413</v>
      </c>
      <c r="D1067" t="s">
        <v>1806</v>
      </c>
      <c r="E1067" t="s">
        <v>13</v>
      </c>
      <c r="F1067" t="s">
        <v>82</v>
      </c>
      <c r="G1067">
        <v>11000000</v>
      </c>
      <c r="H1067">
        <v>8.1</v>
      </c>
      <c r="I1067" t="s">
        <v>28</v>
      </c>
      <c r="J1067" t="s">
        <v>31</v>
      </c>
      <c r="K1067" t="s">
        <v>64</v>
      </c>
      <c r="L1067" t="s">
        <v>83</v>
      </c>
    </row>
    <row r="1068" spans="1:12" x14ac:dyDescent="0.25">
      <c r="A1068" t="s">
        <v>1807</v>
      </c>
      <c r="B1068">
        <v>124</v>
      </c>
      <c r="C1068">
        <v>48334413</v>
      </c>
      <c r="D1068" t="s">
        <v>1808</v>
      </c>
      <c r="E1068" t="s">
        <v>13</v>
      </c>
      <c r="F1068" t="s">
        <v>14</v>
      </c>
      <c r="G1068">
        <v>11000000</v>
      </c>
      <c r="H1068">
        <v>6.9</v>
      </c>
      <c r="I1068" t="s">
        <v>31</v>
      </c>
      <c r="J1068" t="s">
        <v>64</v>
      </c>
    </row>
    <row r="1069" spans="1:12" x14ac:dyDescent="0.25">
      <c r="A1069" t="s">
        <v>1809</v>
      </c>
      <c r="B1069">
        <v>97</v>
      </c>
      <c r="C1069">
        <v>48334413</v>
      </c>
      <c r="D1069" t="s">
        <v>1810</v>
      </c>
      <c r="E1069" t="s">
        <v>13</v>
      </c>
      <c r="F1069" t="s">
        <v>14</v>
      </c>
      <c r="G1069">
        <v>11000000</v>
      </c>
      <c r="H1069">
        <v>4.3</v>
      </c>
      <c r="I1069" t="s">
        <v>15</v>
      </c>
      <c r="J1069" t="s">
        <v>31</v>
      </c>
      <c r="K1069" t="s">
        <v>19</v>
      </c>
    </row>
    <row r="1070" spans="1:12" x14ac:dyDescent="0.25">
      <c r="A1070" t="s">
        <v>1811</v>
      </c>
      <c r="B1070">
        <v>106</v>
      </c>
      <c r="C1070">
        <v>48334413</v>
      </c>
      <c r="D1070" t="s">
        <v>1812</v>
      </c>
      <c r="E1070" t="s">
        <v>473</v>
      </c>
      <c r="F1070" t="s">
        <v>295</v>
      </c>
      <c r="G1070">
        <v>11000000</v>
      </c>
      <c r="H1070">
        <v>7.4</v>
      </c>
      <c r="I1070" t="s">
        <v>15</v>
      </c>
      <c r="J1070" t="s">
        <v>31</v>
      </c>
      <c r="K1070" t="s">
        <v>18</v>
      </c>
    </row>
    <row r="1071" spans="1:12" x14ac:dyDescent="0.25">
      <c r="A1071" t="s">
        <v>1813</v>
      </c>
      <c r="B1071">
        <v>106</v>
      </c>
      <c r="C1071">
        <v>48334413</v>
      </c>
      <c r="D1071" t="s">
        <v>1814</v>
      </c>
      <c r="E1071" t="s">
        <v>13</v>
      </c>
      <c r="F1071" t="s">
        <v>14</v>
      </c>
      <c r="G1071">
        <v>11000000</v>
      </c>
      <c r="H1071">
        <v>5.3</v>
      </c>
      <c r="I1071" t="s">
        <v>31</v>
      </c>
      <c r="J1071" t="s">
        <v>24</v>
      </c>
    </row>
    <row r="1072" spans="1:12" x14ac:dyDescent="0.25">
      <c r="A1072" t="s">
        <v>1815</v>
      </c>
      <c r="B1072">
        <v>178</v>
      </c>
      <c r="C1072">
        <v>48334413</v>
      </c>
      <c r="D1072" t="s">
        <v>1816</v>
      </c>
      <c r="E1072" t="s">
        <v>13</v>
      </c>
      <c r="F1072" t="s">
        <v>14</v>
      </c>
      <c r="G1072">
        <v>10000000</v>
      </c>
      <c r="H1072">
        <v>7.8</v>
      </c>
      <c r="I1072" t="s">
        <v>34</v>
      </c>
      <c r="J1072" t="s">
        <v>31</v>
      </c>
      <c r="K1072" t="s">
        <v>64</v>
      </c>
      <c r="L1072" t="s">
        <v>83</v>
      </c>
    </row>
    <row r="1073" spans="1:12" x14ac:dyDescent="0.25">
      <c r="A1073" t="s">
        <v>1817</v>
      </c>
      <c r="B1073">
        <v>75</v>
      </c>
      <c r="C1073">
        <v>48334413</v>
      </c>
      <c r="D1073" t="s">
        <v>1818</v>
      </c>
      <c r="E1073" t="s">
        <v>13</v>
      </c>
      <c r="F1073" t="s">
        <v>14</v>
      </c>
      <c r="G1073">
        <v>10000000</v>
      </c>
      <c r="H1073">
        <v>6.7</v>
      </c>
      <c r="I1073" t="s">
        <v>34</v>
      </c>
      <c r="J1073" t="s">
        <v>28</v>
      </c>
      <c r="K1073" t="s">
        <v>24</v>
      </c>
    </row>
    <row r="1074" spans="1:12" x14ac:dyDescent="0.25">
      <c r="A1074" t="s">
        <v>1819</v>
      </c>
      <c r="B1074">
        <v>103</v>
      </c>
      <c r="C1074">
        <v>48334413</v>
      </c>
      <c r="D1074" t="s">
        <v>1820</v>
      </c>
      <c r="E1074" t="s">
        <v>13</v>
      </c>
      <c r="F1074" t="s">
        <v>14</v>
      </c>
      <c r="G1074">
        <v>10000000</v>
      </c>
      <c r="H1074">
        <v>7.2</v>
      </c>
      <c r="I1074" t="s">
        <v>22</v>
      </c>
      <c r="J1074" t="s">
        <v>37</v>
      </c>
      <c r="K1074" t="s">
        <v>24</v>
      </c>
    </row>
    <row r="1075" spans="1:12" x14ac:dyDescent="0.25">
      <c r="A1075" t="s">
        <v>1821</v>
      </c>
      <c r="B1075">
        <v>107</v>
      </c>
      <c r="C1075">
        <v>48334413</v>
      </c>
      <c r="D1075" t="s">
        <v>1822</v>
      </c>
      <c r="E1075" t="s">
        <v>13</v>
      </c>
      <c r="F1075" t="s">
        <v>14</v>
      </c>
      <c r="G1075">
        <v>10000000</v>
      </c>
      <c r="H1075">
        <v>5.3</v>
      </c>
      <c r="I1075" t="s">
        <v>34</v>
      </c>
      <c r="J1075" t="s">
        <v>24</v>
      </c>
    </row>
    <row r="1076" spans="1:12" x14ac:dyDescent="0.25">
      <c r="A1076" t="s">
        <v>1823</v>
      </c>
      <c r="B1076">
        <v>100</v>
      </c>
      <c r="C1076">
        <v>48334413</v>
      </c>
      <c r="D1076" t="s">
        <v>1824</v>
      </c>
      <c r="E1076" t="s">
        <v>13</v>
      </c>
      <c r="F1076" t="s">
        <v>14</v>
      </c>
      <c r="G1076">
        <v>10000000</v>
      </c>
      <c r="H1076">
        <v>7.1</v>
      </c>
      <c r="I1076" t="s">
        <v>69</v>
      </c>
    </row>
    <row r="1077" spans="1:12" x14ac:dyDescent="0.25">
      <c r="A1077" t="s">
        <v>490</v>
      </c>
      <c r="B1077">
        <v>114</v>
      </c>
      <c r="C1077">
        <v>48334413</v>
      </c>
      <c r="D1077" t="s">
        <v>1825</v>
      </c>
      <c r="E1077" t="s">
        <v>13</v>
      </c>
      <c r="F1077" t="s">
        <v>14</v>
      </c>
      <c r="G1077">
        <v>10000000</v>
      </c>
      <c r="H1077">
        <v>6.8</v>
      </c>
      <c r="I1077" t="s">
        <v>23</v>
      </c>
      <c r="J1077" t="s">
        <v>24</v>
      </c>
    </row>
    <row r="1078" spans="1:12" x14ac:dyDescent="0.25">
      <c r="A1078" t="s">
        <v>1826</v>
      </c>
      <c r="B1078">
        <v>78</v>
      </c>
      <c r="C1078">
        <v>48334413</v>
      </c>
      <c r="D1078" t="s">
        <v>1827</v>
      </c>
      <c r="E1078" t="s">
        <v>13</v>
      </c>
      <c r="F1078" t="s">
        <v>14</v>
      </c>
      <c r="G1078">
        <v>10000000</v>
      </c>
      <c r="H1078">
        <v>4.2</v>
      </c>
      <c r="I1078" t="s">
        <v>15</v>
      </c>
      <c r="J1078" t="s">
        <v>37</v>
      </c>
    </row>
    <row r="1079" spans="1:12" x14ac:dyDescent="0.25">
      <c r="A1079" t="s">
        <v>1828</v>
      </c>
      <c r="B1079">
        <v>168</v>
      </c>
      <c r="C1079">
        <v>48334413</v>
      </c>
      <c r="D1079" t="s">
        <v>1829</v>
      </c>
      <c r="E1079" t="s">
        <v>1409</v>
      </c>
      <c r="F1079" t="s">
        <v>1296</v>
      </c>
      <c r="G1079">
        <v>10000000</v>
      </c>
      <c r="H1079">
        <v>6.3</v>
      </c>
      <c r="I1079" t="s">
        <v>34</v>
      </c>
      <c r="J1079" t="s">
        <v>28</v>
      </c>
      <c r="K1079" t="s">
        <v>19</v>
      </c>
      <c r="L1079" t="s">
        <v>37</v>
      </c>
    </row>
    <row r="1080" spans="1:12" x14ac:dyDescent="0.25">
      <c r="A1080" t="s">
        <v>1830</v>
      </c>
      <c r="B1080">
        <v>97</v>
      </c>
      <c r="C1080">
        <v>48334413</v>
      </c>
      <c r="D1080" t="s">
        <v>1831</v>
      </c>
      <c r="E1080" t="s">
        <v>13</v>
      </c>
      <c r="F1080" t="s">
        <v>14</v>
      </c>
      <c r="G1080">
        <v>10000000</v>
      </c>
      <c r="H1080">
        <v>6.5</v>
      </c>
      <c r="I1080" t="s">
        <v>15</v>
      </c>
      <c r="J1080" t="s">
        <v>31</v>
      </c>
      <c r="K1080" t="s">
        <v>19</v>
      </c>
    </row>
    <row r="1081" spans="1:12" x14ac:dyDescent="0.25">
      <c r="A1081" t="s">
        <v>1832</v>
      </c>
      <c r="B1081">
        <v>112</v>
      </c>
      <c r="C1081">
        <v>48334413</v>
      </c>
      <c r="D1081" t="s">
        <v>1833</v>
      </c>
      <c r="E1081" t="s">
        <v>13</v>
      </c>
      <c r="F1081" t="s">
        <v>45</v>
      </c>
      <c r="G1081">
        <v>10000000</v>
      </c>
      <c r="H1081">
        <v>5.2</v>
      </c>
      <c r="I1081" t="s">
        <v>31</v>
      </c>
      <c r="J1081" t="s">
        <v>23</v>
      </c>
      <c r="K1081" t="s">
        <v>24</v>
      </c>
    </row>
    <row r="1082" spans="1:12" x14ac:dyDescent="0.25">
      <c r="A1082" t="s">
        <v>1090</v>
      </c>
      <c r="B1082">
        <v>99</v>
      </c>
      <c r="C1082">
        <v>48334413</v>
      </c>
      <c r="D1082" t="s">
        <v>1834</v>
      </c>
      <c r="E1082" t="s">
        <v>13</v>
      </c>
      <c r="F1082" t="s">
        <v>14</v>
      </c>
      <c r="G1082">
        <v>10000000</v>
      </c>
      <c r="H1082">
        <v>5.7</v>
      </c>
      <c r="I1082" t="s">
        <v>31</v>
      </c>
      <c r="J1082" t="s">
        <v>17</v>
      </c>
      <c r="K1082" t="s">
        <v>22</v>
      </c>
      <c r="L1082" t="s">
        <v>24</v>
      </c>
    </row>
    <row r="1083" spans="1:12" x14ac:dyDescent="0.25">
      <c r="A1083" t="s">
        <v>1835</v>
      </c>
      <c r="B1083">
        <v>91</v>
      </c>
      <c r="C1083">
        <v>48334413</v>
      </c>
      <c r="D1083" t="s">
        <v>1836</v>
      </c>
      <c r="E1083" t="s">
        <v>13</v>
      </c>
      <c r="F1083" t="s">
        <v>98</v>
      </c>
      <c r="G1083">
        <v>10000000</v>
      </c>
      <c r="H1083">
        <v>4.5</v>
      </c>
      <c r="I1083" t="s">
        <v>31</v>
      </c>
      <c r="J1083" t="s">
        <v>18</v>
      </c>
    </row>
    <row r="1084" spans="1:12" x14ac:dyDescent="0.25">
      <c r="A1084" t="s">
        <v>1837</v>
      </c>
      <c r="B1084">
        <v>85</v>
      </c>
      <c r="C1084">
        <v>48334413</v>
      </c>
      <c r="D1084" t="s">
        <v>1838</v>
      </c>
      <c r="E1084" t="s">
        <v>13</v>
      </c>
      <c r="F1084" t="s">
        <v>1216</v>
      </c>
      <c r="G1084">
        <v>10000000</v>
      </c>
      <c r="H1084">
        <v>4.8</v>
      </c>
      <c r="I1084" t="s">
        <v>28</v>
      </c>
      <c r="J1084" t="s">
        <v>46</v>
      </c>
    </row>
    <row r="1085" spans="1:12" x14ac:dyDescent="0.25">
      <c r="A1085" t="s">
        <v>1711</v>
      </c>
      <c r="B1085">
        <v>106</v>
      </c>
      <c r="C1085">
        <v>48334413</v>
      </c>
      <c r="D1085" t="s">
        <v>1839</v>
      </c>
      <c r="E1085" t="s">
        <v>13</v>
      </c>
      <c r="F1085" t="s">
        <v>241</v>
      </c>
      <c r="G1085">
        <v>10000000</v>
      </c>
      <c r="H1085">
        <v>6.3</v>
      </c>
      <c r="I1085" t="s">
        <v>31</v>
      </c>
      <c r="J1085" t="s">
        <v>83</v>
      </c>
    </row>
    <row r="1086" spans="1:12" x14ac:dyDescent="0.25">
      <c r="A1086" t="s">
        <v>1840</v>
      </c>
      <c r="B1086">
        <v>100</v>
      </c>
      <c r="C1086">
        <v>48334413</v>
      </c>
      <c r="D1086" t="s">
        <v>1841</v>
      </c>
      <c r="E1086" t="s">
        <v>13</v>
      </c>
      <c r="F1086" t="s">
        <v>82</v>
      </c>
      <c r="G1086">
        <v>10000000</v>
      </c>
      <c r="H1086">
        <v>5.4</v>
      </c>
      <c r="I1086" t="s">
        <v>15</v>
      </c>
      <c r="J1086" t="s">
        <v>31</v>
      </c>
      <c r="K1086" t="s">
        <v>22</v>
      </c>
      <c r="L1086" t="s">
        <v>19</v>
      </c>
    </row>
    <row r="1087" spans="1:12" x14ac:dyDescent="0.25">
      <c r="A1087" t="s">
        <v>1842</v>
      </c>
      <c r="B1087">
        <v>90</v>
      </c>
      <c r="C1087">
        <v>48334413</v>
      </c>
      <c r="D1087" t="s">
        <v>1843</v>
      </c>
      <c r="E1087" t="s">
        <v>13</v>
      </c>
      <c r="F1087" t="s">
        <v>14</v>
      </c>
      <c r="G1087">
        <v>10000000</v>
      </c>
      <c r="H1087">
        <v>3.8</v>
      </c>
      <c r="I1087" t="s">
        <v>34</v>
      </c>
      <c r="J1087" t="s">
        <v>22</v>
      </c>
      <c r="K1087" t="s">
        <v>37</v>
      </c>
    </row>
    <row r="1088" spans="1:12" x14ac:dyDescent="0.25">
      <c r="A1088" t="s">
        <v>1844</v>
      </c>
      <c r="B1088">
        <v>116</v>
      </c>
      <c r="C1088">
        <v>48334413</v>
      </c>
      <c r="D1088" t="s">
        <v>1845</v>
      </c>
      <c r="E1088" t="s">
        <v>13</v>
      </c>
      <c r="F1088" t="s">
        <v>98</v>
      </c>
      <c r="G1088">
        <v>10000000</v>
      </c>
      <c r="H1088">
        <v>7</v>
      </c>
      <c r="I1088" t="s">
        <v>31</v>
      </c>
      <c r="J1088" t="s">
        <v>19</v>
      </c>
    </row>
    <row r="1089" spans="1:13" x14ac:dyDescent="0.25">
      <c r="A1089" t="s">
        <v>1846</v>
      </c>
      <c r="B1089">
        <v>84</v>
      </c>
      <c r="C1089">
        <v>48334413</v>
      </c>
      <c r="D1089" t="s">
        <v>1847</v>
      </c>
      <c r="E1089" t="s">
        <v>13</v>
      </c>
      <c r="F1089" t="s">
        <v>14</v>
      </c>
      <c r="G1089">
        <v>10000000</v>
      </c>
      <c r="H1089">
        <v>5.2</v>
      </c>
      <c r="I1089" t="s">
        <v>15</v>
      </c>
    </row>
    <row r="1090" spans="1:13" x14ac:dyDescent="0.25">
      <c r="A1090" t="s">
        <v>1848</v>
      </c>
      <c r="B1090">
        <v>84</v>
      </c>
      <c r="C1090">
        <v>48334413</v>
      </c>
      <c r="D1090" t="s">
        <v>1849</v>
      </c>
      <c r="E1090" t="s">
        <v>13</v>
      </c>
      <c r="F1090" t="s">
        <v>14</v>
      </c>
      <c r="G1090">
        <v>10000000</v>
      </c>
      <c r="H1090">
        <v>4.5999999999999996</v>
      </c>
      <c r="I1090" t="s">
        <v>22</v>
      </c>
      <c r="J1090" t="s">
        <v>24</v>
      </c>
    </row>
    <row r="1091" spans="1:13" x14ac:dyDescent="0.25">
      <c r="A1091" t="s">
        <v>1850</v>
      </c>
      <c r="B1091">
        <v>89</v>
      </c>
      <c r="C1091">
        <v>48334413</v>
      </c>
      <c r="D1091" t="s">
        <v>1851</v>
      </c>
      <c r="E1091" t="s">
        <v>13</v>
      </c>
      <c r="F1091" t="s">
        <v>98</v>
      </c>
      <c r="G1091">
        <v>10000000</v>
      </c>
      <c r="H1091">
        <v>6.5</v>
      </c>
      <c r="I1091" t="s">
        <v>34</v>
      </c>
      <c r="J1091" t="s">
        <v>15</v>
      </c>
      <c r="K1091" t="s">
        <v>31</v>
      </c>
      <c r="L1091" t="s">
        <v>69</v>
      </c>
    </row>
    <row r="1092" spans="1:13" x14ac:dyDescent="0.25">
      <c r="A1092" t="s">
        <v>1852</v>
      </c>
      <c r="B1092">
        <v>94</v>
      </c>
      <c r="C1092">
        <v>48334413</v>
      </c>
      <c r="D1092" t="s">
        <v>1853</v>
      </c>
      <c r="E1092" t="s">
        <v>13</v>
      </c>
      <c r="F1092" t="s">
        <v>98</v>
      </c>
      <c r="G1092">
        <v>10000000</v>
      </c>
      <c r="H1092">
        <v>5.2</v>
      </c>
      <c r="I1092" t="s">
        <v>34</v>
      </c>
      <c r="J1092" t="s">
        <v>38</v>
      </c>
      <c r="K1092" t="s">
        <v>31</v>
      </c>
      <c r="L1092" t="s">
        <v>24</v>
      </c>
    </row>
    <row r="1093" spans="1:13" x14ac:dyDescent="0.25">
      <c r="A1093" t="s">
        <v>1854</v>
      </c>
      <c r="B1093">
        <v>102</v>
      </c>
      <c r="C1093">
        <v>48334413</v>
      </c>
      <c r="D1093" t="s">
        <v>1855</v>
      </c>
      <c r="E1093" t="s">
        <v>13</v>
      </c>
      <c r="F1093" t="s">
        <v>82</v>
      </c>
      <c r="G1093">
        <v>10000000</v>
      </c>
      <c r="H1093">
        <v>6</v>
      </c>
      <c r="I1093" t="s">
        <v>34</v>
      </c>
      <c r="J1093" t="s">
        <v>15</v>
      </c>
      <c r="K1093" t="s">
        <v>38</v>
      </c>
      <c r="L1093" t="s">
        <v>31</v>
      </c>
    </row>
    <row r="1094" spans="1:13" x14ac:dyDescent="0.25">
      <c r="A1094" t="s">
        <v>911</v>
      </c>
      <c r="B1094">
        <v>94</v>
      </c>
      <c r="C1094">
        <v>48334413</v>
      </c>
      <c r="D1094" t="s">
        <v>1856</v>
      </c>
      <c r="E1094" t="s">
        <v>13</v>
      </c>
      <c r="F1094" t="s">
        <v>14</v>
      </c>
      <c r="G1094">
        <v>10000000</v>
      </c>
      <c r="H1094">
        <v>5.3</v>
      </c>
      <c r="I1094" t="s">
        <v>34</v>
      </c>
      <c r="J1094" t="s">
        <v>22</v>
      </c>
      <c r="K1094" t="s">
        <v>24</v>
      </c>
    </row>
    <row r="1095" spans="1:13" x14ac:dyDescent="0.25">
      <c r="A1095" t="s">
        <v>1857</v>
      </c>
      <c r="B1095">
        <v>93</v>
      </c>
      <c r="C1095">
        <v>48334413</v>
      </c>
      <c r="D1095" t="s">
        <v>1858</v>
      </c>
      <c r="E1095" t="s">
        <v>13</v>
      </c>
      <c r="F1095" t="s">
        <v>14</v>
      </c>
      <c r="G1095">
        <v>10000000</v>
      </c>
      <c r="H1095">
        <v>5.8</v>
      </c>
      <c r="I1095" t="s">
        <v>15</v>
      </c>
      <c r="J1095" t="s">
        <v>22</v>
      </c>
      <c r="K1095" t="s">
        <v>37</v>
      </c>
    </row>
    <row r="1096" spans="1:13" x14ac:dyDescent="0.25">
      <c r="A1096" t="s">
        <v>1859</v>
      </c>
      <c r="B1096">
        <v>67</v>
      </c>
      <c r="C1096">
        <v>48334413</v>
      </c>
      <c r="D1096" t="s">
        <v>1860</v>
      </c>
      <c r="E1096" t="s">
        <v>13</v>
      </c>
      <c r="F1096" t="s">
        <v>14</v>
      </c>
      <c r="G1096">
        <v>10000000</v>
      </c>
      <c r="H1096">
        <v>6.7</v>
      </c>
      <c r="I1096" t="s">
        <v>46</v>
      </c>
      <c r="J1096" t="s">
        <v>16</v>
      </c>
    </row>
    <row r="1097" spans="1:13" x14ac:dyDescent="0.25">
      <c r="A1097" t="s">
        <v>1861</v>
      </c>
      <c r="B1097">
        <v>116</v>
      </c>
      <c r="C1097">
        <v>48334413</v>
      </c>
      <c r="D1097" t="s">
        <v>1862</v>
      </c>
      <c r="E1097" t="s">
        <v>1863</v>
      </c>
      <c r="F1097" t="s">
        <v>1682</v>
      </c>
      <c r="G1097">
        <v>10000000</v>
      </c>
      <c r="H1097">
        <v>6.9</v>
      </c>
      <c r="I1097" t="s">
        <v>31</v>
      </c>
    </row>
    <row r="1098" spans="1:13" x14ac:dyDescent="0.25">
      <c r="A1098" t="s">
        <v>1864</v>
      </c>
      <c r="B1098">
        <v>120</v>
      </c>
      <c r="C1098">
        <v>48334413</v>
      </c>
      <c r="D1098" t="s">
        <v>1865</v>
      </c>
      <c r="E1098" t="s">
        <v>13</v>
      </c>
      <c r="F1098" t="s">
        <v>14</v>
      </c>
      <c r="G1098">
        <v>10000000</v>
      </c>
      <c r="H1098">
        <v>5.4</v>
      </c>
      <c r="I1098" t="s">
        <v>42</v>
      </c>
      <c r="J1098" t="s">
        <v>31</v>
      </c>
    </row>
    <row r="1099" spans="1:13" x14ac:dyDescent="0.25">
      <c r="A1099" t="s">
        <v>1866</v>
      </c>
      <c r="B1099">
        <v>88</v>
      </c>
      <c r="C1099">
        <v>48334413</v>
      </c>
      <c r="D1099" t="s">
        <v>1867</v>
      </c>
      <c r="E1099" t="s">
        <v>13</v>
      </c>
      <c r="F1099" t="s">
        <v>14</v>
      </c>
      <c r="G1099">
        <v>9500000</v>
      </c>
      <c r="H1099">
        <v>5.0999999999999996</v>
      </c>
      <c r="I1099" t="s">
        <v>34</v>
      </c>
      <c r="J1099" t="s">
        <v>22</v>
      </c>
    </row>
    <row r="1100" spans="1:13" x14ac:dyDescent="0.25">
      <c r="A1100" t="s">
        <v>1868</v>
      </c>
      <c r="B1100">
        <v>90</v>
      </c>
      <c r="C1100">
        <v>48334413</v>
      </c>
      <c r="D1100" t="s">
        <v>1869</v>
      </c>
      <c r="E1100" t="s">
        <v>13</v>
      </c>
      <c r="F1100" t="s">
        <v>98</v>
      </c>
      <c r="G1100">
        <v>9300000</v>
      </c>
      <c r="H1100">
        <v>6.7</v>
      </c>
      <c r="I1100" t="s">
        <v>28</v>
      </c>
      <c r="J1100" t="s">
        <v>46</v>
      </c>
      <c r="K1100" t="s">
        <v>17</v>
      </c>
      <c r="L1100" t="s">
        <v>22</v>
      </c>
      <c r="M1100" t="s">
        <v>37</v>
      </c>
    </row>
    <row r="1101" spans="1:13" x14ac:dyDescent="0.25">
      <c r="A1101" t="s">
        <v>1870</v>
      </c>
      <c r="B1101">
        <v>154</v>
      </c>
      <c r="C1101">
        <v>48334413</v>
      </c>
      <c r="D1101" t="s">
        <v>1871</v>
      </c>
      <c r="E1101" t="s">
        <v>13</v>
      </c>
      <c r="F1101" t="s">
        <v>14</v>
      </c>
      <c r="G1101">
        <v>9000000</v>
      </c>
      <c r="H1101">
        <v>6.8</v>
      </c>
      <c r="I1101" t="s">
        <v>34</v>
      </c>
      <c r="J1101" t="s">
        <v>28</v>
      </c>
      <c r="K1101" t="s">
        <v>31</v>
      </c>
      <c r="L1101" t="s">
        <v>64</v>
      </c>
      <c r="M1101" t="s">
        <v>83</v>
      </c>
    </row>
    <row r="1102" spans="1:13" x14ac:dyDescent="0.25">
      <c r="A1102" t="s">
        <v>1139</v>
      </c>
      <c r="B1102">
        <v>88</v>
      </c>
      <c r="C1102">
        <v>48334413</v>
      </c>
      <c r="D1102" t="s">
        <v>1872</v>
      </c>
      <c r="E1102" t="s">
        <v>13</v>
      </c>
      <c r="F1102" t="s">
        <v>98</v>
      </c>
      <c r="G1102">
        <v>9000000</v>
      </c>
      <c r="H1102">
        <v>5.6</v>
      </c>
      <c r="I1102" t="s">
        <v>34</v>
      </c>
      <c r="J1102" t="s">
        <v>31</v>
      </c>
      <c r="K1102" t="s">
        <v>24</v>
      </c>
    </row>
    <row r="1103" spans="1:13" x14ac:dyDescent="0.25">
      <c r="A1103" t="s">
        <v>1873</v>
      </c>
      <c r="B1103">
        <v>91</v>
      </c>
      <c r="C1103">
        <v>48334413</v>
      </c>
      <c r="D1103" t="s">
        <v>1874</v>
      </c>
      <c r="E1103" t="s">
        <v>13</v>
      </c>
      <c r="F1103" t="s">
        <v>14</v>
      </c>
      <c r="G1103">
        <v>9000000</v>
      </c>
      <c r="H1103">
        <v>5.7</v>
      </c>
      <c r="I1103" t="s">
        <v>34</v>
      </c>
      <c r="J1103" t="s">
        <v>28</v>
      </c>
      <c r="K1103" t="s">
        <v>15</v>
      </c>
      <c r="L1103" t="s">
        <v>19</v>
      </c>
      <c r="M1103" t="s">
        <v>37</v>
      </c>
    </row>
    <row r="1104" spans="1:13" x14ac:dyDescent="0.25">
      <c r="A1104" t="s">
        <v>1875</v>
      </c>
      <c r="B1104">
        <v>103</v>
      </c>
      <c r="C1104">
        <v>48334413</v>
      </c>
      <c r="D1104" t="s">
        <v>1876</v>
      </c>
      <c r="E1104" t="s">
        <v>13</v>
      </c>
      <c r="F1104" t="s">
        <v>14</v>
      </c>
      <c r="G1104">
        <v>9000000</v>
      </c>
      <c r="H1104">
        <v>6.5</v>
      </c>
      <c r="I1104" t="s">
        <v>31</v>
      </c>
      <c r="J1104" t="s">
        <v>19</v>
      </c>
    </row>
    <row r="1105" spans="1:13" x14ac:dyDescent="0.25">
      <c r="A1105" t="s">
        <v>1877</v>
      </c>
      <c r="B1105">
        <v>122</v>
      </c>
      <c r="C1105">
        <v>48334413</v>
      </c>
      <c r="D1105" t="s">
        <v>1878</v>
      </c>
      <c r="E1105" t="s">
        <v>13</v>
      </c>
      <c r="F1105" t="s">
        <v>45</v>
      </c>
      <c r="G1105">
        <v>9000000</v>
      </c>
      <c r="H1105">
        <v>7.1</v>
      </c>
      <c r="I1105" t="s">
        <v>31</v>
      </c>
      <c r="J1105" t="s">
        <v>64</v>
      </c>
      <c r="K1105" t="s">
        <v>83</v>
      </c>
    </row>
    <row r="1106" spans="1:13" x14ac:dyDescent="0.25">
      <c r="A1106" t="s">
        <v>1879</v>
      </c>
      <c r="B1106">
        <v>98</v>
      </c>
      <c r="C1106">
        <v>48334413</v>
      </c>
      <c r="D1106" t="s">
        <v>1880</v>
      </c>
      <c r="E1106" t="s">
        <v>13</v>
      </c>
      <c r="F1106" t="s">
        <v>295</v>
      </c>
      <c r="G1106">
        <v>9000000</v>
      </c>
      <c r="H1106">
        <v>5.9</v>
      </c>
      <c r="I1106" t="s">
        <v>28</v>
      </c>
      <c r="J1106" t="s">
        <v>15</v>
      </c>
      <c r="K1106" t="s">
        <v>17</v>
      </c>
      <c r="L1106" t="s">
        <v>37</v>
      </c>
    </row>
    <row r="1107" spans="1:13" x14ac:dyDescent="0.25">
      <c r="A1107" t="s">
        <v>1881</v>
      </c>
      <c r="B1107">
        <v>101</v>
      </c>
      <c r="C1107">
        <v>48334413</v>
      </c>
      <c r="D1107" t="s">
        <v>1882</v>
      </c>
      <c r="E1107" t="s">
        <v>13</v>
      </c>
      <c r="F1107" t="s">
        <v>14</v>
      </c>
      <c r="G1107">
        <v>9000000</v>
      </c>
      <c r="H1107">
        <v>5.3</v>
      </c>
      <c r="I1107" t="s">
        <v>31</v>
      </c>
      <c r="J1107" t="s">
        <v>22</v>
      </c>
      <c r="K1107" t="s">
        <v>23</v>
      </c>
      <c r="L1107" t="s">
        <v>24</v>
      </c>
    </row>
    <row r="1108" spans="1:13" x14ac:dyDescent="0.25">
      <c r="A1108" t="s">
        <v>1883</v>
      </c>
      <c r="B1108">
        <v>90</v>
      </c>
      <c r="C1108">
        <v>48334413</v>
      </c>
      <c r="D1108" t="s">
        <v>1884</v>
      </c>
      <c r="E1108" t="s">
        <v>13</v>
      </c>
      <c r="F1108" t="s">
        <v>82</v>
      </c>
      <c r="G1108">
        <v>8800000</v>
      </c>
      <c r="H1108">
        <v>6.1</v>
      </c>
      <c r="I1108" t="s">
        <v>23</v>
      </c>
      <c r="J1108" t="s">
        <v>37</v>
      </c>
      <c r="K1108" t="s">
        <v>24</v>
      </c>
    </row>
    <row r="1109" spans="1:13" x14ac:dyDescent="0.25">
      <c r="A1109" t="s">
        <v>1885</v>
      </c>
      <c r="B1109">
        <v>96</v>
      </c>
      <c r="C1109">
        <v>48334413</v>
      </c>
      <c r="D1109" t="s">
        <v>1886</v>
      </c>
      <c r="E1109" t="s">
        <v>13</v>
      </c>
      <c r="F1109" t="s">
        <v>98</v>
      </c>
      <c r="G1109">
        <v>8700000</v>
      </c>
      <c r="H1109">
        <v>7.2</v>
      </c>
      <c r="I1109" t="s">
        <v>31</v>
      </c>
      <c r="J1109" t="s">
        <v>19</v>
      </c>
    </row>
    <row r="1110" spans="1:13" x14ac:dyDescent="0.25">
      <c r="A1110" t="s">
        <v>1887</v>
      </c>
      <c r="B1110">
        <v>76</v>
      </c>
      <c r="C1110">
        <v>48334413</v>
      </c>
      <c r="D1110" t="s">
        <v>1888</v>
      </c>
      <c r="E1110" t="s">
        <v>13</v>
      </c>
      <c r="F1110" t="s">
        <v>14</v>
      </c>
      <c r="G1110">
        <v>8600000</v>
      </c>
      <c r="H1110">
        <v>5.8</v>
      </c>
      <c r="I1110" t="s">
        <v>34</v>
      </c>
      <c r="J1110" t="s">
        <v>31</v>
      </c>
      <c r="K1110" t="s">
        <v>24</v>
      </c>
    </row>
    <row r="1111" spans="1:13" x14ac:dyDescent="0.25">
      <c r="A1111" t="s">
        <v>1889</v>
      </c>
      <c r="B1111">
        <v>92</v>
      </c>
      <c r="C1111">
        <v>48334413</v>
      </c>
      <c r="D1111" t="s">
        <v>1890</v>
      </c>
      <c r="E1111" t="s">
        <v>13</v>
      </c>
      <c r="F1111" t="s">
        <v>45</v>
      </c>
      <c r="G1111">
        <v>8500000</v>
      </c>
      <c r="H1111">
        <v>7.5</v>
      </c>
      <c r="I1111" t="s">
        <v>42</v>
      </c>
      <c r="J1111" t="s">
        <v>15</v>
      </c>
      <c r="K1111" t="s">
        <v>31</v>
      </c>
      <c r="L1111" t="s">
        <v>16</v>
      </c>
      <c r="M1111" t="s">
        <v>19</v>
      </c>
    </row>
    <row r="1112" spans="1:13" x14ac:dyDescent="0.25">
      <c r="A1112" t="s">
        <v>1891</v>
      </c>
      <c r="B1112">
        <v>122</v>
      </c>
      <c r="C1112">
        <v>48334413</v>
      </c>
      <c r="D1112" t="s">
        <v>1892</v>
      </c>
      <c r="E1112" t="s">
        <v>1893</v>
      </c>
      <c r="F1112" t="s">
        <v>1894</v>
      </c>
      <c r="G1112">
        <v>8300000</v>
      </c>
      <c r="H1112">
        <v>6</v>
      </c>
      <c r="I1112" t="s">
        <v>34</v>
      </c>
      <c r="J1112" t="s">
        <v>28</v>
      </c>
    </row>
    <row r="1113" spans="1:13" x14ac:dyDescent="0.25">
      <c r="A1113" t="s">
        <v>1895</v>
      </c>
      <c r="B1113">
        <v>117</v>
      </c>
      <c r="C1113">
        <v>48334413</v>
      </c>
      <c r="D1113" t="s">
        <v>1896</v>
      </c>
      <c r="E1113" t="s">
        <v>13</v>
      </c>
      <c r="F1113" t="s">
        <v>14</v>
      </c>
      <c r="G1113">
        <v>8300000</v>
      </c>
      <c r="H1113">
        <v>6.4</v>
      </c>
      <c r="I1113" t="s">
        <v>31</v>
      </c>
      <c r="J1113" t="s">
        <v>19</v>
      </c>
    </row>
    <row r="1114" spans="1:13" x14ac:dyDescent="0.25">
      <c r="A1114" t="s">
        <v>1897</v>
      </c>
      <c r="B1114">
        <v>130</v>
      </c>
      <c r="C1114">
        <v>48334413</v>
      </c>
      <c r="D1114" t="s">
        <v>1898</v>
      </c>
      <c r="E1114" t="s">
        <v>13</v>
      </c>
      <c r="F1114" t="s">
        <v>14</v>
      </c>
      <c r="G1114">
        <v>8000000</v>
      </c>
      <c r="H1114">
        <v>6.9</v>
      </c>
      <c r="I1114" t="s">
        <v>15</v>
      </c>
      <c r="J1114" t="s">
        <v>17</v>
      </c>
      <c r="K1114" t="s">
        <v>22</v>
      </c>
    </row>
    <row r="1115" spans="1:13" x14ac:dyDescent="0.25">
      <c r="A1115" t="s">
        <v>1899</v>
      </c>
      <c r="B1115">
        <v>89</v>
      </c>
      <c r="C1115">
        <v>48334413</v>
      </c>
      <c r="D1115" t="s">
        <v>1900</v>
      </c>
      <c r="E1115" t="s">
        <v>1498</v>
      </c>
      <c r="F1115" t="s">
        <v>1901</v>
      </c>
      <c r="G1115">
        <v>8000000</v>
      </c>
      <c r="H1115">
        <v>4.4000000000000004</v>
      </c>
      <c r="I1115" t="s">
        <v>46</v>
      </c>
      <c r="J1115" t="s">
        <v>16</v>
      </c>
    </row>
    <row r="1116" spans="1:13" x14ac:dyDescent="0.25">
      <c r="A1116" t="s">
        <v>1902</v>
      </c>
      <c r="B1116">
        <v>135</v>
      </c>
      <c r="C1116">
        <v>48334413</v>
      </c>
      <c r="D1116" t="s">
        <v>1903</v>
      </c>
      <c r="E1116" t="s">
        <v>1312</v>
      </c>
      <c r="F1116" t="s">
        <v>1216</v>
      </c>
      <c r="G1116">
        <v>8000000</v>
      </c>
      <c r="H1116">
        <v>7.2</v>
      </c>
      <c r="I1116" t="s">
        <v>34</v>
      </c>
      <c r="J1116" t="s">
        <v>31</v>
      </c>
    </row>
    <row r="1117" spans="1:13" x14ac:dyDescent="0.25">
      <c r="A1117" t="s">
        <v>1897</v>
      </c>
      <c r="B1117">
        <v>130</v>
      </c>
      <c r="C1117">
        <v>48334413</v>
      </c>
      <c r="D1117" t="s">
        <v>1898</v>
      </c>
      <c r="E1117" t="s">
        <v>13</v>
      </c>
      <c r="F1117" t="s">
        <v>14</v>
      </c>
      <c r="G1117">
        <v>8000000</v>
      </c>
      <c r="H1117">
        <v>6.9</v>
      </c>
      <c r="I1117" t="s">
        <v>15</v>
      </c>
      <c r="J1117" t="s">
        <v>17</v>
      </c>
      <c r="K1117" t="s">
        <v>22</v>
      </c>
    </row>
    <row r="1118" spans="1:13" x14ac:dyDescent="0.25">
      <c r="A1118" t="s">
        <v>1904</v>
      </c>
      <c r="B1118">
        <v>93</v>
      </c>
      <c r="C1118">
        <v>48334413</v>
      </c>
      <c r="D1118" t="s">
        <v>1905</v>
      </c>
      <c r="E1118" t="s">
        <v>13</v>
      </c>
      <c r="F1118" t="s">
        <v>14</v>
      </c>
      <c r="G1118">
        <v>8000000</v>
      </c>
      <c r="H1118">
        <v>5</v>
      </c>
      <c r="I1118" t="s">
        <v>15</v>
      </c>
      <c r="J1118" t="s">
        <v>17</v>
      </c>
      <c r="K1118" t="s">
        <v>37</v>
      </c>
    </row>
    <row r="1119" spans="1:13" x14ac:dyDescent="0.25">
      <c r="A1119" t="s">
        <v>1906</v>
      </c>
      <c r="B1119">
        <v>116</v>
      </c>
      <c r="C1119">
        <v>48334413</v>
      </c>
      <c r="D1119" t="s">
        <v>1907</v>
      </c>
      <c r="E1119" t="s">
        <v>13</v>
      </c>
      <c r="F1119" t="s">
        <v>98</v>
      </c>
      <c r="G1119">
        <v>8000000</v>
      </c>
      <c r="H1119">
        <v>7</v>
      </c>
      <c r="I1119" t="s">
        <v>34</v>
      </c>
      <c r="J1119" t="s">
        <v>15</v>
      </c>
      <c r="K1119" t="s">
        <v>38</v>
      </c>
      <c r="L1119" t="s">
        <v>24</v>
      </c>
    </row>
    <row r="1120" spans="1:13" x14ac:dyDescent="0.25">
      <c r="A1120" t="s">
        <v>429</v>
      </c>
      <c r="B1120">
        <v>98</v>
      </c>
      <c r="C1120">
        <v>48334413</v>
      </c>
      <c r="D1120" t="s">
        <v>1908</v>
      </c>
      <c r="E1120" t="s">
        <v>13</v>
      </c>
      <c r="F1120" t="s">
        <v>14</v>
      </c>
      <c r="G1120">
        <v>8000000</v>
      </c>
      <c r="H1120">
        <v>4.9000000000000004</v>
      </c>
      <c r="I1120" t="s">
        <v>15</v>
      </c>
      <c r="J1120" t="s">
        <v>19</v>
      </c>
    </row>
    <row r="1121" spans="1:12" x14ac:dyDescent="0.25">
      <c r="A1121" t="s">
        <v>1909</v>
      </c>
      <c r="B1121">
        <v>98</v>
      </c>
      <c r="C1121">
        <v>48334413</v>
      </c>
      <c r="D1121" t="s">
        <v>1910</v>
      </c>
      <c r="E1121" t="s">
        <v>13</v>
      </c>
      <c r="F1121" t="s">
        <v>82</v>
      </c>
      <c r="G1121">
        <v>8000000</v>
      </c>
      <c r="H1121">
        <v>4</v>
      </c>
      <c r="I1121" t="s">
        <v>28</v>
      </c>
      <c r="J1121" t="s">
        <v>31</v>
      </c>
    </row>
    <row r="1122" spans="1:12" x14ac:dyDescent="0.25">
      <c r="A1122" t="s">
        <v>1911</v>
      </c>
      <c r="B1122">
        <v>124</v>
      </c>
      <c r="C1122">
        <v>48334413</v>
      </c>
      <c r="D1122" t="s">
        <v>1912</v>
      </c>
      <c r="E1122" t="s">
        <v>473</v>
      </c>
      <c r="F1122" t="s">
        <v>98</v>
      </c>
      <c r="G1122">
        <v>8000000</v>
      </c>
      <c r="H1122">
        <v>7.7</v>
      </c>
      <c r="I1122" t="s">
        <v>42</v>
      </c>
      <c r="J1122" t="s">
        <v>31</v>
      </c>
      <c r="K1122" t="s">
        <v>41</v>
      </c>
    </row>
    <row r="1123" spans="1:12" x14ac:dyDescent="0.25">
      <c r="A1123" t="s">
        <v>1913</v>
      </c>
      <c r="B1123">
        <v>96</v>
      </c>
      <c r="C1123">
        <v>48334413</v>
      </c>
      <c r="D1123" t="s">
        <v>1914</v>
      </c>
      <c r="E1123" t="s">
        <v>13</v>
      </c>
      <c r="F1123" t="s">
        <v>14</v>
      </c>
      <c r="G1123">
        <v>8000000</v>
      </c>
      <c r="H1123">
        <v>4.5999999999999996</v>
      </c>
      <c r="I1123" t="s">
        <v>34</v>
      </c>
      <c r="J1123" t="s">
        <v>38</v>
      </c>
      <c r="K1123" t="s">
        <v>31</v>
      </c>
      <c r="L1123" t="s">
        <v>24</v>
      </c>
    </row>
    <row r="1124" spans="1:12" x14ac:dyDescent="0.25">
      <c r="A1124" t="s">
        <v>90</v>
      </c>
      <c r="B1124">
        <v>104</v>
      </c>
      <c r="C1124">
        <v>48334413</v>
      </c>
      <c r="D1124" t="s">
        <v>1915</v>
      </c>
      <c r="E1124" t="s">
        <v>13</v>
      </c>
      <c r="F1124" t="s">
        <v>14</v>
      </c>
      <c r="G1124">
        <v>8000000</v>
      </c>
      <c r="H1124">
        <v>8</v>
      </c>
      <c r="I1124" t="s">
        <v>31</v>
      </c>
    </row>
    <row r="1125" spans="1:12" x14ac:dyDescent="0.25">
      <c r="A1125" t="s">
        <v>1916</v>
      </c>
      <c r="B1125">
        <v>106</v>
      </c>
      <c r="C1125">
        <v>48334413</v>
      </c>
      <c r="D1125" t="s">
        <v>1917</v>
      </c>
      <c r="E1125" t="s">
        <v>13</v>
      </c>
      <c r="F1125" t="s">
        <v>14</v>
      </c>
      <c r="G1125">
        <v>8000000</v>
      </c>
      <c r="H1125">
        <v>4.2</v>
      </c>
      <c r="I1125" t="s">
        <v>34</v>
      </c>
    </row>
    <row r="1126" spans="1:12" x14ac:dyDescent="0.25">
      <c r="A1126" t="s">
        <v>1918</v>
      </c>
      <c r="B1126">
        <v>90</v>
      </c>
      <c r="C1126">
        <v>48334413</v>
      </c>
      <c r="D1126" t="s">
        <v>1919</v>
      </c>
      <c r="E1126" t="s">
        <v>13</v>
      </c>
      <c r="F1126" t="s">
        <v>14</v>
      </c>
      <c r="G1126">
        <v>8000000</v>
      </c>
      <c r="H1126">
        <v>6.2</v>
      </c>
      <c r="I1126" t="s">
        <v>34</v>
      </c>
      <c r="J1126" t="s">
        <v>28</v>
      </c>
      <c r="K1126" t="s">
        <v>17</v>
      </c>
    </row>
    <row r="1127" spans="1:12" x14ac:dyDescent="0.25">
      <c r="A1127" t="s">
        <v>1920</v>
      </c>
      <c r="B1127">
        <v>115</v>
      </c>
      <c r="C1127">
        <v>48334413</v>
      </c>
      <c r="D1127" t="s">
        <v>1921</v>
      </c>
      <c r="E1127" t="s">
        <v>1568</v>
      </c>
      <c r="F1127" t="s">
        <v>1569</v>
      </c>
      <c r="G1127">
        <v>8000000</v>
      </c>
      <c r="H1127">
        <v>7.5</v>
      </c>
      <c r="I1127" t="s">
        <v>31</v>
      </c>
    </row>
    <row r="1128" spans="1:12" x14ac:dyDescent="0.25">
      <c r="A1128" t="s">
        <v>1922</v>
      </c>
      <c r="B1128">
        <v>117</v>
      </c>
      <c r="C1128">
        <v>48334413</v>
      </c>
      <c r="D1128" t="s">
        <v>1923</v>
      </c>
      <c r="E1128" t="s">
        <v>13</v>
      </c>
      <c r="F1128" t="s">
        <v>14</v>
      </c>
      <c r="G1128">
        <v>7840000</v>
      </c>
      <c r="H1128">
        <v>7.4</v>
      </c>
      <c r="I1128" t="s">
        <v>31</v>
      </c>
    </row>
    <row r="1129" spans="1:12" x14ac:dyDescent="0.25">
      <c r="A1129" t="s">
        <v>1924</v>
      </c>
      <c r="B1129">
        <v>101</v>
      </c>
      <c r="C1129">
        <v>48334413</v>
      </c>
      <c r="D1129" t="s">
        <v>1925</v>
      </c>
      <c r="E1129" t="s">
        <v>473</v>
      </c>
      <c r="F1129" t="s">
        <v>295</v>
      </c>
      <c r="G1129">
        <v>7700000</v>
      </c>
      <c r="H1129">
        <v>7.3</v>
      </c>
      <c r="I1129" t="s">
        <v>31</v>
      </c>
      <c r="J1129" t="s">
        <v>83</v>
      </c>
      <c r="K1129" t="s">
        <v>69</v>
      </c>
    </row>
    <row r="1130" spans="1:12" x14ac:dyDescent="0.25">
      <c r="A1130" t="s">
        <v>1926</v>
      </c>
      <c r="B1130">
        <v>171</v>
      </c>
      <c r="C1130">
        <v>48334413</v>
      </c>
      <c r="D1130" t="s">
        <v>1927</v>
      </c>
      <c r="E1130" t="s">
        <v>13</v>
      </c>
      <c r="F1130" t="s">
        <v>14</v>
      </c>
      <c r="G1130">
        <v>7623000</v>
      </c>
      <c r="H1130">
        <v>7.2</v>
      </c>
      <c r="I1130" t="s">
        <v>42</v>
      </c>
      <c r="J1130" t="s">
        <v>31</v>
      </c>
      <c r="K1130" t="s">
        <v>64</v>
      </c>
      <c r="L1130" t="s">
        <v>19</v>
      </c>
    </row>
    <row r="1131" spans="1:12" x14ac:dyDescent="0.25">
      <c r="A1131" t="s">
        <v>1415</v>
      </c>
      <c r="B1131">
        <v>95</v>
      </c>
      <c r="C1131">
        <v>48334413</v>
      </c>
      <c r="D1131" t="s">
        <v>1928</v>
      </c>
      <c r="E1131" t="s">
        <v>13</v>
      </c>
      <c r="F1131" t="s">
        <v>14</v>
      </c>
      <c r="G1131">
        <v>7500000</v>
      </c>
      <c r="H1131">
        <v>6.8</v>
      </c>
      <c r="I1131" t="s">
        <v>23</v>
      </c>
      <c r="J1131" t="s">
        <v>19</v>
      </c>
      <c r="K1131" t="s">
        <v>37</v>
      </c>
      <c r="L1131" t="s">
        <v>24</v>
      </c>
    </row>
    <row r="1132" spans="1:12" x14ac:dyDescent="0.25">
      <c r="A1132" t="s">
        <v>1929</v>
      </c>
      <c r="B1132">
        <v>101</v>
      </c>
      <c r="C1132">
        <v>48334413</v>
      </c>
      <c r="D1132" t="s">
        <v>1930</v>
      </c>
      <c r="E1132" t="s">
        <v>13</v>
      </c>
      <c r="F1132" t="s">
        <v>82</v>
      </c>
      <c r="G1132">
        <v>7500000</v>
      </c>
      <c r="H1132">
        <v>4.8</v>
      </c>
      <c r="I1132" t="s">
        <v>15</v>
      </c>
    </row>
    <row r="1133" spans="1:12" x14ac:dyDescent="0.25">
      <c r="A1133" t="s">
        <v>1931</v>
      </c>
      <c r="B1133">
        <v>95</v>
      </c>
      <c r="C1133">
        <v>48334413</v>
      </c>
      <c r="D1133" t="s">
        <v>1932</v>
      </c>
      <c r="E1133" t="s">
        <v>13</v>
      </c>
      <c r="F1133" t="s">
        <v>1933</v>
      </c>
      <c r="G1133">
        <v>7500000</v>
      </c>
      <c r="H1133">
        <v>5.6</v>
      </c>
      <c r="I1133" t="s">
        <v>34</v>
      </c>
      <c r="J1133" t="s">
        <v>38</v>
      </c>
      <c r="K1133" t="s">
        <v>31</v>
      </c>
      <c r="L1133" t="s">
        <v>24</v>
      </c>
    </row>
    <row r="1134" spans="1:12" x14ac:dyDescent="0.25">
      <c r="A1134" t="s">
        <v>1934</v>
      </c>
      <c r="B1134">
        <v>104</v>
      </c>
      <c r="C1134">
        <v>48334413</v>
      </c>
      <c r="D1134" t="s">
        <v>1935</v>
      </c>
      <c r="E1134" t="s">
        <v>13</v>
      </c>
      <c r="F1134" t="s">
        <v>98</v>
      </c>
      <c r="G1134">
        <v>7500000</v>
      </c>
      <c r="H1134">
        <v>5.0999999999999996</v>
      </c>
      <c r="I1134" t="s">
        <v>34</v>
      </c>
      <c r="J1134" t="s">
        <v>24</v>
      </c>
    </row>
    <row r="1135" spans="1:12" x14ac:dyDescent="0.25">
      <c r="A1135" t="s">
        <v>1936</v>
      </c>
      <c r="B1135">
        <v>109</v>
      </c>
      <c r="C1135">
        <v>48334413</v>
      </c>
      <c r="D1135" t="s">
        <v>1937</v>
      </c>
      <c r="E1135" t="s">
        <v>13</v>
      </c>
      <c r="F1135" t="s">
        <v>1938</v>
      </c>
      <c r="G1135">
        <v>7000000</v>
      </c>
      <c r="H1135">
        <v>6.1</v>
      </c>
      <c r="I1135" t="s">
        <v>34</v>
      </c>
      <c r="J1135" t="s">
        <v>37</v>
      </c>
      <c r="K1135" t="s">
        <v>24</v>
      </c>
    </row>
    <row r="1136" spans="1:12" x14ac:dyDescent="0.25">
      <c r="A1136" t="s">
        <v>731</v>
      </c>
      <c r="B1136">
        <v>100</v>
      </c>
      <c r="C1136">
        <v>48334413</v>
      </c>
      <c r="D1136" t="s">
        <v>1939</v>
      </c>
      <c r="E1136" t="s">
        <v>13</v>
      </c>
      <c r="F1136" t="s">
        <v>98</v>
      </c>
      <c r="G1136">
        <v>7000000</v>
      </c>
      <c r="H1136">
        <v>4.8</v>
      </c>
      <c r="I1136" t="s">
        <v>15</v>
      </c>
      <c r="J1136" t="s">
        <v>31</v>
      </c>
      <c r="K1136" t="s">
        <v>16</v>
      </c>
    </row>
    <row r="1137" spans="1:16" x14ac:dyDescent="0.25">
      <c r="A1137" t="s">
        <v>1940</v>
      </c>
      <c r="B1137">
        <v>177</v>
      </c>
      <c r="C1137">
        <v>48334413</v>
      </c>
      <c r="D1137" t="s">
        <v>1941</v>
      </c>
      <c r="E1137" t="s">
        <v>1609</v>
      </c>
      <c r="F1137" t="s">
        <v>1610</v>
      </c>
      <c r="G1137">
        <v>7000000</v>
      </c>
      <c r="H1137">
        <v>6.7</v>
      </c>
      <c r="I1137" t="s">
        <v>31</v>
      </c>
      <c r="J1137" t="s">
        <v>37</v>
      </c>
    </row>
    <row r="1138" spans="1:16" x14ac:dyDescent="0.25">
      <c r="A1138" t="s">
        <v>1942</v>
      </c>
      <c r="B1138">
        <v>102</v>
      </c>
      <c r="C1138">
        <v>48334413</v>
      </c>
      <c r="D1138" t="s">
        <v>1943</v>
      </c>
      <c r="E1138" t="s">
        <v>13</v>
      </c>
      <c r="F1138" t="s">
        <v>98</v>
      </c>
      <c r="G1138">
        <v>7000000</v>
      </c>
      <c r="H1138">
        <v>7.9</v>
      </c>
      <c r="I1138" t="s">
        <v>34</v>
      </c>
      <c r="J1138" t="s">
        <v>38</v>
      </c>
      <c r="K1138" t="s">
        <v>24</v>
      </c>
    </row>
    <row r="1139" spans="1:16" x14ac:dyDescent="0.25">
      <c r="A1139" t="s">
        <v>1944</v>
      </c>
      <c r="B1139">
        <v>92</v>
      </c>
      <c r="C1139">
        <v>48334413</v>
      </c>
      <c r="D1139" t="s">
        <v>1945</v>
      </c>
      <c r="E1139" t="s">
        <v>1946</v>
      </c>
      <c r="F1139" t="s">
        <v>1007</v>
      </c>
      <c r="G1139">
        <v>7000000</v>
      </c>
      <c r="H1139">
        <v>5.3</v>
      </c>
      <c r="I1139" t="s">
        <v>34</v>
      </c>
      <c r="J1139" t="s">
        <v>38</v>
      </c>
    </row>
    <row r="1140" spans="1:16" x14ac:dyDescent="0.25">
      <c r="A1140" t="s">
        <v>380</v>
      </c>
      <c r="B1140">
        <v>88</v>
      </c>
      <c r="C1140">
        <v>48334413</v>
      </c>
      <c r="D1140" t="s">
        <v>1947</v>
      </c>
      <c r="E1140" t="s">
        <v>13</v>
      </c>
      <c r="F1140" t="s">
        <v>14</v>
      </c>
      <c r="G1140">
        <v>7000000</v>
      </c>
      <c r="H1140">
        <v>4.8</v>
      </c>
      <c r="I1140" t="s">
        <v>15</v>
      </c>
      <c r="J1140" t="s">
        <v>17</v>
      </c>
      <c r="K1140" t="s">
        <v>22</v>
      </c>
      <c r="L1140" t="s">
        <v>23</v>
      </c>
    </row>
    <row r="1141" spans="1:16" x14ac:dyDescent="0.25">
      <c r="A1141" t="s">
        <v>1948</v>
      </c>
      <c r="B1141">
        <v>80</v>
      </c>
      <c r="C1141">
        <v>48334413</v>
      </c>
      <c r="D1141" t="s">
        <v>1949</v>
      </c>
      <c r="E1141" t="s">
        <v>1609</v>
      </c>
      <c r="F1141" t="s">
        <v>1610</v>
      </c>
      <c r="G1141">
        <v>7000000</v>
      </c>
      <c r="H1141">
        <v>5.3</v>
      </c>
      <c r="I1141" t="s">
        <v>28</v>
      </c>
      <c r="J1141" t="s">
        <v>46</v>
      </c>
      <c r="K1141" t="s">
        <v>16</v>
      </c>
    </row>
    <row r="1142" spans="1:16" x14ac:dyDescent="0.25">
      <c r="A1142" t="s">
        <v>1950</v>
      </c>
      <c r="B1142">
        <v>45</v>
      </c>
      <c r="C1142">
        <v>48334413</v>
      </c>
      <c r="D1142" t="s">
        <v>1951</v>
      </c>
      <c r="E1142" t="s">
        <v>13</v>
      </c>
      <c r="F1142" t="s">
        <v>14</v>
      </c>
      <c r="G1142">
        <v>7000000</v>
      </c>
      <c r="H1142">
        <v>6</v>
      </c>
      <c r="I1142" t="s">
        <v>34</v>
      </c>
      <c r="J1142" t="s">
        <v>28</v>
      </c>
      <c r="K1142" t="s">
        <v>46</v>
      </c>
      <c r="L1142" t="s">
        <v>15</v>
      </c>
      <c r="M1142" t="s">
        <v>31</v>
      </c>
      <c r="N1142" t="s">
        <v>16</v>
      </c>
      <c r="O1142" t="s">
        <v>17</v>
      </c>
    </row>
    <row r="1143" spans="1:16" x14ac:dyDescent="0.25">
      <c r="A1143" t="s">
        <v>274</v>
      </c>
      <c r="B1143">
        <v>111</v>
      </c>
      <c r="C1143">
        <v>48334413</v>
      </c>
      <c r="D1143" t="s">
        <v>1952</v>
      </c>
      <c r="E1143" t="s">
        <v>13</v>
      </c>
      <c r="F1143" t="s">
        <v>14</v>
      </c>
      <c r="G1143">
        <v>7000000</v>
      </c>
      <c r="H1143">
        <v>4.8</v>
      </c>
      <c r="I1143" t="s">
        <v>15</v>
      </c>
      <c r="J1143" t="s">
        <v>31</v>
      </c>
      <c r="K1143" t="s">
        <v>16</v>
      </c>
      <c r="L1143" t="s">
        <v>18</v>
      </c>
      <c r="M1143" t="s">
        <v>59</v>
      </c>
      <c r="N1143" t="s">
        <v>19</v>
      </c>
    </row>
    <row r="1144" spans="1:16" x14ac:dyDescent="0.25">
      <c r="A1144" t="s">
        <v>1953</v>
      </c>
      <c r="B1144">
        <v>94</v>
      </c>
      <c r="C1144">
        <v>48334413</v>
      </c>
      <c r="D1144" t="s">
        <v>1954</v>
      </c>
      <c r="E1144" t="s">
        <v>13</v>
      </c>
      <c r="F1144" t="s">
        <v>14</v>
      </c>
      <c r="G1144">
        <v>7000000</v>
      </c>
      <c r="H1144">
        <v>5.8</v>
      </c>
      <c r="I1144" t="s">
        <v>38</v>
      </c>
      <c r="J1144" t="s">
        <v>31</v>
      </c>
      <c r="K1144" t="s">
        <v>24</v>
      </c>
    </row>
    <row r="1145" spans="1:16" x14ac:dyDescent="0.25">
      <c r="A1145" t="s">
        <v>1776</v>
      </c>
      <c r="B1145">
        <v>133</v>
      </c>
      <c r="C1145">
        <v>48334413</v>
      </c>
      <c r="D1145" t="s">
        <v>1955</v>
      </c>
      <c r="E1145" t="s">
        <v>13</v>
      </c>
      <c r="F1145" t="s">
        <v>295</v>
      </c>
      <c r="G1145">
        <v>6700000</v>
      </c>
      <c r="H1145">
        <v>7.9</v>
      </c>
      <c r="I1145" t="s">
        <v>24</v>
      </c>
      <c r="J1145" t="s">
        <v>83</v>
      </c>
    </row>
    <row r="1146" spans="1:16" x14ac:dyDescent="0.25">
      <c r="A1146" t="s">
        <v>388</v>
      </c>
      <c r="B1146">
        <v>115</v>
      </c>
      <c r="C1146">
        <v>48334413</v>
      </c>
      <c r="D1146" t="s">
        <v>1956</v>
      </c>
      <c r="E1146" t="s">
        <v>13</v>
      </c>
      <c r="F1146" t="s">
        <v>14</v>
      </c>
      <c r="G1146">
        <v>6500000</v>
      </c>
      <c r="H1146">
        <v>7.2</v>
      </c>
      <c r="I1146" t="s">
        <v>37</v>
      </c>
      <c r="J1146" t="s">
        <v>24</v>
      </c>
    </row>
    <row r="1147" spans="1:16" x14ac:dyDescent="0.25">
      <c r="A1147" t="s">
        <v>1957</v>
      </c>
      <c r="B1147">
        <v>102</v>
      </c>
      <c r="C1147">
        <v>48334413</v>
      </c>
      <c r="D1147" t="s">
        <v>1958</v>
      </c>
      <c r="E1147" t="s">
        <v>13</v>
      </c>
      <c r="F1147" t="s">
        <v>1472</v>
      </c>
      <c r="G1147">
        <v>6500000</v>
      </c>
      <c r="H1147">
        <v>6.5</v>
      </c>
      <c r="I1147" t="s">
        <v>34</v>
      </c>
      <c r="J1147" t="s">
        <v>28</v>
      </c>
      <c r="K1147" t="s">
        <v>31</v>
      </c>
      <c r="L1147" t="s">
        <v>69</v>
      </c>
      <c r="P1147" t="s">
        <v>24</v>
      </c>
    </row>
    <row r="1148" spans="1:16" x14ac:dyDescent="0.25">
      <c r="A1148" t="s">
        <v>1959</v>
      </c>
      <c r="B1148">
        <v>144</v>
      </c>
      <c r="C1148">
        <v>48334413</v>
      </c>
      <c r="D1148" t="s">
        <v>1960</v>
      </c>
      <c r="E1148" t="s">
        <v>13</v>
      </c>
      <c r="F1148" t="s">
        <v>14</v>
      </c>
      <c r="G1148">
        <v>6244087</v>
      </c>
      <c r="H1148">
        <v>8</v>
      </c>
      <c r="I1148" t="s">
        <v>34</v>
      </c>
      <c r="J1148" t="s">
        <v>28</v>
      </c>
      <c r="K1148" t="s">
        <v>69</v>
      </c>
    </row>
    <row r="1149" spans="1:16" x14ac:dyDescent="0.25">
      <c r="A1149" t="s">
        <v>1961</v>
      </c>
      <c r="B1149">
        <v>117</v>
      </c>
      <c r="C1149">
        <v>48334413</v>
      </c>
      <c r="D1149" t="s">
        <v>1962</v>
      </c>
      <c r="E1149" t="s">
        <v>13</v>
      </c>
      <c r="F1149" t="s">
        <v>82</v>
      </c>
      <c r="G1149">
        <v>6000000</v>
      </c>
      <c r="H1149">
        <v>6.9</v>
      </c>
      <c r="I1149" t="s">
        <v>31</v>
      </c>
      <c r="J1149" t="s">
        <v>24</v>
      </c>
    </row>
    <row r="1150" spans="1:16" x14ac:dyDescent="0.25">
      <c r="A1150" t="s">
        <v>1963</v>
      </c>
      <c r="B1150">
        <v>110</v>
      </c>
      <c r="C1150">
        <v>48334413</v>
      </c>
      <c r="D1150" t="s">
        <v>1964</v>
      </c>
      <c r="E1150" t="s">
        <v>13</v>
      </c>
      <c r="F1150" t="s">
        <v>82</v>
      </c>
      <c r="G1150">
        <v>6000000</v>
      </c>
      <c r="H1150">
        <v>7</v>
      </c>
      <c r="I1150" t="s">
        <v>28</v>
      </c>
      <c r="J1150" t="s">
        <v>38</v>
      </c>
      <c r="K1150" t="s">
        <v>31</v>
      </c>
      <c r="L1150" t="s">
        <v>24</v>
      </c>
    </row>
    <row r="1151" spans="1:16" x14ac:dyDescent="0.25">
      <c r="A1151" t="s">
        <v>1965</v>
      </c>
      <c r="B1151">
        <v>85</v>
      </c>
      <c r="C1151">
        <v>48334413</v>
      </c>
      <c r="D1151" t="s">
        <v>1966</v>
      </c>
      <c r="E1151" t="s">
        <v>13</v>
      </c>
      <c r="F1151" t="s">
        <v>14</v>
      </c>
      <c r="G1151">
        <v>6000000</v>
      </c>
      <c r="H1151">
        <v>7.2</v>
      </c>
      <c r="I1151" t="s">
        <v>15</v>
      </c>
      <c r="J1151" t="s">
        <v>38</v>
      </c>
      <c r="K1151" t="s">
        <v>31</v>
      </c>
    </row>
    <row r="1152" spans="1:16" x14ac:dyDescent="0.25">
      <c r="A1152" t="s">
        <v>1844</v>
      </c>
      <c r="B1152">
        <v>101</v>
      </c>
      <c r="C1152">
        <v>48334413</v>
      </c>
      <c r="D1152" t="s">
        <v>1967</v>
      </c>
      <c r="E1152" t="s">
        <v>13</v>
      </c>
      <c r="F1152" t="s">
        <v>98</v>
      </c>
      <c r="G1152">
        <v>6000000</v>
      </c>
      <c r="H1152">
        <v>7.2</v>
      </c>
      <c r="I1152" t="s">
        <v>31</v>
      </c>
      <c r="J1152" t="s">
        <v>16</v>
      </c>
    </row>
    <row r="1153" spans="1:13" x14ac:dyDescent="0.25">
      <c r="A1153" t="s">
        <v>1968</v>
      </c>
      <c r="B1153">
        <v>90</v>
      </c>
      <c r="C1153">
        <v>48334413</v>
      </c>
      <c r="D1153" t="s">
        <v>1969</v>
      </c>
      <c r="E1153" t="s">
        <v>13</v>
      </c>
      <c r="F1153" t="s">
        <v>14</v>
      </c>
      <c r="G1153">
        <v>6000000</v>
      </c>
      <c r="H1153">
        <v>5.4</v>
      </c>
      <c r="I1153" t="s">
        <v>34</v>
      </c>
      <c r="J1153" t="s">
        <v>24</v>
      </c>
    </row>
    <row r="1154" spans="1:13" x14ac:dyDescent="0.25">
      <c r="A1154" t="s">
        <v>1970</v>
      </c>
      <c r="B1154">
        <v>90</v>
      </c>
      <c r="C1154">
        <v>48334413</v>
      </c>
      <c r="D1154" t="s">
        <v>1971</v>
      </c>
      <c r="E1154" t="s">
        <v>13</v>
      </c>
      <c r="F1154" t="s">
        <v>14</v>
      </c>
      <c r="G1154">
        <v>6000000</v>
      </c>
      <c r="H1154">
        <v>6.5</v>
      </c>
      <c r="I1154" t="s">
        <v>15</v>
      </c>
      <c r="J1154" t="s">
        <v>38</v>
      </c>
      <c r="K1154" t="s">
        <v>24</v>
      </c>
    </row>
    <row r="1155" spans="1:13" x14ac:dyDescent="0.25">
      <c r="A1155" t="s">
        <v>1972</v>
      </c>
      <c r="B1155">
        <v>128</v>
      </c>
      <c r="C1155">
        <v>48334413</v>
      </c>
      <c r="D1155" t="s">
        <v>1973</v>
      </c>
      <c r="E1155" t="s">
        <v>13</v>
      </c>
      <c r="F1155" t="s">
        <v>14</v>
      </c>
      <c r="G1155">
        <v>6000000</v>
      </c>
      <c r="H1155">
        <v>6.7</v>
      </c>
      <c r="I1155" t="s">
        <v>24</v>
      </c>
    </row>
    <row r="1156" spans="1:13" x14ac:dyDescent="0.25">
      <c r="A1156" t="s">
        <v>1819</v>
      </c>
      <c r="B1156">
        <v>89</v>
      </c>
      <c r="C1156">
        <v>48334413</v>
      </c>
      <c r="D1156" t="s">
        <v>1974</v>
      </c>
      <c r="E1156" t="s">
        <v>13</v>
      </c>
      <c r="F1156" t="s">
        <v>98</v>
      </c>
      <c r="G1156">
        <v>5952000</v>
      </c>
      <c r="H1156">
        <v>7.3</v>
      </c>
      <c r="I1156" t="s">
        <v>22</v>
      </c>
      <c r="J1156" t="s">
        <v>23</v>
      </c>
      <c r="K1156" t="s">
        <v>37</v>
      </c>
      <c r="L1156" t="s">
        <v>24</v>
      </c>
    </row>
    <row r="1157" spans="1:13" x14ac:dyDescent="0.25">
      <c r="A1157" t="s">
        <v>154</v>
      </c>
      <c r="B1157">
        <v>105</v>
      </c>
      <c r="C1157">
        <v>48334413</v>
      </c>
      <c r="D1157" t="s">
        <v>1975</v>
      </c>
      <c r="E1157" t="s">
        <v>13</v>
      </c>
      <c r="F1157" t="s">
        <v>14</v>
      </c>
      <c r="G1157">
        <v>5500000</v>
      </c>
      <c r="H1157">
        <v>7.6</v>
      </c>
      <c r="I1157" t="s">
        <v>23</v>
      </c>
      <c r="J1157" t="s">
        <v>69</v>
      </c>
    </row>
    <row r="1158" spans="1:13" x14ac:dyDescent="0.25">
      <c r="A1158" t="s">
        <v>1976</v>
      </c>
      <c r="B1158">
        <v>129</v>
      </c>
      <c r="C1158">
        <v>48334413</v>
      </c>
      <c r="D1158" t="s">
        <v>1977</v>
      </c>
      <c r="E1158" t="s">
        <v>13</v>
      </c>
      <c r="F1158" t="s">
        <v>1213</v>
      </c>
      <c r="G1158">
        <v>5500000</v>
      </c>
      <c r="H1158">
        <v>5.6</v>
      </c>
      <c r="I1158" t="s">
        <v>31</v>
      </c>
      <c r="J1158" t="s">
        <v>19</v>
      </c>
    </row>
    <row r="1159" spans="1:13" x14ac:dyDescent="0.25">
      <c r="A1159" t="s">
        <v>125</v>
      </c>
      <c r="B1159">
        <v>103</v>
      </c>
      <c r="C1159">
        <v>48334413</v>
      </c>
      <c r="D1159" t="s">
        <v>1978</v>
      </c>
      <c r="E1159" t="s">
        <v>13</v>
      </c>
      <c r="F1159" t="s">
        <v>14</v>
      </c>
      <c r="G1159">
        <v>5100000</v>
      </c>
      <c r="H1159">
        <v>7.3</v>
      </c>
      <c r="I1159" t="s">
        <v>31</v>
      </c>
      <c r="J1159" t="s">
        <v>17</v>
      </c>
      <c r="K1159" t="s">
        <v>19</v>
      </c>
    </row>
    <row r="1160" spans="1:13" x14ac:dyDescent="0.25">
      <c r="A1160" t="s">
        <v>1979</v>
      </c>
      <c r="B1160">
        <v>107</v>
      </c>
      <c r="C1160">
        <v>48334413</v>
      </c>
      <c r="D1160" t="s">
        <v>1980</v>
      </c>
      <c r="E1160" t="s">
        <v>1277</v>
      </c>
      <c r="F1160" t="s">
        <v>241</v>
      </c>
      <c r="G1160">
        <v>5000000</v>
      </c>
      <c r="H1160">
        <v>7.6</v>
      </c>
      <c r="I1160" t="s">
        <v>31</v>
      </c>
      <c r="J1160" t="s">
        <v>24</v>
      </c>
    </row>
    <row r="1161" spans="1:13" x14ac:dyDescent="0.25">
      <c r="A1161" t="s">
        <v>1981</v>
      </c>
      <c r="B1161">
        <v>113</v>
      </c>
      <c r="C1161">
        <v>48334413</v>
      </c>
      <c r="D1161" t="s">
        <v>1982</v>
      </c>
      <c r="E1161" t="s">
        <v>13</v>
      </c>
      <c r="F1161" t="s">
        <v>82</v>
      </c>
      <c r="G1161">
        <v>5000000</v>
      </c>
      <c r="H1161">
        <v>7.1</v>
      </c>
      <c r="I1161" t="s">
        <v>15</v>
      </c>
      <c r="J1161" t="s">
        <v>38</v>
      </c>
      <c r="K1161" t="s">
        <v>23</v>
      </c>
    </row>
    <row r="1162" spans="1:13" x14ac:dyDescent="0.25">
      <c r="A1162" t="s">
        <v>1713</v>
      </c>
      <c r="B1162">
        <v>127</v>
      </c>
      <c r="C1162">
        <v>48334413</v>
      </c>
      <c r="D1162" t="s">
        <v>1983</v>
      </c>
      <c r="E1162" t="s">
        <v>13</v>
      </c>
      <c r="F1162" t="s">
        <v>14</v>
      </c>
      <c r="G1162">
        <v>5000000</v>
      </c>
      <c r="H1162">
        <v>7.2</v>
      </c>
      <c r="I1162" t="s">
        <v>28</v>
      </c>
      <c r="J1162" t="s">
        <v>31</v>
      </c>
      <c r="K1162" t="s">
        <v>16</v>
      </c>
      <c r="L1162" t="s">
        <v>17</v>
      </c>
      <c r="M1162" t="s">
        <v>37</v>
      </c>
    </row>
    <row r="1163" spans="1:13" x14ac:dyDescent="0.25">
      <c r="A1163" t="s">
        <v>1984</v>
      </c>
      <c r="B1163">
        <v>124</v>
      </c>
      <c r="C1163">
        <v>48334413</v>
      </c>
      <c r="D1163" t="s">
        <v>1985</v>
      </c>
      <c r="E1163" t="s">
        <v>13</v>
      </c>
      <c r="F1163" t="s">
        <v>14</v>
      </c>
      <c r="G1163">
        <v>5000000</v>
      </c>
      <c r="H1163">
        <v>8.1999999999999993</v>
      </c>
      <c r="I1163" t="s">
        <v>42</v>
      </c>
      <c r="J1163" t="s">
        <v>31</v>
      </c>
    </row>
    <row r="1164" spans="1:13" x14ac:dyDescent="0.25">
      <c r="A1164" t="s">
        <v>1986</v>
      </c>
      <c r="B1164">
        <v>129</v>
      </c>
      <c r="C1164">
        <v>48334413</v>
      </c>
      <c r="D1164" t="s">
        <v>1987</v>
      </c>
      <c r="E1164" t="s">
        <v>13</v>
      </c>
      <c r="F1164" t="s">
        <v>14</v>
      </c>
      <c r="G1164">
        <v>5000000</v>
      </c>
      <c r="H1164">
        <v>6.7</v>
      </c>
      <c r="I1164" t="s">
        <v>42</v>
      </c>
      <c r="J1164" t="s">
        <v>31</v>
      </c>
    </row>
    <row r="1165" spans="1:13" x14ac:dyDescent="0.25">
      <c r="A1165" t="s">
        <v>1988</v>
      </c>
      <c r="B1165">
        <v>139</v>
      </c>
      <c r="C1165">
        <v>48334413</v>
      </c>
      <c r="D1165" t="s">
        <v>1989</v>
      </c>
      <c r="E1165" t="s">
        <v>13</v>
      </c>
      <c r="F1165" t="s">
        <v>14</v>
      </c>
      <c r="G1165">
        <v>5000000</v>
      </c>
      <c r="H1165">
        <v>6.6</v>
      </c>
      <c r="I1165" t="s">
        <v>31</v>
      </c>
      <c r="J1165" t="s">
        <v>64</v>
      </c>
    </row>
    <row r="1166" spans="1:13" x14ac:dyDescent="0.25">
      <c r="A1166" t="s">
        <v>1990</v>
      </c>
      <c r="B1166">
        <v>99</v>
      </c>
      <c r="C1166">
        <v>48334413</v>
      </c>
      <c r="D1166" t="s">
        <v>1991</v>
      </c>
      <c r="E1166" t="s">
        <v>13</v>
      </c>
      <c r="F1166" t="s">
        <v>14</v>
      </c>
      <c r="G1166">
        <v>5000000</v>
      </c>
      <c r="H1166">
        <v>6.4</v>
      </c>
      <c r="I1166" t="s">
        <v>34</v>
      </c>
      <c r="J1166" t="s">
        <v>38</v>
      </c>
      <c r="K1166" t="s">
        <v>24</v>
      </c>
    </row>
    <row r="1167" spans="1:13" x14ac:dyDescent="0.25">
      <c r="A1167" t="s">
        <v>1992</v>
      </c>
      <c r="B1167">
        <v>141</v>
      </c>
      <c r="C1167">
        <v>48334413</v>
      </c>
      <c r="D1167" t="s">
        <v>1993</v>
      </c>
      <c r="E1167" t="s">
        <v>13</v>
      </c>
      <c r="F1167" t="s">
        <v>14</v>
      </c>
      <c r="G1167">
        <v>5000000</v>
      </c>
      <c r="H1167">
        <v>6.2</v>
      </c>
      <c r="I1167" t="s">
        <v>31</v>
      </c>
      <c r="J1167" t="s">
        <v>64</v>
      </c>
      <c r="K1167" t="s">
        <v>19</v>
      </c>
      <c r="L1167" t="s">
        <v>83</v>
      </c>
    </row>
    <row r="1168" spans="1:13" x14ac:dyDescent="0.25">
      <c r="A1168" t="s">
        <v>57</v>
      </c>
      <c r="B1168">
        <v>106</v>
      </c>
      <c r="C1168">
        <v>48334413</v>
      </c>
      <c r="D1168" t="s">
        <v>1994</v>
      </c>
      <c r="E1168" t="s">
        <v>13</v>
      </c>
      <c r="F1168" t="s">
        <v>14</v>
      </c>
      <c r="G1168">
        <v>5000000</v>
      </c>
      <c r="H1168">
        <v>6.6</v>
      </c>
      <c r="I1168" t="s">
        <v>28</v>
      </c>
      <c r="J1168" t="s">
        <v>31</v>
      </c>
      <c r="K1168" t="s">
        <v>19</v>
      </c>
    </row>
    <row r="1169" spans="1:12" x14ac:dyDescent="0.25">
      <c r="A1169" t="s">
        <v>1107</v>
      </c>
      <c r="B1169">
        <v>126</v>
      </c>
      <c r="C1169">
        <v>48334413</v>
      </c>
      <c r="D1169" t="s">
        <v>1995</v>
      </c>
      <c r="E1169" t="s">
        <v>13</v>
      </c>
      <c r="F1169" t="s">
        <v>82</v>
      </c>
      <c r="G1169">
        <v>5000000</v>
      </c>
      <c r="H1169">
        <v>6.3</v>
      </c>
      <c r="I1169" t="s">
        <v>34</v>
      </c>
      <c r="J1169" t="s">
        <v>31</v>
      </c>
      <c r="K1169" t="s">
        <v>83</v>
      </c>
    </row>
    <row r="1170" spans="1:12" x14ac:dyDescent="0.25">
      <c r="A1170" t="s">
        <v>1996</v>
      </c>
      <c r="B1170">
        <v>145</v>
      </c>
      <c r="C1170">
        <v>48334413</v>
      </c>
      <c r="D1170" t="s">
        <v>1997</v>
      </c>
      <c r="E1170" t="s">
        <v>13</v>
      </c>
      <c r="F1170" t="s">
        <v>1342</v>
      </c>
      <c r="G1170">
        <v>5000000</v>
      </c>
      <c r="H1170">
        <v>8.6</v>
      </c>
      <c r="I1170" t="s">
        <v>69</v>
      </c>
    </row>
    <row r="1171" spans="1:12" x14ac:dyDescent="0.25">
      <c r="A1171" t="s">
        <v>1998</v>
      </c>
      <c r="B1171">
        <v>87</v>
      </c>
      <c r="C1171">
        <v>48334413</v>
      </c>
      <c r="D1171" t="s">
        <v>1999</v>
      </c>
      <c r="E1171" t="s">
        <v>13</v>
      </c>
      <c r="F1171" t="s">
        <v>14</v>
      </c>
      <c r="G1171">
        <v>5000000</v>
      </c>
      <c r="H1171">
        <v>6.2</v>
      </c>
      <c r="I1171" t="s">
        <v>15</v>
      </c>
      <c r="J1171" t="s">
        <v>18</v>
      </c>
      <c r="K1171" t="s">
        <v>37</v>
      </c>
    </row>
    <row r="1172" spans="1:12" x14ac:dyDescent="0.25">
      <c r="A1172" t="s">
        <v>2000</v>
      </c>
      <c r="B1172">
        <v>88</v>
      </c>
      <c r="C1172">
        <v>48334413</v>
      </c>
      <c r="D1172" t="s">
        <v>2001</v>
      </c>
      <c r="E1172" t="s">
        <v>13</v>
      </c>
      <c r="F1172" t="s">
        <v>14</v>
      </c>
      <c r="G1172">
        <v>5000000</v>
      </c>
      <c r="H1172">
        <v>5.6</v>
      </c>
      <c r="I1172" t="s">
        <v>15</v>
      </c>
      <c r="J1172" t="s">
        <v>31</v>
      </c>
      <c r="K1172" t="s">
        <v>19</v>
      </c>
    </row>
    <row r="1173" spans="1:12" x14ac:dyDescent="0.25">
      <c r="A1173" t="s">
        <v>2002</v>
      </c>
      <c r="B1173">
        <v>95</v>
      </c>
      <c r="C1173">
        <v>48334413</v>
      </c>
      <c r="D1173" t="s">
        <v>2003</v>
      </c>
      <c r="E1173" t="s">
        <v>13</v>
      </c>
      <c r="F1173" t="s">
        <v>98</v>
      </c>
      <c r="G1173">
        <v>5000000</v>
      </c>
      <c r="H1173">
        <v>4.5999999999999996</v>
      </c>
      <c r="I1173" t="s">
        <v>15</v>
      </c>
      <c r="J1173" t="s">
        <v>22</v>
      </c>
      <c r="K1173" t="s">
        <v>37</v>
      </c>
    </row>
    <row r="1174" spans="1:12" x14ac:dyDescent="0.25">
      <c r="A1174" t="s">
        <v>65</v>
      </c>
      <c r="B1174">
        <v>91</v>
      </c>
      <c r="C1174">
        <v>48334413</v>
      </c>
      <c r="D1174" t="s">
        <v>2004</v>
      </c>
      <c r="E1174" t="s">
        <v>13</v>
      </c>
      <c r="F1174" t="s">
        <v>14</v>
      </c>
      <c r="G1174">
        <v>5000000</v>
      </c>
      <c r="H1174">
        <v>4.2</v>
      </c>
      <c r="I1174" t="s">
        <v>22</v>
      </c>
      <c r="J1174" t="s">
        <v>37</v>
      </c>
      <c r="K1174" t="s">
        <v>24</v>
      </c>
    </row>
    <row r="1175" spans="1:12" x14ac:dyDescent="0.25">
      <c r="A1175" t="s">
        <v>2005</v>
      </c>
      <c r="B1175">
        <v>102</v>
      </c>
      <c r="C1175">
        <v>48334413</v>
      </c>
      <c r="D1175" t="s">
        <v>2006</v>
      </c>
      <c r="E1175" t="s">
        <v>1498</v>
      </c>
      <c r="F1175" t="s">
        <v>910</v>
      </c>
      <c r="G1175">
        <v>5000000</v>
      </c>
      <c r="H1175">
        <v>7.2</v>
      </c>
      <c r="I1175" t="s">
        <v>31</v>
      </c>
      <c r="J1175" t="s">
        <v>22</v>
      </c>
      <c r="K1175" t="s">
        <v>24</v>
      </c>
    </row>
    <row r="1176" spans="1:12" x14ac:dyDescent="0.25">
      <c r="A1176" t="s">
        <v>378</v>
      </c>
      <c r="B1176">
        <v>87</v>
      </c>
      <c r="C1176">
        <v>48334413</v>
      </c>
      <c r="D1176" t="s">
        <v>2007</v>
      </c>
      <c r="E1176" t="s">
        <v>13</v>
      </c>
      <c r="F1176" t="s">
        <v>14</v>
      </c>
      <c r="G1176">
        <v>5000000</v>
      </c>
      <c r="H1176">
        <v>6.1</v>
      </c>
      <c r="I1176" t="s">
        <v>15</v>
      </c>
      <c r="J1176" t="s">
        <v>31</v>
      </c>
      <c r="K1176" t="s">
        <v>17</v>
      </c>
    </row>
    <row r="1177" spans="1:12" x14ac:dyDescent="0.25">
      <c r="A1177" t="s">
        <v>2008</v>
      </c>
      <c r="B1177">
        <v>87</v>
      </c>
      <c r="C1177">
        <v>48334413</v>
      </c>
      <c r="D1177" t="s">
        <v>2009</v>
      </c>
      <c r="E1177" t="s">
        <v>13</v>
      </c>
      <c r="F1177" t="s">
        <v>14</v>
      </c>
      <c r="G1177">
        <v>5000000</v>
      </c>
      <c r="H1177">
        <v>5.5</v>
      </c>
      <c r="I1177" t="s">
        <v>38</v>
      </c>
      <c r="J1177" t="s">
        <v>31</v>
      </c>
      <c r="K1177" t="s">
        <v>24</v>
      </c>
    </row>
    <row r="1178" spans="1:12" x14ac:dyDescent="0.25">
      <c r="A1178" t="s">
        <v>1711</v>
      </c>
      <c r="B1178">
        <v>94</v>
      </c>
      <c r="C1178">
        <v>48334413</v>
      </c>
      <c r="D1178" t="s">
        <v>2010</v>
      </c>
      <c r="E1178" t="s">
        <v>13</v>
      </c>
      <c r="F1178" t="s">
        <v>2011</v>
      </c>
      <c r="G1178">
        <v>5000000</v>
      </c>
      <c r="H1178">
        <v>4.4000000000000004</v>
      </c>
      <c r="I1178" t="s">
        <v>31</v>
      </c>
      <c r="J1178" t="s">
        <v>24</v>
      </c>
    </row>
    <row r="1179" spans="1:12" x14ac:dyDescent="0.25">
      <c r="A1179" t="s">
        <v>2012</v>
      </c>
      <c r="B1179">
        <v>109</v>
      </c>
      <c r="C1179">
        <v>48334413</v>
      </c>
      <c r="D1179" t="s">
        <v>2013</v>
      </c>
      <c r="E1179" t="s">
        <v>13</v>
      </c>
      <c r="F1179" t="s">
        <v>82</v>
      </c>
      <c r="G1179">
        <v>5000000</v>
      </c>
      <c r="H1179">
        <v>4.4000000000000004</v>
      </c>
      <c r="I1179" t="s">
        <v>34</v>
      </c>
      <c r="J1179" t="s">
        <v>31</v>
      </c>
      <c r="K1179" t="s">
        <v>24</v>
      </c>
      <c r="L1179" t="s">
        <v>83</v>
      </c>
    </row>
    <row r="1180" spans="1:12" x14ac:dyDescent="0.25">
      <c r="A1180" t="s">
        <v>679</v>
      </c>
      <c r="B1180">
        <v>130</v>
      </c>
      <c r="C1180">
        <v>48334413</v>
      </c>
      <c r="D1180" t="s">
        <v>2014</v>
      </c>
      <c r="E1180" t="s">
        <v>13</v>
      </c>
      <c r="F1180" t="s">
        <v>14</v>
      </c>
      <c r="G1180">
        <v>5000000</v>
      </c>
      <c r="H1180">
        <v>6.8</v>
      </c>
      <c r="I1180" t="s">
        <v>34</v>
      </c>
      <c r="J1180" t="s">
        <v>37</v>
      </c>
      <c r="K1180" t="s">
        <v>24</v>
      </c>
    </row>
    <row r="1181" spans="1:12" x14ac:dyDescent="0.25">
      <c r="A1181" t="s">
        <v>2015</v>
      </c>
      <c r="B1181">
        <v>107</v>
      </c>
      <c r="C1181">
        <v>48334413</v>
      </c>
      <c r="D1181" t="s">
        <v>2016</v>
      </c>
      <c r="E1181" t="s">
        <v>13</v>
      </c>
      <c r="F1181" t="s">
        <v>14</v>
      </c>
      <c r="G1181">
        <v>5000000</v>
      </c>
      <c r="H1181">
        <v>6.7</v>
      </c>
      <c r="I1181" t="s">
        <v>15</v>
      </c>
      <c r="J1181" t="s">
        <v>31</v>
      </c>
    </row>
    <row r="1182" spans="1:12" x14ac:dyDescent="0.25">
      <c r="A1182" t="s">
        <v>2017</v>
      </c>
      <c r="B1182">
        <v>88</v>
      </c>
      <c r="C1182">
        <v>48334413</v>
      </c>
      <c r="D1182" t="s">
        <v>2018</v>
      </c>
      <c r="E1182" t="s">
        <v>13</v>
      </c>
      <c r="F1182" t="s">
        <v>14</v>
      </c>
      <c r="G1182">
        <v>5000000</v>
      </c>
      <c r="H1182">
        <v>8.6</v>
      </c>
      <c r="I1182" t="s">
        <v>16</v>
      </c>
    </row>
    <row r="1183" spans="1:12" x14ac:dyDescent="0.25">
      <c r="A1183" t="s">
        <v>2019</v>
      </c>
      <c r="B1183">
        <v>88</v>
      </c>
      <c r="C1183">
        <v>48334413</v>
      </c>
      <c r="D1183" t="s">
        <v>2020</v>
      </c>
      <c r="E1183" t="s">
        <v>13</v>
      </c>
      <c r="F1183" t="s">
        <v>14</v>
      </c>
      <c r="G1183">
        <v>5000000</v>
      </c>
      <c r="H1183">
        <v>4.8</v>
      </c>
      <c r="I1183" t="s">
        <v>15</v>
      </c>
      <c r="J1183" t="s">
        <v>17</v>
      </c>
      <c r="K1183" t="s">
        <v>22</v>
      </c>
      <c r="L1183" t="s">
        <v>24</v>
      </c>
    </row>
    <row r="1184" spans="1:12" x14ac:dyDescent="0.25">
      <c r="A1184" t="s">
        <v>2021</v>
      </c>
      <c r="B1184">
        <v>82</v>
      </c>
      <c r="C1184">
        <v>48334413</v>
      </c>
      <c r="D1184" t="s">
        <v>2022</v>
      </c>
      <c r="E1184" t="s">
        <v>13</v>
      </c>
      <c r="F1184" t="s">
        <v>14</v>
      </c>
      <c r="G1184">
        <v>5000000</v>
      </c>
      <c r="H1184">
        <v>5.4</v>
      </c>
      <c r="I1184" t="s">
        <v>15</v>
      </c>
      <c r="J1184" t="s">
        <v>38</v>
      </c>
    </row>
    <row r="1185" spans="1:13" x14ac:dyDescent="0.25">
      <c r="A1185" t="s">
        <v>2023</v>
      </c>
      <c r="B1185">
        <v>89</v>
      </c>
      <c r="C1185">
        <v>48334413</v>
      </c>
      <c r="D1185" t="s">
        <v>2024</v>
      </c>
      <c r="E1185" t="s">
        <v>13</v>
      </c>
      <c r="F1185" t="s">
        <v>98</v>
      </c>
      <c r="G1185">
        <v>5000000</v>
      </c>
      <c r="H1185">
        <v>5.3</v>
      </c>
      <c r="I1185" t="s">
        <v>69</v>
      </c>
    </row>
    <row r="1186" spans="1:13" x14ac:dyDescent="0.25">
      <c r="A1186" t="s">
        <v>2025</v>
      </c>
      <c r="B1186">
        <v>88</v>
      </c>
      <c r="C1186">
        <v>48334413</v>
      </c>
      <c r="D1186" t="s">
        <v>2026</v>
      </c>
      <c r="E1186" t="s">
        <v>13</v>
      </c>
      <c r="F1186" t="s">
        <v>14</v>
      </c>
      <c r="G1186">
        <v>5000000</v>
      </c>
      <c r="H1186">
        <v>3.5</v>
      </c>
      <c r="I1186" t="s">
        <v>34</v>
      </c>
      <c r="J1186" t="s">
        <v>24</v>
      </c>
    </row>
    <row r="1187" spans="1:13" x14ac:dyDescent="0.25">
      <c r="A1187" t="s">
        <v>2027</v>
      </c>
      <c r="B1187">
        <v>112</v>
      </c>
      <c r="C1187">
        <v>48334413</v>
      </c>
      <c r="D1187" t="s">
        <v>2028</v>
      </c>
      <c r="E1187" t="s">
        <v>13</v>
      </c>
      <c r="F1187" t="s">
        <v>2029</v>
      </c>
      <c r="G1187">
        <v>5000000</v>
      </c>
      <c r="H1187">
        <v>7.1</v>
      </c>
      <c r="I1187" t="s">
        <v>15</v>
      </c>
      <c r="J1187" t="s">
        <v>31</v>
      </c>
    </row>
    <row r="1188" spans="1:13" x14ac:dyDescent="0.25">
      <c r="A1188" t="s">
        <v>1230</v>
      </c>
      <c r="B1188">
        <v>60</v>
      </c>
      <c r="C1188">
        <v>48334413</v>
      </c>
      <c r="D1188" t="s">
        <v>2030</v>
      </c>
      <c r="E1188" t="s">
        <v>13</v>
      </c>
      <c r="F1188" t="s">
        <v>14</v>
      </c>
      <c r="G1188">
        <v>5000000</v>
      </c>
      <c r="H1188">
        <v>7.7</v>
      </c>
      <c r="I1188" t="s">
        <v>31</v>
      </c>
      <c r="J1188" t="s">
        <v>37</v>
      </c>
    </row>
    <row r="1189" spans="1:13" x14ac:dyDescent="0.25">
      <c r="A1189" t="s">
        <v>1713</v>
      </c>
      <c r="B1189">
        <v>127</v>
      </c>
      <c r="C1189">
        <v>48334413</v>
      </c>
      <c r="D1189" t="s">
        <v>1983</v>
      </c>
      <c r="E1189" t="s">
        <v>13</v>
      </c>
      <c r="F1189" t="s">
        <v>14</v>
      </c>
      <c r="G1189">
        <v>5000000</v>
      </c>
      <c r="H1189">
        <v>7.2</v>
      </c>
      <c r="I1189" t="s">
        <v>28</v>
      </c>
      <c r="J1189" t="s">
        <v>31</v>
      </c>
      <c r="K1189" t="s">
        <v>16</v>
      </c>
      <c r="L1189" t="s">
        <v>17</v>
      </c>
      <c r="M1189" t="s">
        <v>37</v>
      </c>
    </row>
    <row r="1190" spans="1:13" x14ac:dyDescent="0.25">
      <c r="A1190" t="s">
        <v>2031</v>
      </c>
      <c r="B1190">
        <v>87</v>
      </c>
      <c r="C1190">
        <v>48334413</v>
      </c>
      <c r="D1190" t="s">
        <v>2032</v>
      </c>
      <c r="E1190" t="s">
        <v>13</v>
      </c>
      <c r="F1190" t="s">
        <v>14</v>
      </c>
      <c r="G1190">
        <v>4700000</v>
      </c>
      <c r="H1190">
        <v>3.2</v>
      </c>
      <c r="I1190" t="s">
        <v>15</v>
      </c>
    </row>
    <row r="1191" spans="1:13" x14ac:dyDescent="0.25">
      <c r="A1191" t="s">
        <v>2033</v>
      </c>
      <c r="B1191">
        <v>92</v>
      </c>
      <c r="C1191">
        <v>48334413</v>
      </c>
      <c r="D1191" t="s">
        <v>2034</v>
      </c>
      <c r="E1191" t="s">
        <v>13</v>
      </c>
      <c r="F1191" t="s">
        <v>1901</v>
      </c>
      <c r="G1191">
        <v>4700000</v>
      </c>
      <c r="H1191">
        <v>6.2</v>
      </c>
      <c r="I1191" t="s">
        <v>15</v>
      </c>
      <c r="J1191" t="s">
        <v>31</v>
      </c>
    </row>
    <row r="1192" spans="1:13" x14ac:dyDescent="0.25">
      <c r="A1192" t="s">
        <v>1959</v>
      </c>
      <c r="B1192">
        <v>106</v>
      </c>
      <c r="C1192">
        <v>48334413</v>
      </c>
      <c r="D1192" t="s">
        <v>2035</v>
      </c>
      <c r="E1192" t="s">
        <v>13</v>
      </c>
      <c r="F1192" t="s">
        <v>14</v>
      </c>
      <c r="G1192">
        <v>4638783</v>
      </c>
      <c r="H1192">
        <v>7.4</v>
      </c>
      <c r="I1192" t="s">
        <v>42</v>
      </c>
      <c r="J1192" t="s">
        <v>31</v>
      </c>
      <c r="K1192" t="s">
        <v>19</v>
      </c>
      <c r="L1192" t="s">
        <v>69</v>
      </c>
    </row>
    <row r="1193" spans="1:13" x14ac:dyDescent="0.25">
      <c r="A1193" t="s">
        <v>2036</v>
      </c>
      <c r="B1193">
        <v>104</v>
      </c>
      <c r="C1193">
        <v>48334413</v>
      </c>
      <c r="D1193" t="s">
        <v>2037</v>
      </c>
      <c r="E1193" t="s">
        <v>13</v>
      </c>
      <c r="F1193" t="s">
        <v>14</v>
      </c>
      <c r="G1193">
        <v>4500000</v>
      </c>
      <c r="H1193">
        <v>5.7</v>
      </c>
      <c r="I1193" t="s">
        <v>28</v>
      </c>
      <c r="J1193" t="s">
        <v>31</v>
      </c>
      <c r="K1193" t="s">
        <v>19</v>
      </c>
    </row>
    <row r="1194" spans="1:13" x14ac:dyDescent="0.25">
      <c r="A1194" t="s">
        <v>923</v>
      </c>
      <c r="B1194">
        <v>90</v>
      </c>
      <c r="C1194">
        <v>48334413</v>
      </c>
      <c r="D1194" t="s">
        <v>2038</v>
      </c>
      <c r="E1194" t="s">
        <v>13</v>
      </c>
      <c r="F1194" t="s">
        <v>14</v>
      </c>
      <c r="G1194">
        <v>4500000</v>
      </c>
      <c r="H1194">
        <v>7.2</v>
      </c>
      <c r="I1194" t="s">
        <v>15</v>
      </c>
      <c r="J1194" t="s">
        <v>31</v>
      </c>
    </row>
    <row r="1195" spans="1:13" x14ac:dyDescent="0.25">
      <c r="A1195" t="s">
        <v>2039</v>
      </c>
      <c r="B1195">
        <v>115</v>
      </c>
      <c r="C1195">
        <v>48334413</v>
      </c>
      <c r="D1195" t="s">
        <v>2040</v>
      </c>
      <c r="E1195" t="s">
        <v>13</v>
      </c>
      <c r="F1195" t="s">
        <v>14</v>
      </c>
      <c r="G1195">
        <v>4500000</v>
      </c>
      <c r="H1195">
        <v>7.4</v>
      </c>
      <c r="I1195" t="s">
        <v>28</v>
      </c>
      <c r="J1195" t="s">
        <v>31</v>
      </c>
    </row>
    <row r="1196" spans="1:13" x14ac:dyDescent="0.25">
      <c r="A1196" t="s">
        <v>519</v>
      </c>
      <c r="B1196">
        <v>122</v>
      </c>
      <c r="C1196">
        <v>48334413</v>
      </c>
      <c r="D1196" t="s">
        <v>2041</v>
      </c>
      <c r="E1196" t="s">
        <v>13</v>
      </c>
      <c r="F1196" t="s">
        <v>82</v>
      </c>
      <c r="G1196">
        <v>4500000</v>
      </c>
      <c r="H1196">
        <v>7.5</v>
      </c>
      <c r="I1196" t="s">
        <v>31</v>
      </c>
      <c r="J1196" t="s">
        <v>64</v>
      </c>
      <c r="K1196" t="s">
        <v>24</v>
      </c>
      <c r="L1196" t="s">
        <v>83</v>
      </c>
    </row>
    <row r="1197" spans="1:13" x14ac:dyDescent="0.25">
      <c r="A1197" t="s">
        <v>2042</v>
      </c>
      <c r="B1197">
        <v>112</v>
      </c>
      <c r="C1197">
        <v>48334413</v>
      </c>
      <c r="D1197" t="s">
        <v>2043</v>
      </c>
      <c r="E1197" t="s">
        <v>1277</v>
      </c>
      <c r="F1197" t="s">
        <v>1606</v>
      </c>
      <c r="G1197">
        <v>4500000</v>
      </c>
      <c r="H1197">
        <v>6.2</v>
      </c>
      <c r="I1197" t="s">
        <v>23</v>
      </c>
      <c r="J1197" t="s">
        <v>37</v>
      </c>
      <c r="K1197" t="s">
        <v>24</v>
      </c>
    </row>
    <row r="1198" spans="1:13" x14ac:dyDescent="0.25">
      <c r="A1198" t="s">
        <v>2044</v>
      </c>
      <c r="B1198">
        <v>86</v>
      </c>
      <c r="C1198">
        <v>48334413</v>
      </c>
      <c r="D1198" t="s">
        <v>2045</v>
      </c>
      <c r="E1198" t="s">
        <v>13</v>
      </c>
      <c r="F1198" t="s">
        <v>14</v>
      </c>
      <c r="G1198">
        <v>4500000</v>
      </c>
      <c r="H1198">
        <v>4.3</v>
      </c>
      <c r="I1198" t="s">
        <v>15</v>
      </c>
      <c r="J1198" t="s">
        <v>22</v>
      </c>
    </row>
    <row r="1199" spans="1:13" x14ac:dyDescent="0.25">
      <c r="A1199" t="s">
        <v>2046</v>
      </c>
      <c r="B1199">
        <v>103</v>
      </c>
      <c r="C1199">
        <v>48334413</v>
      </c>
      <c r="D1199" t="s">
        <v>2047</v>
      </c>
      <c r="E1199" t="s">
        <v>13</v>
      </c>
      <c r="F1199" t="s">
        <v>14</v>
      </c>
      <c r="G1199">
        <v>4500000</v>
      </c>
      <c r="H1199">
        <v>5.7</v>
      </c>
      <c r="I1199" t="s">
        <v>31</v>
      </c>
      <c r="J1199" t="s">
        <v>24</v>
      </c>
    </row>
    <row r="1200" spans="1:13" x14ac:dyDescent="0.25">
      <c r="A1200" t="s">
        <v>1972</v>
      </c>
      <c r="B1200">
        <v>120</v>
      </c>
      <c r="C1200">
        <v>48334413</v>
      </c>
      <c r="D1200" t="s">
        <v>2048</v>
      </c>
      <c r="E1200" t="s">
        <v>13</v>
      </c>
      <c r="F1200" t="s">
        <v>14</v>
      </c>
      <c r="G1200">
        <v>4490375</v>
      </c>
      <c r="H1200">
        <v>6.8</v>
      </c>
      <c r="I1200" t="s">
        <v>15</v>
      </c>
      <c r="J1200" t="s">
        <v>24</v>
      </c>
    </row>
    <row r="1201" spans="1:14" x14ac:dyDescent="0.25">
      <c r="A1201" t="s">
        <v>2049</v>
      </c>
      <c r="B1201">
        <v>85</v>
      </c>
      <c r="C1201">
        <v>48334413</v>
      </c>
      <c r="D1201" t="s">
        <v>2050</v>
      </c>
      <c r="E1201" t="s">
        <v>13</v>
      </c>
      <c r="F1201" t="s">
        <v>14</v>
      </c>
      <c r="G1201">
        <v>4400000</v>
      </c>
      <c r="H1201">
        <v>5.9</v>
      </c>
      <c r="I1201" t="s">
        <v>15</v>
      </c>
    </row>
    <row r="1202" spans="1:14" x14ac:dyDescent="0.25">
      <c r="A1202" t="s">
        <v>317</v>
      </c>
      <c r="B1202">
        <v>87</v>
      </c>
      <c r="C1202">
        <v>48334413</v>
      </c>
      <c r="D1202" t="s">
        <v>2051</v>
      </c>
      <c r="E1202" t="s">
        <v>13</v>
      </c>
      <c r="F1202" t="s">
        <v>14</v>
      </c>
      <c r="G1202">
        <v>4400000</v>
      </c>
      <c r="H1202">
        <v>6.7</v>
      </c>
      <c r="I1202" t="s">
        <v>15</v>
      </c>
      <c r="J1202" t="s">
        <v>19</v>
      </c>
    </row>
    <row r="1203" spans="1:14" x14ac:dyDescent="0.25">
      <c r="A1203" t="s">
        <v>2052</v>
      </c>
      <c r="B1203">
        <v>130</v>
      </c>
      <c r="C1203">
        <v>48334413</v>
      </c>
      <c r="D1203" t="s">
        <v>2053</v>
      </c>
      <c r="E1203" t="s">
        <v>1409</v>
      </c>
      <c r="F1203" t="s">
        <v>1296</v>
      </c>
      <c r="G1203">
        <v>4400000</v>
      </c>
      <c r="H1203">
        <v>8.5</v>
      </c>
      <c r="I1203" t="s">
        <v>34</v>
      </c>
      <c r="J1203" t="s">
        <v>31</v>
      </c>
      <c r="K1203" t="s">
        <v>64</v>
      </c>
      <c r="L1203" t="s">
        <v>24</v>
      </c>
      <c r="M1203" t="s">
        <v>83</v>
      </c>
    </row>
    <row r="1204" spans="1:14" x14ac:dyDescent="0.25">
      <c r="A1204" t="s">
        <v>1817</v>
      </c>
      <c r="B1204">
        <v>98</v>
      </c>
      <c r="C1204">
        <v>48334413</v>
      </c>
      <c r="D1204" t="s">
        <v>2054</v>
      </c>
      <c r="E1204" t="s">
        <v>13</v>
      </c>
      <c r="F1204" t="s">
        <v>98</v>
      </c>
      <c r="G1204">
        <v>4300000</v>
      </c>
      <c r="H1204">
        <v>6.6</v>
      </c>
      <c r="I1204" t="s">
        <v>34</v>
      </c>
      <c r="J1204" t="s">
        <v>38</v>
      </c>
      <c r="K1204" t="s">
        <v>31</v>
      </c>
      <c r="L1204" t="s">
        <v>24</v>
      </c>
    </row>
    <row r="1205" spans="1:14" x14ac:dyDescent="0.25">
      <c r="A1205" t="s">
        <v>274</v>
      </c>
      <c r="B1205">
        <v>98</v>
      </c>
      <c r="C1205">
        <v>48334413</v>
      </c>
      <c r="D1205" t="s">
        <v>2055</v>
      </c>
      <c r="E1205" t="s">
        <v>13</v>
      </c>
      <c r="F1205" t="s">
        <v>14</v>
      </c>
      <c r="G1205">
        <v>4200000</v>
      </c>
      <c r="H1205">
        <v>5.2</v>
      </c>
      <c r="I1205" t="s">
        <v>15</v>
      </c>
      <c r="J1205" t="s">
        <v>31</v>
      </c>
      <c r="K1205" t="s">
        <v>16</v>
      </c>
      <c r="L1205" t="s">
        <v>18</v>
      </c>
      <c r="M1205" t="s">
        <v>59</v>
      </c>
      <c r="N1205" t="s">
        <v>19</v>
      </c>
    </row>
    <row r="1206" spans="1:14" x14ac:dyDescent="0.25">
      <c r="A1206" t="s">
        <v>2056</v>
      </c>
      <c r="B1206">
        <v>108</v>
      </c>
      <c r="C1206">
        <v>48334413</v>
      </c>
      <c r="D1206" t="s">
        <v>2057</v>
      </c>
      <c r="E1206" t="s">
        <v>13</v>
      </c>
      <c r="F1206" t="s">
        <v>14</v>
      </c>
      <c r="G1206">
        <v>4000000</v>
      </c>
      <c r="H1206">
        <v>7.3</v>
      </c>
      <c r="I1206" t="s">
        <v>15</v>
      </c>
      <c r="J1206" t="s">
        <v>22</v>
      </c>
      <c r="K1206" t="s">
        <v>37</v>
      </c>
    </row>
    <row r="1207" spans="1:14" x14ac:dyDescent="0.25">
      <c r="A1207" t="s">
        <v>2058</v>
      </c>
      <c r="B1207">
        <v>94</v>
      </c>
      <c r="C1207">
        <v>48334413</v>
      </c>
      <c r="D1207" t="s">
        <v>2059</v>
      </c>
      <c r="E1207" t="s">
        <v>13</v>
      </c>
      <c r="F1207" t="s">
        <v>82</v>
      </c>
      <c r="G1207">
        <v>4000000</v>
      </c>
      <c r="H1207">
        <v>6.3</v>
      </c>
      <c r="I1207" t="s">
        <v>15</v>
      </c>
      <c r="J1207" t="s">
        <v>22</v>
      </c>
      <c r="K1207" t="s">
        <v>37</v>
      </c>
      <c r="L1207" t="s">
        <v>24</v>
      </c>
    </row>
    <row r="1208" spans="1:14" x14ac:dyDescent="0.25">
      <c r="A1208" t="s">
        <v>2056</v>
      </c>
      <c r="B1208">
        <v>108</v>
      </c>
      <c r="C1208">
        <v>48334413</v>
      </c>
      <c r="D1208" t="s">
        <v>2057</v>
      </c>
      <c r="E1208" t="s">
        <v>13</v>
      </c>
      <c r="F1208" t="s">
        <v>14</v>
      </c>
      <c r="G1208">
        <v>4000000</v>
      </c>
      <c r="H1208">
        <v>7.3</v>
      </c>
      <c r="I1208" t="s">
        <v>15</v>
      </c>
      <c r="J1208" t="s">
        <v>22</v>
      </c>
      <c r="K1208" t="s">
        <v>37</v>
      </c>
    </row>
    <row r="1209" spans="1:14" x14ac:dyDescent="0.25">
      <c r="A1209" t="s">
        <v>2060</v>
      </c>
      <c r="B1209">
        <v>105</v>
      </c>
      <c r="C1209">
        <v>48334413</v>
      </c>
      <c r="D1209" t="s">
        <v>2061</v>
      </c>
      <c r="E1209" t="s">
        <v>13</v>
      </c>
      <c r="F1209" t="s">
        <v>14</v>
      </c>
      <c r="G1209">
        <v>4000000</v>
      </c>
      <c r="H1209">
        <v>7.3</v>
      </c>
      <c r="I1209" t="s">
        <v>15</v>
      </c>
      <c r="J1209" t="s">
        <v>31</v>
      </c>
      <c r="K1209" t="s">
        <v>19</v>
      </c>
    </row>
    <row r="1210" spans="1:14" x14ac:dyDescent="0.25">
      <c r="A1210" t="s">
        <v>2062</v>
      </c>
      <c r="B1210">
        <v>105</v>
      </c>
      <c r="C1210">
        <v>48334413</v>
      </c>
      <c r="D1210" t="s">
        <v>2063</v>
      </c>
      <c r="E1210" t="s">
        <v>13</v>
      </c>
      <c r="F1210" t="s">
        <v>14</v>
      </c>
      <c r="G1210">
        <v>4000000</v>
      </c>
      <c r="H1210">
        <v>6.8</v>
      </c>
      <c r="I1210" t="s">
        <v>31</v>
      </c>
      <c r="J1210" t="s">
        <v>19</v>
      </c>
    </row>
    <row r="1211" spans="1:14" x14ac:dyDescent="0.25">
      <c r="A1211" t="s">
        <v>2064</v>
      </c>
      <c r="B1211">
        <v>172</v>
      </c>
      <c r="C1211">
        <v>48334413</v>
      </c>
      <c r="D1211" t="s">
        <v>2065</v>
      </c>
      <c r="E1211" t="s">
        <v>13</v>
      </c>
      <c r="F1211" t="s">
        <v>14</v>
      </c>
      <c r="G1211">
        <v>4000000</v>
      </c>
      <c r="H1211">
        <v>8.3000000000000007</v>
      </c>
      <c r="I1211" t="s">
        <v>28</v>
      </c>
      <c r="J1211" t="s">
        <v>31</v>
      </c>
      <c r="K1211" t="s">
        <v>64</v>
      </c>
      <c r="L1211" t="s">
        <v>24</v>
      </c>
      <c r="M1211" t="s">
        <v>83</v>
      </c>
    </row>
    <row r="1212" spans="1:14" x14ac:dyDescent="0.25">
      <c r="A1212" t="s">
        <v>2039</v>
      </c>
      <c r="B1212">
        <v>120</v>
      </c>
      <c r="C1212">
        <v>48334413</v>
      </c>
      <c r="D1212" t="s">
        <v>2066</v>
      </c>
      <c r="E1212" t="s">
        <v>13</v>
      </c>
      <c r="F1212" t="s">
        <v>14</v>
      </c>
      <c r="G1212">
        <v>4000000</v>
      </c>
      <c r="H1212">
        <v>7.4</v>
      </c>
      <c r="I1212" t="s">
        <v>31</v>
      </c>
      <c r="J1212" t="s">
        <v>19</v>
      </c>
      <c r="K1212" t="s">
        <v>69</v>
      </c>
    </row>
    <row r="1213" spans="1:14" x14ac:dyDescent="0.25">
      <c r="A1213" t="s">
        <v>1972</v>
      </c>
      <c r="B1213">
        <v>127</v>
      </c>
      <c r="C1213">
        <v>48334413</v>
      </c>
      <c r="D1213" t="s">
        <v>2067</v>
      </c>
      <c r="E1213" t="s">
        <v>13</v>
      </c>
      <c r="F1213" t="s">
        <v>14</v>
      </c>
      <c r="G1213">
        <v>4000000</v>
      </c>
      <c r="H1213">
        <v>6.3</v>
      </c>
      <c r="I1213" t="s">
        <v>31</v>
      </c>
      <c r="J1213" t="s">
        <v>24</v>
      </c>
    </row>
    <row r="1214" spans="1:14" x14ac:dyDescent="0.25">
      <c r="A1214" t="s">
        <v>2019</v>
      </c>
      <c r="B1214">
        <v>88</v>
      </c>
      <c r="C1214">
        <v>48334413</v>
      </c>
      <c r="D1214" t="s">
        <v>2068</v>
      </c>
      <c r="E1214" t="s">
        <v>13</v>
      </c>
      <c r="F1214" t="s">
        <v>14</v>
      </c>
      <c r="G1214">
        <v>4000000</v>
      </c>
      <c r="H1214">
        <v>6.2</v>
      </c>
      <c r="I1214" t="s">
        <v>34</v>
      </c>
      <c r="J1214" t="s">
        <v>38</v>
      </c>
      <c r="K1214" t="s">
        <v>22</v>
      </c>
      <c r="L1214" t="s">
        <v>24</v>
      </c>
    </row>
    <row r="1215" spans="1:14" x14ac:dyDescent="0.25">
      <c r="A1215" t="s">
        <v>2069</v>
      </c>
      <c r="B1215">
        <v>100</v>
      </c>
      <c r="C1215">
        <v>48334413</v>
      </c>
      <c r="D1215" t="s">
        <v>2070</v>
      </c>
      <c r="E1215" t="s">
        <v>13</v>
      </c>
      <c r="F1215" t="s">
        <v>14</v>
      </c>
      <c r="G1215">
        <v>4000000</v>
      </c>
      <c r="H1215">
        <v>5</v>
      </c>
      <c r="I1215" t="s">
        <v>15</v>
      </c>
      <c r="J1215" t="s">
        <v>31</v>
      </c>
      <c r="K1215" t="s">
        <v>19</v>
      </c>
    </row>
    <row r="1216" spans="1:14" x14ac:dyDescent="0.25">
      <c r="A1216" t="s">
        <v>2071</v>
      </c>
      <c r="B1216">
        <v>119</v>
      </c>
      <c r="C1216">
        <v>48334413</v>
      </c>
      <c r="D1216" t="s">
        <v>2072</v>
      </c>
      <c r="E1216" t="s">
        <v>13</v>
      </c>
      <c r="F1216" t="s">
        <v>14</v>
      </c>
      <c r="G1216">
        <v>4000000</v>
      </c>
      <c r="H1216">
        <v>6</v>
      </c>
      <c r="I1216" t="s">
        <v>15</v>
      </c>
      <c r="J1216" t="s">
        <v>31</v>
      </c>
    </row>
    <row r="1217" spans="1:12" x14ac:dyDescent="0.25">
      <c r="A1217" t="s">
        <v>1854</v>
      </c>
      <c r="B1217">
        <v>99</v>
      </c>
      <c r="C1217">
        <v>48334413</v>
      </c>
      <c r="D1217" t="s">
        <v>2073</v>
      </c>
      <c r="E1217" t="s">
        <v>13</v>
      </c>
      <c r="F1217" t="s">
        <v>82</v>
      </c>
      <c r="G1217">
        <v>4000000</v>
      </c>
      <c r="H1217">
        <v>6.3</v>
      </c>
      <c r="I1217" t="s">
        <v>34</v>
      </c>
      <c r="J1217" t="s">
        <v>28</v>
      </c>
      <c r="K1217" t="s">
        <v>38</v>
      </c>
      <c r="L1217" t="s">
        <v>24</v>
      </c>
    </row>
    <row r="1218" spans="1:12" x14ac:dyDescent="0.25">
      <c r="A1218" t="s">
        <v>2074</v>
      </c>
      <c r="B1218">
        <v>120</v>
      </c>
      <c r="C1218">
        <v>48334413</v>
      </c>
      <c r="D1218" t="s">
        <v>2075</v>
      </c>
      <c r="E1218" t="s">
        <v>1609</v>
      </c>
      <c r="F1218" t="s">
        <v>1610</v>
      </c>
      <c r="G1218">
        <v>4000000</v>
      </c>
      <c r="H1218">
        <v>7.5</v>
      </c>
      <c r="I1218" t="s">
        <v>28</v>
      </c>
      <c r="J1218" t="s">
        <v>31</v>
      </c>
    </row>
    <row r="1219" spans="1:12" x14ac:dyDescent="0.25">
      <c r="A1219" t="s">
        <v>2076</v>
      </c>
      <c r="B1219">
        <v>168</v>
      </c>
      <c r="C1219">
        <v>48334413</v>
      </c>
      <c r="D1219" t="s">
        <v>2077</v>
      </c>
      <c r="E1219" t="s">
        <v>13</v>
      </c>
      <c r="F1219" t="s">
        <v>14</v>
      </c>
      <c r="G1219">
        <v>4000000</v>
      </c>
      <c r="H1219">
        <v>7.6</v>
      </c>
      <c r="I1219" t="s">
        <v>31</v>
      </c>
      <c r="J1219" t="s">
        <v>16</v>
      </c>
      <c r="K1219" t="s">
        <v>64</v>
      </c>
      <c r="L1219" t="s">
        <v>59</v>
      </c>
    </row>
    <row r="1220" spans="1:12" x14ac:dyDescent="0.25">
      <c r="A1220" t="s">
        <v>2078</v>
      </c>
      <c r="B1220">
        <v>103</v>
      </c>
      <c r="C1220">
        <v>48334413</v>
      </c>
      <c r="D1220" t="s">
        <v>2079</v>
      </c>
      <c r="E1220" t="s">
        <v>13</v>
      </c>
      <c r="F1220" t="s">
        <v>14</v>
      </c>
      <c r="G1220">
        <v>4000000</v>
      </c>
      <c r="H1220">
        <v>6.6</v>
      </c>
      <c r="I1220" t="s">
        <v>15</v>
      </c>
      <c r="J1220" t="s">
        <v>31</v>
      </c>
      <c r="K1220" t="s">
        <v>19</v>
      </c>
    </row>
    <row r="1221" spans="1:12" x14ac:dyDescent="0.25">
      <c r="A1221" t="s">
        <v>2080</v>
      </c>
      <c r="B1221">
        <v>93</v>
      </c>
      <c r="C1221">
        <v>48334413</v>
      </c>
      <c r="D1221" t="s">
        <v>2081</v>
      </c>
      <c r="E1221" t="s">
        <v>13</v>
      </c>
      <c r="F1221" t="s">
        <v>14</v>
      </c>
      <c r="G1221">
        <v>4000000</v>
      </c>
      <c r="H1221">
        <v>4.7</v>
      </c>
      <c r="I1221" t="s">
        <v>22</v>
      </c>
    </row>
    <row r="1222" spans="1:12" x14ac:dyDescent="0.25">
      <c r="A1222" t="s">
        <v>2082</v>
      </c>
      <c r="B1222">
        <v>81</v>
      </c>
      <c r="C1222">
        <v>48334413</v>
      </c>
      <c r="D1222" t="s">
        <v>2083</v>
      </c>
      <c r="E1222" t="s">
        <v>13</v>
      </c>
      <c r="F1222" t="s">
        <v>14</v>
      </c>
      <c r="G1222">
        <v>4000000</v>
      </c>
      <c r="H1222">
        <v>4.2</v>
      </c>
      <c r="I1222" t="s">
        <v>22</v>
      </c>
    </row>
    <row r="1223" spans="1:12" x14ac:dyDescent="0.25">
      <c r="A1223" t="s">
        <v>2084</v>
      </c>
      <c r="B1223">
        <v>84</v>
      </c>
      <c r="C1223">
        <v>48334413</v>
      </c>
      <c r="D1223" t="s">
        <v>2085</v>
      </c>
      <c r="E1223" t="s">
        <v>13</v>
      </c>
      <c r="F1223" t="s">
        <v>14</v>
      </c>
      <c r="G1223">
        <v>4000000</v>
      </c>
      <c r="H1223">
        <v>6.3</v>
      </c>
      <c r="I1223" t="s">
        <v>15</v>
      </c>
      <c r="J1223" t="s">
        <v>19</v>
      </c>
    </row>
    <row r="1224" spans="1:12" x14ac:dyDescent="0.25">
      <c r="A1224" t="s">
        <v>2086</v>
      </c>
      <c r="B1224">
        <v>94</v>
      </c>
      <c r="C1224">
        <v>48334413</v>
      </c>
      <c r="D1224" t="s">
        <v>2087</v>
      </c>
      <c r="E1224" t="s">
        <v>13</v>
      </c>
      <c r="F1224" t="s">
        <v>1682</v>
      </c>
      <c r="G1224">
        <v>4000000</v>
      </c>
      <c r="H1224">
        <v>4.7</v>
      </c>
      <c r="I1224" t="s">
        <v>28</v>
      </c>
      <c r="J1224" t="s">
        <v>42</v>
      </c>
      <c r="K1224" t="s">
        <v>31</v>
      </c>
      <c r="L1224" t="s">
        <v>19</v>
      </c>
    </row>
    <row r="1225" spans="1:12" x14ac:dyDescent="0.25">
      <c r="A1225" t="s">
        <v>96</v>
      </c>
      <c r="B1225">
        <v>94</v>
      </c>
      <c r="C1225">
        <v>48334413</v>
      </c>
      <c r="D1225" t="s">
        <v>2088</v>
      </c>
      <c r="E1225" t="s">
        <v>13</v>
      </c>
      <c r="F1225" t="s">
        <v>14</v>
      </c>
      <c r="G1225">
        <v>4000000</v>
      </c>
      <c r="H1225">
        <v>8.1</v>
      </c>
      <c r="I1225" t="s">
        <v>15</v>
      </c>
      <c r="J1225" t="s">
        <v>16</v>
      </c>
    </row>
    <row r="1226" spans="1:12" x14ac:dyDescent="0.25">
      <c r="A1226" t="s">
        <v>2089</v>
      </c>
      <c r="B1226">
        <v>97</v>
      </c>
      <c r="C1226">
        <v>48334413</v>
      </c>
      <c r="D1226" t="s">
        <v>2090</v>
      </c>
      <c r="E1226" t="s">
        <v>13</v>
      </c>
      <c r="F1226" t="s">
        <v>14</v>
      </c>
      <c r="G1226">
        <v>4000000</v>
      </c>
      <c r="H1226">
        <v>6.1</v>
      </c>
      <c r="I1226" t="s">
        <v>37</v>
      </c>
      <c r="J1226" t="s">
        <v>24</v>
      </c>
    </row>
    <row r="1227" spans="1:12" x14ac:dyDescent="0.25">
      <c r="A1227" t="s">
        <v>2091</v>
      </c>
      <c r="B1227">
        <v>96</v>
      </c>
      <c r="C1227">
        <v>48334413</v>
      </c>
      <c r="D1227" t="s">
        <v>2092</v>
      </c>
      <c r="E1227" t="s">
        <v>13</v>
      </c>
      <c r="F1227" t="s">
        <v>14</v>
      </c>
      <c r="G1227">
        <v>3950000</v>
      </c>
      <c r="H1227">
        <v>7.8</v>
      </c>
      <c r="I1227" t="s">
        <v>31</v>
      </c>
      <c r="J1227" t="s">
        <v>83</v>
      </c>
    </row>
    <row r="1228" spans="1:12" x14ac:dyDescent="0.25">
      <c r="A1228" t="s">
        <v>1011</v>
      </c>
      <c r="B1228">
        <v>121</v>
      </c>
      <c r="C1228">
        <v>48334413</v>
      </c>
      <c r="D1228" t="s">
        <v>2093</v>
      </c>
      <c r="E1228" t="s">
        <v>13</v>
      </c>
      <c r="F1228" t="s">
        <v>14</v>
      </c>
      <c r="G1228">
        <v>3800000</v>
      </c>
      <c r="H1228">
        <v>8.1</v>
      </c>
      <c r="I1228" t="s">
        <v>31</v>
      </c>
      <c r="J1228" t="s">
        <v>19</v>
      </c>
    </row>
    <row r="1229" spans="1:12" x14ac:dyDescent="0.25">
      <c r="A1229" t="s">
        <v>1959</v>
      </c>
      <c r="B1229">
        <v>121</v>
      </c>
      <c r="C1229">
        <v>48334413</v>
      </c>
      <c r="D1229" t="s">
        <v>2094</v>
      </c>
      <c r="E1229" t="s">
        <v>13</v>
      </c>
      <c r="F1229" t="s">
        <v>14</v>
      </c>
      <c r="G1229">
        <v>3716946</v>
      </c>
      <c r="H1229">
        <v>7.3</v>
      </c>
      <c r="I1229" t="s">
        <v>15</v>
      </c>
      <c r="J1229" t="s">
        <v>31</v>
      </c>
      <c r="K1229" t="s">
        <v>19</v>
      </c>
      <c r="L1229" t="s">
        <v>69</v>
      </c>
    </row>
    <row r="1230" spans="1:12" x14ac:dyDescent="0.25">
      <c r="A1230" t="s">
        <v>2095</v>
      </c>
      <c r="B1230">
        <v>111</v>
      </c>
      <c r="C1230">
        <v>48334413</v>
      </c>
      <c r="D1230" t="s">
        <v>2096</v>
      </c>
      <c r="E1230" t="s">
        <v>13</v>
      </c>
      <c r="F1230" t="s">
        <v>241</v>
      </c>
      <c r="G1230">
        <v>3660000</v>
      </c>
      <c r="H1230">
        <v>6.4</v>
      </c>
      <c r="I1230" t="s">
        <v>31</v>
      </c>
      <c r="J1230" t="s">
        <v>19</v>
      </c>
      <c r="K1230" t="s">
        <v>37</v>
      </c>
    </row>
    <row r="1231" spans="1:12" x14ac:dyDescent="0.25">
      <c r="A1231" t="s">
        <v>1034</v>
      </c>
      <c r="B1231">
        <v>113</v>
      </c>
      <c r="C1231">
        <v>48334413</v>
      </c>
      <c r="D1231" t="s">
        <v>2097</v>
      </c>
      <c r="E1231" t="s">
        <v>13</v>
      </c>
      <c r="F1231" t="s">
        <v>14</v>
      </c>
      <c r="G1231">
        <v>3600000</v>
      </c>
      <c r="H1231">
        <v>7.9</v>
      </c>
      <c r="I1231" t="s">
        <v>31</v>
      </c>
    </row>
    <row r="1232" spans="1:12" x14ac:dyDescent="0.25">
      <c r="A1232" t="s">
        <v>1897</v>
      </c>
      <c r="B1232">
        <v>87</v>
      </c>
      <c r="C1232">
        <v>48334413</v>
      </c>
      <c r="D1232" t="s">
        <v>2098</v>
      </c>
      <c r="E1232" t="s">
        <v>13</v>
      </c>
      <c r="F1232" t="s">
        <v>14</v>
      </c>
      <c r="G1232">
        <v>3500000</v>
      </c>
      <c r="H1232">
        <v>7.2</v>
      </c>
      <c r="I1232" t="s">
        <v>22</v>
      </c>
    </row>
    <row r="1233" spans="1:13" x14ac:dyDescent="0.25">
      <c r="A1233" t="s">
        <v>2099</v>
      </c>
      <c r="B1233">
        <v>102</v>
      </c>
      <c r="C1233">
        <v>48334413</v>
      </c>
      <c r="D1233" t="s">
        <v>2100</v>
      </c>
      <c r="E1233" t="s">
        <v>13</v>
      </c>
      <c r="F1233" t="s">
        <v>45</v>
      </c>
      <c r="G1233">
        <v>3500000</v>
      </c>
      <c r="H1233">
        <v>7.3</v>
      </c>
      <c r="I1233" t="s">
        <v>28</v>
      </c>
      <c r="J1233" t="s">
        <v>31</v>
      </c>
      <c r="K1233" t="s">
        <v>16</v>
      </c>
      <c r="L1233" t="s">
        <v>19</v>
      </c>
      <c r="M1233" t="s">
        <v>69</v>
      </c>
    </row>
    <row r="1234" spans="1:13" x14ac:dyDescent="0.25">
      <c r="A1234" t="s">
        <v>1473</v>
      </c>
      <c r="B1234">
        <v>134</v>
      </c>
      <c r="C1234">
        <v>48334413</v>
      </c>
      <c r="D1234" t="s">
        <v>2101</v>
      </c>
      <c r="E1234" t="s">
        <v>13</v>
      </c>
      <c r="F1234" t="s">
        <v>14</v>
      </c>
      <c r="G1234">
        <v>3500000</v>
      </c>
      <c r="H1234">
        <v>8</v>
      </c>
      <c r="I1234" t="s">
        <v>42</v>
      </c>
      <c r="J1234" t="s">
        <v>38</v>
      </c>
      <c r="K1234" t="s">
        <v>31</v>
      </c>
      <c r="L1234" t="s">
        <v>64</v>
      </c>
    </row>
    <row r="1235" spans="1:13" x14ac:dyDescent="0.25">
      <c r="A1235" t="s">
        <v>1922</v>
      </c>
      <c r="B1235">
        <v>149</v>
      </c>
      <c r="C1235">
        <v>48334413</v>
      </c>
      <c r="D1235" t="s">
        <v>2102</v>
      </c>
      <c r="E1235" t="s">
        <v>13</v>
      </c>
      <c r="F1235" t="s">
        <v>14</v>
      </c>
      <c r="G1235">
        <v>3500000</v>
      </c>
      <c r="H1235">
        <v>7.6</v>
      </c>
      <c r="I1235" t="s">
        <v>31</v>
      </c>
    </row>
    <row r="1236" spans="1:13" x14ac:dyDescent="0.25">
      <c r="A1236" t="s">
        <v>1718</v>
      </c>
      <c r="B1236">
        <v>121</v>
      </c>
      <c r="C1236">
        <v>48334413</v>
      </c>
      <c r="D1236" t="s">
        <v>2103</v>
      </c>
      <c r="E1236" t="s">
        <v>13</v>
      </c>
      <c r="F1236" t="s">
        <v>14</v>
      </c>
      <c r="G1236">
        <v>3500000</v>
      </c>
      <c r="H1236">
        <v>7</v>
      </c>
      <c r="I1236" t="s">
        <v>34</v>
      </c>
      <c r="J1236" t="s">
        <v>38</v>
      </c>
      <c r="K1236" t="s">
        <v>31</v>
      </c>
      <c r="L1236" t="s">
        <v>23</v>
      </c>
      <c r="M1236" t="s">
        <v>24</v>
      </c>
    </row>
    <row r="1237" spans="1:13" x14ac:dyDescent="0.25">
      <c r="A1237" t="s">
        <v>1897</v>
      </c>
      <c r="B1237">
        <v>87</v>
      </c>
      <c r="C1237">
        <v>48334413</v>
      </c>
      <c r="D1237" t="s">
        <v>2098</v>
      </c>
      <c r="E1237" t="s">
        <v>13</v>
      </c>
      <c r="F1237" t="s">
        <v>14</v>
      </c>
      <c r="G1237">
        <v>3500000</v>
      </c>
      <c r="H1237">
        <v>7.2</v>
      </c>
      <c r="I1237" t="s">
        <v>22</v>
      </c>
    </row>
    <row r="1238" spans="1:13" x14ac:dyDescent="0.25">
      <c r="A1238" t="s">
        <v>2104</v>
      </c>
      <c r="B1238">
        <v>98</v>
      </c>
      <c r="C1238">
        <v>48334413</v>
      </c>
      <c r="D1238" t="s">
        <v>2105</v>
      </c>
      <c r="E1238" t="s">
        <v>13</v>
      </c>
      <c r="F1238" t="s">
        <v>14</v>
      </c>
      <c r="G1238">
        <v>3500000</v>
      </c>
      <c r="H1238">
        <v>6.1</v>
      </c>
      <c r="I1238" t="s">
        <v>38</v>
      </c>
      <c r="J1238" t="s">
        <v>31</v>
      </c>
      <c r="K1238" t="s">
        <v>23</v>
      </c>
      <c r="L1238" t="s">
        <v>24</v>
      </c>
    </row>
    <row r="1239" spans="1:13" x14ac:dyDescent="0.25">
      <c r="A1239" t="s">
        <v>2106</v>
      </c>
      <c r="B1239">
        <v>96</v>
      </c>
      <c r="C1239">
        <v>48334413</v>
      </c>
      <c r="D1239" t="s">
        <v>2107</v>
      </c>
      <c r="E1239" t="s">
        <v>13</v>
      </c>
      <c r="F1239" t="s">
        <v>14</v>
      </c>
      <c r="G1239">
        <v>3500000</v>
      </c>
      <c r="H1239">
        <v>4.8</v>
      </c>
      <c r="I1239" t="s">
        <v>22</v>
      </c>
      <c r="J1239" t="s">
        <v>24</v>
      </c>
    </row>
    <row r="1240" spans="1:13" x14ac:dyDescent="0.25">
      <c r="A1240" t="s">
        <v>2108</v>
      </c>
      <c r="B1240">
        <v>148</v>
      </c>
      <c r="C1240">
        <v>48334413</v>
      </c>
      <c r="D1240" t="s">
        <v>2109</v>
      </c>
      <c r="E1240" t="s">
        <v>13</v>
      </c>
      <c r="F1240" t="s">
        <v>14</v>
      </c>
      <c r="G1240">
        <v>3500000</v>
      </c>
      <c r="H1240">
        <v>8.4</v>
      </c>
      <c r="I1240" t="s">
        <v>34</v>
      </c>
      <c r="J1240" t="s">
        <v>46</v>
      </c>
      <c r="K1240" t="s">
        <v>38</v>
      </c>
      <c r="L1240" t="s">
        <v>37</v>
      </c>
      <c r="M1240" t="s">
        <v>24</v>
      </c>
    </row>
    <row r="1241" spans="1:13" x14ac:dyDescent="0.25">
      <c r="A1241" t="s">
        <v>1575</v>
      </c>
      <c r="B1241">
        <v>86</v>
      </c>
      <c r="C1241">
        <v>48334413</v>
      </c>
      <c r="D1241" t="s">
        <v>2110</v>
      </c>
      <c r="E1241" t="s">
        <v>13</v>
      </c>
      <c r="F1241" t="s">
        <v>98</v>
      </c>
      <c r="G1241">
        <v>3500000</v>
      </c>
      <c r="H1241">
        <v>3.3</v>
      </c>
      <c r="I1241" t="s">
        <v>34</v>
      </c>
      <c r="J1241" t="s">
        <v>28</v>
      </c>
      <c r="K1241" t="s">
        <v>17</v>
      </c>
      <c r="L1241" t="s">
        <v>24</v>
      </c>
    </row>
    <row r="1242" spans="1:13" x14ac:dyDescent="0.25">
      <c r="A1242" t="s">
        <v>2111</v>
      </c>
      <c r="B1242">
        <v>92</v>
      </c>
      <c r="C1242">
        <v>48334413</v>
      </c>
      <c r="D1242" t="s">
        <v>2112</v>
      </c>
      <c r="E1242" t="s">
        <v>13</v>
      </c>
      <c r="F1242" t="s">
        <v>14</v>
      </c>
      <c r="G1242">
        <v>3500000</v>
      </c>
      <c r="H1242">
        <v>5.4</v>
      </c>
      <c r="I1242" t="s">
        <v>34</v>
      </c>
      <c r="J1242" t="s">
        <v>38</v>
      </c>
      <c r="K1242" t="s">
        <v>31</v>
      </c>
      <c r="L1242" t="s">
        <v>24</v>
      </c>
    </row>
    <row r="1243" spans="1:13" x14ac:dyDescent="0.25">
      <c r="A1243" t="s">
        <v>2113</v>
      </c>
      <c r="B1243">
        <v>88</v>
      </c>
      <c r="C1243">
        <v>48334413</v>
      </c>
      <c r="D1243" t="s">
        <v>2114</v>
      </c>
      <c r="E1243" t="s">
        <v>13</v>
      </c>
      <c r="F1243" t="s">
        <v>14</v>
      </c>
      <c r="G1243">
        <v>3500000</v>
      </c>
      <c r="H1243">
        <v>4.8</v>
      </c>
      <c r="I1243" t="s">
        <v>31</v>
      </c>
      <c r="J1243" t="s">
        <v>24</v>
      </c>
    </row>
    <row r="1244" spans="1:13" x14ac:dyDescent="0.25">
      <c r="A1244" t="s">
        <v>2115</v>
      </c>
      <c r="B1244">
        <v>94</v>
      </c>
      <c r="C1244">
        <v>48334413</v>
      </c>
      <c r="D1244" t="s">
        <v>2116</v>
      </c>
      <c r="E1244" t="s">
        <v>13</v>
      </c>
      <c r="F1244" t="s">
        <v>14</v>
      </c>
      <c r="G1244">
        <v>3500000</v>
      </c>
      <c r="H1244">
        <v>6.3</v>
      </c>
      <c r="I1244" t="s">
        <v>22</v>
      </c>
    </row>
    <row r="1245" spans="1:13" x14ac:dyDescent="0.25">
      <c r="A1245" t="s">
        <v>2117</v>
      </c>
      <c r="B1245">
        <v>90</v>
      </c>
      <c r="C1245">
        <v>48334413</v>
      </c>
      <c r="D1245" t="s">
        <v>2118</v>
      </c>
      <c r="E1245" t="s">
        <v>13</v>
      </c>
      <c r="F1245" t="s">
        <v>82</v>
      </c>
      <c r="G1245">
        <v>3440000</v>
      </c>
      <c r="H1245">
        <v>3.1</v>
      </c>
      <c r="I1245" t="s">
        <v>38</v>
      </c>
      <c r="J1245" t="s">
        <v>23</v>
      </c>
      <c r="K1245" t="s">
        <v>24</v>
      </c>
    </row>
    <row r="1246" spans="1:13" x14ac:dyDescent="0.25">
      <c r="A1246" t="s">
        <v>317</v>
      </c>
      <c r="B1246">
        <v>94</v>
      </c>
      <c r="C1246">
        <v>48334413</v>
      </c>
      <c r="D1246" t="s">
        <v>2119</v>
      </c>
      <c r="E1246" t="s">
        <v>13</v>
      </c>
      <c r="F1246" t="s">
        <v>14</v>
      </c>
      <c r="G1246">
        <v>3400000</v>
      </c>
      <c r="H1246">
        <v>6.7</v>
      </c>
      <c r="I1246" t="s">
        <v>15</v>
      </c>
    </row>
    <row r="1247" spans="1:13" x14ac:dyDescent="0.25">
      <c r="A1247" t="s">
        <v>2120</v>
      </c>
      <c r="B1247">
        <v>102</v>
      </c>
      <c r="C1247">
        <v>48334413</v>
      </c>
      <c r="D1247" t="s">
        <v>2121</v>
      </c>
      <c r="E1247" t="s">
        <v>13</v>
      </c>
      <c r="F1247" t="s">
        <v>14</v>
      </c>
      <c r="G1247">
        <v>3400000</v>
      </c>
      <c r="H1247">
        <v>6.6</v>
      </c>
      <c r="I1247" t="s">
        <v>42</v>
      </c>
      <c r="J1247" t="s">
        <v>31</v>
      </c>
      <c r="K1247" t="s">
        <v>18</v>
      </c>
    </row>
    <row r="1248" spans="1:13" x14ac:dyDescent="0.25">
      <c r="A1248" t="s">
        <v>2122</v>
      </c>
      <c r="B1248">
        <v>97</v>
      </c>
      <c r="C1248">
        <v>48334413</v>
      </c>
      <c r="D1248" t="s">
        <v>2123</v>
      </c>
      <c r="E1248" t="s">
        <v>13</v>
      </c>
      <c r="F1248" t="s">
        <v>14</v>
      </c>
      <c r="G1248">
        <v>3300000</v>
      </c>
      <c r="H1248">
        <v>4.5</v>
      </c>
      <c r="I1248" t="s">
        <v>15</v>
      </c>
    </row>
    <row r="1249" spans="1:12" x14ac:dyDescent="0.25">
      <c r="A1249" t="s">
        <v>2124</v>
      </c>
      <c r="B1249">
        <v>95</v>
      </c>
      <c r="C1249">
        <v>48334413</v>
      </c>
      <c r="D1249" t="s">
        <v>2125</v>
      </c>
      <c r="E1249" t="s">
        <v>13</v>
      </c>
      <c r="F1249" t="s">
        <v>14</v>
      </c>
      <c r="G1249">
        <v>3209000</v>
      </c>
      <c r="H1249">
        <v>6.2</v>
      </c>
      <c r="I1249" t="s">
        <v>28</v>
      </c>
      <c r="J1249" t="s">
        <v>31</v>
      </c>
      <c r="K1249" t="s">
        <v>19</v>
      </c>
    </row>
    <row r="1250" spans="1:12" x14ac:dyDescent="0.25">
      <c r="A1250" t="s">
        <v>2126</v>
      </c>
      <c r="B1250">
        <v>113</v>
      </c>
      <c r="C1250">
        <v>48334413</v>
      </c>
      <c r="D1250" t="s">
        <v>2127</v>
      </c>
      <c r="E1250" t="s">
        <v>13</v>
      </c>
      <c r="F1250" t="s">
        <v>14</v>
      </c>
      <c r="G1250">
        <v>3200000</v>
      </c>
      <c r="H1250">
        <v>8.1</v>
      </c>
      <c r="I1250" t="s">
        <v>31</v>
      </c>
      <c r="J1250" t="s">
        <v>69</v>
      </c>
    </row>
    <row r="1251" spans="1:12" x14ac:dyDescent="0.25">
      <c r="A1251" t="s">
        <v>2128</v>
      </c>
      <c r="B1251">
        <v>95</v>
      </c>
      <c r="C1251">
        <v>48334413</v>
      </c>
      <c r="D1251" t="s">
        <v>2129</v>
      </c>
      <c r="E1251" t="s">
        <v>13</v>
      </c>
      <c r="F1251" t="s">
        <v>14</v>
      </c>
      <c r="G1251">
        <v>3200000</v>
      </c>
      <c r="H1251">
        <v>6.4</v>
      </c>
      <c r="I1251" t="s">
        <v>34</v>
      </c>
      <c r="J1251" t="s">
        <v>15</v>
      </c>
      <c r="K1251" t="s">
        <v>22</v>
      </c>
      <c r="L1251" t="s">
        <v>24</v>
      </c>
    </row>
    <row r="1252" spans="1:12" x14ac:dyDescent="0.25">
      <c r="A1252" t="s">
        <v>2130</v>
      </c>
      <c r="B1252">
        <v>108</v>
      </c>
      <c r="C1252">
        <v>48334413</v>
      </c>
      <c r="D1252" t="s">
        <v>2131</v>
      </c>
      <c r="E1252" t="s">
        <v>13</v>
      </c>
      <c r="F1252" t="s">
        <v>98</v>
      </c>
      <c r="G1252">
        <v>3200000</v>
      </c>
      <c r="H1252">
        <v>5.7</v>
      </c>
      <c r="I1252" t="s">
        <v>22</v>
      </c>
      <c r="J1252" t="s">
        <v>37</v>
      </c>
      <c r="K1252" t="s">
        <v>24</v>
      </c>
    </row>
    <row r="1253" spans="1:12" x14ac:dyDescent="0.25">
      <c r="A1253" t="s">
        <v>2132</v>
      </c>
      <c r="B1253">
        <v>99</v>
      </c>
      <c r="C1253">
        <v>48334413</v>
      </c>
      <c r="D1253" t="s">
        <v>2133</v>
      </c>
      <c r="E1253" t="s">
        <v>473</v>
      </c>
      <c r="F1253" t="s">
        <v>98</v>
      </c>
      <c r="G1253">
        <v>3200000</v>
      </c>
      <c r="H1253">
        <v>6.6</v>
      </c>
      <c r="I1253" t="s">
        <v>34</v>
      </c>
      <c r="J1253" t="s">
        <v>31</v>
      </c>
      <c r="K1253" t="s">
        <v>22</v>
      </c>
      <c r="L1253" t="s">
        <v>24</v>
      </c>
    </row>
    <row r="1254" spans="1:12" x14ac:dyDescent="0.25">
      <c r="A1254" t="s">
        <v>2134</v>
      </c>
      <c r="B1254">
        <v>118</v>
      </c>
      <c r="C1254">
        <v>48334413</v>
      </c>
      <c r="D1254" t="s">
        <v>2135</v>
      </c>
      <c r="E1254" t="s">
        <v>13</v>
      </c>
      <c r="F1254" t="s">
        <v>14</v>
      </c>
      <c r="G1254">
        <v>3180000</v>
      </c>
      <c r="H1254">
        <v>8.6</v>
      </c>
      <c r="I1254" t="s">
        <v>31</v>
      </c>
      <c r="J1254" t="s">
        <v>16</v>
      </c>
      <c r="K1254" t="s">
        <v>17</v>
      </c>
      <c r="L1254" t="s">
        <v>19</v>
      </c>
    </row>
    <row r="1255" spans="1:12" x14ac:dyDescent="0.25">
      <c r="A1255" t="s">
        <v>1379</v>
      </c>
      <c r="B1255">
        <v>99</v>
      </c>
      <c r="C1255">
        <v>48334413</v>
      </c>
      <c r="D1255" t="s">
        <v>2136</v>
      </c>
      <c r="E1255" t="s">
        <v>13</v>
      </c>
      <c r="F1255" t="s">
        <v>98</v>
      </c>
      <c r="G1255">
        <v>3150000</v>
      </c>
      <c r="H1255">
        <v>5.5</v>
      </c>
      <c r="I1255" t="s">
        <v>22</v>
      </c>
      <c r="J1255" t="s">
        <v>24</v>
      </c>
    </row>
    <row r="1256" spans="1:12" x14ac:dyDescent="0.25">
      <c r="A1256" t="s">
        <v>1230</v>
      </c>
      <c r="B1256">
        <v>22</v>
      </c>
      <c r="C1256">
        <v>48334413</v>
      </c>
      <c r="D1256" t="s">
        <v>2137</v>
      </c>
      <c r="E1256" t="s">
        <v>13</v>
      </c>
      <c r="F1256" t="s">
        <v>14</v>
      </c>
      <c r="G1256">
        <v>3000000</v>
      </c>
      <c r="H1256">
        <v>6.6</v>
      </c>
      <c r="I1256" t="s">
        <v>15</v>
      </c>
      <c r="J1256" t="s">
        <v>16</v>
      </c>
      <c r="K1256" t="s">
        <v>17</v>
      </c>
    </row>
    <row r="1257" spans="1:12" x14ac:dyDescent="0.25">
      <c r="A1257" t="s">
        <v>1230</v>
      </c>
      <c r="B1257">
        <v>60</v>
      </c>
      <c r="C1257">
        <v>48334413</v>
      </c>
      <c r="D1257" t="s">
        <v>2138</v>
      </c>
      <c r="E1257" t="s">
        <v>13</v>
      </c>
      <c r="F1257" t="s">
        <v>14</v>
      </c>
      <c r="G1257">
        <v>3000000</v>
      </c>
      <c r="H1257">
        <v>2.9</v>
      </c>
      <c r="I1257" t="s">
        <v>72</v>
      </c>
      <c r="J1257" t="s">
        <v>89</v>
      </c>
      <c r="K1257" t="s">
        <v>19</v>
      </c>
    </row>
    <row r="1258" spans="1:12" x14ac:dyDescent="0.25">
      <c r="A1258" t="s">
        <v>2139</v>
      </c>
      <c r="B1258">
        <v>107</v>
      </c>
      <c r="C1258">
        <v>48334413</v>
      </c>
      <c r="D1258" t="s">
        <v>2140</v>
      </c>
      <c r="E1258" t="s">
        <v>13</v>
      </c>
      <c r="F1258" t="s">
        <v>82</v>
      </c>
      <c r="G1258">
        <v>3000000</v>
      </c>
      <c r="H1258">
        <v>6.5</v>
      </c>
      <c r="I1258" t="s">
        <v>22</v>
      </c>
      <c r="J1258" t="s">
        <v>24</v>
      </c>
    </row>
    <row r="1259" spans="1:12" x14ac:dyDescent="0.25">
      <c r="A1259" t="s">
        <v>1473</v>
      </c>
      <c r="B1259">
        <v>108</v>
      </c>
      <c r="C1259">
        <v>48334413</v>
      </c>
      <c r="D1259" t="s">
        <v>2141</v>
      </c>
      <c r="E1259" t="s">
        <v>13</v>
      </c>
      <c r="F1259" t="s">
        <v>14</v>
      </c>
      <c r="G1259">
        <v>3000000</v>
      </c>
      <c r="H1259">
        <v>8.1</v>
      </c>
      <c r="I1259" t="s">
        <v>31</v>
      </c>
      <c r="J1259" t="s">
        <v>19</v>
      </c>
    </row>
    <row r="1260" spans="1:12" x14ac:dyDescent="0.25">
      <c r="A1260" t="s">
        <v>2142</v>
      </c>
      <c r="B1260">
        <v>95</v>
      </c>
      <c r="C1260">
        <v>48334413</v>
      </c>
      <c r="D1260" t="s">
        <v>2143</v>
      </c>
      <c r="E1260" t="s">
        <v>13</v>
      </c>
      <c r="F1260" t="s">
        <v>14</v>
      </c>
      <c r="G1260">
        <v>3000000</v>
      </c>
      <c r="H1260">
        <v>6.1</v>
      </c>
      <c r="I1260" t="s">
        <v>34</v>
      </c>
      <c r="J1260" t="s">
        <v>28</v>
      </c>
      <c r="K1260" t="s">
        <v>37</v>
      </c>
    </row>
    <row r="1261" spans="1:12" x14ac:dyDescent="0.25">
      <c r="A1261" t="s">
        <v>2060</v>
      </c>
      <c r="B1261">
        <v>125</v>
      </c>
      <c r="C1261">
        <v>48334413</v>
      </c>
      <c r="D1261" t="s">
        <v>2144</v>
      </c>
      <c r="E1261" t="s">
        <v>13</v>
      </c>
      <c r="F1261" t="s">
        <v>14</v>
      </c>
      <c r="G1261">
        <v>3000000</v>
      </c>
      <c r="H1261">
        <v>8.3000000000000007</v>
      </c>
      <c r="I1261" t="s">
        <v>15</v>
      </c>
      <c r="J1261" t="s">
        <v>31</v>
      </c>
      <c r="K1261" t="s">
        <v>19</v>
      </c>
    </row>
    <row r="1262" spans="1:12" x14ac:dyDescent="0.25">
      <c r="A1262" t="s">
        <v>2145</v>
      </c>
      <c r="B1262">
        <v>97</v>
      </c>
      <c r="C1262">
        <v>48334413</v>
      </c>
      <c r="D1262" t="s">
        <v>2146</v>
      </c>
      <c r="E1262" t="s">
        <v>13</v>
      </c>
      <c r="F1262" t="s">
        <v>14</v>
      </c>
      <c r="G1262">
        <v>3000000</v>
      </c>
      <c r="H1262">
        <v>6.6</v>
      </c>
      <c r="I1262" t="s">
        <v>15</v>
      </c>
      <c r="J1262" t="s">
        <v>31</v>
      </c>
      <c r="K1262" t="s">
        <v>18</v>
      </c>
    </row>
    <row r="1263" spans="1:12" x14ac:dyDescent="0.25">
      <c r="A1263" t="s">
        <v>1473</v>
      </c>
      <c r="B1263">
        <v>146</v>
      </c>
      <c r="C1263">
        <v>48334413</v>
      </c>
      <c r="D1263" t="s">
        <v>2147</v>
      </c>
      <c r="E1263" t="s">
        <v>13</v>
      </c>
      <c r="F1263" t="s">
        <v>14</v>
      </c>
      <c r="G1263">
        <v>3000000</v>
      </c>
      <c r="H1263">
        <v>7.9</v>
      </c>
      <c r="I1263" t="s">
        <v>31</v>
      </c>
    </row>
    <row r="1264" spans="1:12" x14ac:dyDescent="0.25">
      <c r="A1264" t="s">
        <v>2148</v>
      </c>
      <c r="B1264">
        <v>186</v>
      </c>
      <c r="C1264">
        <v>48334413</v>
      </c>
      <c r="D1264" t="s">
        <v>2149</v>
      </c>
      <c r="E1264" t="s">
        <v>13</v>
      </c>
      <c r="F1264" t="s">
        <v>14</v>
      </c>
      <c r="G1264">
        <v>3000000</v>
      </c>
      <c r="H1264">
        <v>8.3000000000000007</v>
      </c>
      <c r="I1264" t="s">
        <v>31</v>
      </c>
      <c r="J1264" t="s">
        <v>83</v>
      </c>
    </row>
    <row r="1265" spans="1:12" x14ac:dyDescent="0.25">
      <c r="A1265" t="s">
        <v>2150</v>
      </c>
      <c r="B1265">
        <v>126</v>
      </c>
      <c r="C1265">
        <v>48334413</v>
      </c>
      <c r="D1265" t="s">
        <v>2151</v>
      </c>
      <c r="E1265" t="s">
        <v>13</v>
      </c>
      <c r="F1265" t="s">
        <v>14</v>
      </c>
      <c r="G1265">
        <v>3000000</v>
      </c>
      <c r="H1265">
        <v>7.8</v>
      </c>
      <c r="I1265" t="s">
        <v>34</v>
      </c>
      <c r="J1265" t="s">
        <v>28</v>
      </c>
      <c r="K1265" t="s">
        <v>19</v>
      </c>
      <c r="L1265" t="s">
        <v>69</v>
      </c>
    </row>
    <row r="1266" spans="1:12" x14ac:dyDescent="0.25">
      <c r="A1266" t="s">
        <v>2152</v>
      </c>
      <c r="B1266">
        <v>89</v>
      </c>
      <c r="C1266">
        <v>48334413</v>
      </c>
      <c r="D1266" t="s">
        <v>2153</v>
      </c>
      <c r="E1266" t="s">
        <v>13</v>
      </c>
      <c r="F1266" t="s">
        <v>14</v>
      </c>
      <c r="G1266">
        <v>3000000</v>
      </c>
      <c r="H1266">
        <v>7.8</v>
      </c>
      <c r="I1266" t="s">
        <v>16</v>
      </c>
      <c r="J1266" t="s">
        <v>17</v>
      </c>
      <c r="K1266" t="s">
        <v>59</v>
      </c>
    </row>
    <row r="1267" spans="1:12" x14ac:dyDescent="0.25">
      <c r="A1267" t="s">
        <v>2154</v>
      </c>
      <c r="B1267">
        <v>94</v>
      </c>
      <c r="C1267">
        <v>48334413</v>
      </c>
      <c r="D1267" t="s">
        <v>2155</v>
      </c>
      <c r="E1267" t="s">
        <v>13</v>
      </c>
      <c r="F1267" t="s">
        <v>14</v>
      </c>
      <c r="G1267">
        <v>3000000</v>
      </c>
      <c r="H1267">
        <v>8</v>
      </c>
      <c r="I1267" t="s">
        <v>31</v>
      </c>
      <c r="J1267" t="s">
        <v>19</v>
      </c>
    </row>
    <row r="1268" spans="1:12" x14ac:dyDescent="0.25">
      <c r="A1268" t="s">
        <v>2156</v>
      </c>
      <c r="B1268">
        <v>102</v>
      </c>
      <c r="C1268">
        <v>48334413</v>
      </c>
      <c r="D1268" t="s">
        <v>2157</v>
      </c>
      <c r="E1268" t="s">
        <v>13</v>
      </c>
      <c r="F1268" t="s">
        <v>14</v>
      </c>
      <c r="G1268">
        <v>3000000</v>
      </c>
      <c r="H1268">
        <v>6.9</v>
      </c>
      <c r="I1268" t="s">
        <v>15</v>
      </c>
      <c r="J1268" t="s">
        <v>38</v>
      </c>
      <c r="K1268" t="s">
        <v>31</v>
      </c>
      <c r="L1268" t="s">
        <v>24</v>
      </c>
    </row>
    <row r="1269" spans="1:12" x14ac:dyDescent="0.25">
      <c r="A1269" t="s">
        <v>2158</v>
      </c>
      <c r="B1269">
        <v>83</v>
      </c>
      <c r="C1269">
        <v>48334413</v>
      </c>
      <c r="D1269" t="s">
        <v>2159</v>
      </c>
      <c r="E1269" t="s">
        <v>13</v>
      </c>
      <c r="F1269" t="s">
        <v>14</v>
      </c>
      <c r="G1269">
        <v>3000000</v>
      </c>
      <c r="H1269">
        <v>5.3</v>
      </c>
      <c r="I1269" t="s">
        <v>22</v>
      </c>
      <c r="J1269" t="s">
        <v>24</v>
      </c>
    </row>
    <row r="1270" spans="1:12" x14ac:dyDescent="0.25">
      <c r="A1270" t="s">
        <v>2160</v>
      </c>
      <c r="B1270">
        <v>80</v>
      </c>
      <c r="C1270">
        <v>48334413</v>
      </c>
      <c r="D1270" t="s">
        <v>2161</v>
      </c>
      <c r="E1270" t="s">
        <v>13</v>
      </c>
      <c r="F1270" t="s">
        <v>14</v>
      </c>
      <c r="G1270">
        <v>3000000</v>
      </c>
      <c r="H1270">
        <v>3.3</v>
      </c>
      <c r="I1270" t="s">
        <v>15</v>
      </c>
    </row>
    <row r="1271" spans="1:12" x14ac:dyDescent="0.25">
      <c r="A1271" t="s">
        <v>2162</v>
      </c>
      <c r="B1271">
        <v>90</v>
      </c>
      <c r="C1271">
        <v>48334413</v>
      </c>
      <c r="D1271" t="s">
        <v>2163</v>
      </c>
      <c r="E1271" t="s">
        <v>13</v>
      </c>
      <c r="F1271" t="s">
        <v>14</v>
      </c>
      <c r="G1271">
        <v>3000000</v>
      </c>
      <c r="H1271">
        <v>6.2</v>
      </c>
      <c r="I1271" t="s">
        <v>15</v>
      </c>
    </row>
    <row r="1272" spans="1:12" x14ac:dyDescent="0.25">
      <c r="A1272" t="s">
        <v>2164</v>
      </c>
      <c r="B1272">
        <v>85</v>
      </c>
      <c r="C1272">
        <v>48334413</v>
      </c>
      <c r="D1272" t="s">
        <v>2165</v>
      </c>
      <c r="E1272" t="s">
        <v>13</v>
      </c>
      <c r="F1272" t="s">
        <v>1569</v>
      </c>
      <c r="G1272">
        <v>3000000</v>
      </c>
      <c r="H1272">
        <v>5.5</v>
      </c>
      <c r="I1272" t="s">
        <v>34</v>
      </c>
      <c r="J1272" t="s">
        <v>31</v>
      </c>
      <c r="K1272" t="s">
        <v>24</v>
      </c>
    </row>
    <row r="1273" spans="1:12" x14ac:dyDescent="0.25">
      <c r="A1273" t="s">
        <v>2166</v>
      </c>
      <c r="B1273">
        <v>80</v>
      </c>
      <c r="C1273">
        <v>48334413</v>
      </c>
      <c r="D1273" t="s">
        <v>2167</v>
      </c>
      <c r="E1273" t="s">
        <v>13</v>
      </c>
      <c r="F1273" t="s">
        <v>14</v>
      </c>
      <c r="G1273">
        <v>3000000</v>
      </c>
      <c r="H1273">
        <v>2.6</v>
      </c>
      <c r="I1273" t="s">
        <v>15</v>
      </c>
    </row>
    <row r="1274" spans="1:12" x14ac:dyDescent="0.25">
      <c r="A1274" t="s">
        <v>2168</v>
      </c>
      <c r="B1274">
        <v>90</v>
      </c>
      <c r="C1274">
        <v>48334413</v>
      </c>
      <c r="D1274" t="s">
        <v>2169</v>
      </c>
      <c r="E1274" t="s">
        <v>13</v>
      </c>
      <c r="F1274" t="s">
        <v>14</v>
      </c>
      <c r="G1274">
        <v>3000000</v>
      </c>
      <c r="H1274">
        <v>5.8</v>
      </c>
      <c r="I1274" t="s">
        <v>34</v>
      </c>
      <c r="J1274" t="s">
        <v>31</v>
      </c>
      <c r="K1274" t="s">
        <v>41</v>
      </c>
    </row>
    <row r="1275" spans="1:12" x14ac:dyDescent="0.25">
      <c r="A1275" t="s">
        <v>1758</v>
      </c>
      <c r="B1275">
        <v>92</v>
      </c>
      <c r="C1275">
        <v>48334413</v>
      </c>
      <c r="D1275" t="s">
        <v>2170</v>
      </c>
      <c r="E1275" t="s">
        <v>13</v>
      </c>
      <c r="F1275" t="s">
        <v>14</v>
      </c>
      <c r="G1275">
        <v>3000000</v>
      </c>
      <c r="H1275">
        <v>7.4</v>
      </c>
      <c r="I1275" t="s">
        <v>38</v>
      </c>
      <c r="J1275" t="s">
        <v>24</v>
      </c>
    </row>
    <row r="1276" spans="1:12" x14ac:dyDescent="0.25">
      <c r="A1276" t="s">
        <v>2171</v>
      </c>
      <c r="B1276">
        <v>100</v>
      </c>
      <c r="C1276">
        <v>48334413</v>
      </c>
      <c r="D1276" t="s">
        <v>2172</v>
      </c>
      <c r="E1276" t="s">
        <v>1351</v>
      </c>
      <c r="F1276" t="s">
        <v>1342</v>
      </c>
      <c r="G1276">
        <v>3000000</v>
      </c>
      <c r="H1276">
        <v>5.0999999999999996</v>
      </c>
      <c r="I1276" t="s">
        <v>15</v>
      </c>
    </row>
    <row r="1277" spans="1:12" x14ac:dyDescent="0.25">
      <c r="A1277" t="s">
        <v>2173</v>
      </c>
      <c r="B1277">
        <v>95</v>
      </c>
      <c r="C1277">
        <v>48334413</v>
      </c>
      <c r="D1277" t="s">
        <v>2174</v>
      </c>
      <c r="E1277" t="s">
        <v>13</v>
      </c>
      <c r="F1277" t="s">
        <v>14</v>
      </c>
      <c r="G1277">
        <v>3000000</v>
      </c>
      <c r="H1277">
        <v>4.8</v>
      </c>
      <c r="I1277" t="s">
        <v>31</v>
      </c>
      <c r="J1277" t="s">
        <v>22</v>
      </c>
      <c r="K1277" t="s">
        <v>23</v>
      </c>
      <c r="L1277" t="s">
        <v>24</v>
      </c>
    </row>
    <row r="1278" spans="1:12" x14ac:dyDescent="0.25">
      <c r="A1278" t="s">
        <v>2175</v>
      </c>
      <c r="B1278">
        <v>82</v>
      </c>
      <c r="C1278">
        <v>48334413</v>
      </c>
      <c r="D1278" t="s">
        <v>2176</v>
      </c>
      <c r="E1278" t="s">
        <v>13</v>
      </c>
      <c r="F1278" t="s">
        <v>14</v>
      </c>
      <c r="G1278">
        <v>3000000</v>
      </c>
      <c r="H1278">
        <v>3.9</v>
      </c>
      <c r="I1278" t="s">
        <v>24</v>
      </c>
    </row>
    <row r="1279" spans="1:12" x14ac:dyDescent="0.25">
      <c r="A1279" t="s">
        <v>2177</v>
      </c>
      <c r="B1279">
        <v>97</v>
      </c>
      <c r="C1279">
        <v>48334413</v>
      </c>
      <c r="D1279" t="s">
        <v>2178</v>
      </c>
      <c r="E1279" t="s">
        <v>13</v>
      </c>
      <c r="F1279" t="s">
        <v>1342</v>
      </c>
      <c r="G1279">
        <v>3000000</v>
      </c>
      <c r="H1279">
        <v>6.2</v>
      </c>
      <c r="I1279" t="s">
        <v>28</v>
      </c>
      <c r="J1279" t="s">
        <v>38</v>
      </c>
      <c r="K1279" t="s">
        <v>31</v>
      </c>
    </row>
    <row r="1280" spans="1:12" x14ac:dyDescent="0.25">
      <c r="A1280" t="s">
        <v>2179</v>
      </c>
      <c r="B1280">
        <v>94</v>
      </c>
      <c r="C1280">
        <v>48334413</v>
      </c>
      <c r="D1280" t="s">
        <v>2180</v>
      </c>
      <c r="E1280" t="s">
        <v>13</v>
      </c>
      <c r="F1280" t="s">
        <v>14</v>
      </c>
      <c r="G1280">
        <v>3000000</v>
      </c>
      <c r="H1280">
        <v>6.2</v>
      </c>
      <c r="I1280" t="s">
        <v>34</v>
      </c>
      <c r="J1280" t="s">
        <v>28</v>
      </c>
      <c r="K1280" t="s">
        <v>38</v>
      </c>
      <c r="L1280" t="s">
        <v>31</v>
      </c>
    </row>
    <row r="1281" spans="1:12" x14ac:dyDescent="0.25">
      <c r="A1281" t="s">
        <v>2181</v>
      </c>
      <c r="B1281">
        <v>80</v>
      </c>
      <c r="C1281">
        <v>48334413</v>
      </c>
      <c r="D1281" t="s">
        <v>2182</v>
      </c>
      <c r="E1281" t="s">
        <v>13</v>
      </c>
      <c r="F1281" t="s">
        <v>14</v>
      </c>
      <c r="G1281">
        <v>3000000</v>
      </c>
      <c r="H1281">
        <v>4.9000000000000004</v>
      </c>
      <c r="I1281" t="s">
        <v>34</v>
      </c>
      <c r="J1281" t="s">
        <v>38</v>
      </c>
    </row>
    <row r="1282" spans="1:12" x14ac:dyDescent="0.25">
      <c r="A1282" t="s">
        <v>2183</v>
      </c>
      <c r="B1282">
        <v>90</v>
      </c>
      <c r="C1282">
        <v>48334413</v>
      </c>
      <c r="D1282" t="s">
        <v>2184</v>
      </c>
      <c r="E1282" t="s">
        <v>13</v>
      </c>
      <c r="F1282" t="s">
        <v>14</v>
      </c>
      <c r="G1282">
        <v>3000000</v>
      </c>
      <c r="H1282">
        <v>4.3</v>
      </c>
      <c r="I1282" t="s">
        <v>31</v>
      </c>
      <c r="J1282" t="s">
        <v>22</v>
      </c>
      <c r="K1282" t="s">
        <v>23</v>
      </c>
      <c r="L1282" t="s">
        <v>24</v>
      </c>
    </row>
    <row r="1283" spans="1:12" x14ac:dyDescent="0.25">
      <c r="A1283" t="s">
        <v>2185</v>
      </c>
      <c r="B1283">
        <v>89</v>
      </c>
      <c r="C1283">
        <v>48334413</v>
      </c>
      <c r="D1283" t="s">
        <v>2186</v>
      </c>
      <c r="E1283" t="s">
        <v>13</v>
      </c>
      <c r="F1283" t="s">
        <v>14</v>
      </c>
      <c r="G1283">
        <v>3000000</v>
      </c>
      <c r="H1283">
        <v>4</v>
      </c>
      <c r="I1283" t="s">
        <v>34</v>
      </c>
      <c r="J1283" t="s">
        <v>22</v>
      </c>
      <c r="K1283" t="s">
        <v>24</v>
      </c>
    </row>
    <row r="1284" spans="1:12" x14ac:dyDescent="0.25">
      <c r="A1284" t="s">
        <v>2187</v>
      </c>
      <c r="B1284">
        <v>141</v>
      </c>
      <c r="C1284">
        <v>48334413</v>
      </c>
      <c r="D1284" t="s">
        <v>2188</v>
      </c>
      <c r="E1284" t="s">
        <v>2189</v>
      </c>
      <c r="F1284" t="s">
        <v>98</v>
      </c>
      <c r="G1284">
        <v>3000000</v>
      </c>
      <c r="H1284">
        <v>6.6</v>
      </c>
      <c r="I1284" t="s">
        <v>19</v>
      </c>
    </row>
    <row r="1285" spans="1:12" x14ac:dyDescent="0.25">
      <c r="A1285" t="s">
        <v>2190</v>
      </c>
      <c r="B1285">
        <v>97</v>
      </c>
      <c r="C1285">
        <v>48334413</v>
      </c>
      <c r="D1285" t="s">
        <v>2191</v>
      </c>
      <c r="E1285" t="s">
        <v>13</v>
      </c>
      <c r="F1285" t="s">
        <v>14</v>
      </c>
      <c r="G1285">
        <v>3000000</v>
      </c>
      <c r="H1285">
        <v>7.3</v>
      </c>
      <c r="I1285" t="s">
        <v>22</v>
      </c>
    </row>
    <row r="1286" spans="1:12" x14ac:dyDescent="0.25">
      <c r="A1286" t="s">
        <v>1748</v>
      </c>
      <c r="B1286">
        <v>98</v>
      </c>
      <c r="C1286">
        <v>48334413</v>
      </c>
      <c r="D1286" t="s">
        <v>2192</v>
      </c>
      <c r="E1286" t="s">
        <v>1300</v>
      </c>
      <c r="F1286" t="s">
        <v>1206</v>
      </c>
      <c r="G1286">
        <v>3000000</v>
      </c>
      <c r="H1286">
        <v>7.7</v>
      </c>
      <c r="I1286" t="s">
        <v>15</v>
      </c>
      <c r="J1286" t="s">
        <v>38</v>
      </c>
    </row>
    <row r="1287" spans="1:12" x14ac:dyDescent="0.25">
      <c r="A1287" t="s">
        <v>2134</v>
      </c>
      <c r="B1287">
        <v>136</v>
      </c>
      <c r="C1287">
        <v>48334413</v>
      </c>
      <c r="D1287" t="s">
        <v>2193</v>
      </c>
      <c r="E1287" t="s">
        <v>13</v>
      </c>
      <c r="F1287" t="s">
        <v>14</v>
      </c>
      <c r="G1287">
        <v>2900000</v>
      </c>
      <c r="H1287">
        <v>7.3</v>
      </c>
      <c r="I1287" t="s">
        <v>15</v>
      </c>
      <c r="J1287" t="s">
        <v>31</v>
      </c>
    </row>
    <row r="1288" spans="1:12" x14ac:dyDescent="0.25">
      <c r="A1288" t="s">
        <v>495</v>
      </c>
      <c r="B1288">
        <v>107</v>
      </c>
      <c r="C1288">
        <v>48334413</v>
      </c>
      <c r="D1288" t="s">
        <v>2194</v>
      </c>
      <c r="E1288" t="s">
        <v>13</v>
      </c>
      <c r="F1288" t="s">
        <v>82</v>
      </c>
      <c r="G1288">
        <v>2800000</v>
      </c>
      <c r="H1288">
        <v>7.6</v>
      </c>
      <c r="I1288" t="s">
        <v>17</v>
      </c>
      <c r="J1288" t="s">
        <v>22</v>
      </c>
      <c r="K1288" t="s">
        <v>23</v>
      </c>
    </row>
    <row r="1289" spans="1:12" x14ac:dyDescent="0.25">
      <c r="A1289" t="s">
        <v>495</v>
      </c>
      <c r="B1289">
        <v>107</v>
      </c>
      <c r="C1289">
        <v>48334413</v>
      </c>
      <c r="D1289" t="s">
        <v>2194</v>
      </c>
      <c r="E1289" t="s">
        <v>13</v>
      </c>
      <c r="F1289" t="s">
        <v>82</v>
      </c>
      <c r="G1289">
        <v>2800000</v>
      </c>
      <c r="H1289">
        <v>7.6</v>
      </c>
      <c r="I1289" t="s">
        <v>17</v>
      </c>
      <c r="J1289" t="s">
        <v>22</v>
      </c>
      <c r="K1289" t="s">
        <v>23</v>
      </c>
    </row>
    <row r="1290" spans="1:12" x14ac:dyDescent="0.25">
      <c r="A1290" t="s">
        <v>2195</v>
      </c>
      <c r="B1290">
        <v>118</v>
      </c>
      <c r="C1290">
        <v>48334413</v>
      </c>
      <c r="D1290" t="s">
        <v>2196</v>
      </c>
      <c r="E1290" t="s">
        <v>13</v>
      </c>
      <c r="F1290" t="s">
        <v>14</v>
      </c>
      <c r="G1290">
        <v>2700000</v>
      </c>
      <c r="H1290">
        <v>7.4</v>
      </c>
      <c r="I1290" t="s">
        <v>28</v>
      </c>
      <c r="J1290" t="s">
        <v>16</v>
      </c>
      <c r="K1290" t="s">
        <v>41</v>
      </c>
    </row>
    <row r="1291" spans="1:12" x14ac:dyDescent="0.25">
      <c r="A1291" t="s">
        <v>2126</v>
      </c>
      <c r="B1291">
        <v>109</v>
      </c>
      <c r="C1291">
        <v>48334413</v>
      </c>
      <c r="D1291" t="s">
        <v>2197</v>
      </c>
      <c r="E1291" t="s">
        <v>13</v>
      </c>
      <c r="F1291" t="s">
        <v>14</v>
      </c>
      <c r="G1291">
        <v>2686585</v>
      </c>
      <c r="H1291">
        <v>6.9</v>
      </c>
      <c r="I1291" t="s">
        <v>28</v>
      </c>
      <c r="J1291" t="s">
        <v>15</v>
      </c>
      <c r="K1291" t="s">
        <v>19</v>
      </c>
    </row>
    <row r="1292" spans="1:12" x14ac:dyDescent="0.25">
      <c r="A1292" t="s">
        <v>2198</v>
      </c>
      <c r="B1292">
        <v>95</v>
      </c>
      <c r="C1292">
        <v>48334413</v>
      </c>
      <c r="D1292" t="s">
        <v>2199</v>
      </c>
      <c r="E1292" t="s">
        <v>2200</v>
      </c>
      <c r="F1292" t="s">
        <v>1715</v>
      </c>
      <c r="G1292">
        <v>2650000</v>
      </c>
      <c r="H1292">
        <v>7</v>
      </c>
      <c r="I1292" t="s">
        <v>15</v>
      </c>
      <c r="J1292" t="s">
        <v>31</v>
      </c>
    </row>
    <row r="1293" spans="1:12" x14ac:dyDescent="0.25">
      <c r="A1293" t="s">
        <v>2201</v>
      </c>
      <c r="B1293">
        <v>122</v>
      </c>
      <c r="C1293">
        <v>48334413</v>
      </c>
      <c r="D1293" t="s">
        <v>2202</v>
      </c>
      <c r="E1293" t="s">
        <v>13</v>
      </c>
      <c r="F1293" t="s">
        <v>14</v>
      </c>
      <c r="G1293">
        <v>2627000</v>
      </c>
      <c r="H1293">
        <v>7</v>
      </c>
      <c r="I1293" t="s">
        <v>31</v>
      </c>
      <c r="J1293" t="s">
        <v>17</v>
      </c>
      <c r="K1293" t="s">
        <v>19</v>
      </c>
      <c r="L1293" t="s">
        <v>83</v>
      </c>
    </row>
    <row r="1294" spans="1:12" x14ac:dyDescent="0.25">
      <c r="A1294" t="s">
        <v>2203</v>
      </c>
      <c r="B1294">
        <v>100</v>
      </c>
      <c r="C1294">
        <v>48334413</v>
      </c>
      <c r="D1294" t="s">
        <v>2204</v>
      </c>
      <c r="E1294" t="s">
        <v>13</v>
      </c>
      <c r="F1294" t="s">
        <v>14</v>
      </c>
      <c r="G1294">
        <v>2600000</v>
      </c>
      <c r="H1294">
        <v>5.3</v>
      </c>
      <c r="I1294" t="s">
        <v>22</v>
      </c>
      <c r="J1294" t="s">
        <v>24</v>
      </c>
    </row>
    <row r="1295" spans="1:12" x14ac:dyDescent="0.25">
      <c r="A1295" t="s">
        <v>2205</v>
      </c>
      <c r="B1295">
        <v>103</v>
      </c>
      <c r="C1295">
        <v>48334413</v>
      </c>
      <c r="D1295" t="s">
        <v>2206</v>
      </c>
      <c r="E1295" t="s">
        <v>13</v>
      </c>
      <c r="F1295" t="s">
        <v>14</v>
      </c>
      <c r="G1295">
        <v>2540800</v>
      </c>
      <c r="H1295">
        <v>8.3000000000000007</v>
      </c>
      <c r="I1295" t="s">
        <v>15</v>
      </c>
      <c r="J1295" t="s">
        <v>59</v>
      </c>
      <c r="K1295" t="s">
        <v>19</v>
      </c>
    </row>
    <row r="1296" spans="1:12" x14ac:dyDescent="0.25">
      <c r="A1296" t="s">
        <v>2207</v>
      </c>
      <c r="B1296">
        <v>111</v>
      </c>
      <c r="C1296">
        <v>48334413</v>
      </c>
      <c r="D1296" t="s">
        <v>2208</v>
      </c>
      <c r="E1296" t="s">
        <v>13</v>
      </c>
      <c r="F1296" t="s">
        <v>14</v>
      </c>
      <c r="G1296">
        <v>2500000</v>
      </c>
      <c r="H1296">
        <v>7.2</v>
      </c>
      <c r="I1296" t="s">
        <v>15</v>
      </c>
      <c r="J1296" t="s">
        <v>16</v>
      </c>
    </row>
    <row r="1297" spans="1:14" x14ac:dyDescent="0.25">
      <c r="A1297" t="s">
        <v>2209</v>
      </c>
      <c r="B1297">
        <v>92</v>
      </c>
      <c r="C1297">
        <v>48334413</v>
      </c>
      <c r="D1297" t="s">
        <v>2210</v>
      </c>
      <c r="E1297" t="s">
        <v>13</v>
      </c>
      <c r="F1297" t="s">
        <v>82</v>
      </c>
      <c r="G1297">
        <v>2500000</v>
      </c>
      <c r="H1297">
        <v>6.2</v>
      </c>
      <c r="I1297" t="s">
        <v>15</v>
      </c>
      <c r="J1297" t="s">
        <v>38</v>
      </c>
      <c r="K1297" t="s">
        <v>22</v>
      </c>
      <c r="L1297" t="s">
        <v>24</v>
      </c>
    </row>
    <row r="1298" spans="1:14" x14ac:dyDescent="0.25">
      <c r="A1298" t="s">
        <v>2211</v>
      </c>
      <c r="B1298">
        <v>97</v>
      </c>
      <c r="C1298">
        <v>48334413</v>
      </c>
      <c r="D1298" t="s">
        <v>2212</v>
      </c>
      <c r="E1298" t="s">
        <v>13</v>
      </c>
      <c r="F1298" t="s">
        <v>45</v>
      </c>
      <c r="G1298">
        <v>2500000</v>
      </c>
      <c r="H1298">
        <v>7.6</v>
      </c>
      <c r="I1298" t="s">
        <v>52</v>
      </c>
    </row>
    <row r="1299" spans="1:14" x14ac:dyDescent="0.25">
      <c r="A1299" t="s">
        <v>2213</v>
      </c>
      <c r="B1299">
        <v>98</v>
      </c>
      <c r="C1299">
        <v>48334413</v>
      </c>
      <c r="D1299" t="s">
        <v>2214</v>
      </c>
      <c r="E1299" t="s">
        <v>13</v>
      </c>
      <c r="F1299" t="s">
        <v>14</v>
      </c>
      <c r="G1299">
        <v>2500000</v>
      </c>
      <c r="H1299">
        <v>6.3</v>
      </c>
      <c r="I1299" t="s">
        <v>34</v>
      </c>
      <c r="J1299" t="s">
        <v>37</v>
      </c>
    </row>
    <row r="1300" spans="1:14" x14ac:dyDescent="0.25">
      <c r="A1300" t="s">
        <v>1807</v>
      </c>
      <c r="B1300">
        <v>112</v>
      </c>
      <c r="C1300">
        <v>48334413</v>
      </c>
      <c r="D1300" t="s">
        <v>2215</v>
      </c>
      <c r="E1300" t="s">
        <v>13</v>
      </c>
      <c r="F1300" t="s">
        <v>14</v>
      </c>
      <c r="G1300">
        <v>2500000</v>
      </c>
      <c r="H1300">
        <v>7.9</v>
      </c>
      <c r="I1300" t="s">
        <v>31</v>
      </c>
    </row>
    <row r="1301" spans="1:14" x14ac:dyDescent="0.25">
      <c r="A1301" t="s">
        <v>2216</v>
      </c>
      <c r="B1301">
        <v>89</v>
      </c>
      <c r="C1301">
        <v>48334413</v>
      </c>
      <c r="D1301" t="s">
        <v>2217</v>
      </c>
      <c r="E1301" t="s">
        <v>13</v>
      </c>
      <c r="F1301" t="s">
        <v>14</v>
      </c>
      <c r="G1301">
        <v>2500000</v>
      </c>
      <c r="H1301">
        <v>5.8</v>
      </c>
      <c r="I1301" t="s">
        <v>15</v>
      </c>
      <c r="J1301" t="s">
        <v>31</v>
      </c>
      <c r="K1301" t="s">
        <v>16</v>
      </c>
      <c r="L1301" t="s">
        <v>19</v>
      </c>
    </row>
    <row r="1302" spans="1:14" x14ac:dyDescent="0.25">
      <c r="A1302" t="s">
        <v>2218</v>
      </c>
      <c r="B1302">
        <v>87</v>
      </c>
      <c r="C1302">
        <v>48334413</v>
      </c>
      <c r="D1302" t="s">
        <v>2219</v>
      </c>
      <c r="E1302" t="s">
        <v>13</v>
      </c>
      <c r="F1302" t="s">
        <v>241</v>
      </c>
      <c r="G1302">
        <v>2500000</v>
      </c>
      <c r="H1302">
        <v>5</v>
      </c>
      <c r="I1302" t="s">
        <v>15</v>
      </c>
      <c r="J1302" t="s">
        <v>22</v>
      </c>
    </row>
    <row r="1303" spans="1:14" x14ac:dyDescent="0.25">
      <c r="A1303" t="s">
        <v>2220</v>
      </c>
      <c r="B1303">
        <v>110</v>
      </c>
      <c r="C1303">
        <v>48334413</v>
      </c>
      <c r="D1303" t="s">
        <v>2221</v>
      </c>
      <c r="E1303" t="s">
        <v>13</v>
      </c>
      <c r="F1303" t="s">
        <v>82</v>
      </c>
      <c r="G1303">
        <v>2500000</v>
      </c>
      <c r="H1303">
        <v>5</v>
      </c>
      <c r="I1303" t="s">
        <v>38</v>
      </c>
      <c r="J1303" t="s">
        <v>31</v>
      </c>
    </row>
    <row r="1304" spans="1:14" x14ac:dyDescent="0.25">
      <c r="A1304" t="s">
        <v>2222</v>
      </c>
      <c r="B1304">
        <v>101</v>
      </c>
      <c r="C1304">
        <v>48334413</v>
      </c>
      <c r="D1304" t="s">
        <v>2223</v>
      </c>
      <c r="E1304" t="s">
        <v>13</v>
      </c>
      <c r="F1304" t="s">
        <v>82</v>
      </c>
      <c r="G1304">
        <v>2500000</v>
      </c>
      <c r="H1304">
        <v>3.1</v>
      </c>
      <c r="I1304" t="s">
        <v>15</v>
      </c>
      <c r="J1304" t="s">
        <v>37</v>
      </c>
    </row>
    <row r="1305" spans="1:14" x14ac:dyDescent="0.25">
      <c r="A1305" t="s">
        <v>2224</v>
      </c>
      <c r="B1305">
        <v>90</v>
      </c>
      <c r="C1305">
        <v>48334413</v>
      </c>
      <c r="D1305" t="s">
        <v>2225</v>
      </c>
      <c r="E1305" t="s">
        <v>13</v>
      </c>
      <c r="F1305" t="s">
        <v>14</v>
      </c>
      <c r="G1305">
        <v>2500000</v>
      </c>
      <c r="H1305">
        <v>6.9</v>
      </c>
      <c r="I1305" t="s">
        <v>31</v>
      </c>
      <c r="J1305" t="s">
        <v>24</v>
      </c>
    </row>
    <row r="1306" spans="1:14" x14ac:dyDescent="0.25">
      <c r="A1306" t="s">
        <v>1379</v>
      </c>
      <c r="B1306">
        <v>90</v>
      </c>
      <c r="C1306">
        <v>48334413</v>
      </c>
      <c r="D1306" t="s">
        <v>2226</v>
      </c>
      <c r="E1306" t="s">
        <v>13</v>
      </c>
      <c r="F1306" t="s">
        <v>98</v>
      </c>
      <c r="G1306">
        <v>2500000</v>
      </c>
      <c r="H1306">
        <v>6</v>
      </c>
      <c r="I1306" t="s">
        <v>34</v>
      </c>
      <c r="J1306" t="s">
        <v>15</v>
      </c>
      <c r="K1306" t="s">
        <v>22</v>
      </c>
    </row>
    <row r="1307" spans="1:14" x14ac:dyDescent="0.25">
      <c r="A1307" t="s">
        <v>2227</v>
      </c>
      <c r="B1307">
        <v>89</v>
      </c>
      <c r="C1307">
        <v>48334413</v>
      </c>
      <c r="D1307" t="s">
        <v>2228</v>
      </c>
      <c r="E1307" t="s">
        <v>13</v>
      </c>
      <c r="F1307" t="s">
        <v>14</v>
      </c>
      <c r="G1307">
        <v>2500000</v>
      </c>
      <c r="H1307">
        <v>5.4</v>
      </c>
      <c r="I1307" t="s">
        <v>31</v>
      </c>
      <c r="J1307" t="s">
        <v>18</v>
      </c>
      <c r="K1307" t="s">
        <v>23</v>
      </c>
      <c r="L1307" t="s">
        <v>19</v>
      </c>
      <c r="M1307" t="s">
        <v>37</v>
      </c>
    </row>
    <row r="1308" spans="1:14" x14ac:dyDescent="0.25">
      <c r="A1308" t="s">
        <v>2229</v>
      </c>
      <c r="B1308">
        <v>97</v>
      </c>
      <c r="C1308">
        <v>48334413</v>
      </c>
      <c r="D1308" t="s">
        <v>2230</v>
      </c>
      <c r="E1308" t="s">
        <v>13</v>
      </c>
      <c r="F1308" t="s">
        <v>14</v>
      </c>
      <c r="G1308">
        <v>2400000</v>
      </c>
      <c r="H1308">
        <v>5.3</v>
      </c>
      <c r="I1308" t="s">
        <v>15</v>
      </c>
      <c r="J1308" t="s">
        <v>18</v>
      </c>
      <c r="K1308" t="s">
        <v>19</v>
      </c>
    </row>
    <row r="1309" spans="1:14" x14ac:dyDescent="0.25">
      <c r="A1309" t="s">
        <v>2231</v>
      </c>
      <c r="B1309">
        <v>101</v>
      </c>
      <c r="C1309">
        <v>48334413</v>
      </c>
      <c r="D1309" t="s">
        <v>2232</v>
      </c>
      <c r="E1309" t="s">
        <v>13</v>
      </c>
      <c r="F1309" t="s">
        <v>14</v>
      </c>
      <c r="G1309">
        <v>2361000</v>
      </c>
      <c r="H1309">
        <v>6.5</v>
      </c>
      <c r="I1309" t="s">
        <v>15</v>
      </c>
      <c r="J1309" t="s">
        <v>59</v>
      </c>
    </row>
    <row r="1310" spans="1:14" x14ac:dyDescent="0.25">
      <c r="A1310" t="s">
        <v>1230</v>
      </c>
      <c r="B1310">
        <v>44</v>
      </c>
      <c r="C1310">
        <v>48334413</v>
      </c>
      <c r="D1310" t="s">
        <v>2233</v>
      </c>
      <c r="E1310" t="s">
        <v>13</v>
      </c>
      <c r="F1310" t="s">
        <v>14</v>
      </c>
      <c r="G1310">
        <v>2300000</v>
      </c>
      <c r="H1310">
        <v>8.1999999999999993</v>
      </c>
      <c r="I1310" t="s">
        <v>34</v>
      </c>
      <c r="J1310" t="s">
        <v>31</v>
      </c>
      <c r="K1310" t="s">
        <v>17</v>
      </c>
      <c r="L1310" t="s">
        <v>19</v>
      </c>
    </row>
    <row r="1311" spans="1:14" x14ac:dyDescent="0.25">
      <c r="A1311" t="s">
        <v>1639</v>
      </c>
      <c r="B1311">
        <v>136</v>
      </c>
      <c r="C1311">
        <v>48334413</v>
      </c>
      <c r="D1311" t="s">
        <v>2234</v>
      </c>
      <c r="E1311" t="s">
        <v>13</v>
      </c>
      <c r="F1311" t="s">
        <v>14</v>
      </c>
      <c r="G1311">
        <v>2300000</v>
      </c>
      <c r="H1311">
        <v>8</v>
      </c>
      <c r="I1311" t="s">
        <v>31</v>
      </c>
      <c r="J1311" t="s">
        <v>22</v>
      </c>
    </row>
    <row r="1312" spans="1:14" x14ac:dyDescent="0.25">
      <c r="A1312" t="s">
        <v>2235</v>
      </c>
      <c r="B1312">
        <v>90</v>
      </c>
      <c r="C1312">
        <v>48334413</v>
      </c>
      <c r="D1312" t="s">
        <v>2236</v>
      </c>
      <c r="E1312" t="s">
        <v>13</v>
      </c>
      <c r="F1312" t="s">
        <v>14</v>
      </c>
      <c r="G1312">
        <v>2300000</v>
      </c>
      <c r="H1312">
        <v>7.3</v>
      </c>
      <c r="I1312" t="s">
        <v>28</v>
      </c>
      <c r="J1312" t="s">
        <v>46</v>
      </c>
      <c r="K1312" t="s">
        <v>15</v>
      </c>
      <c r="L1312" t="s">
        <v>16</v>
      </c>
      <c r="M1312" t="s">
        <v>17</v>
      </c>
      <c r="N1312" t="s">
        <v>59</v>
      </c>
    </row>
    <row r="1313" spans="1:13" x14ac:dyDescent="0.25">
      <c r="A1313" t="s">
        <v>2231</v>
      </c>
      <c r="B1313">
        <v>108</v>
      </c>
      <c r="C1313">
        <v>48334413</v>
      </c>
      <c r="D1313" t="s">
        <v>2237</v>
      </c>
      <c r="E1313" t="s">
        <v>13</v>
      </c>
      <c r="F1313" t="s">
        <v>14</v>
      </c>
      <c r="G1313">
        <v>2295429</v>
      </c>
      <c r="H1313">
        <v>7</v>
      </c>
      <c r="I1313" t="s">
        <v>31</v>
      </c>
      <c r="J1313" t="s">
        <v>16</v>
      </c>
      <c r="K1313" t="s">
        <v>59</v>
      </c>
      <c r="L1313" t="s">
        <v>19</v>
      </c>
    </row>
    <row r="1314" spans="1:13" x14ac:dyDescent="0.25">
      <c r="A1314" t="s">
        <v>2238</v>
      </c>
      <c r="B1314">
        <v>94</v>
      </c>
      <c r="C1314">
        <v>48334413</v>
      </c>
      <c r="D1314" t="s">
        <v>2239</v>
      </c>
      <c r="E1314" t="s">
        <v>13</v>
      </c>
      <c r="F1314" t="s">
        <v>98</v>
      </c>
      <c r="G1314">
        <v>2200000</v>
      </c>
      <c r="H1314">
        <v>7.2</v>
      </c>
      <c r="I1314" t="s">
        <v>31</v>
      </c>
    </row>
    <row r="1315" spans="1:13" x14ac:dyDescent="0.25">
      <c r="A1315" t="s">
        <v>2240</v>
      </c>
      <c r="B1315">
        <v>90</v>
      </c>
      <c r="C1315">
        <v>48334413</v>
      </c>
      <c r="D1315" t="s">
        <v>2241</v>
      </c>
      <c r="E1315" t="s">
        <v>13</v>
      </c>
      <c r="F1315" t="s">
        <v>14</v>
      </c>
      <c r="G1315">
        <v>2200000</v>
      </c>
      <c r="H1315">
        <v>4.3</v>
      </c>
      <c r="I1315" t="s">
        <v>24</v>
      </c>
    </row>
    <row r="1316" spans="1:13" x14ac:dyDescent="0.25">
      <c r="A1316" t="s">
        <v>2242</v>
      </c>
      <c r="B1316">
        <v>119</v>
      </c>
      <c r="C1316">
        <v>48334413</v>
      </c>
      <c r="D1316" t="s">
        <v>2243</v>
      </c>
      <c r="E1316" t="s">
        <v>13</v>
      </c>
      <c r="F1316" t="s">
        <v>14</v>
      </c>
      <c r="G1316">
        <v>2160000</v>
      </c>
      <c r="H1316">
        <v>7.5</v>
      </c>
      <c r="I1316" t="s">
        <v>31</v>
      </c>
    </row>
    <row r="1317" spans="1:13" x14ac:dyDescent="0.25">
      <c r="A1317" t="s">
        <v>2244</v>
      </c>
      <c r="B1317">
        <v>89</v>
      </c>
      <c r="C1317">
        <v>48334413</v>
      </c>
      <c r="D1317" t="s">
        <v>2245</v>
      </c>
      <c r="E1317" t="s">
        <v>13</v>
      </c>
      <c r="F1317" t="s">
        <v>14</v>
      </c>
      <c r="G1317">
        <v>2100000</v>
      </c>
      <c r="H1317">
        <v>6.3</v>
      </c>
      <c r="I1317" t="s">
        <v>31</v>
      </c>
    </row>
    <row r="1318" spans="1:13" x14ac:dyDescent="0.25">
      <c r="A1318" t="s">
        <v>2246</v>
      </c>
      <c r="B1318">
        <v>100</v>
      </c>
      <c r="C1318">
        <v>48334413</v>
      </c>
      <c r="D1318" t="s">
        <v>2247</v>
      </c>
      <c r="E1318" t="s">
        <v>13</v>
      </c>
      <c r="F1318" t="s">
        <v>14</v>
      </c>
      <c r="G1318">
        <v>2100000</v>
      </c>
      <c r="H1318">
        <v>6.7</v>
      </c>
      <c r="I1318" t="s">
        <v>15</v>
      </c>
      <c r="J1318" t="s">
        <v>31</v>
      </c>
      <c r="K1318" t="s">
        <v>23</v>
      </c>
      <c r="L1318" t="s">
        <v>19</v>
      </c>
      <c r="M1318" t="s">
        <v>24</v>
      </c>
    </row>
    <row r="1319" spans="1:13" x14ac:dyDescent="0.25">
      <c r="A1319" t="s">
        <v>2248</v>
      </c>
      <c r="B1319">
        <v>81</v>
      </c>
      <c r="C1319">
        <v>48334413</v>
      </c>
      <c r="D1319" t="s">
        <v>2249</v>
      </c>
      <c r="E1319" t="s">
        <v>13</v>
      </c>
      <c r="F1319" t="s">
        <v>14</v>
      </c>
      <c r="G1319">
        <v>2100000</v>
      </c>
      <c r="H1319">
        <v>5.5</v>
      </c>
      <c r="I1319" t="s">
        <v>28</v>
      </c>
      <c r="J1319" t="s">
        <v>31</v>
      </c>
      <c r="K1319" t="s">
        <v>69</v>
      </c>
    </row>
    <row r="1320" spans="1:13" x14ac:dyDescent="0.25">
      <c r="A1320" t="s">
        <v>915</v>
      </c>
      <c r="B1320">
        <v>152</v>
      </c>
      <c r="C1320">
        <v>48334413</v>
      </c>
      <c r="D1320" t="s">
        <v>2250</v>
      </c>
      <c r="E1320" t="s">
        <v>13</v>
      </c>
      <c r="F1320" t="s">
        <v>82</v>
      </c>
      <c r="G1320">
        <v>2000000</v>
      </c>
      <c r="H1320">
        <v>7.7</v>
      </c>
      <c r="I1320" t="s">
        <v>38</v>
      </c>
      <c r="J1320" t="s">
        <v>31</v>
      </c>
      <c r="K1320" t="s">
        <v>19</v>
      </c>
    </row>
    <row r="1321" spans="1:13" x14ac:dyDescent="0.25">
      <c r="A1321" t="s">
        <v>1922</v>
      </c>
      <c r="B1321">
        <v>120</v>
      </c>
      <c r="C1321">
        <v>48334413</v>
      </c>
      <c r="D1321" t="s">
        <v>2251</v>
      </c>
      <c r="E1321" t="s">
        <v>13</v>
      </c>
      <c r="F1321" t="s">
        <v>82</v>
      </c>
      <c r="G1321">
        <v>2000000</v>
      </c>
      <c r="H1321">
        <v>7.9</v>
      </c>
      <c r="I1321" t="s">
        <v>42</v>
      </c>
      <c r="J1321" t="s">
        <v>31</v>
      </c>
      <c r="K1321" t="s">
        <v>64</v>
      </c>
    </row>
    <row r="1322" spans="1:13" x14ac:dyDescent="0.25">
      <c r="A1322" t="s">
        <v>1972</v>
      </c>
      <c r="B1322">
        <v>116</v>
      </c>
      <c r="C1322">
        <v>48334413</v>
      </c>
      <c r="D1322" t="s">
        <v>2252</v>
      </c>
      <c r="E1322" t="s">
        <v>13</v>
      </c>
      <c r="F1322" t="s">
        <v>82</v>
      </c>
      <c r="G1322">
        <v>2000000</v>
      </c>
      <c r="H1322">
        <v>7.5</v>
      </c>
      <c r="I1322" t="s">
        <v>24</v>
      </c>
    </row>
    <row r="1323" spans="1:13" x14ac:dyDescent="0.25">
      <c r="A1323" t="s">
        <v>908</v>
      </c>
      <c r="B1323">
        <v>89</v>
      </c>
      <c r="C1323">
        <v>48334413</v>
      </c>
      <c r="D1323" t="s">
        <v>2253</v>
      </c>
      <c r="E1323" t="s">
        <v>13</v>
      </c>
      <c r="F1323" t="s">
        <v>14</v>
      </c>
      <c r="G1323">
        <v>2000000</v>
      </c>
      <c r="H1323">
        <v>7.3</v>
      </c>
      <c r="I1323" t="s">
        <v>15</v>
      </c>
      <c r="J1323" t="s">
        <v>37</v>
      </c>
    </row>
    <row r="1324" spans="1:13" x14ac:dyDescent="0.25">
      <c r="A1324" t="s">
        <v>908</v>
      </c>
      <c r="B1324">
        <v>88</v>
      </c>
      <c r="C1324">
        <v>48334413</v>
      </c>
      <c r="D1324" t="s">
        <v>2254</v>
      </c>
      <c r="E1324" t="s">
        <v>13</v>
      </c>
      <c r="F1324" t="s">
        <v>14</v>
      </c>
      <c r="G1324">
        <v>2000000</v>
      </c>
      <c r="H1324">
        <v>6.8</v>
      </c>
      <c r="I1324" t="s">
        <v>15</v>
      </c>
    </row>
    <row r="1325" spans="1:13" x14ac:dyDescent="0.25">
      <c r="A1325" t="s">
        <v>2255</v>
      </c>
      <c r="B1325">
        <v>129</v>
      </c>
      <c r="C1325">
        <v>48334413</v>
      </c>
      <c r="D1325" t="s">
        <v>2256</v>
      </c>
      <c r="E1325" t="s">
        <v>13</v>
      </c>
      <c r="F1325" t="s">
        <v>14</v>
      </c>
      <c r="G1325">
        <v>2000000</v>
      </c>
      <c r="H1325">
        <v>8.4</v>
      </c>
      <c r="I1325" t="s">
        <v>38</v>
      </c>
      <c r="J1325" t="s">
        <v>31</v>
      </c>
    </row>
    <row r="1326" spans="1:13" x14ac:dyDescent="0.25">
      <c r="A1326" t="s">
        <v>915</v>
      </c>
      <c r="B1326">
        <v>152</v>
      </c>
      <c r="C1326">
        <v>48334413</v>
      </c>
      <c r="D1326" t="s">
        <v>2250</v>
      </c>
      <c r="E1326" t="s">
        <v>13</v>
      </c>
      <c r="F1326" t="s">
        <v>82</v>
      </c>
      <c r="G1326">
        <v>2000000</v>
      </c>
      <c r="H1326">
        <v>7.7</v>
      </c>
      <c r="I1326" t="s">
        <v>38</v>
      </c>
      <c r="J1326" t="s">
        <v>31</v>
      </c>
      <c r="K1326" t="s">
        <v>19</v>
      </c>
    </row>
    <row r="1327" spans="1:13" x14ac:dyDescent="0.25">
      <c r="A1327" t="s">
        <v>2257</v>
      </c>
      <c r="B1327">
        <v>134</v>
      </c>
      <c r="C1327">
        <v>48334413</v>
      </c>
      <c r="D1327" t="s">
        <v>2258</v>
      </c>
      <c r="E1327" t="s">
        <v>13</v>
      </c>
      <c r="F1327" t="s">
        <v>14</v>
      </c>
      <c r="G1327">
        <v>2000000</v>
      </c>
      <c r="H1327">
        <v>8</v>
      </c>
      <c r="I1327" t="s">
        <v>31</v>
      </c>
      <c r="J1327" t="s">
        <v>41</v>
      </c>
    </row>
    <row r="1328" spans="1:13" x14ac:dyDescent="0.25">
      <c r="A1328" t="s">
        <v>2259</v>
      </c>
      <c r="B1328">
        <v>118</v>
      </c>
      <c r="C1328">
        <v>48334413</v>
      </c>
      <c r="D1328" t="s">
        <v>2260</v>
      </c>
      <c r="E1328" t="s">
        <v>13</v>
      </c>
      <c r="F1328" t="s">
        <v>14</v>
      </c>
      <c r="G1328">
        <v>2000000</v>
      </c>
      <c r="H1328">
        <v>7.4</v>
      </c>
      <c r="I1328" t="s">
        <v>31</v>
      </c>
      <c r="J1328" t="s">
        <v>19</v>
      </c>
    </row>
    <row r="1329" spans="1:13" x14ac:dyDescent="0.25">
      <c r="A1329" t="s">
        <v>2261</v>
      </c>
      <c r="B1329">
        <v>106</v>
      </c>
      <c r="C1329">
        <v>48334413</v>
      </c>
      <c r="D1329" t="s">
        <v>2262</v>
      </c>
      <c r="E1329" t="s">
        <v>13</v>
      </c>
      <c r="F1329" t="s">
        <v>14</v>
      </c>
      <c r="G1329">
        <v>2000000</v>
      </c>
      <c r="H1329">
        <v>7</v>
      </c>
      <c r="I1329" t="s">
        <v>31</v>
      </c>
      <c r="J1329" t="s">
        <v>59</v>
      </c>
      <c r="K1329" t="s">
        <v>19</v>
      </c>
    </row>
    <row r="1330" spans="1:13" x14ac:dyDescent="0.25">
      <c r="A1330" t="s">
        <v>2263</v>
      </c>
      <c r="B1330">
        <v>97</v>
      </c>
      <c r="C1330">
        <v>48334413</v>
      </c>
      <c r="D1330" t="s">
        <v>2264</v>
      </c>
      <c r="E1330" t="s">
        <v>13</v>
      </c>
      <c r="F1330" t="s">
        <v>14</v>
      </c>
      <c r="G1330">
        <v>2000000</v>
      </c>
      <c r="H1330">
        <v>5.9</v>
      </c>
      <c r="I1330" t="s">
        <v>22</v>
      </c>
      <c r="J1330" t="s">
        <v>19</v>
      </c>
      <c r="K1330" t="s">
        <v>37</v>
      </c>
    </row>
    <row r="1331" spans="1:13" x14ac:dyDescent="0.25">
      <c r="A1331" t="s">
        <v>2265</v>
      </c>
      <c r="B1331">
        <v>99</v>
      </c>
      <c r="C1331">
        <v>48334413</v>
      </c>
      <c r="D1331" t="s">
        <v>2266</v>
      </c>
      <c r="E1331" t="s">
        <v>13</v>
      </c>
      <c r="F1331" t="s">
        <v>82</v>
      </c>
      <c r="G1331">
        <v>2000000</v>
      </c>
      <c r="H1331">
        <v>6.4</v>
      </c>
      <c r="I1331" t="s">
        <v>38</v>
      </c>
      <c r="J1331" t="s">
        <v>31</v>
      </c>
      <c r="K1331" t="s">
        <v>24</v>
      </c>
    </row>
    <row r="1332" spans="1:13" x14ac:dyDescent="0.25">
      <c r="A1332" t="s">
        <v>2267</v>
      </c>
      <c r="B1332">
        <v>83</v>
      </c>
      <c r="C1332">
        <v>48334413</v>
      </c>
      <c r="D1332" t="s">
        <v>2268</v>
      </c>
      <c r="E1332" t="s">
        <v>13</v>
      </c>
      <c r="F1332" t="s">
        <v>14</v>
      </c>
      <c r="G1332">
        <v>2000000</v>
      </c>
      <c r="H1332">
        <v>5.5</v>
      </c>
      <c r="I1332" t="s">
        <v>38</v>
      </c>
      <c r="J1332" t="s">
        <v>31</v>
      </c>
      <c r="K1332" t="s">
        <v>22</v>
      </c>
      <c r="L1332" t="s">
        <v>23</v>
      </c>
      <c r="M1332" t="s">
        <v>24</v>
      </c>
    </row>
    <row r="1333" spans="1:13" x14ac:dyDescent="0.25">
      <c r="A1333" t="s">
        <v>2269</v>
      </c>
      <c r="B1333">
        <v>81</v>
      </c>
      <c r="C1333">
        <v>48334413</v>
      </c>
      <c r="D1333" t="s">
        <v>2270</v>
      </c>
      <c r="E1333" t="s">
        <v>13</v>
      </c>
      <c r="F1333" t="s">
        <v>82</v>
      </c>
      <c r="G1333">
        <v>2000000</v>
      </c>
      <c r="H1333">
        <v>7.4</v>
      </c>
      <c r="I1333" t="s">
        <v>52</v>
      </c>
    </row>
    <row r="1334" spans="1:13" x14ac:dyDescent="0.25">
      <c r="A1334" t="s">
        <v>908</v>
      </c>
      <c r="B1334">
        <v>82</v>
      </c>
      <c r="C1334">
        <v>48334413</v>
      </c>
      <c r="D1334" t="s">
        <v>2271</v>
      </c>
      <c r="E1334" t="s">
        <v>13</v>
      </c>
      <c r="F1334" t="s">
        <v>14</v>
      </c>
      <c r="G1334">
        <v>2000000</v>
      </c>
      <c r="H1334">
        <v>7.1</v>
      </c>
      <c r="I1334" t="s">
        <v>15</v>
      </c>
    </row>
    <row r="1335" spans="1:13" x14ac:dyDescent="0.25">
      <c r="A1335" t="s">
        <v>2272</v>
      </c>
      <c r="B1335">
        <v>90</v>
      </c>
      <c r="C1335">
        <v>48334413</v>
      </c>
      <c r="D1335" t="s">
        <v>2273</v>
      </c>
      <c r="E1335" t="s">
        <v>13</v>
      </c>
      <c r="F1335" t="s">
        <v>14</v>
      </c>
      <c r="G1335">
        <v>2000000</v>
      </c>
      <c r="H1335">
        <v>4.5999999999999996</v>
      </c>
      <c r="I1335" t="s">
        <v>34</v>
      </c>
      <c r="J1335" t="s">
        <v>38</v>
      </c>
      <c r="K1335" t="s">
        <v>31</v>
      </c>
      <c r="L1335" t="s">
        <v>24</v>
      </c>
    </row>
    <row r="1336" spans="1:13" x14ac:dyDescent="0.25">
      <c r="A1336" t="s">
        <v>2274</v>
      </c>
      <c r="B1336">
        <v>88</v>
      </c>
      <c r="C1336">
        <v>48334413</v>
      </c>
      <c r="D1336" t="s">
        <v>2275</v>
      </c>
      <c r="E1336" t="s">
        <v>13</v>
      </c>
      <c r="F1336" t="s">
        <v>14</v>
      </c>
      <c r="G1336">
        <v>2000000</v>
      </c>
      <c r="H1336">
        <v>4.9000000000000004</v>
      </c>
      <c r="I1336" t="s">
        <v>22</v>
      </c>
      <c r="J1336" t="s">
        <v>24</v>
      </c>
    </row>
    <row r="1337" spans="1:13" x14ac:dyDescent="0.25">
      <c r="A1337" t="s">
        <v>2276</v>
      </c>
      <c r="B1337">
        <v>96</v>
      </c>
      <c r="C1337">
        <v>48334413</v>
      </c>
      <c r="D1337" t="s">
        <v>2277</v>
      </c>
      <c r="E1337" t="s">
        <v>13</v>
      </c>
      <c r="F1337" t="s">
        <v>14</v>
      </c>
      <c r="G1337">
        <v>2000000</v>
      </c>
      <c r="H1337">
        <v>6.1</v>
      </c>
      <c r="I1337" t="s">
        <v>15</v>
      </c>
      <c r="J1337" t="s">
        <v>38</v>
      </c>
      <c r="K1337" t="s">
        <v>31</v>
      </c>
    </row>
    <row r="1338" spans="1:13" x14ac:dyDescent="0.25">
      <c r="A1338" t="s">
        <v>2278</v>
      </c>
      <c r="B1338">
        <v>87</v>
      </c>
      <c r="C1338">
        <v>48334413</v>
      </c>
      <c r="D1338" t="s">
        <v>2279</v>
      </c>
      <c r="E1338" t="s">
        <v>13</v>
      </c>
      <c r="F1338" t="s">
        <v>14</v>
      </c>
      <c r="G1338">
        <v>2000000</v>
      </c>
      <c r="H1338">
        <v>6.6</v>
      </c>
      <c r="I1338" t="s">
        <v>15</v>
      </c>
    </row>
    <row r="1339" spans="1:13" x14ac:dyDescent="0.25">
      <c r="A1339" t="s">
        <v>1761</v>
      </c>
      <c r="B1339">
        <v>91</v>
      </c>
      <c r="C1339">
        <v>48334413</v>
      </c>
      <c r="D1339" t="s">
        <v>2280</v>
      </c>
      <c r="E1339" t="s">
        <v>13</v>
      </c>
      <c r="F1339" t="s">
        <v>14</v>
      </c>
      <c r="G1339">
        <v>2000000</v>
      </c>
      <c r="H1339">
        <v>5.7</v>
      </c>
      <c r="I1339" t="s">
        <v>15</v>
      </c>
      <c r="J1339" t="s">
        <v>31</v>
      </c>
    </row>
    <row r="1340" spans="1:13" x14ac:dyDescent="0.25">
      <c r="A1340" t="s">
        <v>57</v>
      </c>
      <c r="B1340">
        <v>99</v>
      </c>
      <c r="C1340">
        <v>48334413</v>
      </c>
      <c r="D1340" t="s">
        <v>2281</v>
      </c>
      <c r="E1340" t="s">
        <v>13</v>
      </c>
      <c r="F1340" t="s">
        <v>14</v>
      </c>
      <c r="G1340">
        <v>2000000</v>
      </c>
      <c r="H1340">
        <v>7</v>
      </c>
      <c r="I1340" t="s">
        <v>15</v>
      </c>
      <c r="J1340" t="s">
        <v>59</v>
      </c>
    </row>
    <row r="1341" spans="1:13" x14ac:dyDescent="0.25">
      <c r="A1341" t="s">
        <v>2282</v>
      </c>
      <c r="B1341">
        <v>102</v>
      </c>
      <c r="C1341">
        <v>48334413</v>
      </c>
      <c r="D1341" t="s">
        <v>2283</v>
      </c>
      <c r="E1341" t="s">
        <v>13</v>
      </c>
      <c r="F1341" t="s">
        <v>14</v>
      </c>
      <c r="G1341">
        <v>2000000</v>
      </c>
      <c r="H1341">
        <v>5.3</v>
      </c>
      <c r="I1341" t="s">
        <v>52</v>
      </c>
    </row>
    <row r="1342" spans="1:13" x14ac:dyDescent="0.25">
      <c r="A1342" t="s">
        <v>2284</v>
      </c>
      <c r="B1342">
        <v>108</v>
      </c>
      <c r="C1342">
        <v>48334413</v>
      </c>
      <c r="D1342" t="s">
        <v>2285</v>
      </c>
      <c r="E1342" t="s">
        <v>13</v>
      </c>
      <c r="F1342" t="s">
        <v>14</v>
      </c>
      <c r="G1342">
        <v>2000000</v>
      </c>
      <c r="H1342">
        <v>4.4000000000000004</v>
      </c>
      <c r="I1342" t="s">
        <v>34</v>
      </c>
      <c r="J1342" t="s">
        <v>28</v>
      </c>
      <c r="K1342" t="s">
        <v>64</v>
      </c>
      <c r="L1342" t="s">
        <v>69</v>
      </c>
    </row>
    <row r="1343" spans="1:13" x14ac:dyDescent="0.25">
      <c r="A1343" t="s">
        <v>2286</v>
      </c>
      <c r="B1343">
        <v>89</v>
      </c>
      <c r="C1343">
        <v>48334413</v>
      </c>
      <c r="D1343" t="s">
        <v>2287</v>
      </c>
      <c r="E1343" t="s">
        <v>13</v>
      </c>
      <c r="F1343" t="s">
        <v>14</v>
      </c>
      <c r="G1343">
        <v>2000000</v>
      </c>
      <c r="H1343">
        <v>4.5</v>
      </c>
      <c r="I1343" t="s">
        <v>31</v>
      </c>
      <c r="J1343" t="s">
        <v>22</v>
      </c>
      <c r="K1343" t="s">
        <v>23</v>
      </c>
      <c r="L1343" t="s">
        <v>24</v>
      </c>
    </row>
    <row r="1344" spans="1:13" x14ac:dyDescent="0.25">
      <c r="A1344" t="s">
        <v>2288</v>
      </c>
      <c r="B1344">
        <v>92</v>
      </c>
      <c r="C1344">
        <v>48334413</v>
      </c>
      <c r="D1344" t="s">
        <v>2289</v>
      </c>
      <c r="E1344" t="s">
        <v>13</v>
      </c>
      <c r="F1344" t="s">
        <v>14</v>
      </c>
      <c r="G1344">
        <v>2000000</v>
      </c>
      <c r="H1344">
        <v>3.4</v>
      </c>
      <c r="I1344" t="s">
        <v>24</v>
      </c>
    </row>
    <row r="1345" spans="1:12" x14ac:dyDescent="0.25">
      <c r="A1345" t="s">
        <v>2290</v>
      </c>
      <c r="B1345">
        <v>90</v>
      </c>
      <c r="C1345">
        <v>48334413</v>
      </c>
      <c r="D1345" t="s">
        <v>2291</v>
      </c>
      <c r="E1345" t="s">
        <v>13</v>
      </c>
      <c r="F1345" t="s">
        <v>98</v>
      </c>
      <c r="G1345">
        <v>2000000</v>
      </c>
      <c r="H1345">
        <v>4.7</v>
      </c>
      <c r="I1345" t="s">
        <v>28</v>
      </c>
      <c r="J1345" t="s">
        <v>16</v>
      </c>
    </row>
    <row r="1346" spans="1:12" x14ac:dyDescent="0.25">
      <c r="A1346" t="s">
        <v>2292</v>
      </c>
      <c r="B1346">
        <v>102</v>
      </c>
      <c r="C1346">
        <v>48334413</v>
      </c>
      <c r="D1346" t="s">
        <v>2293</v>
      </c>
      <c r="E1346" t="s">
        <v>13</v>
      </c>
      <c r="F1346" t="s">
        <v>14</v>
      </c>
      <c r="G1346">
        <v>2000000</v>
      </c>
      <c r="H1346">
        <v>8.1999999999999993</v>
      </c>
      <c r="I1346" t="s">
        <v>15</v>
      </c>
      <c r="J1346" t="s">
        <v>31</v>
      </c>
      <c r="K1346" t="s">
        <v>16</v>
      </c>
    </row>
    <row r="1347" spans="1:12" x14ac:dyDescent="0.25">
      <c r="A1347" t="s">
        <v>2294</v>
      </c>
      <c r="B1347">
        <v>93</v>
      </c>
      <c r="C1347">
        <v>48334413</v>
      </c>
      <c r="D1347" t="s">
        <v>2295</v>
      </c>
      <c r="E1347" t="s">
        <v>13</v>
      </c>
      <c r="F1347" t="s">
        <v>14</v>
      </c>
      <c r="G1347">
        <v>2000000</v>
      </c>
      <c r="H1347">
        <v>3.6</v>
      </c>
      <c r="I1347" t="s">
        <v>34</v>
      </c>
      <c r="J1347" t="s">
        <v>22</v>
      </c>
      <c r="K1347" t="s">
        <v>24</v>
      </c>
    </row>
    <row r="1348" spans="1:12" x14ac:dyDescent="0.25">
      <c r="A1348" t="s">
        <v>2296</v>
      </c>
      <c r="B1348">
        <v>101</v>
      </c>
      <c r="C1348">
        <v>48334413</v>
      </c>
      <c r="D1348" t="s">
        <v>2297</v>
      </c>
      <c r="E1348" t="s">
        <v>13</v>
      </c>
      <c r="F1348" t="s">
        <v>14</v>
      </c>
      <c r="G1348">
        <v>2000000</v>
      </c>
      <c r="H1348">
        <v>4.8</v>
      </c>
      <c r="I1348" t="s">
        <v>31</v>
      </c>
    </row>
    <row r="1349" spans="1:12" x14ac:dyDescent="0.25">
      <c r="A1349" t="s">
        <v>1968</v>
      </c>
      <c r="B1349">
        <v>90</v>
      </c>
      <c r="C1349">
        <v>48334413</v>
      </c>
      <c r="D1349" t="s">
        <v>2298</v>
      </c>
      <c r="E1349" t="s">
        <v>13</v>
      </c>
      <c r="F1349" t="s">
        <v>14</v>
      </c>
      <c r="G1349">
        <v>1950000</v>
      </c>
      <c r="H1349">
        <v>5.2</v>
      </c>
      <c r="I1349" t="s">
        <v>34</v>
      </c>
      <c r="J1349" t="s">
        <v>24</v>
      </c>
    </row>
    <row r="1350" spans="1:12" x14ac:dyDescent="0.25">
      <c r="A1350" t="s">
        <v>1770</v>
      </c>
      <c r="B1350">
        <v>104</v>
      </c>
      <c r="C1350">
        <v>48334413</v>
      </c>
      <c r="D1350" t="s">
        <v>2299</v>
      </c>
      <c r="E1350" t="s">
        <v>13</v>
      </c>
      <c r="F1350" t="s">
        <v>14</v>
      </c>
      <c r="G1350">
        <v>1800000</v>
      </c>
      <c r="H1350">
        <v>7.8</v>
      </c>
      <c r="I1350" t="s">
        <v>34</v>
      </c>
      <c r="J1350" t="s">
        <v>38</v>
      </c>
      <c r="K1350" t="s">
        <v>31</v>
      </c>
      <c r="L1350" t="s">
        <v>24</v>
      </c>
    </row>
    <row r="1351" spans="1:12" x14ac:dyDescent="0.25">
      <c r="A1351" t="s">
        <v>2259</v>
      </c>
      <c r="B1351">
        <v>125</v>
      </c>
      <c r="C1351">
        <v>48334413</v>
      </c>
      <c r="D1351" t="s">
        <v>2300</v>
      </c>
      <c r="E1351" t="s">
        <v>13</v>
      </c>
      <c r="F1351" t="s">
        <v>14</v>
      </c>
      <c r="G1351">
        <v>1800000</v>
      </c>
      <c r="H1351">
        <v>8</v>
      </c>
      <c r="I1351" t="s">
        <v>31</v>
      </c>
    </row>
    <row r="1352" spans="1:12" x14ac:dyDescent="0.25">
      <c r="A1352" t="s">
        <v>915</v>
      </c>
      <c r="B1352">
        <v>95</v>
      </c>
      <c r="C1352">
        <v>48334413</v>
      </c>
      <c r="D1352" t="s">
        <v>2301</v>
      </c>
      <c r="E1352" t="s">
        <v>13</v>
      </c>
      <c r="F1352" t="s">
        <v>14</v>
      </c>
      <c r="G1352">
        <v>1800000</v>
      </c>
      <c r="H1352">
        <v>8.5</v>
      </c>
      <c r="I1352" t="s">
        <v>15</v>
      </c>
    </row>
    <row r="1353" spans="1:12" x14ac:dyDescent="0.25">
      <c r="A1353" t="s">
        <v>2302</v>
      </c>
      <c r="B1353">
        <v>96</v>
      </c>
      <c r="C1353">
        <v>48334413</v>
      </c>
      <c r="D1353" t="s">
        <v>2303</v>
      </c>
      <c r="E1353" t="s">
        <v>13</v>
      </c>
      <c r="F1353" t="s">
        <v>14</v>
      </c>
      <c r="G1353">
        <v>1800000</v>
      </c>
      <c r="H1353">
        <v>5.5</v>
      </c>
      <c r="I1353" t="s">
        <v>34</v>
      </c>
      <c r="J1353" t="s">
        <v>37</v>
      </c>
    </row>
    <row r="1354" spans="1:12" x14ac:dyDescent="0.25">
      <c r="A1354" t="s">
        <v>2304</v>
      </c>
      <c r="B1354">
        <v>93</v>
      </c>
      <c r="C1354">
        <v>48334413</v>
      </c>
      <c r="D1354" t="s">
        <v>2305</v>
      </c>
      <c r="E1354" t="s">
        <v>13</v>
      </c>
      <c r="F1354" t="s">
        <v>14</v>
      </c>
      <c r="G1354">
        <v>1800000</v>
      </c>
      <c r="H1354">
        <v>6.1</v>
      </c>
      <c r="I1354" t="s">
        <v>15</v>
      </c>
      <c r="J1354" t="s">
        <v>22</v>
      </c>
    </row>
    <row r="1355" spans="1:12" x14ac:dyDescent="0.25">
      <c r="A1355" t="s">
        <v>2142</v>
      </c>
      <c r="B1355">
        <v>114</v>
      </c>
      <c r="C1355">
        <v>48334413</v>
      </c>
      <c r="D1355" t="s">
        <v>2306</v>
      </c>
      <c r="E1355" t="s">
        <v>13</v>
      </c>
      <c r="F1355" t="s">
        <v>14</v>
      </c>
      <c r="G1355">
        <v>1800000</v>
      </c>
      <c r="H1355">
        <v>7</v>
      </c>
      <c r="I1355" t="s">
        <v>69</v>
      </c>
    </row>
    <row r="1356" spans="1:12" x14ac:dyDescent="0.25">
      <c r="A1356" t="s">
        <v>2307</v>
      </c>
      <c r="B1356">
        <v>113</v>
      </c>
      <c r="C1356">
        <v>48334413</v>
      </c>
      <c r="D1356" t="s">
        <v>2308</v>
      </c>
      <c r="E1356" t="s">
        <v>13</v>
      </c>
      <c r="F1356" t="s">
        <v>14</v>
      </c>
      <c r="G1356">
        <v>1800000</v>
      </c>
      <c r="H1356">
        <v>5.3</v>
      </c>
      <c r="I1356" t="s">
        <v>22</v>
      </c>
      <c r="J1356" t="s">
        <v>24</v>
      </c>
    </row>
    <row r="1357" spans="1:12" x14ac:dyDescent="0.25">
      <c r="A1357" t="s">
        <v>2309</v>
      </c>
      <c r="B1357">
        <v>90</v>
      </c>
      <c r="C1357">
        <v>48334413</v>
      </c>
      <c r="D1357" t="s">
        <v>2310</v>
      </c>
      <c r="E1357" t="s">
        <v>13</v>
      </c>
      <c r="F1357" t="s">
        <v>98</v>
      </c>
      <c r="G1357">
        <v>1800000</v>
      </c>
      <c r="H1357">
        <v>3.4</v>
      </c>
      <c r="I1357" t="s">
        <v>34</v>
      </c>
      <c r="J1357" t="s">
        <v>37</v>
      </c>
    </row>
    <row r="1358" spans="1:12" x14ac:dyDescent="0.25">
      <c r="A1358" t="s">
        <v>2311</v>
      </c>
      <c r="B1358">
        <v>111</v>
      </c>
      <c r="C1358">
        <v>48334413</v>
      </c>
      <c r="D1358" t="s">
        <v>2312</v>
      </c>
      <c r="E1358" t="s">
        <v>13</v>
      </c>
      <c r="F1358" t="s">
        <v>14</v>
      </c>
      <c r="G1358">
        <v>1800000</v>
      </c>
      <c r="H1358">
        <v>5.4</v>
      </c>
      <c r="I1358" t="s">
        <v>15</v>
      </c>
      <c r="J1358" t="s">
        <v>31</v>
      </c>
    </row>
    <row r="1359" spans="1:12" x14ac:dyDescent="0.25">
      <c r="A1359" t="s">
        <v>2313</v>
      </c>
      <c r="B1359">
        <v>80</v>
      </c>
      <c r="C1359">
        <v>48334413</v>
      </c>
      <c r="D1359" t="s">
        <v>2314</v>
      </c>
      <c r="E1359" t="s">
        <v>13</v>
      </c>
      <c r="F1359" t="s">
        <v>82</v>
      </c>
      <c r="G1359">
        <v>1800000</v>
      </c>
      <c r="H1359">
        <v>5.6</v>
      </c>
      <c r="I1359" t="s">
        <v>24</v>
      </c>
    </row>
    <row r="1360" spans="1:12" x14ac:dyDescent="0.25">
      <c r="A1360" t="s">
        <v>2315</v>
      </c>
      <c r="B1360">
        <v>112</v>
      </c>
      <c r="C1360">
        <v>48334413</v>
      </c>
      <c r="D1360" t="s">
        <v>2316</v>
      </c>
      <c r="E1360" t="s">
        <v>13</v>
      </c>
      <c r="F1360" t="s">
        <v>14</v>
      </c>
      <c r="G1360">
        <v>1750000</v>
      </c>
      <c r="H1360">
        <v>6.3</v>
      </c>
      <c r="I1360" t="s">
        <v>22</v>
      </c>
    </row>
    <row r="1361" spans="1:13" x14ac:dyDescent="0.25">
      <c r="A1361" t="s">
        <v>2317</v>
      </c>
      <c r="B1361">
        <v>88</v>
      </c>
      <c r="C1361">
        <v>48334413</v>
      </c>
      <c r="D1361" t="s">
        <v>2318</v>
      </c>
      <c r="E1361" t="s">
        <v>13</v>
      </c>
      <c r="F1361" t="s">
        <v>98</v>
      </c>
      <c r="G1361">
        <v>1750000</v>
      </c>
      <c r="H1361">
        <v>4.3</v>
      </c>
      <c r="I1361" t="s">
        <v>34</v>
      </c>
      <c r="J1361" t="s">
        <v>37</v>
      </c>
    </row>
    <row r="1362" spans="1:13" x14ac:dyDescent="0.25">
      <c r="A1362" t="s">
        <v>2302</v>
      </c>
      <c r="B1362">
        <v>88</v>
      </c>
      <c r="C1362">
        <v>48334413</v>
      </c>
      <c r="D1362" t="s">
        <v>2319</v>
      </c>
      <c r="E1362" t="s">
        <v>13</v>
      </c>
      <c r="F1362" t="s">
        <v>14</v>
      </c>
      <c r="G1362">
        <v>1700000</v>
      </c>
      <c r="H1362">
        <v>6.1</v>
      </c>
      <c r="I1362" t="s">
        <v>34</v>
      </c>
      <c r="J1362" t="s">
        <v>37</v>
      </c>
    </row>
    <row r="1363" spans="1:13" x14ac:dyDescent="0.25">
      <c r="A1363" t="s">
        <v>1972</v>
      </c>
      <c r="B1363">
        <v>95</v>
      </c>
      <c r="C1363">
        <v>48334413</v>
      </c>
      <c r="D1363" t="s">
        <v>2320</v>
      </c>
      <c r="E1363" t="s">
        <v>13</v>
      </c>
      <c r="F1363" t="s">
        <v>14</v>
      </c>
      <c r="G1363">
        <v>1696377</v>
      </c>
      <c r="H1363">
        <v>7.6</v>
      </c>
      <c r="I1363" t="s">
        <v>75</v>
      </c>
      <c r="J1363" t="s">
        <v>23</v>
      </c>
      <c r="K1363" t="s">
        <v>19</v>
      </c>
      <c r="L1363" t="s">
        <v>24</v>
      </c>
    </row>
    <row r="1364" spans="1:13" x14ac:dyDescent="0.25">
      <c r="A1364" t="s">
        <v>1922</v>
      </c>
      <c r="B1364">
        <v>118</v>
      </c>
      <c r="C1364">
        <v>48334413</v>
      </c>
      <c r="D1364" t="s">
        <v>2321</v>
      </c>
      <c r="E1364" t="s">
        <v>13</v>
      </c>
      <c r="F1364" t="s">
        <v>14</v>
      </c>
      <c r="G1364">
        <v>1650000</v>
      </c>
      <c r="H1364">
        <v>7.8</v>
      </c>
      <c r="I1364" t="s">
        <v>31</v>
      </c>
      <c r="J1364" t="s">
        <v>19</v>
      </c>
      <c r="K1364" t="s">
        <v>83</v>
      </c>
    </row>
    <row r="1365" spans="1:13" x14ac:dyDescent="0.25">
      <c r="A1365" t="s">
        <v>2134</v>
      </c>
      <c r="B1365">
        <v>126</v>
      </c>
      <c r="C1365">
        <v>48334413</v>
      </c>
      <c r="D1365" t="s">
        <v>2322</v>
      </c>
      <c r="E1365" t="s">
        <v>13</v>
      </c>
      <c r="F1365" t="s">
        <v>14</v>
      </c>
      <c r="G1365">
        <v>1644736</v>
      </c>
      <c r="H1365">
        <v>8</v>
      </c>
      <c r="I1365" t="s">
        <v>15</v>
      </c>
      <c r="J1365" t="s">
        <v>31</v>
      </c>
      <c r="K1365" t="s">
        <v>19</v>
      </c>
    </row>
    <row r="1366" spans="1:13" x14ac:dyDescent="0.25">
      <c r="A1366" t="s">
        <v>2323</v>
      </c>
      <c r="B1366">
        <v>119</v>
      </c>
      <c r="C1366">
        <v>48334413</v>
      </c>
      <c r="D1366" t="s">
        <v>2324</v>
      </c>
      <c r="E1366" t="s">
        <v>13</v>
      </c>
      <c r="F1366" t="s">
        <v>14</v>
      </c>
      <c r="G1366">
        <v>1614000</v>
      </c>
      <c r="H1366">
        <v>7.1</v>
      </c>
      <c r="I1366" t="s">
        <v>28</v>
      </c>
      <c r="J1366" t="s">
        <v>31</v>
      </c>
      <c r="K1366" t="s">
        <v>19</v>
      </c>
      <c r="L1366" t="s">
        <v>69</v>
      </c>
    </row>
    <row r="1367" spans="1:13" x14ac:dyDescent="0.25">
      <c r="A1367" t="s">
        <v>2126</v>
      </c>
      <c r="B1367">
        <v>103</v>
      </c>
      <c r="C1367">
        <v>48334413</v>
      </c>
      <c r="D1367" t="s">
        <v>2325</v>
      </c>
      <c r="E1367" t="s">
        <v>13</v>
      </c>
      <c r="F1367" t="s">
        <v>14</v>
      </c>
      <c r="G1367">
        <v>1600000</v>
      </c>
      <c r="H1367">
        <v>7.4</v>
      </c>
      <c r="I1367" t="s">
        <v>69</v>
      </c>
    </row>
    <row r="1368" spans="1:13" x14ac:dyDescent="0.25">
      <c r="A1368" t="s">
        <v>380</v>
      </c>
      <c r="B1368">
        <v>113</v>
      </c>
      <c r="C1368">
        <v>48334413</v>
      </c>
      <c r="D1368" t="s">
        <v>2326</v>
      </c>
      <c r="E1368" t="s">
        <v>13</v>
      </c>
      <c r="F1368" t="s">
        <v>14</v>
      </c>
      <c r="G1368">
        <v>1600000</v>
      </c>
      <c r="H1368">
        <v>7.9</v>
      </c>
      <c r="I1368" t="s">
        <v>31</v>
      </c>
      <c r="J1368" t="s">
        <v>23</v>
      </c>
      <c r="K1368" t="s">
        <v>24</v>
      </c>
    </row>
    <row r="1369" spans="1:13" x14ac:dyDescent="0.25">
      <c r="A1369" t="s">
        <v>1230</v>
      </c>
      <c r="B1369">
        <v>60</v>
      </c>
      <c r="C1369">
        <v>48334413</v>
      </c>
      <c r="D1369" t="s">
        <v>2327</v>
      </c>
      <c r="E1369" t="s">
        <v>13</v>
      </c>
      <c r="F1369" t="s">
        <v>14</v>
      </c>
      <c r="G1369">
        <v>1500000</v>
      </c>
      <c r="H1369">
        <v>7.5</v>
      </c>
      <c r="I1369" t="s">
        <v>34</v>
      </c>
      <c r="J1369" t="s">
        <v>38</v>
      </c>
      <c r="K1369" t="s">
        <v>31</v>
      </c>
      <c r="L1369" t="s">
        <v>23</v>
      </c>
      <c r="M1369" t="s">
        <v>24</v>
      </c>
    </row>
    <row r="1370" spans="1:13" x14ac:dyDescent="0.25">
      <c r="A1370" t="s">
        <v>2328</v>
      </c>
      <c r="B1370">
        <v>89</v>
      </c>
      <c r="C1370">
        <v>48334413</v>
      </c>
      <c r="D1370" t="s">
        <v>2329</v>
      </c>
      <c r="E1370" t="s">
        <v>13</v>
      </c>
      <c r="F1370" t="s">
        <v>14</v>
      </c>
      <c r="G1370">
        <v>1500000</v>
      </c>
      <c r="H1370">
        <v>4.5999999999999996</v>
      </c>
      <c r="I1370" t="s">
        <v>22</v>
      </c>
      <c r="J1370" t="s">
        <v>24</v>
      </c>
    </row>
    <row r="1371" spans="1:13" x14ac:dyDescent="0.25">
      <c r="A1371" t="s">
        <v>2005</v>
      </c>
      <c r="B1371">
        <v>78</v>
      </c>
      <c r="C1371">
        <v>48334413</v>
      </c>
      <c r="D1371" t="s">
        <v>2330</v>
      </c>
      <c r="E1371" t="s">
        <v>1498</v>
      </c>
      <c r="F1371" t="s">
        <v>910</v>
      </c>
      <c r="G1371">
        <v>1500000</v>
      </c>
      <c r="H1371">
        <v>7.5</v>
      </c>
      <c r="I1371" t="s">
        <v>22</v>
      </c>
    </row>
    <row r="1372" spans="1:13" x14ac:dyDescent="0.25">
      <c r="A1372" t="s">
        <v>2331</v>
      </c>
      <c r="B1372">
        <v>108</v>
      </c>
      <c r="C1372">
        <v>48334413</v>
      </c>
      <c r="D1372" t="s">
        <v>2332</v>
      </c>
      <c r="E1372" t="s">
        <v>1893</v>
      </c>
      <c r="F1372" t="s">
        <v>2333</v>
      </c>
      <c r="G1372">
        <v>1500000</v>
      </c>
      <c r="H1372">
        <v>8.1</v>
      </c>
      <c r="I1372" t="s">
        <v>52</v>
      </c>
      <c r="J1372" t="s">
        <v>31</v>
      </c>
      <c r="K1372" t="s">
        <v>64</v>
      </c>
      <c r="L1372" t="s">
        <v>92</v>
      </c>
    </row>
    <row r="1373" spans="1:13" x14ac:dyDescent="0.25">
      <c r="A1373" t="s">
        <v>2134</v>
      </c>
      <c r="B1373">
        <v>120</v>
      </c>
      <c r="C1373">
        <v>48334413</v>
      </c>
      <c r="D1373" t="s">
        <v>2334</v>
      </c>
      <c r="E1373" t="s">
        <v>13</v>
      </c>
      <c r="F1373" t="s">
        <v>14</v>
      </c>
      <c r="G1373">
        <v>1500000</v>
      </c>
      <c r="H1373">
        <v>8.1999999999999993</v>
      </c>
      <c r="I1373" t="s">
        <v>15</v>
      </c>
      <c r="J1373" t="s">
        <v>31</v>
      </c>
    </row>
    <row r="1374" spans="1:13" x14ac:dyDescent="0.25">
      <c r="A1374" t="s">
        <v>2335</v>
      </c>
      <c r="B1374">
        <v>92</v>
      </c>
      <c r="C1374">
        <v>48334413</v>
      </c>
      <c r="D1374" t="s">
        <v>2336</v>
      </c>
      <c r="E1374" t="s">
        <v>13</v>
      </c>
      <c r="F1374" t="s">
        <v>14</v>
      </c>
      <c r="G1374">
        <v>1500000</v>
      </c>
      <c r="H1374">
        <v>6.9</v>
      </c>
      <c r="I1374" t="s">
        <v>15</v>
      </c>
      <c r="J1374" t="s">
        <v>38</v>
      </c>
      <c r="K1374" t="s">
        <v>37</v>
      </c>
      <c r="L1374" t="s">
        <v>24</v>
      </c>
    </row>
    <row r="1375" spans="1:13" x14ac:dyDescent="0.25">
      <c r="A1375" t="s">
        <v>2337</v>
      </c>
      <c r="B1375">
        <v>93</v>
      </c>
      <c r="C1375">
        <v>48334413</v>
      </c>
      <c r="D1375" t="s">
        <v>2338</v>
      </c>
      <c r="E1375" t="s">
        <v>13</v>
      </c>
      <c r="F1375" t="s">
        <v>14</v>
      </c>
      <c r="G1375">
        <v>1500000</v>
      </c>
      <c r="H1375">
        <v>5.5</v>
      </c>
      <c r="I1375" t="s">
        <v>34</v>
      </c>
      <c r="J1375" t="s">
        <v>22</v>
      </c>
      <c r="K1375" t="s">
        <v>24</v>
      </c>
    </row>
    <row r="1376" spans="1:13" x14ac:dyDescent="0.25">
      <c r="A1376" t="s">
        <v>2339</v>
      </c>
      <c r="B1376">
        <v>93</v>
      </c>
      <c r="C1376">
        <v>48334413</v>
      </c>
      <c r="D1376" t="s">
        <v>2340</v>
      </c>
      <c r="E1376" t="s">
        <v>13</v>
      </c>
      <c r="F1376" t="s">
        <v>14</v>
      </c>
      <c r="G1376">
        <v>1500000</v>
      </c>
      <c r="H1376">
        <v>5.7</v>
      </c>
      <c r="I1376" t="s">
        <v>15</v>
      </c>
      <c r="J1376" t="s">
        <v>22</v>
      </c>
    </row>
    <row r="1377" spans="1:12" x14ac:dyDescent="0.25">
      <c r="A1377" t="s">
        <v>2341</v>
      </c>
      <c r="B1377">
        <v>108</v>
      </c>
      <c r="C1377">
        <v>48334413</v>
      </c>
      <c r="D1377" t="s">
        <v>2342</v>
      </c>
      <c r="E1377" t="s">
        <v>13</v>
      </c>
      <c r="F1377" t="s">
        <v>14</v>
      </c>
      <c r="G1377">
        <v>1500000</v>
      </c>
      <c r="H1377">
        <v>6</v>
      </c>
      <c r="I1377" t="s">
        <v>31</v>
      </c>
      <c r="J1377" t="s">
        <v>18</v>
      </c>
      <c r="K1377" t="s">
        <v>19</v>
      </c>
    </row>
    <row r="1378" spans="1:12" x14ac:dyDescent="0.25">
      <c r="A1378" t="s">
        <v>2343</v>
      </c>
      <c r="B1378">
        <v>93</v>
      </c>
      <c r="C1378">
        <v>48334413</v>
      </c>
      <c r="D1378" t="s">
        <v>2344</v>
      </c>
      <c r="E1378" t="s">
        <v>13</v>
      </c>
      <c r="F1378" t="s">
        <v>14</v>
      </c>
      <c r="G1378">
        <v>1500000</v>
      </c>
      <c r="H1378">
        <v>7.6</v>
      </c>
      <c r="I1378" t="s">
        <v>15</v>
      </c>
      <c r="J1378" t="s">
        <v>31</v>
      </c>
      <c r="K1378" t="s">
        <v>19</v>
      </c>
    </row>
    <row r="1379" spans="1:12" x14ac:dyDescent="0.25">
      <c r="A1379" t="s">
        <v>2345</v>
      </c>
      <c r="B1379">
        <v>20</v>
      </c>
      <c r="C1379">
        <v>48334413</v>
      </c>
      <c r="D1379" t="s">
        <v>2346</v>
      </c>
      <c r="E1379" t="s">
        <v>13</v>
      </c>
      <c r="F1379" t="s">
        <v>14</v>
      </c>
      <c r="G1379">
        <v>1500000</v>
      </c>
      <c r="H1379">
        <v>6.8</v>
      </c>
      <c r="I1379" t="s">
        <v>52</v>
      </c>
    </row>
    <row r="1380" spans="1:12" x14ac:dyDescent="0.25">
      <c r="A1380" t="s">
        <v>2347</v>
      </c>
      <c r="B1380">
        <v>87</v>
      </c>
      <c r="C1380">
        <v>48334413</v>
      </c>
      <c r="D1380" t="s">
        <v>2348</v>
      </c>
      <c r="E1380" t="s">
        <v>13</v>
      </c>
      <c r="F1380" t="s">
        <v>98</v>
      </c>
      <c r="G1380">
        <v>1500000</v>
      </c>
      <c r="H1380">
        <v>6.8</v>
      </c>
      <c r="I1380" t="s">
        <v>31</v>
      </c>
      <c r="J1380" t="s">
        <v>17</v>
      </c>
      <c r="K1380" t="s">
        <v>19</v>
      </c>
    </row>
    <row r="1381" spans="1:12" x14ac:dyDescent="0.25">
      <c r="A1381" t="s">
        <v>2349</v>
      </c>
      <c r="B1381">
        <v>98</v>
      </c>
      <c r="C1381">
        <v>48334413</v>
      </c>
      <c r="D1381" t="s">
        <v>2350</v>
      </c>
      <c r="E1381" t="s">
        <v>13</v>
      </c>
      <c r="F1381" t="s">
        <v>14</v>
      </c>
      <c r="G1381">
        <v>1500000</v>
      </c>
      <c r="H1381">
        <v>6.3</v>
      </c>
      <c r="I1381" t="s">
        <v>15</v>
      </c>
      <c r="J1381" t="s">
        <v>31</v>
      </c>
    </row>
    <row r="1382" spans="1:12" x14ac:dyDescent="0.25">
      <c r="A1382" t="s">
        <v>2351</v>
      </c>
      <c r="B1382">
        <v>82</v>
      </c>
      <c r="C1382">
        <v>48334413</v>
      </c>
      <c r="D1382" t="s">
        <v>2352</v>
      </c>
      <c r="E1382" t="s">
        <v>13</v>
      </c>
      <c r="F1382" t="s">
        <v>98</v>
      </c>
      <c r="G1382">
        <v>1500000</v>
      </c>
      <c r="H1382">
        <v>2.8</v>
      </c>
      <c r="I1382" t="s">
        <v>37</v>
      </c>
    </row>
    <row r="1383" spans="1:12" x14ac:dyDescent="0.25">
      <c r="A1383" t="s">
        <v>2353</v>
      </c>
      <c r="B1383">
        <v>97</v>
      </c>
      <c r="C1383">
        <v>48334413</v>
      </c>
      <c r="D1383" t="s">
        <v>2354</v>
      </c>
      <c r="E1383" t="s">
        <v>13</v>
      </c>
      <c r="F1383" t="s">
        <v>14</v>
      </c>
      <c r="G1383">
        <v>1500000</v>
      </c>
      <c r="H1383">
        <v>3.1</v>
      </c>
      <c r="I1383" t="s">
        <v>34</v>
      </c>
      <c r="J1383" t="s">
        <v>38</v>
      </c>
      <c r="K1383" t="s">
        <v>24</v>
      </c>
    </row>
    <row r="1384" spans="1:12" x14ac:dyDescent="0.25">
      <c r="A1384" t="s">
        <v>2355</v>
      </c>
      <c r="B1384">
        <v>101</v>
      </c>
      <c r="C1384">
        <v>48334413</v>
      </c>
      <c r="D1384" t="s">
        <v>2356</v>
      </c>
      <c r="E1384" t="s">
        <v>13</v>
      </c>
      <c r="F1384" t="s">
        <v>14</v>
      </c>
      <c r="G1384">
        <v>1500000</v>
      </c>
      <c r="H1384">
        <v>3.3</v>
      </c>
      <c r="I1384" t="s">
        <v>31</v>
      </c>
      <c r="J1384" t="s">
        <v>22</v>
      </c>
      <c r="K1384" t="s">
        <v>23</v>
      </c>
      <c r="L1384" t="s">
        <v>24</v>
      </c>
    </row>
    <row r="1385" spans="1:12" x14ac:dyDescent="0.25">
      <c r="A1385" t="s">
        <v>2357</v>
      </c>
      <c r="B1385">
        <v>103</v>
      </c>
      <c r="C1385">
        <v>48334413</v>
      </c>
      <c r="D1385" t="s">
        <v>2358</v>
      </c>
      <c r="E1385" t="s">
        <v>473</v>
      </c>
      <c r="F1385" t="s">
        <v>295</v>
      </c>
      <c r="G1385">
        <v>1500000</v>
      </c>
      <c r="H1385">
        <v>5.6</v>
      </c>
      <c r="I1385" t="s">
        <v>31</v>
      </c>
    </row>
    <row r="1386" spans="1:12" x14ac:dyDescent="0.25">
      <c r="A1386" t="s">
        <v>2359</v>
      </c>
      <c r="B1386">
        <v>113</v>
      </c>
      <c r="C1386">
        <v>48334413</v>
      </c>
      <c r="D1386" t="s">
        <v>2360</v>
      </c>
      <c r="E1386" t="s">
        <v>13</v>
      </c>
      <c r="F1386" t="s">
        <v>82</v>
      </c>
      <c r="G1386">
        <v>1455000</v>
      </c>
      <c r="H1386">
        <v>5.5</v>
      </c>
      <c r="I1386" t="s">
        <v>69</v>
      </c>
    </row>
    <row r="1387" spans="1:12" x14ac:dyDescent="0.25">
      <c r="A1387" t="s">
        <v>302</v>
      </c>
      <c r="B1387">
        <v>123</v>
      </c>
      <c r="C1387">
        <v>48334413</v>
      </c>
      <c r="D1387" t="s">
        <v>2361</v>
      </c>
      <c r="E1387" t="s">
        <v>13</v>
      </c>
      <c r="F1387" t="s">
        <v>14</v>
      </c>
      <c r="G1387">
        <v>1420000</v>
      </c>
      <c r="H1387">
        <v>4.0999999999999996</v>
      </c>
      <c r="I1387" t="s">
        <v>15</v>
      </c>
      <c r="J1387" t="s">
        <v>19</v>
      </c>
      <c r="K1387" t="s">
        <v>24</v>
      </c>
    </row>
    <row r="1388" spans="1:12" x14ac:dyDescent="0.25">
      <c r="A1388" t="s">
        <v>1230</v>
      </c>
      <c r="B1388">
        <v>44</v>
      </c>
      <c r="C1388">
        <v>48334413</v>
      </c>
      <c r="D1388" t="s">
        <v>2362</v>
      </c>
      <c r="E1388" t="s">
        <v>13</v>
      </c>
      <c r="F1388" t="s">
        <v>14</v>
      </c>
      <c r="G1388">
        <v>1400000</v>
      </c>
      <c r="H1388">
        <v>8.4</v>
      </c>
      <c r="I1388" t="s">
        <v>34</v>
      </c>
      <c r="J1388" t="s">
        <v>28</v>
      </c>
      <c r="K1388" t="s">
        <v>31</v>
      </c>
      <c r="L1388" t="s">
        <v>37</v>
      </c>
    </row>
    <row r="1389" spans="1:12" x14ac:dyDescent="0.25">
      <c r="A1389" t="s">
        <v>2363</v>
      </c>
      <c r="B1389">
        <v>91</v>
      </c>
      <c r="C1389">
        <v>48334413</v>
      </c>
      <c r="D1389" t="s">
        <v>2364</v>
      </c>
      <c r="E1389" t="s">
        <v>13</v>
      </c>
      <c r="F1389" t="s">
        <v>14</v>
      </c>
      <c r="G1389">
        <v>1400000</v>
      </c>
      <c r="H1389">
        <v>6.9</v>
      </c>
      <c r="I1389" t="s">
        <v>22</v>
      </c>
      <c r="J1389" t="s">
        <v>24</v>
      </c>
    </row>
    <row r="1390" spans="1:12" x14ac:dyDescent="0.25">
      <c r="A1390" t="s">
        <v>2365</v>
      </c>
      <c r="B1390">
        <v>135</v>
      </c>
      <c r="C1390">
        <v>48334413</v>
      </c>
      <c r="D1390" t="s">
        <v>2366</v>
      </c>
      <c r="E1390" t="s">
        <v>13</v>
      </c>
      <c r="F1390" t="s">
        <v>2367</v>
      </c>
      <c r="G1390">
        <v>1400000</v>
      </c>
      <c r="H1390">
        <v>8.6999999999999993</v>
      </c>
      <c r="I1390" t="s">
        <v>34</v>
      </c>
      <c r="J1390" t="s">
        <v>42</v>
      </c>
      <c r="K1390" t="s">
        <v>31</v>
      </c>
      <c r="L1390" t="s">
        <v>64</v>
      </c>
    </row>
    <row r="1391" spans="1:12" x14ac:dyDescent="0.25">
      <c r="A1391" t="s">
        <v>2368</v>
      </c>
      <c r="B1391">
        <v>89</v>
      </c>
      <c r="C1391">
        <v>48334413</v>
      </c>
      <c r="D1391" t="s">
        <v>2369</v>
      </c>
      <c r="E1391" t="s">
        <v>13</v>
      </c>
      <c r="F1391" t="s">
        <v>45</v>
      </c>
      <c r="G1391">
        <v>1400000</v>
      </c>
      <c r="H1391">
        <v>6.1</v>
      </c>
      <c r="I1391" t="s">
        <v>31</v>
      </c>
      <c r="J1391" t="s">
        <v>22</v>
      </c>
      <c r="K1391" t="s">
        <v>23</v>
      </c>
      <c r="L1391" t="s">
        <v>24</v>
      </c>
    </row>
    <row r="1392" spans="1:12" x14ac:dyDescent="0.25">
      <c r="A1392" t="s">
        <v>2370</v>
      </c>
      <c r="B1392">
        <v>105</v>
      </c>
      <c r="C1392">
        <v>48334413</v>
      </c>
      <c r="D1392" t="s">
        <v>2371</v>
      </c>
      <c r="E1392" t="s">
        <v>13</v>
      </c>
      <c r="F1392" t="s">
        <v>14</v>
      </c>
      <c r="G1392">
        <v>1377800</v>
      </c>
      <c r="H1392">
        <v>6.5</v>
      </c>
      <c r="I1392" t="s">
        <v>28</v>
      </c>
      <c r="J1392" t="s">
        <v>15</v>
      </c>
      <c r="K1392" t="s">
        <v>16</v>
      </c>
    </row>
    <row r="1393" spans="1:12" x14ac:dyDescent="0.25">
      <c r="A1393" t="s">
        <v>2166</v>
      </c>
      <c r="B1393">
        <v>82</v>
      </c>
      <c r="C1393">
        <v>48334413</v>
      </c>
      <c r="D1393" t="s">
        <v>2372</v>
      </c>
      <c r="E1393" t="s">
        <v>13</v>
      </c>
      <c r="F1393" t="s">
        <v>14</v>
      </c>
      <c r="G1393">
        <v>1300000</v>
      </c>
      <c r="H1393">
        <v>2.7</v>
      </c>
      <c r="I1393" t="s">
        <v>15</v>
      </c>
    </row>
    <row r="1394" spans="1:12" x14ac:dyDescent="0.25">
      <c r="A1394" t="s">
        <v>2373</v>
      </c>
      <c r="B1394">
        <v>103</v>
      </c>
      <c r="C1394">
        <v>48334413</v>
      </c>
      <c r="D1394" t="s">
        <v>2374</v>
      </c>
      <c r="E1394" t="s">
        <v>13</v>
      </c>
      <c r="F1394" t="s">
        <v>14</v>
      </c>
      <c r="G1394">
        <v>1300000</v>
      </c>
      <c r="H1394">
        <v>5.2</v>
      </c>
      <c r="I1394" t="s">
        <v>22</v>
      </c>
      <c r="J1394" t="s">
        <v>19</v>
      </c>
      <c r="K1394" t="s">
        <v>24</v>
      </c>
    </row>
    <row r="1395" spans="1:12" x14ac:dyDescent="0.25">
      <c r="A1395" t="s">
        <v>2375</v>
      </c>
      <c r="B1395">
        <v>99</v>
      </c>
      <c r="C1395">
        <v>48334413</v>
      </c>
      <c r="D1395" t="s">
        <v>2376</v>
      </c>
      <c r="E1395" t="s">
        <v>13</v>
      </c>
      <c r="F1395" t="s">
        <v>14</v>
      </c>
      <c r="G1395">
        <v>1300000</v>
      </c>
      <c r="H1395">
        <v>7.6</v>
      </c>
      <c r="I1395" t="s">
        <v>34</v>
      </c>
      <c r="J1395" t="s">
        <v>19</v>
      </c>
      <c r="K1395" t="s">
        <v>24</v>
      </c>
    </row>
    <row r="1396" spans="1:12" x14ac:dyDescent="0.25">
      <c r="A1396" t="s">
        <v>452</v>
      </c>
      <c r="B1396">
        <v>110</v>
      </c>
      <c r="C1396">
        <v>48334413</v>
      </c>
      <c r="D1396" t="s">
        <v>2377</v>
      </c>
      <c r="E1396" t="s">
        <v>13</v>
      </c>
      <c r="F1396" t="s">
        <v>14</v>
      </c>
      <c r="G1396">
        <v>1300000</v>
      </c>
      <c r="H1396">
        <v>8.3000000000000007</v>
      </c>
      <c r="I1396" t="s">
        <v>38</v>
      </c>
      <c r="J1396" t="s">
        <v>31</v>
      </c>
    </row>
    <row r="1397" spans="1:12" x14ac:dyDescent="0.25">
      <c r="A1397" t="s">
        <v>1972</v>
      </c>
      <c r="B1397">
        <v>130</v>
      </c>
      <c r="C1397">
        <v>48334413</v>
      </c>
      <c r="D1397" t="s">
        <v>2378</v>
      </c>
      <c r="E1397" t="s">
        <v>13</v>
      </c>
      <c r="F1397" t="s">
        <v>14</v>
      </c>
      <c r="G1397">
        <v>1288000</v>
      </c>
      <c r="H1397">
        <v>8.1999999999999993</v>
      </c>
      <c r="I1397" t="s">
        <v>31</v>
      </c>
      <c r="J1397" t="s">
        <v>75</v>
      </c>
      <c r="K1397" t="s">
        <v>23</v>
      </c>
      <c r="L1397" t="s">
        <v>24</v>
      </c>
    </row>
    <row r="1398" spans="1:12" x14ac:dyDescent="0.25">
      <c r="A1398" t="s">
        <v>2379</v>
      </c>
      <c r="B1398">
        <v>88</v>
      </c>
      <c r="C1398">
        <v>48334413</v>
      </c>
      <c r="D1398" t="s">
        <v>2380</v>
      </c>
      <c r="E1398" t="s">
        <v>13</v>
      </c>
      <c r="F1398" t="s">
        <v>14</v>
      </c>
      <c r="G1398">
        <v>1250000</v>
      </c>
      <c r="H1398">
        <v>3.4</v>
      </c>
      <c r="I1398" t="s">
        <v>15</v>
      </c>
      <c r="J1398" t="s">
        <v>22</v>
      </c>
    </row>
    <row r="1399" spans="1:12" x14ac:dyDescent="0.25">
      <c r="A1399" t="s">
        <v>2381</v>
      </c>
      <c r="B1399">
        <v>105</v>
      </c>
      <c r="C1399">
        <v>48334413</v>
      </c>
      <c r="D1399" t="s">
        <v>2382</v>
      </c>
      <c r="E1399" t="s">
        <v>13</v>
      </c>
      <c r="F1399" t="s">
        <v>14</v>
      </c>
      <c r="G1399">
        <v>1250000</v>
      </c>
      <c r="H1399">
        <v>7.1</v>
      </c>
      <c r="I1399" t="s">
        <v>69</v>
      </c>
    </row>
    <row r="1400" spans="1:12" x14ac:dyDescent="0.25">
      <c r="A1400" t="s">
        <v>2060</v>
      </c>
      <c r="B1400">
        <v>101</v>
      </c>
      <c r="C1400">
        <v>48334413</v>
      </c>
      <c r="D1400" t="s">
        <v>2383</v>
      </c>
      <c r="E1400" t="s">
        <v>13</v>
      </c>
      <c r="F1400" t="s">
        <v>14</v>
      </c>
      <c r="G1400">
        <v>1250000</v>
      </c>
      <c r="H1400">
        <v>8</v>
      </c>
      <c r="I1400" t="s">
        <v>31</v>
      </c>
      <c r="J1400" t="s">
        <v>75</v>
      </c>
    </row>
    <row r="1401" spans="1:12" x14ac:dyDescent="0.25">
      <c r="A1401" t="s">
        <v>2384</v>
      </c>
      <c r="B1401">
        <v>96</v>
      </c>
      <c r="C1401">
        <v>48334413</v>
      </c>
      <c r="D1401" t="s">
        <v>2385</v>
      </c>
      <c r="E1401" t="s">
        <v>13</v>
      </c>
      <c r="F1401" t="s">
        <v>14</v>
      </c>
      <c r="G1401">
        <v>1250000</v>
      </c>
      <c r="H1401">
        <v>5.5</v>
      </c>
      <c r="I1401" t="s">
        <v>22</v>
      </c>
      <c r="J1401" t="s">
        <v>37</v>
      </c>
    </row>
    <row r="1402" spans="1:12" x14ac:dyDescent="0.25">
      <c r="A1402" t="s">
        <v>2386</v>
      </c>
      <c r="B1402">
        <v>92</v>
      </c>
      <c r="C1402">
        <v>48334413</v>
      </c>
      <c r="D1402" t="s">
        <v>2387</v>
      </c>
      <c r="E1402" t="s">
        <v>13</v>
      </c>
      <c r="F1402" t="s">
        <v>14</v>
      </c>
      <c r="G1402">
        <v>1250000</v>
      </c>
      <c r="H1402">
        <v>7.1</v>
      </c>
      <c r="I1402" t="s">
        <v>38</v>
      </c>
      <c r="J1402" t="s">
        <v>75</v>
      </c>
      <c r="K1402" t="s">
        <v>24</v>
      </c>
    </row>
    <row r="1403" spans="1:12" x14ac:dyDescent="0.25">
      <c r="A1403" t="s">
        <v>2126</v>
      </c>
      <c r="B1403">
        <v>118</v>
      </c>
      <c r="C1403">
        <v>48334413</v>
      </c>
      <c r="D1403" t="s">
        <v>2388</v>
      </c>
      <c r="E1403" t="s">
        <v>13</v>
      </c>
      <c r="F1403" t="s">
        <v>14</v>
      </c>
      <c r="G1403">
        <v>1250000</v>
      </c>
      <c r="H1403">
        <v>7.8</v>
      </c>
      <c r="I1403" t="s">
        <v>31</v>
      </c>
      <c r="J1403" t="s">
        <v>16</v>
      </c>
    </row>
    <row r="1404" spans="1:12" x14ac:dyDescent="0.25">
      <c r="A1404" t="s">
        <v>2389</v>
      </c>
      <c r="B1404">
        <v>90</v>
      </c>
      <c r="C1404">
        <v>48334413</v>
      </c>
      <c r="D1404" t="s">
        <v>2390</v>
      </c>
      <c r="E1404" t="s">
        <v>13</v>
      </c>
      <c r="F1404" t="s">
        <v>82</v>
      </c>
      <c r="G1404">
        <v>1200000</v>
      </c>
      <c r="H1404">
        <v>5.8</v>
      </c>
      <c r="I1404" t="s">
        <v>15</v>
      </c>
      <c r="J1404" t="s">
        <v>31</v>
      </c>
      <c r="K1404" t="s">
        <v>19</v>
      </c>
    </row>
    <row r="1405" spans="1:12" x14ac:dyDescent="0.25">
      <c r="A1405" t="s">
        <v>1972</v>
      </c>
      <c r="B1405">
        <v>99</v>
      </c>
      <c r="C1405">
        <v>48334413</v>
      </c>
      <c r="D1405" t="s">
        <v>2391</v>
      </c>
      <c r="E1405" t="s">
        <v>13</v>
      </c>
      <c r="F1405" t="s">
        <v>14</v>
      </c>
      <c r="G1405">
        <v>1200000</v>
      </c>
      <c r="H1405">
        <v>7.2</v>
      </c>
      <c r="I1405" t="s">
        <v>15</v>
      </c>
      <c r="J1405" t="s">
        <v>23</v>
      </c>
      <c r="K1405" t="s">
        <v>19</v>
      </c>
    </row>
    <row r="1406" spans="1:12" x14ac:dyDescent="0.25">
      <c r="A1406" t="s">
        <v>1988</v>
      </c>
      <c r="B1406">
        <v>100</v>
      </c>
      <c r="C1406">
        <v>48334413</v>
      </c>
      <c r="D1406" t="s">
        <v>2392</v>
      </c>
      <c r="E1406" t="s">
        <v>13</v>
      </c>
      <c r="F1406" t="s">
        <v>14</v>
      </c>
      <c r="G1406">
        <v>1200000</v>
      </c>
      <c r="H1406">
        <v>7.1</v>
      </c>
      <c r="I1406" t="s">
        <v>34</v>
      </c>
      <c r="J1406" t="s">
        <v>28</v>
      </c>
      <c r="K1406" t="s">
        <v>19</v>
      </c>
      <c r="L1406" t="s">
        <v>83</v>
      </c>
    </row>
    <row r="1407" spans="1:12" x14ac:dyDescent="0.25">
      <c r="A1407" t="s">
        <v>2393</v>
      </c>
      <c r="B1407">
        <v>99</v>
      </c>
      <c r="C1407">
        <v>48334413</v>
      </c>
      <c r="D1407" t="s">
        <v>2394</v>
      </c>
      <c r="E1407" t="s">
        <v>13</v>
      </c>
      <c r="F1407" t="s">
        <v>98</v>
      </c>
      <c r="G1407">
        <v>1200000</v>
      </c>
      <c r="H1407">
        <v>4.5</v>
      </c>
      <c r="I1407" t="s">
        <v>24</v>
      </c>
    </row>
    <row r="1408" spans="1:12" x14ac:dyDescent="0.25">
      <c r="A1408" t="s">
        <v>2395</v>
      </c>
      <c r="B1408">
        <v>84</v>
      </c>
      <c r="C1408">
        <v>48334413</v>
      </c>
      <c r="D1408" t="s">
        <v>2396</v>
      </c>
      <c r="E1408" t="s">
        <v>13</v>
      </c>
      <c r="F1408" t="s">
        <v>98</v>
      </c>
      <c r="G1408">
        <v>1200000</v>
      </c>
      <c r="H1408">
        <v>3.8</v>
      </c>
      <c r="I1408" t="s">
        <v>34</v>
      </c>
      <c r="J1408" t="s">
        <v>22</v>
      </c>
      <c r="K1408" t="s">
        <v>23</v>
      </c>
      <c r="L1408" t="s">
        <v>24</v>
      </c>
    </row>
    <row r="1409" spans="1:12" x14ac:dyDescent="0.25">
      <c r="A1409" t="s">
        <v>2397</v>
      </c>
      <c r="B1409">
        <v>97</v>
      </c>
      <c r="C1409">
        <v>48334413</v>
      </c>
      <c r="D1409" t="s">
        <v>2398</v>
      </c>
      <c r="E1409" t="s">
        <v>13</v>
      </c>
      <c r="F1409" t="s">
        <v>14</v>
      </c>
      <c r="G1409">
        <v>1200000</v>
      </c>
      <c r="H1409">
        <v>6.6</v>
      </c>
      <c r="I1409" t="s">
        <v>34</v>
      </c>
      <c r="J1409" t="s">
        <v>15</v>
      </c>
    </row>
    <row r="1410" spans="1:12" x14ac:dyDescent="0.25">
      <c r="A1410" t="s">
        <v>2399</v>
      </c>
      <c r="B1410">
        <v>84</v>
      </c>
      <c r="C1410">
        <v>48334413</v>
      </c>
      <c r="D1410" t="s">
        <v>2400</v>
      </c>
      <c r="E1410" t="s">
        <v>13</v>
      </c>
      <c r="F1410" t="s">
        <v>14</v>
      </c>
      <c r="G1410">
        <v>1200000</v>
      </c>
      <c r="H1410">
        <v>4.5999999999999996</v>
      </c>
      <c r="I1410" t="s">
        <v>22</v>
      </c>
    </row>
    <row r="1411" spans="1:12" x14ac:dyDescent="0.25">
      <c r="A1411" t="s">
        <v>2401</v>
      </c>
      <c r="B1411">
        <v>100</v>
      </c>
      <c r="C1411">
        <v>48334413</v>
      </c>
      <c r="D1411" t="s">
        <v>2402</v>
      </c>
      <c r="E1411" t="s">
        <v>13</v>
      </c>
      <c r="F1411" t="s">
        <v>14</v>
      </c>
      <c r="G1411">
        <v>1200000</v>
      </c>
      <c r="H1411">
        <v>4.2</v>
      </c>
      <c r="I1411" t="s">
        <v>22</v>
      </c>
    </row>
    <row r="1412" spans="1:12" x14ac:dyDescent="0.25">
      <c r="A1412" t="s">
        <v>2403</v>
      </c>
      <c r="B1412">
        <v>89</v>
      </c>
      <c r="C1412">
        <v>48334413</v>
      </c>
      <c r="D1412" t="s">
        <v>2404</v>
      </c>
      <c r="E1412" t="s">
        <v>13</v>
      </c>
      <c r="F1412" t="s">
        <v>14</v>
      </c>
      <c r="G1412">
        <v>1100000</v>
      </c>
      <c r="H1412">
        <v>3</v>
      </c>
      <c r="I1412" t="s">
        <v>34</v>
      </c>
      <c r="J1412" t="s">
        <v>22</v>
      </c>
      <c r="K1412" t="s">
        <v>37</v>
      </c>
    </row>
    <row r="1413" spans="1:12" x14ac:dyDescent="0.25">
      <c r="A1413" t="s">
        <v>2405</v>
      </c>
      <c r="B1413">
        <v>76</v>
      </c>
      <c r="C1413">
        <v>48334413</v>
      </c>
      <c r="D1413" t="s">
        <v>2406</v>
      </c>
      <c r="E1413" t="s">
        <v>13</v>
      </c>
      <c r="F1413" t="s">
        <v>1342</v>
      </c>
      <c r="G1413">
        <v>1100000</v>
      </c>
      <c r="H1413">
        <v>2.6</v>
      </c>
      <c r="I1413" t="s">
        <v>22</v>
      </c>
    </row>
    <row r="1414" spans="1:12" x14ac:dyDescent="0.25">
      <c r="A1414" t="s">
        <v>2407</v>
      </c>
      <c r="B1414">
        <v>91</v>
      </c>
      <c r="C1414">
        <v>48334413</v>
      </c>
      <c r="D1414" t="s">
        <v>2408</v>
      </c>
      <c r="E1414" t="s">
        <v>13</v>
      </c>
      <c r="F1414" t="s">
        <v>1213</v>
      </c>
      <c r="G1414">
        <v>1100000</v>
      </c>
      <c r="H1414">
        <v>4.9000000000000004</v>
      </c>
      <c r="I1414" t="s">
        <v>31</v>
      </c>
    </row>
    <row r="1415" spans="1:12" x14ac:dyDescent="0.25">
      <c r="A1415" t="s">
        <v>2409</v>
      </c>
      <c r="B1415">
        <v>109</v>
      </c>
      <c r="C1415">
        <v>48334413</v>
      </c>
      <c r="D1415" t="s">
        <v>2410</v>
      </c>
      <c r="E1415" t="s">
        <v>13</v>
      </c>
      <c r="F1415" t="s">
        <v>82</v>
      </c>
      <c r="G1415">
        <v>1100000</v>
      </c>
      <c r="H1415">
        <v>7</v>
      </c>
      <c r="I1415" t="s">
        <v>31</v>
      </c>
      <c r="J1415" t="s">
        <v>16</v>
      </c>
      <c r="K1415" t="s">
        <v>19</v>
      </c>
    </row>
    <row r="1416" spans="1:12" x14ac:dyDescent="0.25">
      <c r="A1416" t="s">
        <v>2411</v>
      </c>
      <c r="B1416">
        <v>115</v>
      </c>
      <c r="C1416">
        <v>48334413</v>
      </c>
      <c r="D1416" t="s">
        <v>2412</v>
      </c>
      <c r="E1416" t="s">
        <v>1609</v>
      </c>
      <c r="F1416" t="s">
        <v>2413</v>
      </c>
      <c r="G1416">
        <v>1000000</v>
      </c>
      <c r="H1416">
        <v>8.1</v>
      </c>
      <c r="I1416" t="s">
        <v>31</v>
      </c>
      <c r="J1416" t="s">
        <v>23</v>
      </c>
      <c r="K1416" t="s">
        <v>37</v>
      </c>
    </row>
    <row r="1417" spans="1:12" x14ac:dyDescent="0.25">
      <c r="A1417" t="s">
        <v>2414</v>
      </c>
      <c r="B1417">
        <v>97</v>
      </c>
      <c r="C1417">
        <v>48334413</v>
      </c>
      <c r="D1417" t="s">
        <v>2415</v>
      </c>
      <c r="E1417" t="s">
        <v>13</v>
      </c>
      <c r="F1417" t="s">
        <v>14</v>
      </c>
      <c r="G1417">
        <v>1000000</v>
      </c>
      <c r="H1417">
        <v>3.3</v>
      </c>
      <c r="I1417" t="s">
        <v>22</v>
      </c>
    </row>
    <row r="1418" spans="1:12" x14ac:dyDescent="0.25">
      <c r="A1418" t="s">
        <v>2416</v>
      </c>
      <c r="B1418">
        <v>104</v>
      </c>
      <c r="C1418">
        <v>48334413</v>
      </c>
      <c r="D1418" t="s">
        <v>2417</v>
      </c>
      <c r="E1418" t="s">
        <v>13</v>
      </c>
      <c r="F1418" t="s">
        <v>14</v>
      </c>
      <c r="G1418">
        <v>1000000</v>
      </c>
      <c r="H1418">
        <v>5.5</v>
      </c>
      <c r="I1418" t="s">
        <v>34</v>
      </c>
      <c r="J1418" t="s">
        <v>15</v>
      </c>
      <c r="K1418" t="s">
        <v>38</v>
      </c>
      <c r="L1418" t="s">
        <v>24</v>
      </c>
    </row>
    <row r="1419" spans="1:12" x14ac:dyDescent="0.25">
      <c r="A1419" t="s">
        <v>2418</v>
      </c>
      <c r="B1419">
        <v>89</v>
      </c>
      <c r="C1419">
        <v>48334413</v>
      </c>
      <c r="D1419" t="s">
        <v>2419</v>
      </c>
      <c r="E1419" t="s">
        <v>13</v>
      </c>
      <c r="F1419" t="s">
        <v>14</v>
      </c>
      <c r="G1419">
        <v>1000000</v>
      </c>
      <c r="H1419">
        <v>6.7</v>
      </c>
      <c r="I1419" t="s">
        <v>31</v>
      </c>
      <c r="J1419" t="s">
        <v>37</v>
      </c>
    </row>
    <row r="1420" spans="1:12" x14ac:dyDescent="0.25">
      <c r="A1420" t="s">
        <v>2420</v>
      </c>
      <c r="B1420">
        <v>121</v>
      </c>
      <c r="C1420">
        <v>48334413</v>
      </c>
      <c r="D1420" t="s">
        <v>2421</v>
      </c>
      <c r="E1420" t="s">
        <v>13</v>
      </c>
      <c r="F1420" t="s">
        <v>82</v>
      </c>
      <c r="G1420">
        <v>1000000</v>
      </c>
      <c r="H1420">
        <v>6.8</v>
      </c>
      <c r="I1420" t="s">
        <v>28</v>
      </c>
      <c r="J1420" t="s">
        <v>15</v>
      </c>
      <c r="K1420" t="s">
        <v>64</v>
      </c>
    </row>
    <row r="1421" spans="1:12" x14ac:dyDescent="0.25">
      <c r="A1421" t="s">
        <v>2422</v>
      </c>
      <c r="B1421">
        <v>89</v>
      </c>
      <c r="C1421">
        <v>48334413</v>
      </c>
      <c r="D1421" t="s">
        <v>2423</v>
      </c>
      <c r="E1421" t="s">
        <v>13</v>
      </c>
      <c r="F1421" t="s">
        <v>14</v>
      </c>
      <c r="G1421">
        <v>1000000</v>
      </c>
      <c r="H1421">
        <v>6.2</v>
      </c>
      <c r="I1421" t="s">
        <v>31</v>
      </c>
      <c r="J1421" t="s">
        <v>19</v>
      </c>
      <c r="K1421" t="s">
        <v>69</v>
      </c>
    </row>
    <row r="1422" spans="1:12" x14ac:dyDescent="0.25">
      <c r="A1422" t="s">
        <v>2424</v>
      </c>
      <c r="B1422">
        <v>109</v>
      </c>
      <c r="C1422">
        <v>48334413</v>
      </c>
      <c r="D1422" t="s">
        <v>2425</v>
      </c>
      <c r="E1422" t="s">
        <v>13</v>
      </c>
      <c r="F1422" t="s">
        <v>14</v>
      </c>
      <c r="G1422">
        <v>1000000</v>
      </c>
      <c r="H1422">
        <v>7.2</v>
      </c>
      <c r="I1422" t="s">
        <v>34</v>
      </c>
      <c r="J1422" t="s">
        <v>31</v>
      </c>
      <c r="K1422" t="s">
        <v>19</v>
      </c>
      <c r="L1422" t="s">
        <v>83</v>
      </c>
    </row>
    <row r="1423" spans="1:12" x14ac:dyDescent="0.25">
      <c r="A1423" t="s">
        <v>1918</v>
      </c>
      <c r="B1423">
        <v>92</v>
      </c>
      <c r="C1423">
        <v>48334413</v>
      </c>
      <c r="D1423" t="s">
        <v>2426</v>
      </c>
      <c r="E1423" t="s">
        <v>13</v>
      </c>
      <c r="F1423" t="s">
        <v>14</v>
      </c>
      <c r="G1423">
        <v>1000000</v>
      </c>
      <c r="H1423">
        <v>7.2</v>
      </c>
      <c r="I1423" t="s">
        <v>15</v>
      </c>
      <c r="J1423" t="s">
        <v>17</v>
      </c>
      <c r="K1423" t="s">
        <v>23</v>
      </c>
    </row>
    <row r="1424" spans="1:12" x14ac:dyDescent="0.25">
      <c r="A1424" t="s">
        <v>2427</v>
      </c>
      <c r="B1424">
        <v>105</v>
      </c>
      <c r="C1424">
        <v>48334413</v>
      </c>
      <c r="D1424" t="s">
        <v>2428</v>
      </c>
      <c r="E1424" t="s">
        <v>13</v>
      </c>
      <c r="F1424" t="s">
        <v>14</v>
      </c>
      <c r="G1424">
        <v>1000000</v>
      </c>
      <c r="H1424">
        <v>5.2</v>
      </c>
      <c r="I1424" t="s">
        <v>38</v>
      </c>
      <c r="J1424" t="s">
        <v>31</v>
      </c>
      <c r="K1424" t="s">
        <v>19</v>
      </c>
    </row>
    <row r="1425" spans="1:13" x14ac:dyDescent="0.25">
      <c r="A1425" t="s">
        <v>2429</v>
      </c>
      <c r="B1425">
        <v>89</v>
      </c>
      <c r="C1425">
        <v>48334413</v>
      </c>
      <c r="D1425" t="s">
        <v>2430</v>
      </c>
      <c r="E1425" t="s">
        <v>13</v>
      </c>
      <c r="F1425" t="s">
        <v>14</v>
      </c>
      <c r="G1425">
        <v>1000000</v>
      </c>
      <c r="H1425">
        <v>6.3</v>
      </c>
      <c r="I1425" t="s">
        <v>15</v>
      </c>
      <c r="J1425" t="s">
        <v>19</v>
      </c>
    </row>
    <row r="1426" spans="1:13" x14ac:dyDescent="0.25">
      <c r="A1426" t="s">
        <v>2431</v>
      </c>
      <c r="B1426">
        <v>97</v>
      </c>
      <c r="C1426">
        <v>48334413</v>
      </c>
      <c r="D1426" t="s">
        <v>2432</v>
      </c>
      <c r="E1426" t="s">
        <v>13</v>
      </c>
      <c r="F1426" t="s">
        <v>14</v>
      </c>
      <c r="G1426">
        <v>1000000</v>
      </c>
      <c r="H1426">
        <v>1.9</v>
      </c>
      <c r="I1426" t="s">
        <v>34</v>
      </c>
      <c r="J1426" t="s">
        <v>28</v>
      </c>
      <c r="K1426" t="s">
        <v>15</v>
      </c>
      <c r="L1426" t="s">
        <v>17</v>
      </c>
      <c r="M1426" t="s">
        <v>37</v>
      </c>
    </row>
    <row r="1427" spans="1:13" x14ac:dyDescent="0.25">
      <c r="A1427" t="s">
        <v>2433</v>
      </c>
      <c r="B1427">
        <v>105</v>
      </c>
      <c r="C1427">
        <v>48334413</v>
      </c>
      <c r="D1427" t="s">
        <v>2434</v>
      </c>
      <c r="E1427" t="s">
        <v>1498</v>
      </c>
      <c r="F1427" t="s">
        <v>1901</v>
      </c>
      <c r="G1427">
        <v>1000000</v>
      </c>
      <c r="H1427">
        <v>6.8</v>
      </c>
      <c r="I1427" t="s">
        <v>38</v>
      </c>
      <c r="J1427" t="s">
        <v>31</v>
      </c>
      <c r="K1427" t="s">
        <v>19</v>
      </c>
    </row>
    <row r="1428" spans="1:13" x14ac:dyDescent="0.25">
      <c r="A1428" t="s">
        <v>2435</v>
      </c>
      <c r="B1428">
        <v>107</v>
      </c>
      <c r="C1428">
        <v>48334413</v>
      </c>
      <c r="D1428" t="s">
        <v>2436</v>
      </c>
      <c r="E1428" t="s">
        <v>2437</v>
      </c>
      <c r="F1428" t="s">
        <v>2438</v>
      </c>
      <c r="G1428">
        <v>1000000</v>
      </c>
      <c r="H1428">
        <v>7</v>
      </c>
      <c r="I1428" t="s">
        <v>15</v>
      </c>
      <c r="J1428" t="s">
        <v>16</v>
      </c>
    </row>
    <row r="1429" spans="1:13" x14ac:dyDescent="0.25">
      <c r="A1429" t="s">
        <v>2439</v>
      </c>
      <c r="B1429">
        <v>76</v>
      </c>
      <c r="C1429">
        <v>48334413</v>
      </c>
      <c r="D1429" t="s">
        <v>2440</v>
      </c>
      <c r="E1429" t="s">
        <v>13</v>
      </c>
      <c r="F1429" t="s">
        <v>14</v>
      </c>
      <c r="G1429">
        <v>1000000</v>
      </c>
      <c r="H1429">
        <v>6.7</v>
      </c>
      <c r="I1429" t="s">
        <v>31</v>
      </c>
      <c r="J1429" t="s">
        <v>19</v>
      </c>
    </row>
    <row r="1430" spans="1:13" x14ac:dyDescent="0.25">
      <c r="A1430" t="s">
        <v>2441</v>
      </c>
      <c r="B1430">
        <v>96</v>
      </c>
      <c r="C1430">
        <v>48334413</v>
      </c>
      <c r="D1430" t="s">
        <v>2442</v>
      </c>
      <c r="E1430" t="s">
        <v>13</v>
      </c>
      <c r="F1430" t="s">
        <v>14</v>
      </c>
      <c r="G1430">
        <v>1000000</v>
      </c>
      <c r="H1430">
        <v>5.8</v>
      </c>
      <c r="I1430" t="s">
        <v>15</v>
      </c>
      <c r="J1430" t="s">
        <v>31</v>
      </c>
    </row>
    <row r="1431" spans="1:13" x14ac:dyDescent="0.25">
      <c r="A1431" t="s">
        <v>2443</v>
      </c>
      <c r="B1431">
        <v>99</v>
      </c>
      <c r="C1431">
        <v>48334413</v>
      </c>
      <c r="D1431" t="s">
        <v>2444</v>
      </c>
      <c r="E1431" t="s">
        <v>13</v>
      </c>
      <c r="F1431" t="s">
        <v>14</v>
      </c>
      <c r="G1431">
        <v>1000000</v>
      </c>
      <c r="H1431">
        <v>6.2</v>
      </c>
      <c r="I1431" t="s">
        <v>38</v>
      </c>
      <c r="J1431" t="s">
        <v>31</v>
      </c>
      <c r="K1431" t="s">
        <v>24</v>
      </c>
    </row>
    <row r="1432" spans="1:13" x14ac:dyDescent="0.25">
      <c r="A1432" t="s">
        <v>2445</v>
      </c>
      <c r="B1432">
        <v>90</v>
      </c>
      <c r="C1432">
        <v>48334413</v>
      </c>
      <c r="D1432" t="s">
        <v>2446</v>
      </c>
      <c r="E1432" t="s">
        <v>13</v>
      </c>
      <c r="F1432" t="s">
        <v>14</v>
      </c>
      <c r="G1432">
        <v>1000000</v>
      </c>
      <c r="H1432">
        <v>2.8</v>
      </c>
      <c r="I1432" t="s">
        <v>15</v>
      </c>
    </row>
    <row r="1433" spans="1:13" x14ac:dyDescent="0.25">
      <c r="A1433" t="s">
        <v>2447</v>
      </c>
      <c r="B1433">
        <v>87</v>
      </c>
      <c r="C1433">
        <v>48334413</v>
      </c>
      <c r="D1433" t="s">
        <v>2448</v>
      </c>
      <c r="E1433" t="s">
        <v>13</v>
      </c>
      <c r="F1433" t="s">
        <v>14</v>
      </c>
      <c r="G1433">
        <v>1000000</v>
      </c>
      <c r="H1433">
        <v>5.8</v>
      </c>
      <c r="I1433" t="s">
        <v>31</v>
      </c>
    </row>
    <row r="1434" spans="1:13" x14ac:dyDescent="0.25">
      <c r="A1434" t="s">
        <v>2449</v>
      </c>
      <c r="B1434">
        <v>90</v>
      </c>
      <c r="C1434">
        <v>48334413</v>
      </c>
      <c r="D1434" t="s">
        <v>2450</v>
      </c>
      <c r="E1434" t="s">
        <v>13</v>
      </c>
      <c r="F1434" t="s">
        <v>14</v>
      </c>
      <c r="G1434">
        <v>1000000</v>
      </c>
      <c r="H1434">
        <v>6.1</v>
      </c>
      <c r="I1434" t="s">
        <v>31</v>
      </c>
    </row>
    <row r="1435" spans="1:13" x14ac:dyDescent="0.25">
      <c r="A1435" t="s">
        <v>2451</v>
      </c>
      <c r="B1435">
        <v>83</v>
      </c>
      <c r="C1435">
        <v>48334413</v>
      </c>
      <c r="D1435" t="s">
        <v>2452</v>
      </c>
      <c r="E1435" t="s">
        <v>13</v>
      </c>
      <c r="F1435" t="s">
        <v>14</v>
      </c>
      <c r="G1435">
        <v>1000000</v>
      </c>
      <c r="H1435">
        <v>2.2000000000000002</v>
      </c>
      <c r="I1435" t="s">
        <v>22</v>
      </c>
    </row>
    <row r="1436" spans="1:13" x14ac:dyDescent="0.25">
      <c r="A1436" t="s">
        <v>2453</v>
      </c>
      <c r="B1436">
        <v>90</v>
      </c>
      <c r="C1436">
        <v>48334413</v>
      </c>
      <c r="D1436" t="s">
        <v>2454</v>
      </c>
      <c r="E1436" t="s">
        <v>13</v>
      </c>
      <c r="F1436" t="s">
        <v>14</v>
      </c>
      <c r="G1436">
        <v>1000000</v>
      </c>
      <c r="H1436">
        <v>5.7</v>
      </c>
      <c r="I1436" t="s">
        <v>15</v>
      </c>
      <c r="J1436" t="s">
        <v>31</v>
      </c>
      <c r="K1436" t="s">
        <v>19</v>
      </c>
    </row>
    <row r="1437" spans="1:13" x14ac:dyDescent="0.25">
      <c r="A1437" t="s">
        <v>2455</v>
      </c>
      <c r="B1437">
        <v>138</v>
      </c>
      <c r="C1437">
        <v>48334413</v>
      </c>
      <c r="D1437" t="s">
        <v>2456</v>
      </c>
      <c r="E1437" t="s">
        <v>13</v>
      </c>
      <c r="F1437" t="s">
        <v>14</v>
      </c>
      <c r="G1437">
        <v>1000000</v>
      </c>
      <c r="H1437">
        <v>3.4</v>
      </c>
      <c r="I1437" t="s">
        <v>15</v>
      </c>
      <c r="J1437" t="s">
        <v>18</v>
      </c>
    </row>
    <row r="1438" spans="1:13" x14ac:dyDescent="0.25">
      <c r="A1438" t="s">
        <v>2451</v>
      </c>
      <c r="B1438">
        <v>84</v>
      </c>
      <c r="C1438">
        <v>48334413</v>
      </c>
      <c r="D1438" t="s">
        <v>2457</v>
      </c>
      <c r="E1438" t="s">
        <v>13</v>
      </c>
      <c r="F1438" t="s">
        <v>14</v>
      </c>
      <c r="G1438">
        <v>1000000</v>
      </c>
      <c r="H1438">
        <v>3.8</v>
      </c>
      <c r="I1438" t="s">
        <v>69</v>
      </c>
    </row>
    <row r="1439" spans="1:13" x14ac:dyDescent="0.25">
      <c r="A1439" t="s">
        <v>2458</v>
      </c>
      <c r="B1439">
        <v>96</v>
      </c>
      <c r="C1439">
        <v>48334413</v>
      </c>
      <c r="D1439" t="s">
        <v>2459</v>
      </c>
      <c r="E1439" t="s">
        <v>13</v>
      </c>
      <c r="F1439" t="s">
        <v>82</v>
      </c>
      <c r="G1439">
        <v>1000000</v>
      </c>
      <c r="H1439">
        <v>5.6</v>
      </c>
      <c r="I1439" t="s">
        <v>22</v>
      </c>
      <c r="J1439" t="s">
        <v>23</v>
      </c>
    </row>
    <row r="1440" spans="1:13" x14ac:dyDescent="0.25">
      <c r="A1440" t="s">
        <v>2460</v>
      </c>
      <c r="B1440">
        <v>94</v>
      </c>
      <c r="C1440">
        <v>48334413</v>
      </c>
      <c r="D1440" t="s">
        <v>2461</v>
      </c>
      <c r="E1440" t="s">
        <v>13</v>
      </c>
      <c r="F1440" t="s">
        <v>14</v>
      </c>
      <c r="G1440">
        <v>1000000</v>
      </c>
      <c r="H1440">
        <v>3.9</v>
      </c>
      <c r="I1440" t="s">
        <v>31</v>
      </c>
      <c r="J1440" t="s">
        <v>24</v>
      </c>
    </row>
    <row r="1441" spans="1:12" x14ac:dyDescent="0.25">
      <c r="A1441" t="s">
        <v>2462</v>
      </c>
      <c r="B1441">
        <v>90</v>
      </c>
      <c r="C1441">
        <v>48334413</v>
      </c>
      <c r="D1441" t="s">
        <v>2463</v>
      </c>
      <c r="E1441" t="s">
        <v>13</v>
      </c>
      <c r="F1441" t="s">
        <v>98</v>
      </c>
      <c r="G1441">
        <v>1000000</v>
      </c>
      <c r="H1441">
        <v>5.4</v>
      </c>
      <c r="I1441" t="s">
        <v>31</v>
      </c>
      <c r="J1441" t="s">
        <v>59</v>
      </c>
      <c r="K1441" t="s">
        <v>37</v>
      </c>
    </row>
    <row r="1442" spans="1:12" x14ac:dyDescent="0.25">
      <c r="A1442" t="s">
        <v>2464</v>
      </c>
      <c r="B1442">
        <v>95</v>
      </c>
      <c r="C1442">
        <v>48334413</v>
      </c>
      <c r="D1442" t="s">
        <v>2465</v>
      </c>
      <c r="E1442" t="s">
        <v>13</v>
      </c>
      <c r="F1442" t="s">
        <v>14</v>
      </c>
      <c r="G1442">
        <v>1000000</v>
      </c>
      <c r="H1442">
        <v>5.2</v>
      </c>
      <c r="I1442" t="s">
        <v>22</v>
      </c>
    </row>
    <row r="1443" spans="1:12" x14ac:dyDescent="0.25">
      <c r="A1443" t="s">
        <v>2466</v>
      </c>
      <c r="B1443">
        <v>93</v>
      </c>
      <c r="C1443">
        <v>48334413</v>
      </c>
      <c r="D1443" t="s">
        <v>2467</v>
      </c>
      <c r="E1443" t="s">
        <v>13</v>
      </c>
      <c r="F1443" t="s">
        <v>14</v>
      </c>
      <c r="G1443">
        <v>1000000</v>
      </c>
      <c r="H1443">
        <v>3.5</v>
      </c>
      <c r="I1443" t="s">
        <v>34</v>
      </c>
      <c r="J1443" t="s">
        <v>15</v>
      </c>
      <c r="K1443" t="s">
        <v>22</v>
      </c>
    </row>
    <row r="1444" spans="1:12" x14ac:dyDescent="0.25">
      <c r="A1444" t="s">
        <v>2468</v>
      </c>
      <c r="B1444">
        <v>111</v>
      </c>
      <c r="C1444">
        <v>48334413</v>
      </c>
      <c r="D1444" t="s">
        <v>2469</v>
      </c>
      <c r="E1444" t="s">
        <v>13</v>
      </c>
      <c r="F1444" t="s">
        <v>14</v>
      </c>
      <c r="G1444">
        <v>1000000</v>
      </c>
      <c r="H1444">
        <v>5.3</v>
      </c>
      <c r="I1444" t="s">
        <v>31</v>
      </c>
    </row>
    <row r="1445" spans="1:12" x14ac:dyDescent="0.25">
      <c r="A1445" t="s">
        <v>2470</v>
      </c>
      <c r="B1445">
        <v>90</v>
      </c>
      <c r="C1445">
        <v>48334413</v>
      </c>
      <c r="D1445" t="s">
        <v>2471</v>
      </c>
      <c r="E1445" t="s">
        <v>13</v>
      </c>
      <c r="F1445" t="s">
        <v>14</v>
      </c>
      <c r="G1445">
        <v>1000000</v>
      </c>
      <c r="H1445">
        <v>7.1</v>
      </c>
      <c r="I1445" t="s">
        <v>31</v>
      </c>
    </row>
    <row r="1446" spans="1:12" x14ac:dyDescent="0.25">
      <c r="A1446" t="s">
        <v>2472</v>
      </c>
      <c r="B1446">
        <v>104</v>
      </c>
      <c r="C1446">
        <v>48334413</v>
      </c>
      <c r="D1446" t="s">
        <v>2473</v>
      </c>
      <c r="E1446" t="s">
        <v>13</v>
      </c>
      <c r="F1446" t="s">
        <v>14</v>
      </c>
      <c r="G1446">
        <v>1000000</v>
      </c>
      <c r="H1446">
        <v>6.3</v>
      </c>
      <c r="I1446" t="s">
        <v>31</v>
      </c>
      <c r="J1446" t="s">
        <v>23</v>
      </c>
      <c r="K1446" t="s">
        <v>24</v>
      </c>
    </row>
    <row r="1447" spans="1:12" x14ac:dyDescent="0.25">
      <c r="A1447" t="s">
        <v>2474</v>
      </c>
      <c r="B1447">
        <v>86</v>
      </c>
      <c r="C1447">
        <v>48334413</v>
      </c>
      <c r="D1447" t="s">
        <v>2475</v>
      </c>
      <c r="E1447" t="s">
        <v>13</v>
      </c>
      <c r="F1447" t="s">
        <v>14</v>
      </c>
      <c r="G1447">
        <v>990000</v>
      </c>
      <c r="H1447">
        <v>4.9000000000000004</v>
      </c>
      <c r="I1447" t="s">
        <v>34</v>
      </c>
      <c r="J1447" t="s">
        <v>15</v>
      </c>
      <c r="K1447" t="s">
        <v>31</v>
      </c>
      <c r="L1447" t="s">
        <v>37</v>
      </c>
    </row>
    <row r="1448" spans="1:12" x14ac:dyDescent="0.25">
      <c r="A1448" t="s">
        <v>2476</v>
      </c>
      <c r="B1448">
        <v>90</v>
      </c>
      <c r="C1448">
        <v>48334413</v>
      </c>
      <c r="D1448" t="s">
        <v>2477</v>
      </c>
      <c r="E1448" t="s">
        <v>13</v>
      </c>
      <c r="F1448" t="s">
        <v>14</v>
      </c>
      <c r="G1448">
        <v>989000</v>
      </c>
      <c r="H1448">
        <v>4.8</v>
      </c>
      <c r="I1448" t="s">
        <v>15</v>
      </c>
      <c r="J1448" t="s">
        <v>19</v>
      </c>
    </row>
    <row r="1449" spans="1:12" x14ac:dyDescent="0.25">
      <c r="A1449" t="s">
        <v>1988</v>
      </c>
      <c r="B1449">
        <v>82</v>
      </c>
      <c r="C1449">
        <v>48334413</v>
      </c>
      <c r="D1449" t="s">
        <v>2478</v>
      </c>
      <c r="E1449" t="s">
        <v>13</v>
      </c>
      <c r="F1449" t="s">
        <v>14</v>
      </c>
      <c r="G1449">
        <v>950000</v>
      </c>
      <c r="H1449">
        <v>8.6</v>
      </c>
      <c r="I1449" t="s">
        <v>31</v>
      </c>
      <c r="J1449" t="s">
        <v>19</v>
      </c>
      <c r="K1449" t="s">
        <v>83</v>
      </c>
    </row>
    <row r="1450" spans="1:12" x14ac:dyDescent="0.25">
      <c r="A1450" t="s">
        <v>2479</v>
      </c>
      <c r="B1450">
        <v>87</v>
      </c>
      <c r="C1450">
        <v>48334413</v>
      </c>
      <c r="D1450" t="s">
        <v>2480</v>
      </c>
      <c r="E1450" t="s">
        <v>13</v>
      </c>
      <c r="F1450" t="s">
        <v>241</v>
      </c>
      <c r="G1450">
        <v>950000</v>
      </c>
      <c r="H1450">
        <v>5.5</v>
      </c>
      <c r="I1450" t="s">
        <v>22</v>
      </c>
      <c r="J1450" t="s">
        <v>24</v>
      </c>
    </row>
    <row r="1451" spans="1:12" x14ac:dyDescent="0.25">
      <c r="A1451" t="s">
        <v>2481</v>
      </c>
      <c r="B1451">
        <v>100</v>
      </c>
      <c r="C1451">
        <v>48334413</v>
      </c>
      <c r="D1451" t="s">
        <v>2482</v>
      </c>
      <c r="E1451" t="s">
        <v>13</v>
      </c>
      <c r="F1451" t="s">
        <v>14</v>
      </c>
      <c r="G1451">
        <v>950000</v>
      </c>
      <c r="H1451">
        <v>6</v>
      </c>
      <c r="I1451" t="s">
        <v>31</v>
      </c>
    </row>
    <row r="1452" spans="1:12" x14ac:dyDescent="0.25">
      <c r="A1452" t="s">
        <v>2483</v>
      </c>
      <c r="B1452">
        <v>83</v>
      </c>
      <c r="C1452">
        <v>48334413</v>
      </c>
      <c r="D1452" t="s">
        <v>2484</v>
      </c>
      <c r="E1452" t="s">
        <v>13</v>
      </c>
      <c r="F1452" t="s">
        <v>14</v>
      </c>
      <c r="G1452">
        <v>913000</v>
      </c>
      <c r="H1452">
        <v>7.1</v>
      </c>
      <c r="I1452" t="s">
        <v>52</v>
      </c>
      <c r="J1452" t="s">
        <v>92</v>
      </c>
    </row>
    <row r="1453" spans="1:12" x14ac:dyDescent="0.25">
      <c r="A1453" t="s">
        <v>2485</v>
      </c>
      <c r="B1453">
        <v>78</v>
      </c>
      <c r="C1453">
        <v>48334413</v>
      </c>
      <c r="D1453" t="s">
        <v>2486</v>
      </c>
      <c r="E1453" t="s">
        <v>473</v>
      </c>
      <c r="F1453" t="s">
        <v>295</v>
      </c>
      <c r="G1453">
        <v>900000</v>
      </c>
      <c r="H1453">
        <v>6.7</v>
      </c>
      <c r="I1453" t="s">
        <v>31</v>
      </c>
    </row>
    <row r="1454" spans="1:12" x14ac:dyDescent="0.25">
      <c r="A1454" t="s">
        <v>2487</v>
      </c>
      <c r="B1454">
        <v>97</v>
      </c>
      <c r="C1454">
        <v>48334413</v>
      </c>
      <c r="D1454" t="s">
        <v>2488</v>
      </c>
      <c r="E1454" t="s">
        <v>473</v>
      </c>
      <c r="F1454" t="s">
        <v>98</v>
      </c>
      <c r="G1454">
        <v>900000</v>
      </c>
      <c r="H1454">
        <v>6</v>
      </c>
      <c r="I1454" t="s">
        <v>31</v>
      </c>
      <c r="J1454" t="s">
        <v>24</v>
      </c>
    </row>
    <row r="1455" spans="1:12" x14ac:dyDescent="0.25">
      <c r="A1455" t="s">
        <v>2489</v>
      </c>
      <c r="B1455">
        <v>95</v>
      </c>
      <c r="C1455">
        <v>48334413</v>
      </c>
      <c r="D1455" t="s">
        <v>2490</v>
      </c>
      <c r="E1455" t="s">
        <v>13</v>
      </c>
      <c r="F1455" t="s">
        <v>14</v>
      </c>
      <c r="G1455">
        <v>850000</v>
      </c>
      <c r="H1455">
        <v>7.4</v>
      </c>
      <c r="I1455" t="s">
        <v>31</v>
      </c>
    </row>
    <row r="1456" spans="1:12" x14ac:dyDescent="0.25">
      <c r="A1456" t="s">
        <v>2491</v>
      </c>
      <c r="B1456">
        <v>79</v>
      </c>
      <c r="C1456">
        <v>48334413</v>
      </c>
      <c r="D1456" t="s">
        <v>2492</v>
      </c>
      <c r="E1456" t="s">
        <v>13</v>
      </c>
      <c r="F1456" t="s">
        <v>14</v>
      </c>
      <c r="G1456">
        <v>800000</v>
      </c>
      <c r="H1456">
        <v>6.6</v>
      </c>
      <c r="I1456" t="s">
        <v>31</v>
      </c>
      <c r="J1456" t="s">
        <v>19</v>
      </c>
      <c r="K1456" t="s">
        <v>83</v>
      </c>
    </row>
    <row r="1457" spans="1:12" x14ac:dyDescent="0.25">
      <c r="A1457" t="s">
        <v>2493</v>
      </c>
      <c r="B1457">
        <v>88</v>
      </c>
      <c r="C1457">
        <v>48334413</v>
      </c>
      <c r="D1457" t="s">
        <v>2494</v>
      </c>
      <c r="E1457" t="s">
        <v>13</v>
      </c>
      <c r="F1457" t="s">
        <v>14</v>
      </c>
      <c r="G1457">
        <v>800000</v>
      </c>
      <c r="H1457">
        <v>5.2</v>
      </c>
      <c r="I1457" t="s">
        <v>24</v>
      </c>
    </row>
    <row r="1458" spans="1:12" x14ac:dyDescent="0.25">
      <c r="A1458" t="s">
        <v>2495</v>
      </c>
      <c r="B1458">
        <v>83</v>
      </c>
      <c r="C1458">
        <v>48334413</v>
      </c>
      <c r="D1458" t="s">
        <v>2496</v>
      </c>
      <c r="E1458" t="s">
        <v>1498</v>
      </c>
      <c r="F1458" t="s">
        <v>2497</v>
      </c>
      <c r="G1458">
        <v>800000</v>
      </c>
      <c r="H1458">
        <v>7.2</v>
      </c>
      <c r="I1458" t="s">
        <v>31</v>
      </c>
    </row>
    <row r="1459" spans="1:12" x14ac:dyDescent="0.25">
      <c r="A1459" t="s">
        <v>2498</v>
      </c>
      <c r="B1459">
        <v>94</v>
      </c>
      <c r="C1459">
        <v>48334413</v>
      </c>
      <c r="D1459" t="s">
        <v>2499</v>
      </c>
      <c r="E1459" t="s">
        <v>13</v>
      </c>
      <c r="F1459" t="s">
        <v>14</v>
      </c>
      <c r="G1459">
        <v>800000</v>
      </c>
      <c r="H1459">
        <v>7.2</v>
      </c>
      <c r="I1459" t="s">
        <v>38</v>
      </c>
      <c r="J1459" t="s">
        <v>31</v>
      </c>
      <c r="K1459" t="s">
        <v>19</v>
      </c>
    </row>
    <row r="1460" spans="1:12" x14ac:dyDescent="0.25">
      <c r="A1460" t="s">
        <v>2345</v>
      </c>
      <c r="B1460">
        <v>75</v>
      </c>
      <c r="C1460">
        <v>48334413</v>
      </c>
      <c r="D1460" t="s">
        <v>2500</v>
      </c>
      <c r="E1460" t="s">
        <v>13</v>
      </c>
      <c r="F1460" t="s">
        <v>14</v>
      </c>
      <c r="G1460">
        <v>750000</v>
      </c>
      <c r="H1460">
        <v>7.7</v>
      </c>
      <c r="I1460" t="s">
        <v>52</v>
      </c>
      <c r="J1460" t="s">
        <v>83</v>
      </c>
    </row>
    <row r="1461" spans="1:12" x14ac:dyDescent="0.25">
      <c r="A1461" t="s">
        <v>2501</v>
      </c>
      <c r="B1461">
        <v>106</v>
      </c>
      <c r="C1461">
        <v>48334413</v>
      </c>
      <c r="D1461" t="s">
        <v>2502</v>
      </c>
      <c r="E1461" t="s">
        <v>1351</v>
      </c>
      <c r="F1461" t="s">
        <v>1342</v>
      </c>
      <c r="G1461">
        <v>750000</v>
      </c>
      <c r="H1461">
        <v>8.1</v>
      </c>
      <c r="I1461" t="s">
        <v>31</v>
      </c>
    </row>
    <row r="1462" spans="1:12" x14ac:dyDescent="0.25">
      <c r="A1462" t="s">
        <v>702</v>
      </c>
      <c r="B1462">
        <v>90</v>
      </c>
      <c r="C1462">
        <v>48334413</v>
      </c>
      <c r="D1462" t="s">
        <v>2503</v>
      </c>
      <c r="E1462" t="s">
        <v>13</v>
      </c>
      <c r="F1462" t="s">
        <v>14</v>
      </c>
      <c r="G1462">
        <v>750000</v>
      </c>
      <c r="H1462">
        <v>5.6</v>
      </c>
      <c r="I1462" t="s">
        <v>22</v>
      </c>
    </row>
    <row r="1463" spans="1:12" x14ac:dyDescent="0.25">
      <c r="A1463" t="s">
        <v>2504</v>
      </c>
      <c r="B1463">
        <v>95</v>
      </c>
      <c r="C1463">
        <v>48334413</v>
      </c>
      <c r="D1463" t="s">
        <v>2505</v>
      </c>
      <c r="E1463" t="s">
        <v>13</v>
      </c>
      <c r="F1463" t="s">
        <v>14</v>
      </c>
      <c r="G1463">
        <v>750000</v>
      </c>
      <c r="H1463">
        <v>3.1</v>
      </c>
      <c r="I1463" t="s">
        <v>22</v>
      </c>
    </row>
    <row r="1464" spans="1:12" x14ac:dyDescent="0.25">
      <c r="A1464" t="s">
        <v>1922</v>
      </c>
      <c r="B1464">
        <v>85</v>
      </c>
      <c r="C1464">
        <v>48334413</v>
      </c>
      <c r="D1464" t="s">
        <v>2506</v>
      </c>
      <c r="E1464" t="s">
        <v>13</v>
      </c>
      <c r="F1464" t="s">
        <v>14</v>
      </c>
      <c r="G1464">
        <v>750000</v>
      </c>
      <c r="H1464">
        <v>8.1</v>
      </c>
      <c r="I1464" t="s">
        <v>24</v>
      </c>
      <c r="J1464" t="s">
        <v>69</v>
      </c>
    </row>
    <row r="1465" spans="1:12" x14ac:dyDescent="0.25">
      <c r="A1465" t="s">
        <v>2507</v>
      </c>
      <c r="B1465">
        <v>91</v>
      </c>
      <c r="C1465">
        <v>48334413</v>
      </c>
      <c r="D1465" t="s">
        <v>2508</v>
      </c>
      <c r="E1465" t="s">
        <v>13</v>
      </c>
      <c r="F1465" t="s">
        <v>14</v>
      </c>
      <c r="G1465">
        <v>750000</v>
      </c>
      <c r="H1465">
        <v>4.9000000000000004</v>
      </c>
      <c r="I1465" t="s">
        <v>38</v>
      </c>
      <c r="J1465" t="s">
        <v>31</v>
      </c>
      <c r="K1465" t="s">
        <v>24</v>
      </c>
    </row>
    <row r="1466" spans="1:12" x14ac:dyDescent="0.25">
      <c r="A1466" t="s">
        <v>2509</v>
      </c>
      <c r="B1466">
        <v>115</v>
      </c>
      <c r="C1466">
        <v>48334413</v>
      </c>
      <c r="D1466" t="s">
        <v>2510</v>
      </c>
      <c r="E1466" t="s">
        <v>13</v>
      </c>
      <c r="F1466" t="s">
        <v>14</v>
      </c>
      <c r="G1466">
        <v>750000</v>
      </c>
      <c r="H1466">
        <v>7</v>
      </c>
      <c r="I1466" t="s">
        <v>52</v>
      </c>
    </row>
    <row r="1467" spans="1:12" x14ac:dyDescent="0.25">
      <c r="A1467" t="s">
        <v>2511</v>
      </c>
      <c r="B1467">
        <v>94</v>
      </c>
      <c r="C1467">
        <v>48334413</v>
      </c>
      <c r="D1467" t="s">
        <v>2512</v>
      </c>
      <c r="E1467" t="s">
        <v>13</v>
      </c>
      <c r="F1467" t="s">
        <v>14</v>
      </c>
      <c r="G1467">
        <v>700000</v>
      </c>
      <c r="H1467">
        <v>5.3</v>
      </c>
      <c r="I1467" t="s">
        <v>15</v>
      </c>
      <c r="J1467" t="s">
        <v>31</v>
      </c>
    </row>
    <row r="1468" spans="1:12" x14ac:dyDescent="0.25">
      <c r="A1468" t="s">
        <v>2513</v>
      </c>
      <c r="B1468">
        <v>71</v>
      </c>
      <c r="C1468">
        <v>48334413</v>
      </c>
      <c r="D1468" t="s">
        <v>2514</v>
      </c>
      <c r="E1468" t="s">
        <v>13</v>
      </c>
      <c r="F1468" t="s">
        <v>14</v>
      </c>
      <c r="G1468">
        <v>650000</v>
      </c>
      <c r="H1468">
        <v>7.4</v>
      </c>
      <c r="I1468" t="s">
        <v>52</v>
      </c>
    </row>
    <row r="1469" spans="1:12" x14ac:dyDescent="0.25">
      <c r="A1469" t="s">
        <v>2515</v>
      </c>
      <c r="B1469">
        <v>90</v>
      </c>
      <c r="C1469">
        <v>48334413</v>
      </c>
      <c r="D1469" t="s">
        <v>2516</v>
      </c>
      <c r="E1469" t="s">
        <v>13</v>
      </c>
      <c r="F1469" t="s">
        <v>14</v>
      </c>
      <c r="G1469">
        <v>650000</v>
      </c>
      <c r="H1469">
        <v>5.4</v>
      </c>
      <c r="I1469" t="s">
        <v>17</v>
      </c>
      <c r="J1469" t="s">
        <v>22</v>
      </c>
      <c r="K1469" t="s">
        <v>23</v>
      </c>
      <c r="L1469" t="s">
        <v>24</v>
      </c>
    </row>
    <row r="1470" spans="1:12" x14ac:dyDescent="0.25">
      <c r="A1470" t="s">
        <v>281</v>
      </c>
      <c r="B1470">
        <v>83</v>
      </c>
      <c r="C1470">
        <v>48334413</v>
      </c>
      <c r="D1470" t="s">
        <v>2517</v>
      </c>
      <c r="E1470" t="s">
        <v>13</v>
      </c>
      <c r="F1470" t="s">
        <v>14</v>
      </c>
      <c r="G1470">
        <v>650000</v>
      </c>
      <c r="H1470">
        <v>6.5</v>
      </c>
      <c r="I1470" t="s">
        <v>15</v>
      </c>
    </row>
    <row r="1471" spans="1:12" x14ac:dyDescent="0.25">
      <c r="A1471" t="s">
        <v>932</v>
      </c>
      <c r="B1471">
        <v>97</v>
      </c>
      <c r="C1471">
        <v>48334413</v>
      </c>
      <c r="D1471" t="s">
        <v>2518</v>
      </c>
      <c r="E1471" t="s">
        <v>13</v>
      </c>
      <c r="F1471" t="s">
        <v>82</v>
      </c>
      <c r="G1471">
        <v>650000</v>
      </c>
      <c r="H1471">
        <v>6.9</v>
      </c>
      <c r="I1471" t="s">
        <v>15</v>
      </c>
      <c r="J1471" t="s">
        <v>31</v>
      </c>
      <c r="K1471" t="s">
        <v>19</v>
      </c>
    </row>
    <row r="1472" spans="1:12" x14ac:dyDescent="0.25">
      <c r="A1472" t="s">
        <v>2519</v>
      </c>
      <c r="B1472">
        <v>67</v>
      </c>
      <c r="C1472">
        <v>48334413</v>
      </c>
      <c r="D1472" t="s">
        <v>2520</v>
      </c>
      <c r="E1472" t="s">
        <v>13</v>
      </c>
      <c r="F1472" t="s">
        <v>14</v>
      </c>
      <c r="G1472">
        <v>625000</v>
      </c>
      <c r="H1472">
        <v>3.9</v>
      </c>
      <c r="I1472" t="s">
        <v>31</v>
      </c>
      <c r="J1472" t="s">
        <v>24</v>
      </c>
    </row>
    <row r="1473" spans="1:11" x14ac:dyDescent="0.25">
      <c r="A1473" t="s">
        <v>2521</v>
      </c>
      <c r="B1473">
        <v>90</v>
      </c>
      <c r="C1473">
        <v>48334413</v>
      </c>
      <c r="D1473" t="s">
        <v>2522</v>
      </c>
      <c r="E1473" t="s">
        <v>13</v>
      </c>
      <c r="F1473" t="s">
        <v>14</v>
      </c>
      <c r="G1473">
        <v>600000</v>
      </c>
      <c r="H1473">
        <v>8</v>
      </c>
      <c r="I1473" t="s">
        <v>34</v>
      </c>
      <c r="J1473" t="s">
        <v>31</v>
      </c>
      <c r="K1473" t="s">
        <v>24</v>
      </c>
    </row>
    <row r="1474" spans="1:11" x14ac:dyDescent="0.25">
      <c r="A1474" t="s">
        <v>2523</v>
      </c>
      <c r="B1474">
        <v>98</v>
      </c>
      <c r="C1474">
        <v>48334413</v>
      </c>
      <c r="D1474" t="s">
        <v>2524</v>
      </c>
      <c r="E1474" t="s">
        <v>13</v>
      </c>
      <c r="F1474" t="s">
        <v>14</v>
      </c>
      <c r="G1474">
        <v>600000</v>
      </c>
      <c r="H1474">
        <v>4.5</v>
      </c>
      <c r="I1474" t="s">
        <v>24</v>
      </c>
    </row>
    <row r="1475" spans="1:11" x14ac:dyDescent="0.25">
      <c r="A1475" t="s">
        <v>2525</v>
      </c>
      <c r="B1475">
        <v>88</v>
      </c>
      <c r="C1475">
        <v>48334413</v>
      </c>
      <c r="D1475" t="s">
        <v>2526</v>
      </c>
      <c r="E1475" t="s">
        <v>13</v>
      </c>
      <c r="F1475" t="s">
        <v>14</v>
      </c>
      <c r="G1475">
        <v>550000</v>
      </c>
      <c r="H1475">
        <v>6.1</v>
      </c>
      <c r="I1475" t="s">
        <v>31</v>
      </c>
      <c r="J1475" t="s">
        <v>19</v>
      </c>
    </row>
    <row r="1476" spans="1:11" x14ac:dyDescent="0.25">
      <c r="A1476" t="s">
        <v>2527</v>
      </c>
      <c r="B1476">
        <v>115</v>
      </c>
      <c r="C1476">
        <v>48334413</v>
      </c>
      <c r="D1476" t="s">
        <v>2528</v>
      </c>
      <c r="E1476" t="s">
        <v>1409</v>
      </c>
      <c r="F1476" t="s">
        <v>1296</v>
      </c>
      <c r="G1476">
        <v>550000</v>
      </c>
      <c r="H1476">
        <v>7</v>
      </c>
      <c r="I1476" t="s">
        <v>42</v>
      </c>
      <c r="J1476" t="s">
        <v>52</v>
      </c>
      <c r="K1476" t="s">
        <v>31</v>
      </c>
    </row>
    <row r="1477" spans="1:11" x14ac:dyDescent="0.25">
      <c r="A1477" t="s">
        <v>2529</v>
      </c>
      <c r="B1477">
        <v>89</v>
      </c>
      <c r="C1477">
        <v>48334413</v>
      </c>
      <c r="D1477" t="s">
        <v>2530</v>
      </c>
      <c r="E1477" t="s">
        <v>13</v>
      </c>
      <c r="F1477" t="s">
        <v>14</v>
      </c>
      <c r="G1477">
        <v>500000</v>
      </c>
      <c r="H1477">
        <v>5.0999999999999996</v>
      </c>
      <c r="I1477" t="s">
        <v>15</v>
      </c>
      <c r="J1477" t="s">
        <v>22</v>
      </c>
      <c r="K1477" t="s">
        <v>37</v>
      </c>
    </row>
    <row r="1478" spans="1:11" x14ac:dyDescent="0.25">
      <c r="A1478" t="s">
        <v>2209</v>
      </c>
      <c r="B1478">
        <v>85</v>
      </c>
      <c r="C1478">
        <v>48334413</v>
      </c>
      <c r="D1478" t="s">
        <v>2531</v>
      </c>
      <c r="E1478" t="s">
        <v>13</v>
      </c>
      <c r="F1478" t="s">
        <v>82</v>
      </c>
      <c r="G1478">
        <v>500000</v>
      </c>
      <c r="H1478">
        <v>7</v>
      </c>
      <c r="I1478" t="s">
        <v>38</v>
      </c>
      <c r="J1478" t="s">
        <v>31</v>
      </c>
      <c r="K1478" t="s">
        <v>24</v>
      </c>
    </row>
    <row r="1479" spans="1:11" x14ac:dyDescent="0.25">
      <c r="A1479" t="s">
        <v>2532</v>
      </c>
      <c r="B1479">
        <v>83</v>
      </c>
      <c r="C1479">
        <v>48334413</v>
      </c>
      <c r="D1479" t="s">
        <v>2533</v>
      </c>
      <c r="E1479" t="s">
        <v>2534</v>
      </c>
      <c r="F1479" t="s">
        <v>2535</v>
      </c>
      <c r="G1479">
        <v>500000</v>
      </c>
      <c r="H1479">
        <v>6.4</v>
      </c>
      <c r="I1479" t="s">
        <v>15</v>
      </c>
    </row>
    <row r="1480" spans="1:11" x14ac:dyDescent="0.25">
      <c r="A1480" t="s">
        <v>2536</v>
      </c>
      <c r="B1480">
        <v>97</v>
      </c>
      <c r="C1480">
        <v>48334413</v>
      </c>
      <c r="D1480" t="s">
        <v>2537</v>
      </c>
      <c r="E1480" t="s">
        <v>13</v>
      </c>
      <c r="F1480" t="s">
        <v>1606</v>
      </c>
      <c r="G1480">
        <v>500000</v>
      </c>
      <c r="H1480">
        <v>5.8</v>
      </c>
      <c r="I1480" t="s">
        <v>15</v>
      </c>
      <c r="J1480" t="s">
        <v>18</v>
      </c>
      <c r="K1480" t="s">
        <v>19</v>
      </c>
    </row>
    <row r="1481" spans="1:11" x14ac:dyDescent="0.25">
      <c r="A1481" t="s">
        <v>2538</v>
      </c>
      <c r="B1481">
        <v>95</v>
      </c>
      <c r="C1481">
        <v>48334413</v>
      </c>
      <c r="D1481" t="s">
        <v>2539</v>
      </c>
      <c r="E1481" t="s">
        <v>13</v>
      </c>
      <c r="F1481" t="s">
        <v>82</v>
      </c>
      <c r="G1481">
        <v>500000</v>
      </c>
      <c r="H1481">
        <v>7.3</v>
      </c>
      <c r="I1481" t="s">
        <v>42</v>
      </c>
      <c r="J1481" t="s">
        <v>52</v>
      </c>
      <c r="K1481" t="s">
        <v>18</v>
      </c>
    </row>
    <row r="1482" spans="1:11" x14ac:dyDescent="0.25">
      <c r="A1482" t="s">
        <v>2540</v>
      </c>
      <c r="B1482">
        <v>127</v>
      </c>
      <c r="C1482">
        <v>48334413</v>
      </c>
      <c r="D1482" t="s">
        <v>2541</v>
      </c>
      <c r="E1482" t="s">
        <v>13</v>
      </c>
      <c r="F1482" t="s">
        <v>14</v>
      </c>
      <c r="G1482">
        <v>500000</v>
      </c>
      <c r="H1482">
        <v>5.8</v>
      </c>
      <c r="I1482" t="s">
        <v>24</v>
      </c>
    </row>
    <row r="1483" spans="1:11" x14ac:dyDescent="0.25">
      <c r="A1483" t="s">
        <v>2509</v>
      </c>
      <c r="B1483">
        <v>96</v>
      </c>
      <c r="C1483">
        <v>48334413</v>
      </c>
      <c r="D1483" t="s">
        <v>2542</v>
      </c>
      <c r="E1483" t="s">
        <v>13</v>
      </c>
      <c r="F1483" t="s">
        <v>14</v>
      </c>
      <c r="G1483">
        <v>500000</v>
      </c>
      <c r="H1483">
        <v>7.2</v>
      </c>
      <c r="I1483" t="s">
        <v>52</v>
      </c>
    </row>
    <row r="1484" spans="1:11" x14ac:dyDescent="0.25">
      <c r="A1484" t="s">
        <v>2543</v>
      </c>
      <c r="B1484">
        <v>104</v>
      </c>
      <c r="C1484">
        <v>48334413</v>
      </c>
      <c r="D1484" t="s">
        <v>2544</v>
      </c>
      <c r="E1484" t="s">
        <v>13</v>
      </c>
      <c r="F1484" t="s">
        <v>14</v>
      </c>
      <c r="G1484">
        <v>500000</v>
      </c>
      <c r="H1484">
        <v>3.5</v>
      </c>
      <c r="I1484" t="s">
        <v>15</v>
      </c>
      <c r="J1484" t="s">
        <v>22</v>
      </c>
    </row>
    <row r="1485" spans="1:11" x14ac:dyDescent="0.25">
      <c r="A1485" t="s">
        <v>2545</v>
      </c>
      <c r="B1485">
        <v>90</v>
      </c>
      <c r="C1485">
        <v>48334413</v>
      </c>
      <c r="D1485" t="s">
        <v>2546</v>
      </c>
      <c r="E1485" t="s">
        <v>13</v>
      </c>
      <c r="F1485" t="s">
        <v>14</v>
      </c>
      <c r="G1485">
        <v>500000</v>
      </c>
      <c r="H1485">
        <v>6.6</v>
      </c>
      <c r="I1485" t="s">
        <v>23</v>
      </c>
      <c r="J1485" t="s">
        <v>24</v>
      </c>
    </row>
    <row r="1486" spans="1:11" x14ac:dyDescent="0.25">
      <c r="A1486" t="s">
        <v>2547</v>
      </c>
      <c r="B1486">
        <v>101</v>
      </c>
      <c r="C1486">
        <v>48334413</v>
      </c>
      <c r="D1486" t="s">
        <v>2548</v>
      </c>
      <c r="E1486" t="s">
        <v>1498</v>
      </c>
      <c r="F1486" t="s">
        <v>2549</v>
      </c>
      <c r="G1486">
        <v>500000</v>
      </c>
      <c r="H1486">
        <v>6.9</v>
      </c>
      <c r="I1486" t="s">
        <v>38</v>
      </c>
      <c r="J1486" t="s">
        <v>31</v>
      </c>
    </row>
    <row r="1487" spans="1:11" x14ac:dyDescent="0.25">
      <c r="A1487" t="s">
        <v>314</v>
      </c>
      <c r="B1487">
        <v>97</v>
      </c>
      <c r="C1487">
        <v>48334413</v>
      </c>
      <c r="D1487" t="s">
        <v>2550</v>
      </c>
      <c r="E1487" t="s">
        <v>13</v>
      </c>
      <c r="F1487" t="s">
        <v>14</v>
      </c>
      <c r="G1487">
        <v>500000</v>
      </c>
      <c r="H1487">
        <v>7.4</v>
      </c>
      <c r="I1487" t="s">
        <v>22</v>
      </c>
      <c r="J1487" t="s">
        <v>59</v>
      </c>
    </row>
    <row r="1488" spans="1:11" x14ac:dyDescent="0.25">
      <c r="A1488" t="s">
        <v>2551</v>
      </c>
      <c r="B1488">
        <v>108</v>
      </c>
      <c r="C1488">
        <v>48334413</v>
      </c>
      <c r="D1488" t="s">
        <v>2552</v>
      </c>
      <c r="E1488" t="s">
        <v>13</v>
      </c>
      <c r="F1488" t="s">
        <v>14</v>
      </c>
      <c r="G1488">
        <v>500000</v>
      </c>
      <c r="H1488">
        <v>5.7</v>
      </c>
      <c r="I1488" t="s">
        <v>16</v>
      </c>
    </row>
    <row r="1489" spans="1:12" x14ac:dyDescent="0.25">
      <c r="A1489" t="s">
        <v>2553</v>
      </c>
      <c r="B1489">
        <v>84</v>
      </c>
      <c r="C1489">
        <v>48334413</v>
      </c>
      <c r="D1489" t="s">
        <v>2554</v>
      </c>
      <c r="E1489" t="s">
        <v>13</v>
      </c>
      <c r="F1489" t="s">
        <v>14</v>
      </c>
      <c r="G1489">
        <v>500000</v>
      </c>
      <c r="H1489">
        <v>5.2</v>
      </c>
      <c r="I1489" t="s">
        <v>16</v>
      </c>
    </row>
    <row r="1490" spans="1:12" x14ac:dyDescent="0.25">
      <c r="A1490" t="s">
        <v>2555</v>
      </c>
      <c r="B1490">
        <v>82</v>
      </c>
      <c r="C1490">
        <v>48334413</v>
      </c>
      <c r="D1490" t="s">
        <v>2556</v>
      </c>
      <c r="E1490" t="s">
        <v>13</v>
      </c>
      <c r="F1490" t="s">
        <v>14</v>
      </c>
      <c r="G1490">
        <v>500000</v>
      </c>
      <c r="H1490">
        <v>4.3</v>
      </c>
      <c r="I1490" t="s">
        <v>34</v>
      </c>
    </row>
    <row r="1491" spans="1:12" x14ac:dyDescent="0.25">
      <c r="A1491" t="s">
        <v>2557</v>
      </c>
      <c r="B1491">
        <v>97</v>
      </c>
      <c r="C1491">
        <v>48334413</v>
      </c>
      <c r="D1491" t="s">
        <v>2558</v>
      </c>
      <c r="E1491" t="s">
        <v>13</v>
      </c>
      <c r="F1491" t="s">
        <v>14</v>
      </c>
      <c r="G1491">
        <v>500000</v>
      </c>
      <c r="H1491">
        <v>5.4</v>
      </c>
      <c r="I1491" t="s">
        <v>15</v>
      </c>
      <c r="J1491" t="s">
        <v>22</v>
      </c>
    </row>
    <row r="1492" spans="1:12" x14ac:dyDescent="0.25">
      <c r="A1492" t="s">
        <v>2559</v>
      </c>
      <c r="B1492">
        <v>80</v>
      </c>
      <c r="C1492">
        <v>48334413</v>
      </c>
      <c r="D1492" t="s">
        <v>2560</v>
      </c>
      <c r="E1492" t="s">
        <v>13</v>
      </c>
      <c r="F1492" t="s">
        <v>98</v>
      </c>
      <c r="G1492">
        <v>500000</v>
      </c>
      <c r="H1492">
        <v>6.1</v>
      </c>
      <c r="I1492" t="s">
        <v>22</v>
      </c>
      <c r="J1492" t="s">
        <v>24</v>
      </c>
    </row>
    <row r="1493" spans="1:12" x14ac:dyDescent="0.25">
      <c r="A1493" t="s">
        <v>2561</v>
      </c>
      <c r="B1493">
        <v>98</v>
      </c>
      <c r="C1493">
        <v>48334413</v>
      </c>
      <c r="D1493" t="s">
        <v>2562</v>
      </c>
      <c r="E1493" t="s">
        <v>13</v>
      </c>
      <c r="F1493" t="s">
        <v>295</v>
      </c>
      <c r="G1493">
        <v>500000</v>
      </c>
      <c r="H1493">
        <v>4.3</v>
      </c>
      <c r="I1493" t="s">
        <v>31</v>
      </c>
      <c r="J1493" t="s">
        <v>59</v>
      </c>
      <c r="K1493" t="s">
        <v>19</v>
      </c>
    </row>
    <row r="1494" spans="1:12" x14ac:dyDescent="0.25">
      <c r="A1494" t="s">
        <v>2563</v>
      </c>
      <c r="B1494">
        <v>91</v>
      </c>
      <c r="C1494">
        <v>48334413</v>
      </c>
      <c r="D1494" t="s">
        <v>2564</v>
      </c>
      <c r="E1494" t="s">
        <v>13</v>
      </c>
      <c r="F1494" t="s">
        <v>14</v>
      </c>
      <c r="G1494">
        <v>475000</v>
      </c>
      <c r="H1494">
        <v>6.2</v>
      </c>
      <c r="I1494" t="s">
        <v>34</v>
      </c>
      <c r="J1494" t="s">
        <v>15</v>
      </c>
      <c r="K1494" t="s">
        <v>22</v>
      </c>
      <c r="L1494" t="s">
        <v>37</v>
      </c>
    </row>
    <row r="1495" spans="1:12" x14ac:dyDescent="0.25">
      <c r="A1495" t="s">
        <v>2565</v>
      </c>
      <c r="B1495">
        <v>86</v>
      </c>
      <c r="C1495">
        <v>48334413</v>
      </c>
      <c r="D1495" t="s">
        <v>2566</v>
      </c>
      <c r="E1495" t="s">
        <v>13</v>
      </c>
      <c r="F1495" t="s">
        <v>14</v>
      </c>
      <c r="G1495">
        <v>450000</v>
      </c>
      <c r="H1495">
        <v>6.8</v>
      </c>
      <c r="I1495" t="s">
        <v>15</v>
      </c>
      <c r="J1495" t="s">
        <v>19</v>
      </c>
    </row>
    <row r="1496" spans="1:12" x14ac:dyDescent="0.25">
      <c r="A1496" t="s">
        <v>2567</v>
      </c>
      <c r="B1496">
        <v>52</v>
      </c>
      <c r="C1496">
        <v>48334413</v>
      </c>
      <c r="D1496" t="s">
        <v>2568</v>
      </c>
      <c r="E1496" t="s">
        <v>13</v>
      </c>
      <c r="F1496" t="s">
        <v>14</v>
      </c>
      <c r="G1496">
        <v>450000</v>
      </c>
      <c r="H1496">
        <v>8.1999999999999993</v>
      </c>
      <c r="I1496" t="s">
        <v>52</v>
      </c>
    </row>
    <row r="1497" spans="1:12" x14ac:dyDescent="0.25">
      <c r="A1497" t="s">
        <v>2569</v>
      </c>
      <c r="B1497">
        <v>103</v>
      </c>
      <c r="C1497">
        <v>48334413</v>
      </c>
      <c r="D1497" t="s">
        <v>2570</v>
      </c>
      <c r="E1497" t="s">
        <v>13</v>
      </c>
      <c r="F1497" t="s">
        <v>82</v>
      </c>
      <c r="G1497">
        <v>400000</v>
      </c>
      <c r="H1497">
        <v>7.4</v>
      </c>
      <c r="I1497" t="s">
        <v>52</v>
      </c>
    </row>
    <row r="1498" spans="1:12" x14ac:dyDescent="0.25">
      <c r="A1498" t="s">
        <v>2571</v>
      </c>
      <c r="B1498">
        <v>105</v>
      </c>
      <c r="C1498">
        <v>48334413</v>
      </c>
      <c r="D1498" t="s">
        <v>2572</v>
      </c>
      <c r="E1498" t="s">
        <v>473</v>
      </c>
      <c r="F1498" t="s">
        <v>82</v>
      </c>
      <c r="G1498">
        <v>400000</v>
      </c>
      <c r="H1498">
        <v>7.7</v>
      </c>
      <c r="I1498" t="s">
        <v>52</v>
      </c>
    </row>
    <row r="1499" spans="1:12" x14ac:dyDescent="0.25">
      <c r="A1499" t="s">
        <v>2573</v>
      </c>
      <c r="B1499">
        <v>91</v>
      </c>
      <c r="C1499">
        <v>48334413</v>
      </c>
      <c r="D1499" t="s">
        <v>2574</v>
      </c>
      <c r="E1499" t="s">
        <v>1333</v>
      </c>
      <c r="F1499" t="s">
        <v>1334</v>
      </c>
      <c r="G1499">
        <v>400000</v>
      </c>
      <c r="H1499">
        <v>8.1999999999999993</v>
      </c>
      <c r="I1499" t="s">
        <v>31</v>
      </c>
    </row>
    <row r="1500" spans="1:12" x14ac:dyDescent="0.25">
      <c r="A1500" t="s">
        <v>2575</v>
      </c>
      <c r="B1500">
        <v>123</v>
      </c>
      <c r="C1500">
        <v>48334413</v>
      </c>
      <c r="D1500" t="s">
        <v>2576</v>
      </c>
      <c r="E1500" t="s">
        <v>13</v>
      </c>
      <c r="F1500" t="s">
        <v>14</v>
      </c>
      <c r="G1500">
        <v>385907</v>
      </c>
      <c r="H1500">
        <v>8</v>
      </c>
      <c r="I1500" t="s">
        <v>31</v>
      </c>
      <c r="J1500" t="s">
        <v>64</v>
      </c>
      <c r="K1500" t="s">
        <v>83</v>
      </c>
    </row>
    <row r="1501" spans="1:12" x14ac:dyDescent="0.25">
      <c r="A1501" t="s">
        <v>2577</v>
      </c>
      <c r="B1501">
        <v>96</v>
      </c>
      <c r="C1501">
        <v>48334413</v>
      </c>
      <c r="D1501" t="s">
        <v>2578</v>
      </c>
      <c r="E1501" t="s">
        <v>13</v>
      </c>
      <c r="F1501" t="s">
        <v>14</v>
      </c>
      <c r="G1501">
        <v>375000</v>
      </c>
      <c r="H1501">
        <v>7.6</v>
      </c>
      <c r="I1501" t="s">
        <v>17</v>
      </c>
      <c r="J1501" t="s">
        <v>22</v>
      </c>
    </row>
    <row r="1502" spans="1:12" x14ac:dyDescent="0.25">
      <c r="A1502" t="s">
        <v>2579</v>
      </c>
      <c r="B1502">
        <v>79</v>
      </c>
      <c r="C1502">
        <v>48334413</v>
      </c>
      <c r="D1502" t="s">
        <v>2580</v>
      </c>
      <c r="E1502" t="s">
        <v>13</v>
      </c>
      <c r="F1502" t="s">
        <v>14</v>
      </c>
      <c r="G1502">
        <v>350000</v>
      </c>
      <c r="H1502">
        <v>4.0999999999999996</v>
      </c>
      <c r="I1502" t="s">
        <v>22</v>
      </c>
    </row>
    <row r="1503" spans="1:12" x14ac:dyDescent="0.25">
      <c r="A1503" t="s">
        <v>2581</v>
      </c>
      <c r="B1503">
        <v>107</v>
      </c>
      <c r="C1503">
        <v>48334413</v>
      </c>
      <c r="D1503" t="s">
        <v>2582</v>
      </c>
      <c r="E1503" t="s">
        <v>13</v>
      </c>
      <c r="F1503" t="s">
        <v>1472</v>
      </c>
      <c r="G1503">
        <v>350000</v>
      </c>
      <c r="H1503">
        <v>6.8</v>
      </c>
      <c r="I1503" t="s">
        <v>15</v>
      </c>
      <c r="J1503" t="s">
        <v>22</v>
      </c>
      <c r="K1503" t="s">
        <v>23</v>
      </c>
    </row>
    <row r="1504" spans="1:12" x14ac:dyDescent="0.25">
      <c r="A1504" t="s">
        <v>2583</v>
      </c>
      <c r="B1504">
        <v>98</v>
      </c>
      <c r="C1504">
        <v>48334413</v>
      </c>
      <c r="D1504" t="s">
        <v>2584</v>
      </c>
      <c r="E1504" t="s">
        <v>13</v>
      </c>
      <c r="F1504" t="s">
        <v>14</v>
      </c>
      <c r="G1504">
        <v>350000</v>
      </c>
      <c r="H1504">
        <v>3.4</v>
      </c>
      <c r="I1504" t="s">
        <v>16</v>
      </c>
      <c r="J1504" t="s">
        <v>37</v>
      </c>
    </row>
    <row r="1505" spans="1:14" x14ac:dyDescent="0.25">
      <c r="A1505" t="s">
        <v>1011</v>
      </c>
      <c r="B1505">
        <v>96</v>
      </c>
      <c r="C1505">
        <v>48334413</v>
      </c>
      <c r="D1505" t="s">
        <v>2585</v>
      </c>
      <c r="E1505" t="s">
        <v>13</v>
      </c>
      <c r="F1505" t="s">
        <v>14</v>
      </c>
      <c r="G1505">
        <v>350000</v>
      </c>
      <c r="H1505">
        <v>8.9</v>
      </c>
      <c r="I1505" t="s">
        <v>38</v>
      </c>
      <c r="J1505" t="s">
        <v>31</v>
      </c>
    </row>
    <row r="1506" spans="1:14" x14ac:dyDescent="0.25">
      <c r="A1506" t="s">
        <v>2586</v>
      </c>
      <c r="B1506">
        <v>90</v>
      </c>
      <c r="C1506">
        <v>48334413</v>
      </c>
      <c r="D1506" t="s">
        <v>2587</v>
      </c>
      <c r="E1506" t="s">
        <v>13</v>
      </c>
      <c r="F1506" t="s">
        <v>14</v>
      </c>
      <c r="G1506">
        <v>350000</v>
      </c>
      <c r="H1506">
        <v>3.2</v>
      </c>
      <c r="I1506" t="s">
        <v>34</v>
      </c>
      <c r="J1506" t="s">
        <v>24</v>
      </c>
    </row>
    <row r="1507" spans="1:14" x14ac:dyDescent="0.25">
      <c r="A1507" t="s">
        <v>2134</v>
      </c>
      <c r="B1507">
        <v>65</v>
      </c>
      <c r="C1507">
        <v>48334413</v>
      </c>
      <c r="D1507" t="s">
        <v>2588</v>
      </c>
      <c r="E1507" t="s">
        <v>13</v>
      </c>
      <c r="F1507" t="s">
        <v>14</v>
      </c>
      <c r="G1507">
        <v>325000</v>
      </c>
      <c r="H1507">
        <v>8.1999999999999993</v>
      </c>
      <c r="I1507" t="s">
        <v>15</v>
      </c>
      <c r="J1507" t="s">
        <v>19</v>
      </c>
    </row>
    <row r="1508" spans="1:14" x14ac:dyDescent="0.25">
      <c r="A1508" t="s">
        <v>2589</v>
      </c>
      <c r="B1508">
        <v>88</v>
      </c>
      <c r="C1508">
        <v>48334413</v>
      </c>
      <c r="D1508" t="s">
        <v>2590</v>
      </c>
      <c r="E1508" t="s">
        <v>13</v>
      </c>
      <c r="F1508" t="s">
        <v>14</v>
      </c>
      <c r="G1508">
        <v>300000</v>
      </c>
      <c r="H1508">
        <v>5.2</v>
      </c>
      <c r="I1508" t="s">
        <v>31</v>
      </c>
    </row>
    <row r="1509" spans="1:14" x14ac:dyDescent="0.25">
      <c r="A1509" t="s">
        <v>2591</v>
      </c>
      <c r="B1509">
        <v>110</v>
      </c>
      <c r="C1509">
        <v>48334413</v>
      </c>
      <c r="D1509" t="s">
        <v>2592</v>
      </c>
      <c r="E1509" t="s">
        <v>473</v>
      </c>
      <c r="F1509" t="s">
        <v>295</v>
      </c>
      <c r="G1509">
        <v>300000</v>
      </c>
      <c r="H1509">
        <v>7.7</v>
      </c>
      <c r="I1509" t="s">
        <v>38</v>
      </c>
      <c r="J1509" t="s">
        <v>31</v>
      </c>
      <c r="K1509" t="s">
        <v>19</v>
      </c>
    </row>
    <row r="1510" spans="1:14" x14ac:dyDescent="0.25">
      <c r="A1510" t="s">
        <v>2593</v>
      </c>
      <c r="B1510">
        <v>80</v>
      </c>
      <c r="C1510">
        <v>48334413</v>
      </c>
      <c r="D1510" t="s">
        <v>2594</v>
      </c>
      <c r="E1510" t="s">
        <v>13</v>
      </c>
      <c r="F1510" t="s">
        <v>14</v>
      </c>
      <c r="G1510">
        <v>300000</v>
      </c>
      <c r="H1510">
        <v>6.2</v>
      </c>
      <c r="I1510" t="s">
        <v>34</v>
      </c>
      <c r="J1510" t="s">
        <v>15</v>
      </c>
      <c r="K1510" t="s">
        <v>37</v>
      </c>
      <c r="L1510" t="s">
        <v>41</v>
      </c>
    </row>
    <row r="1511" spans="1:14" x14ac:dyDescent="0.25">
      <c r="A1511" t="s">
        <v>2595</v>
      </c>
      <c r="B1511">
        <v>98</v>
      </c>
      <c r="C1511">
        <v>48334413</v>
      </c>
      <c r="D1511" t="s">
        <v>2596</v>
      </c>
      <c r="E1511" t="s">
        <v>13</v>
      </c>
      <c r="F1511" t="s">
        <v>14</v>
      </c>
      <c r="G1511">
        <v>300000</v>
      </c>
      <c r="H1511">
        <v>7.2</v>
      </c>
      <c r="I1511" t="s">
        <v>15</v>
      </c>
      <c r="J1511" t="s">
        <v>31</v>
      </c>
      <c r="K1511" t="s">
        <v>19</v>
      </c>
    </row>
    <row r="1512" spans="1:14" x14ac:dyDescent="0.25">
      <c r="A1512" t="s">
        <v>2597</v>
      </c>
      <c r="B1512">
        <v>97</v>
      </c>
      <c r="C1512">
        <v>48334413</v>
      </c>
      <c r="D1512" t="s">
        <v>2598</v>
      </c>
      <c r="E1512" t="s">
        <v>13</v>
      </c>
      <c r="F1512" t="s">
        <v>14</v>
      </c>
      <c r="G1512">
        <v>300000</v>
      </c>
      <c r="H1512">
        <v>6.4</v>
      </c>
      <c r="I1512" t="s">
        <v>15</v>
      </c>
      <c r="J1512" t="s">
        <v>38</v>
      </c>
      <c r="K1512" t="s">
        <v>31</v>
      </c>
      <c r="L1512" t="s">
        <v>22</v>
      </c>
      <c r="M1512" t="s">
        <v>23</v>
      </c>
      <c r="N1512" t="s">
        <v>24</v>
      </c>
    </row>
    <row r="1513" spans="1:14" x14ac:dyDescent="0.25">
      <c r="A1513" t="s">
        <v>2599</v>
      </c>
      <c r="B1513">
        <v>90</v>
      </c>
      <c r="C1513">
        <v>48334413</v>
      </c>
      <c r="D1513" t="s">
        <v>2600</v>
      </c>
      <c r="E1513" t="s">
        <v>13</v>
      </c>
      <c r="F1513" t="s">
        <v>14</v>
      </c>
      <c r="G1513">
        <v>300000</v>
      </c>
      <c r="H1513">
        <v>4.3</v>
      </c>
      <c r="I1513" t="s">
        <v>34</v>
      </c>
      <c r="J1513" t="s">
        <v>38</v>
      </c>
      <c r="K1513" t="s">
        <v>31</v>
      </c>
    </row>
    <row r="1514" spans="1:14" x14ac:dyDescent="0.25">
      <c r="A1514" t="s">
        <v>2601</v>
      </c>
      <c r="B1514">
        <v>96</v>
      </c>
      <c r="C1514">
        <v>48334413</v>
      </c>
      <c r="D1514" t="s">
        <v>2602</v>
      </c>
      <c r="E1514" t="s">
        <v>13</v>
      </c>
      <c r="F1514" t="s">
        <v>14</v>
      </c>
      <c r="G1514">
        <v>300000</v>
      </c>
      <c r="H1514">
        <v>4.3</v>
      </c>
      <c r="I1514" t="s">
        <v>22</v>
      </c>
    </row>
    <row r="1515" spans="1:14" x14ac:dyDescent="0.25">
      <c r="A1515" t="s">
        <v>2603</v>
      </c>
      <c r="B1515">
        <v>90</v>
      </c>
      <c r="C1515">
        <v>48334413</v>
      </c>
      <c r="D1515" t="s">
        <v>2604</v>
      </c>
      <c r="E1515" t="s">
        <v>13</v>
      </c>
      <c r="F1515" t="s">
        <v>14</v>
      </c>
      <c r="G1515">
        <v>290000</v>
      </c>
      <c r="H1515">
        <v>4.3</v>
      </c>
      <c r="I1515" t="s">
        <v>34</v>
      </c>
      <c r="J1515" t="s">
        <v>28</v>
      </c>
      <c r="K1515" t="s">
        <v>23</v>
      </c>
      <c r="L1515" t="s">
        <v>19</v>
      </c>
      <c r="M1515" t="s">
        <v>24</v>
      </c>
    </row>
    <row r="1516" spans="1:14" x14ac:dyDescent="0.25">
      <c r="A1516" t="s">
        <v>2605</v>
      </c>
      <c r="B1516">
        <v>96</v>
      </c>
      <c r="C1516">
        <v>48334413</v>
      </c>
      <c r="D1516" t="s">
        <v>2606</v>
      </c>
      <c r="E1516" t="s">
        <v>13</v>
      </c>
      <c r="F1516" t="s">
        <v>14</v>
      </c>
      <c r="G1516">
        <v>250000</v>
      </c>
      <c r="H1516">
        <v>4.5</v>
      </c>
      <c r="I1516" t="s">
        <v>22</v>
      </c>
      <c r="J1516" t="s">
        <v>23</v>
      </c>
    </row>
    <row r="1517" spans="1:14" x14ac:dyDescent="0.25">
      <c r="A1517" t="s">
        <v>2607</v>
      </c>
      <c r="B1517">
        <v>95</v>
      </c>
      <c r="C1517">
        <v>48334413</v>
      </c>
      <c r="D1517" t="s">
        <v>2608</v>
      </c>
      <c r="E1517" t="s">
        <v>13</v>
      </c>
      <c r="F1517" t="s">
        <v>98</v>
      </c>
      <c r="G1517">
        <v>250000</v>
      </c>
      <c r="H1517">
        <v>5.7</v>
      </c>
      <c r="I1517" t="s">
        <v>31</v>
      </c>
    </row>
    <row r="1518" spans="1:14" x14ac:dyDescent="0.25">
      <c r="A1518" t="s">
        <v>2609</v>
      </c>
      <c r="B1518">
        <v>98</v>
      </c>
      <c r="C1518">
        <v>48334413</v>
      </c>
      <c r="D1518" t="s">
        <v>2610</v>
      </c>
      <c r="E1518" t="s">
        <v>13</v>
      </c>
      <c r="F1518" t="s">
        <v>14</v>
      </c>
      <c r="G1518">
        <v>250000</v>
      </c>
      <c r="H1518">
        <v>6.2</v>
      </c>
      <c r="I1518" t="s">
        <v>31</v>
      </c>
      <c r="J1518" t="s">
        <v>16</v>
      </c>
    </row>
    <row r="1519" spans="1:14" x14ac:dyDescent="0.25">
      <c r="A1519" t="s">
        <v>2611</v>
      </c>
      <c r="B1519">
        <v>66</v>
      </c>
      <c r="C1519">
        <v>48334413</v>
      </c>
      <c r="D1519" t="s">
        <v>2612</v>
      </c>
      <c r="E1519" t="s">
        <v>13</v>
      </c>
      <c r="F1519" t="s">
        <v>14</v>
      </c>
      <c r="G1519">
        <v>250000</v>
      </c>
      <c r="H1519">
        <v>7.8</v>
      </c>
      <c r="I1519" t="s">
        <v>52</v>
      </c>
    </row>
    <row r="1520" spans="1:14" x14ac:dyDescent="0.25">
      <c r="A1520" t="s">
        <v>2613</v>
      </c>
      <c r="B1520">
        <v>95</v>
      </c>
      <c r="C1520">
        <v>48334413</v>
      </c>
      <c r="D1520" t="s">
        <v>2614</v>
      </c>
      <c r="E1520" t="s">
        <v>13</v>
      </c>
      <c r="F1520" t="s">
        <v>14</v>
      </c>
      <c r="G1520">
        <v>250000</v>
      </c>
      <c r="H1520">
        <v>4.4000000000000004</v>
      </c>
      <c r="I1520" t="s">
        <v>22</v>
      </c>
      <c r="J1520" t="s">
        <v>24</v>
      </c>
    </row>
    <row r="1521" spans="1:13" x14ac:dyDescent="0.25">
      <c r="A1521" t="s">
        <v>2551</v>
      </c>
      <c r="B1521">
        <v>108</v>
      </c>
      <c r="C1521">
        <v>48334413</v>
      </c>
      <c r="D1521" t="s">
        <v>2615</v>
      </c>
      <c r="E1521" t="s">
        <v>13</v>
      </c>
      <c r="F1521" t="s">
        <v>14</v>
      </c>
      <c r="G1521">
        <v>250000</v>
      </c>
      <c r="H1521">
        <v>6.6</v>
      </c>
      <c r="I1521" t="s">
        <v>16</v>
      </c>
    </row>
    <row r="1522" spans="1:13" x14ac:dyDescent="0.25">
      <c r="A1522" t="s">
        <v>2616</v>
      </c>
      <c r="B1522">
        <v>90</v>
      </c>
      <c r="C1522">
        <v>48334413</v>
      </c>
      <c r="D1522" t="s">
        <v>2617</v>
      </c>
      <c r="E1522" t="s">
        <v>13</v>
      </c>
      <c r="F1522" t="s">
        <v>14</v>
      </c>
      <c r="G1522">
        <v>250000</v>
      </c>
      <c r="H1522">
        <v>8</v>
      </c>
      <c r="I1522" t="s">
        <v>52</v>
      </c>
    </row>
    <row r="1523" spans="1:13" x14ac:dyDescent="0.25">
      <c r="A1523" t="s">
        <v>2618</v>
      </c>
      <c r="B1523">
        <v>108</v>
      </c>
      <c r="C1523">
        <v>48334413</v>
      </c>
      <c r="D1523" t="s">
        <v>2619</v>
      </c>
      <c r="E1523" t="s">
        <v>13</v>
      </c>
      <c r="F1523" t="s">
        <v>14</v>
      </c>
      <c r="G1523">
        <v>250000</v>
      </c>
      <c r="H1523">
        <v>7.1</v>
      </c>
      <c r="I1523" t="s">
        <v>15</v>
      </c>
      <c r="J1523" t="s">
        <v>18</v>
      </c>
      <c r="K1523" t="s">
        <v>19</v>
      </c>
    </row>
    <row r="1524" spans="1:13" x14ac:dyDescent="0.25">
      <c r="A1524" t="s">
        <v>2620</v>
      </c>
      <c r="B1524">
        <v>105</v>
      </c>
      <c r="C1524">
        <v>48334413</v>
      </c>
      <c r="D1524" t="s">
        <v>2621</v>
      </c>
      <c r="E1524" t="s">
        <v>13</v>
      </c>
      <c r="F1524" t="s">
        <v>14</v>
      </c>
      <c r="G1524">
        <v>250000</v>
      </c>
      <c r="H1524">
        <v>4</v>
      </c>
      <c r="I1524" t="s">
        <v>28</v>
      </c>
      <c r="J1524" t="s">
        <v>31</v>
      </c>
      <c r="K1524" t="s">
        <v>17</v>
      </c>
      <c r="L1524" t="s">
        <v>24</v>
      </c>
      <c r="M1524" t="s">
        <v>69</v>
      </c>
    </row>
    <row r="1525" spans="1:13" x14ac:dyDescent="0.25">
      <c r="A1525" t="s">
        <v>2622</v>
      </c>
      <c r="B1525">
        <v>95</v>
      </c>
      <c r="C1525">
        <v>48334413</v>
      </c>
      <c r="D1525" t="s">
        <v>2623</v>
      </c>
      <c r="E1525" t="s">
        <v>13</v>
      </c>
      <c r="F1525" t="s">
        <v>14</v>
      </c>
      <c r="G1525">
        <v>250000</v>
      </c>
      <c r="H1525">
        <v>6.2</v>
      </c>
      <c r="I1525" t="s">
        <v>15</v>
      </c>
      <c r="J1525" t="s">
        <v>31</v>
      </c>
    </row>
    <row r="1526" spans="1:13" x14ac:dyDescent="0.25">
      <c r="A1526" t="s">
        <v>1992</v>
      </c>
      <c r="B1526">
        <v>151</v>
      </c>
      <c r="C1526">
        <v>48334413</v>
      </c>
      <c r="D1526" t="s">
        <v>2624</v>
      </c>
      <c r="E1526" t="s">
        <v>13</v>
      </c>
      <c r="F1526" t="s">
        <v>14</v>
      </c>
      <c r="G1526">
        <v>245000</v>
      </c>
      <c r="H1526">
        <v>8.3000000000000007</v>
      </c>
      <c r="I1526" t="s">
        <v>31</v>
      </c>
      <c r="J1526" t="s">
        <v>19</v>
      </c>
      <c r="K1526" t="s">
        <v>83</v>
      </c>
    </row>
    <row r="1527" spans="1:13" x14ac:dyDescent="0.25">
      <c r="A1527" t="s">
        <v>2625</v>
      </c>
      <c r="B1527">
        <v>83</v>
      </c>
      <c r="C1527">
        <v>48334413</v>
      </c>
      <c r="D1527" t="s">
        <v>2626</v>
      </c>
      <c r="E1527" t="s">
        <v>13</v>
      </c>
      <c r="F1527" t="s">
        <v>14</v>
      </c>
      <c r="G1527">
        <v>240000</v>
      </c>
      <c r="H1527">
        <v>6.5</v>
      </c>
      <c r="I1527" t="s">
        <v>15</v>
      </c>
    </row>
    <row r="1528" spans="1:13" x14ac:dyDescent="0.25">
      <c r="A1528" t="s">
        <v>2099</v>
      </c>
      <c r="B1528">
        <v>93</v>
      </c>
      <c r="C1528">
        <v>48334413</v>
      </c>
      <c r="D1528" t="s">
        <v>2627</v>
      </c>
      <c r="E1528" t="s">
        <v>13</v>
      </c>
      <c r="F1528" t="s">
        <v>45</v>
      </c>
      <c r="G1528">
        <v>200000</v>
      </c>
      <c r="H1528">
        <v>7</v>
      </c>
      <c r="I1528" t="s">
        <v>34</v>
      </c>
      <c r="J1528" t="s">
        <v>28</v>
      </c>
      <c r="K1528" t="s">
        <v>37</v>
      </c>
      <c r="L1528" t="s">
        <v>24</v>
      </c>
    </row>
    <row r="1529" spans="1:13" x14ac:dyDescent="0.25">
      <c r="A1529" t="s">
        <v>2628</v>
      </c>
      <c r="B1529">
        <v>66</v>
      </c>
      <c r="C1529">
        <v>48334413</v>
      </c>
      <c r="D1529" t="s">
        <v>2629</v>
      </c>
      <c r="E1529" t="s">
        <v>13</v>
      </c>
      <c r="F1529" t="s">
        <v>14</v>
      </c>
      <c r="G1529">
        <v>200000</v>
      </c>
      <c r="H1529">
        <v>6.5</v>
      </c>
      <c r="I1529" t="s">
        <v>15</v>
      </c>
      <c r="J1529" t="s">
        <v>31</v>
      </c>
      <c r="K1529" t="s">
        <v>64</v>
      </c>
      <c r="L1529" t="s">
        <v>59</v>
      </c>
      <c r="M1529" t="s">
        <v>19</v>
      </c>
    </row>
    <row r="1530" spans="1:13" x14ac:dyDescent="0.25">
      <c r="A1530" t="s">
        <v>2630</v>
      </c>
      <c r="B1530">
        <v>90</v>
      </c>
      <c r="C1530">
        <v>48334413</v>
      </c>
      <c r="D1530" t="s">
        <v>2631</v>
      </c>
      <c r="E1530" t="s">
        <v>13</v>
      </c>
      <c r="F1530" t="s">
        <v>14</v>
      </c>
      <c r="G1530">
        <v>200000</v>
      </c>
      <c r="H1530">
        <v>5.0999999999999996</v>
      </c>
      <c r="I1530" t="s">
        <v>38</v>
      </c>
      <c r="J1530" t="s">
        <v>22</v>
      </c>
      <c r="K1530" t="s">
        <v>23</v>
      </c>
      <c r="L1530" t="s">
        <v>24</v>
      </c>
    </row>
    <row r="1531" spans="1:13" x14ac:dyDescent="0.25">
      <c r="A1531" t="s">
        <v>2476</v>
      </c>
      <c r="B1531">
        <v>87</v>
      </c>
      <c r="C1531">
        <v>48334413</v>
      </c>
      <c r="D1531" t="s">
        <v>2632</v>
      </c>
      <c r="E1531" t="s">
        <v>13</v>
      </c>
      <c r="F1531" t="s">
        <v>14</v>
      </c>
      <c r="G1531">
        <v>200000</v>
      </c>
      <c r="H1531">
        <v>8</v>
      </c>
      <c r="I1531" t="s">
        <v>31</v>
      </c>
      <c r="J1531" t="s">
        <v>19</v>
      </c>
      <c r="K1531" t="s">
        <v>37</v>
      </c>
    </row>
    <row r="1532" spans="1:13" x14ac:dyDescent="0.25">
      <c r="A1532" t="s">
        <v>2633</v>
      </c>
      <c r="B1532">
        <v>86</v>
      </c>
      <c r="C1532">
        <v>48334413</v>
      </c>
      <c r="D1532" t="s">
        <v>2634</v>
      </c>
      <c r="E1532" t="s">
        <v>13</v>
      </c>
      <c r="F1532" t="s">
        <v>14</v>
      </c>
      <c r="G1532">
        <v>200000</v>
      </c>
      <c r="H1532">
        <v>7.2</v>
      </c>
      <c r="I1532" t="s">
        <v>31</v>
      </c>
      <c r="J1532" t="s">
        <v>16</v>
      </c>
    </row>
    <row r="1533" spans="1:13" x14ac:dyDescent="0.25">
      <c r="A1533" t="s">
        <v>2635</v>
      </c>
      <c r="B1533">
        <v>105</v>
      </c>
      <c r="C1533">
        <v>48334413</v>
      </c>
      <c r="D1533" t="s">
        <v>2636</v>
      </c>
      <c r="E1533" t="s">
        <v>13</v>
      </c>
      <c r="F1533" t="s">
        <v>14</v>
      </c>
      <c r="G1533">
        <v>200000</v>
      </c>
      <c r="H1533">
        <v>6.7</v>
      </c>
      <c r="I1533" t="s">
        <v>15</v>
      </c>
      <c r="J1533" t="s">
        <v>31</v>
      </c>
      <c r="K1533" t="s">
        <v>18</v>
      </c>
    </row>
    <row r="1534" spans="1:13" x14ac:dyDescent="0.25">
      <c r="A1534" t="s">
        <v>2637</v>
      </c>
      <c r="B1534">
        <v>94</v>
      </c>
      <c r="C1534">
        <v>48334413</v>
      </c>
      <c r="D1534" t="s">
        <v>2638</v>
      </c>
      <c r="E1534" t="s">
        <v>13</v>
      </c>
      <c r="F1534" t="s">
        <v>14</v>
      </c>
      <c r="G1534">
        <v>200000</v>
      </c>
      <c r="H1534">
        <v>8.1</v>
      </c>
      <c r="I1534" t="s">
        <v>31</v>
      </c>
    </row>
    <row r="1535" spans="1:13" x14ac:dyDescent="0.25">
      <c r="A1535" t="s">
        <v>2639</v>
      </c>
      <c r="B1535">
        <v>109</v>
      </c>
      <c r="C1535">
        <v>48334413</v>
      </c>
      <c r="D1535" t="s">
        <v>2640</v>
      </c>
      <c r="E1535" t="s">
        <v>13</v>
      </c>
      <c r="F1535" t="s">
        <v>14</v>
      </c>
      <c r="G1535">
        <v>200000</v>
      </c>
      <c r="H1535">
        <v>7</v>
      </c>
      <c r="I1535" t="s">
        <v>31</v>
      </c>
    </row>
    <row r="1536" spans="1:13" x14ac:dyDescent="0.25">
      <c r="A1536" t="s">
        <v>2641</v>
      </c>
      <c r="B1536">
        <v>82</v>
      </c>
      <c r="C1536">
        <v>48334413</v>
      </c>
      <c r="D1536" t="s">
        <v>2642</v>
      </c>
      <c r="E1536" t="s">
        <v>13</v>
      </c>
      <c r="F1536" t="s">
        <v>14</v>
      </c>
      <c r="G1536">
        <v>200000</v>
      </c>
      <c r="H1536">
        <v>5.4</v>
      </c>
      <c r="I1536" t="s">
        <v>15</v>
      </c>
      <c r="J1536" t="s">
        <v>22</v>
      </c>
      <c r="K1536" t="s">
        <v>24</v>
      </c>
    </row>
    <row r="1537" spans="1:11" x14ac:dyDescent="0.25">
      <c r="A1537" t="s">
        <v>2643</v>
      </c>
      <c r="B1537">
        <v>78</v>
      </c>
      <c r="C1537">
        <v>48334413</v>
      </c>
      <c r="D1537" t="s">
        <v>2644</v>
      </c>
      <c r="E1537" t="s">
        <v>13</v>
      </c>
      <c r="F1537" t="s">
        <v>14</v>
      </c>
      <c r="G1537">
        <v>180000</v>
      </c>
      <c r="H1537">
        <v>8.6999999999999993</v>
      </c>
      <c r="I1537" t="s">
        <v>52</v>
      </c>
    </row>
    <row r="1538" spans="1:11" x14ac:dyDescent="0.25">
      <c r="A1538" t="s">
        <v>2645</v>
      </c>
      <c r="B1538">
        <v>104</v>
      </c>
      <c r="C1538">
        <v>48334413</v>
      </c>
      <c r="D1538" t="s">
        <v>2646</v>
      </c>
      <c r="E1538" t="s">
        <v>2647</v>
      </c>
      <c r="F1538" t="s">
        <v>2029</v>
      </c>
      <c r="G1538">
        <v>168000</v>
      </c>
      <c r="H1538">
        <v>6.5</v>
      </c>
      <c r="I1538" t="s">
        <v>31</v>
      </c>
    </row>
    <row r="1539" spans="1:11" x14ac:dyDescent="0.25">
      <c r="A1539" t="s">
        <v>2648</v>
      </c>
      <c r="B1539">
        <v>94</v>
      </c>
      <c r="C1539">
        <v>48334413</v>
      </c>
      <c r="D1539" t="s">
        <v>2649</v>
      </c>
      <c r="E1539" t="s">
        <v>13</v>
      </c>
      <c r="F1539" t="s">
        <v>14</v>
      </c>
      <c r="G1539">
        <v>150000</v>
      </c>
      <c r="H1539">
        <v>4</v>
      </c>
      <c r="I1539" t="s">
        <v>34</v>
      </c>
      <c r="J1539" t="s">
        <v>19</v>
      </c>
      <c r="K1539" t="s">
        <v>41</v>
      </c>
    </row>
    <row r="1540" spans="1:11" x14ac:dyDescent="0.25">
      <c r="A1540" t="s">
        <v>2650</v>
      </c>
      <c r="B1540">
        <v>59</v>
      </c>
      <c r="C1540">
        <v>48334413</v>
      </c>
      <c r="D1540" t="s">
        <v>2651</v>
      </c>
      <c r="E1540" t="s">
        <v>473</v>
      </c>
      <c r="F1540" t="s">
        <v>295</v>
      </c>
      <c r="G1540">
        <v>150000</v>
      </c>
      <c r="H1540">
        <v>7.4</v>
      </c>
      <c r="I1540" t="s">
        <v>52</v>
      </c>
    </row>
    <row r="1541" spans="1:11" x14ac:dyDescent="0.25">
      <c r="A1541" t="s">
        <v>2652</v>
      </c>
      <c r="B1541">
        <v>25</v>
      </c>
      <c r="C1541">
        <v>48334413</v>
      </c>
      <c r="D1541" t="s">
        <v>2653</v>
      </c>
      <c r="E1541" t="s">
        <v>13</v>
      </c>
      <c r="F1541" t="s">
        <v>14</v>
      </c>
      <c r="G1541">
        <v>150000</v>
      </c>
      <c r="H1541">
        <v>8.4</v>
      </c>
      <c r="I1541" t="s">
        <v>46</v>
      </c>
      <c r="J1541" t="s">
        <v>15</v>
      </c>
      <c r="K1541" t="s">
        <v>16</v>
      </c>
    </row>
    <row r="1542" spans="1:11" x14ac:dyDescent="0.25">
      <c r="A1542" t="s">
        <v>2654</v>
      </c>
      <c r="B1542">
        <v>66</v>
      </c>
      <c r="C1542">
        <v>48334413</v>
      </c>
      <c r="D1542" t="s">
        <v>2655</v>
      </c>
      <c r="E1542" t="s">
        <v>13</v>
      </c>
      <c r="F1542" t="s">
        <v>14</v>
      </c>
      <c r="G1542">
        <v>150000</v>
      </c>
      <c r="H1542">
        <v>5.3</v>
      </c>
      <c r="I1542" t="s">
        <v>52</v>
      </c>
    </row>
    <row r="1543" spans="1:11" x14ac:dyDescent="0.25">
      <c r="A1543" t="s">
        <v>2656</v>
      </c>
      <c r="B1543">
        <v>89</v>
      </c>
      <c r="C1543">
        <v>48334413</v>
      </c>
      <c r="D1543" t="s">
        <v>2657</v>
      </c>
      <c r="E1543" t="s">
        <v>13</v>
      </c>
      <c r="F1543" t="s">
        <v>14</v>
      </c>
      <c r="G1543">
        <v>125000</v>
      </c>
      <c r="H1543">
        <v>7.2</v>
      </c>
      <c r="I1543" t="s">
        <v>31</v>
      </c>
    </row>
    <row r="1544" spans="1:11" x14ac:dyDescent="0.25">
      <c r="A1544" t="s">
        <v>2658</v>
      </c>
      <c r="B1544">
        <v>62</v>
      </c>
      <c r="C1544">
        <v>48334413</v>
      </c>
      <c r="D1544" t="s">
        <v>2659</v>
      </c>
      <c r="E1544" t="s">
        <v>1893</v>
      </c>
      <c r="F1544" t="s">
        <v>2660</v>
      </c>
      <c r="G1544">
        <v>125000</v>
      </c>
      <c r="H1544">
        <v>8.1999999999999993</v>
      </c>
      <c r="I1544" t="s">
        <v>52</v>
      </c>
      <c r="J1544" t="s">
        <v>16</v>
      </c>
    </row>
    <row r="1545" spans="1:11" x14ac:dyDescent="0.25">
      <c r="A1545" t="s">
        <v>2661</v>
      </c>
      <c r="B1545">
        <v>107</v>
      </c>
      <c r="C1545">
        <v>48334413</v>
      </c>
      <c r="D1545" t="s">
        <v>2662</v>
      </c>
      <c r="E1545" t="s">
        <v>13</v>
      </c>
      <c r="F1545" t="s">
        <v>14</v>
      </c>
      <c r="G1545">
        <v>125000</v>
      </c>
      <c r="H1545">
        <v>5.0999999999999996</v>
      </c>
      <c r="I1545" t="s">
        <v>19</v>
      </c>
    </row>
    <row r="1546" spans="1:11" x14ac:dyDescent="0.25">
      <c r="A1546" t="s">
        <v>2663</v>
      </c>
      <c r="B1546">
        <v>90</v>
      </c>
      <c r="C1546">
        <v>48334413</v>
      </c>
      <c r="D1546" t="s">
        <v>2664</v>
      </c>
      <c r="E1546" t="s">
        <v>13</v>
      </c>
      <c r="F1546" t="s">
        <v>14</v>
      </c>
      <c r="G1546">
        <v>120000</v>
      </c>
      <c r="H1546">
        <v>6.6</v>
      </c>
      <c r="I1546" t="s">
        <v>52</v>
      </c>
      <c r="J1546" t="s">
        <v>83</v>
      </c>
    </row>
    <row r="1547" spans="1:11" x14ac:dyDescent="0.25">
      <c r="A1547" t="s">
        <v>2665</v>
      </c>
      <c r="B1547">
        <v>88</v>
      </c>
      <c r="C1547">
        <v>48334413</v>
      </c>
      <c r="D1547" t="s">
        <v>2666</v>
      </c>
      <c r="E1547" t="s">
        <v>13</v>
      </c>
      <c r="F1547" t="s">
        <v>98</v>
      </c>
      <c r="G1547">
        <v>120000</v>
      </c>
      <c r="H1547">
        <v>7</v>
      </c>
      <c r="I1547" t="s">
        <v>15</v>
      </c>
    </row>
    <row r="1548" spans="1:11" x14ac:dyDescent="0.25">
      <c r="A1548" t="s">
        <v>2591</v>
      </c>
      <c r="B1548">
        <v>94</v>
      </c>
      <c r="C1548">
        <v>48334413</v>
      </c>
      <c r="D1548" t="s">
        <v>2667</v>
      </c>
      <c r="E1548" t="s">
        <v>473</v>
      </c>
      <c r="F1548" t="s">
        <v>295</v>
      </c>
      <c r="G1548">
        <v>120000</v>
      </c>
      <c r="H1548">
        <v>7.4</v>
      </c>
      <c r="I1548" t="s">
        <v>31</v>
      </c>
    </row>
    <row r="1549" spans="1:11" x14ac:dyDescent="0.25">
      <c r="A1549" t="s">
        <v>1897</v>
      </c>
      <c r="B1549">
        <v>96</v>
      </c>
      <c r="C1549">
        <v>48334413</v>
      </c>
      <c r="D1549" t="s">
        <v>2668</v>
      </c>
      <c r="E1549" t="s">
        <v>13</v>
      </c>
      <c r="F1549" t="s">
        <v>14</v>
      </c>
      <c r="G1549">
        <v>114000</v>
      </c>
      <c r="H1549">
        <v>8</v>
      </c>
      <c r="I1549" t="s">
        <v>31</v>
      </c>
      <c r="J1549" t="s">
        <v>22</v>
      </c>
      <c r="K1549" t="s">
        <v>23</v>
      </c>
    </row>
    <row r="1550" spans="1:11" x14ac:dyDescent="0.25">
      <c r="A1550" t="s">
        <v>2669</v>
      </c>
      <c r="B1550">
        <v>77</v>
      </c>
      <c r="C1550">
        <v>48334413</v>
      </c>
      <c r="D1550" t="s">
        <v>2670</v>
      </c>
      <c r="E1550" t="s">
        <v>13</v>
      </c>
      <c r="F1550" t="s">
        <v>14</v>
      </c>
      <c r="G1550">
        <v>103000</v>
      </c>
      <c r="H1550">
        <v>5.7</v>
      </c>
      <c r="I1550" t="s">
        <v>15</v>
      </c>
    </row>
    <row r="1551" spans="1:11" x14ac:dyDescent="0.25">
      <c r="A1551" t="s">
        <v>2671</v>
      </c>
      <c r="B1551">
        <v>92</v>
      </c>
      <c r="C1551">
        <v>48334413</v>
      </c>
      <c r="D1551" t="s">
        <v>2672</v>
      </c>
      <c r="E1551" t="s">
        <v>13</v>
      </c>
      <c r="F1551" t="s">
        <v>98</v>
      </c>
      <c r="G1551">
        <v>100000</v>
      </c>
      <c r="H1551">
        <v>6.1</v>
      </c>
      <c r="I1551" t="s">
        <v>22</v>
      </c>
    </row>
    <row r="1552" spans="1:11" x14ac:dyDescent="0.25">
      <c r="A1552" t="s">
        <v>2673</v>
      </c>
      <c r="B1552">
        <v>90</v>
      </c>
      <c r="C1552">
        <v>48334413</v>
      </c>
      <c r="D1552" t="s">
        <v>2674</v>
      </c>
      <c r="E1552" t="s">
        <v>13</v>
      </c>
      <c r="F1552" t="s">
        <v>14</v>
      </c>
      <c r="G1552">
        <v>100000</v>
      </c>
      <c r="H1552">
        <v>3.2</v>
      </c>
      <c r="I1552" t="s">
        <v>23</v>
      </c>
      <c r="J1552" t="s">
        <v>24</v>
      </c>
    </row>
    <row r="1553" spans="1:12" x14ac:dyDescent="0.25">
      <c r="A1553" t="s">
        <v>1084</v>
      </c>
      <c r="B1553">
        <v>87</v>
      </c>
      <c r="C1553">
        <v>48334413</v>
      </c>
      <c r="D1553" t="s">
        <v>2675</v>
      </c>
      <c r="E1553" t="s">
        <v>13</v>
      </c>
      <c r="F1553" t="s">
        <v>14</v>
      </c>
      <c r="G1553">
        <v>100000</v>
      </c>
      <c r="H1553">
        <v>6.6</v>
      </c>
      <c r="I1553" t="s">
        <v>31</v>
      </c>
    </row>
    <row r="1554" spans="1:12" x14ac:dyDescent="0.25">
      <c r="A1554" t="s">
        <v>2676</v>
      </c>
      <c r="B1554">
        <v>93</v>
      </c>
      <c r="C1554">
        <v>48334413</v>
      </c>
      <c r="D1554" t="s">
        <v>2677</v>
      </c>
      <c r="E1554" t="s">
        <v>13</v>
      </c>
      <c r="F1554" t="s">
        <v>14</v>
      </c>
      <c r="G1554">
        <v>100000</v>
      </c>
      <c r="H1554">
        <v>4</v>
      </c>
      <c r="I1554" t="s">
        <v>15</v>
      </c>
      <c r="J1554" t="s">
        <v>31</v>
      </c>
    </row>
    <row r="1555" spans="1:12" x14ac:dyDescent="0.25">
      <c r="A1555" t="s">
        <v>2678</v>
      </c>
      <c r="B1555">
        <v>99</v>
      </c>
      <c r="C1555">
        <v>48334413</v>
      </c>
      <c r="D1555" t="s">
        <v>2679</v>
      </c>
      <c r="E1555" t="s">
        <v>13</v>
      </c>
      <c r="F1555" t="s">
        <v>14</v>
      </c>
      <c r="G1555">
        <v>100000</v>
      </c>
      <c r="H1555">
        <v>5.8</v>
      </c>
      <c r="I1555" t="s">
        <v>38</v>
      </c>
      <c r="J1555" t="s">
        <v>31</v>
      </c>
      <c r="K1555" t="s">
        <v>41</v>
      </c>
    </row>
    <row r="1556" spans="1:12" x14ac:dyDescent="0.25">
      <c r="A1556" t="s">
        <v>2680</v>
      </c>
      <c r="B1556">
        <v>103</v>
      </c>
      <c r="C1556">
        <v>48334413</v>
      </c>
      <c r="D1556" t="s">
        <v>2681</v>
      </c>
      <c r="E1556" t="s">
        <v>13</v>
      </c>
      <c r="F1556" t="s">
        <v>98</v>
      </c>
      <c r="G1556">
        <v>100000</v>
      </c>
      <c r="H1556">
        <v>7.7</v>
      </c>
      <c r="I1556" t="s">
        <v>52</v>
      </c>
    </row>
    <row r="1557" spans="1:12" x14ac:dyDescent="0.25">
      <c r="A1557" t="s">
        <v>2682</v>
      </c>
      <c r="B1557">
        <v>81</v>
      </c>
      <c r="C1557">
        <v>48334413</v>
      </c>
      <c r="D1557" t="s">
        <v>2683</v>
      </c>
      <c r="E1557" t="s">
        <v>13</v>
      </c>
      <c r="F1557" t="s">
        <v>14</v>
      </c>
      <c r="G1557">
        <v>100000</v>
      </c>
      <c r="H1557">
        <v>3.6</v>
      </c>
      <c r="I1557" t="s">
        <v>34</v>
      </c>
      <c r="J1557" t="s">
        <v>31</v>
      </c>
      <c r="K1557" t="s">
        <v>37</v>
      </c>
      <c r="L1557" t="s">
        <v>24</v>
      </c>
    </row>
    <row r="1558" spans="1:12" x14ac:dyDescent="0.25">
      <c r="A1558" t="s">
        <v>2684</v>
      </c>
      <c r="B1558">
        <v>77</v>
      </c>
      <c r="C1558">
        <v>48334413</v>
      </c>
      <c r="D1558" t="s">
        <v>2685</v>
      </c>
      <c r="E1558" t="s">
        <v>13</v>
      </c>
      <c r="F1558" t="s">
        <v>14</v>
      </c>
      <c r="G1558">
        <v>100000</v>
      </c>
      <c r="H1558">
        <v>7.6</v>
      </c>
      <c r="I1558" t="s">
        <v>42</v>
      </c>
      <c r="J1558" t="s">
        <v>52</v>
      </c>
      <c r="K1558" t="s">
        <v>18</v>
      </c>
    </row>
    <row r="1559" spans="1:12" x14ac:dyDescent="0.25">
      <c r="A1559" t="s">
        <v>2686</v>
      </c>
      <c r="B1559">
        <v>75</v>
      </c>
      <c r="C1559">
        <v>48334413</v>
      </c>
      <c r="D1559" t="s">
        <v>2687</v>
      </c>
      <c r="E1559" t="s">
        <v>13</v>
      </c>
      <c r="F1559" t="s">
        <v>14</v>
      </c>
      <c r="G1559">
        <v>100000</v>
      </c>
      <c r="H1559">
        <v>6.8</v>
      </c>
      <c r="I1559" t="s">
        <v>31</v>
      </c>
    </row>
    <row r="1560" spans="1:12" x14ac:dyDescent="0.25">
      <c r="A1560" t="s">
        <v>2688</v>
      </c>
      <c r="B1560">
        <v>80</v>
      </c>
      <c r="C1560">
        <v>48334413</v>
      </c>
      <c r="D1560" t="s">
        <v>2689</v>
      </c>
      <c r="E1560" t="s">
        <v>13</v>
      </c>
      <c r="F1560" t="s">
        <v>14</v>
      </c>
      <c r="G1560">
        <v>75000</v>
      </c>
      <c r="H1560">
        <v>4.5</v>
      </c>
      <c r="I1560" t="s">
        <v>34</v>
      </c>
      <c r="J1560" t="s">
        <v>37</v>
      </c>
      <c r="K1560" t="s">
        <v>24</v>
      </c>
    </row>
    <row r="1561" spans="1:12" x14ac:dyDescent="0.25">
      <c r="A1561" t="s">
        <v>2690</v>
      </c>
      <c r="B1561">
        <v>95</v>
      </c>
      <c r="C1561">
        <v>48334413</v>
      </c>
      <c r="D1561" t="s">
        <v>2691</v>
      </c>
      <c r="E1561" t="s">
        <v>13</v>
      </c>
      <c r="F1561" t="s">
        <v>14</v>
      </c>
      <c r="G1561">
        <v>75000</v>
      </c>
      <c r="H1561">
        <v>5</v>
      </c>
      <c r="I1561" t="s">
        <v>31</v>
      </c>
      <c r="J1561" t="s">
        <v>37</v>
      </c>
      <c r="K1561" t="s">
        <v>24</v>
      </c>
    </row>
    <row r="1562" spans="1:12" x14ac:dyDescent="0.25">
      <c r="A1562" t="s">
        <v>2692</v>
      </c>
      <c r="B1562">
        <v>80</v>
      </c>
      <c r="C1562">
        <v>48334413</v>
      </c>
      <c r="D1562" t="s">
        <v>2693</v>
      </c>
      <c r="E1562" t="s">
        <v>13</v>
      </c>
      <c r="F1562" t="s">
        <v>14</v>
      </c>
      <c r="G1562">
        <v>70000</v>
      </c>
      <c r="H1562">
        <v>8.3000000000000007</v>
      </c>
      <c r="I1562" t="s">
        <v>52</v>
      </c>
    </row>
    <row r="1563" spans="1:12" x14ac:dyDescent="0.25">
      <c r="A1563" t="s">
        <v>2694</v>
      </c>
      <c r="B1563">
        <v>87</v>
      </c>
      <c r="C1563">
        <v>48334413</v>
      </c>
      <c r="D1563" t="s">
        <v>2695</v>
      </c>
      <c r="E1563" t="s">
        <v>13</v>
      </c>
      <c r="F1563" t="s">
        <v>14</v>
      </c>
      <c r="G1563">
        <v>70000</v>
      </c>
      <c r="H1563">
        <v>5.8</v>
      </c>
      <c r="I1563" t="s">
        <v>31</v>
      </c>
      <c r="J1563" t="s">
        <v>22</v>
      </c>
      <c r="K1563" t="s">
        <v>23</v>
      </c>
    </row>
    <row r="1564" spans="1:12" x14ac:dyDescent="0.25">
      <c r="A1564" t="s">
        <v>2696</v>
      </c>
      <c r="B1564">
        <v>70</v>
      </c>
      <c r="C1564">
        <v>48334413</v>
      </c>
      <c r="D1564" t="s">
        <v>2697</v>
      </c>
      <c r="E1564" t="s">
        <v>13</v>
      </c>
      <c r="F1564" t="s">
        <v>14</v>
      </c>
      <c r="G1564">
        <v>62000</v>
      </c>
      <c r="H1564">
        <v>4.0999999999999996</v>
      </c>
      <c r="I1564" t="s">
        <v>22</v>
      </c>
      <c r="J1564" t="s">
        <v>37</v>
      </c>
    </row>
    <row r="1565" spans="1:12" x14ac:dyDescent="0.25">
      <c r="A1565" t="s">
        <v>2698</v>
      </c>
      <c r="B1565">
        <v>93</v>
      </c>
      <c r="C1565">
        <v>48334413</v>
      </c>
      <c r="D1565" t="s">
        <v>2699</v>
      </c>
      <c r="E1565" t="s">
        <v>13</v>
      </c>
      <c r="F1565" t="s">
        <v>14</v>
      </c>
      <c r="G1565">
        <v>60000</v>
      </c>
      <c r="H1565">
        <v>3.4</v>
      </c>
      <c r="I1565" t="s">
        <v>38</v>
      </c>
      <c r="J1565" t="s">
        <v>31</v>
      </c>
      <c r="K1565" t="s">
        <v>22</v>
      </c>
    </row>
    <row r="1566" spans="1:12" x14ac:dyDescent="0.25">
      <c r="A1566" t="s">
        <v>2700</v>
      </c>
      <c r="B1566">
        <v>89</v>
      </c>
      <c r="C1566">
        <v>48334413</v>
      </c>
      <c r="D1566" t="s">
        <v>2701</v>
      </c>
      <c r="E1566" t="s">
        <v>13</v>
      </c>
      <c r="F1566" t="s">
        <v>14</v>
      </c>
      <c r="G1566">
        <v>60000</v>
      </c>
      <c r="H1566">
        <v>5.4</v>
      </c>
      <c r="I1566" t="s">
        <v>22</v>
      </c>
    </row>
    <row r="1567" spans="1:12" x14ac:dyDescent="0.25">
      <c r="A1567" t="s">
        <v>2702</v>
      </c>
      <c r="B1567">
        <v>111</v>
      </c>
      <c r="C1567">
        <v>48334413</v>
      </c>
      <c r="D1567" t="s">
        <v>2703</v>
      </c>
      <c r="E1567" t="s">
        <v>13</v>
      </c>
      <c r="F1567" t="s">
        <v>14</v>
      </c>
      <c r="G1567">
        <v>50000</v>
      </c>
      <c r="H1567">
        <v>6</v>
      </c>
      <c r="I1567" t="s">
        <v>52</v>
      </c>
    </row>
    <row r="1568" spans="1:12" x14ac:dyDescent="0.25">
      <c r="A1568" t="s">
        <v>2704</v>
      </c>
      <c r="B1568">
        <v>47</v>
      </c>
      <c r="C1568">
        <v>48334413</v>
      </c>
      <c r="D1568" t="s">
        <v>2705</v>
      </c>
      <c r="E1568" t="s">
        <v>13</v>
      </c>
      <c r="F1568" t="s">
        <v>14</v>
      </c>
      <c r="G1568">
        <v>50000</v>
      </c>
      <c r="H1568">
        <v>7.3</v>
      </c>
      <c r="I1568" t="s">
        <v>17</v>
      </c>
      <c r="J1568" t="s">
        <v>22</v>
      </c>
      <c r="K1568" t="s">
        <v>23</v>
      </c>
      <c r="L1568" t="s">
        <v>24</v>
      </c>
    </row>
    <row r="1569" spans="1:11" x14ac:dyDescent="0.25">
      <c r="A1569" t="s">
        <v>2706</v>
      </c>
      <c r="B1569">
        <v>92</v>
      </c>
      <c r="C1569">
        <v>48334413</v>
      </c>
      <c r="D1569" t="s">
        <v>2707</v>
      </c>
      <c r="E1569" t="s">
        <v>13</v>
      </c>
      <c r="F1569" t="s">
        <v>14</v>
      </c>
      <c r="G1569">
        <v>50000</v>
      </c>
      <c r="H1569">
        <v>7.9</v>
      </c>
      <c r="I1569" t="s">
        <v>52</v>
      </c>
    </row>
    <row r="1570" spans="1:11" x14ac:dyDescent="0.25">
      <c r="A1570" t="s">
        <v>2708</v>
      </c>
      <c r="B1570">
        <v>81</v>
      </c>
      <c r="C1570">
        <v>48334413</v>
      </c>
      <c r="D1570" t="s">
        <v>2709</v>
      </c>
      <c r="E1570" t="s">
        <v>13</v>
      </c>
      <c r="F1570" t="s">
        <v>14</v>
      </c>
      <c r="G1570">
        <v>50000</v>
      </c>
      <c r="H1570">
        <v>7.4</v>
      </c>
      <c r="I1570" t="s">
        <v>42</v>
      </c>
      <c r="J1570" t="s">
        <v>52</v>
      </c>
    </row>
    <row r="1571" spans="1:11" x14ac:dyDescent="0.25">
      <c r="A1571" t="s">
        <v>2710</v>
      </c>
      <c r="B1571">
        <v>75</v>
      </c>
      <c r="C1571">
        <v>48334413</v>
      </c>
      <c r="D1571" t="s">
        <v>2711</v>
      </c>
      <c r="E1571" t="s">
        <v>13</v>
      </c>
      <c r="F1571" t="s">
        <v>14</v>
      </c>
      <c r="G1571">
        <v>50000</v>
      </c>
      <c r="H1571">
        <v>3.7</v>
      </c>
      <c r="I1571" t="s">
        <v>22</v>
      </c>
      <c r="J1571" t="s">
        <v>24</v>
      </c>
    </row>
    <row r="1572" spans="1:11" x14ac:dyDescent="0.25">
      <c r="A1572" t="s">
        <v>2712</v>
      </c>
      <c r="B1572">
        <v>96</v>
      </c>
      <c r="C1572">
        <v>48334413</v>
      </c>
      <c r="D1572" t="s">
        <v>2713</v>
      </c>
      <c r="E1572" t="s">
        <v>13</v>
      </c>
      <c r="F1572" t="s">
        <v>14</v>
      </c>
      <c r="G1572">
        <v>45000</v>
      </c>
      <c r="H1572">
        <v>5.5</v>
      </c>
      <c r="I1572" t="s">
        <v>15</v>
      </c>
    </row>
    <row r="1573" spans="1:11" x14ac:dyDescent="0.25">
      <c r="A1573" t="s">
        <v>2714</v>
      </c>
      <c r="B1573">
        <v>83</v>
      </c>
      <c r="C1573">
        <v>48334413</v>
      </c>
      <c r="D1573" t="s">
        <v>2715</v>
      </c>
      <c r="E1573" t="s">
        <v>13</v>
      </c>
      <c r="F1573" t="s">
        <v>14</v>
      </c>
      <c r="G1573">
        <v>42000</v>
      </c>
      <c r="H1573">
        <v>6.6</v>
      </c>
      <c r="I1573" t="s">
        <v>31</v>
      </c>
    </row>
    <row r="1574" spans="1:11" x14ac:dyDescent="0.25">
      <c r="A1574" t="s">
        <v>2716</v>
      </c>
      <c r="B1574">
        <v>83</v>
      </c>
      <c r="C1574">
        <v>48334413</v>
      </c>
      <c r="D1574" t="s">
        <v>2717</v>
      </c>
      <c r="E1574" t="s">
        <v>13</v>
      </c>
      <c r="F1574" t="s">
        <v>14</v>
      </c>
      <c r="G1574">
        <v>40000</v>
      </c>
      <c r="H1574">
        <v>3.2</v>
      </c>
      <c r="I1574" t="s">
        <v>22</v>
      </c>
    </row>
    <row r="1575" spans="1:11" x14ac:dyDescent="0.25">
      <c r="A1575" t="s">
        <v>2718</v>
      </c>
      <c r="B1575">
        <v>90</v>
      </c>
      <c r="C1575">
        <v>48334413</v>
      </c>
      <c r="D1575" t="s">
        <v>2719</v>
      </c>
      <c r="E1575" t="s">
        <v>13</v>
      </c>
      <c r="F1575" t="s">
        <v>14</v>
      </c>
      <c r="G1575">
        <v>25000</v>
      </c>
      <c r="H1575">
        <v>4.8</v>
      </c>
      <c r="I1575" t="s">
        <v>38</v>
      </c>
      <c r="J1575" t="s">
        <v>31</v>
      </c>
      <c r="K1575" t="s">
        <v>24</v>
      </c>
    </row>
    <row r="1576" spans="1:11" x14ac:dyDescent="0.25">
      <c r="A1576" t="s">
        <v>2720</v>
      </c>
      <c r="B1576">
        <v>79</v>
      </c>
      <c r="C1576">
        <v>48334413</v>
      </c>
      <c r="D1576" t="s">
        <v>2721</v>
      </c>
      <c r="E1576" t="s">
        <v>13</v>
      </c>
      <c r="F1576" t="s">
        <v>14</v>
      </c>
      <c r="G1576">
        <v>24000</v>
      </c>
      <c r="H1576">
        <v>7</v>
      </c>
      <c r="I1576" t="s">
        <v>31</v>
      </c>
      <c r="J1576" t="s">
        <v>16</v>
      </c>
    </row>
    <row r="1577" spans="1:11" x14ac:dyDescent="0.25">
      <c r="A1577" t="s">
        <v>2716</v>
      </c>
      <c r="B1577">
        <v>90</v>
      </c>
      <c r="C1577">
        <v>48334413</v>
      </c>
      <c r="D1577" t="s">
        <v>2722</v>
      </c>
      <c r="E1577" t="s">
        <v>13</v>
      </c>
      <c r="F1577" t="s">
        <v>14</v>
      </c>
      <c r="G1577">
        <v>22000</v>
      </c>
      <c r="H1577">
        <v>3.3</v>
      </c>
      <c r="I1577" t="s">
        <v>15</v>
      </c>
      <c r="J1577" t="s">
        <v>19</v>
      </c>
    </row>
    <row r="1578" spans="1:11" x14ac:dyDescent="0.25">
      <c r="A1578" t="s">
        <v>1984</v>
      </c>
      <c r="B1578">
        <v>89</v>
      </c>
      <c r="C1578">
        <v>48334413</v>
      </c>
      <c r="D1578" t="s">
        <v>2723</v>
      </c>
      <c r="E1578" t="s">
        <v>13</v>
      </c>
      <c r="F1578" t="s">
        <v>14</v>
      </c>
      <c r="G1578">
        <v>20000</v>
      </c>
      <c r="H1578">
        <v>7.4</v>
      </c>
      <c r="I1578" t="s">
        <v>17</v>
      </c>
      <c r="J1578" t="s">
        <v>22</v>
      </c>
      <c r="K1578" t="s">
        <v>37</v>
      </c>
    </row>
    <row r="1579" spans="1:11" x14ac:dyDescent="0.25">
      <c r="A1579" t="s">
        <v>2724</v>
      </c>
      <c r="B1579">
        <v>82</v>
      </c>
      <c r="C1579">
        <v>48334413</v>
      </c>
      <c r="D1579" t="s">
        <v>2725</v>
      </c>
      <c r="E1579" t="s">
        <v>13</v>
      </c>
      <c r="F1579" t="s">
        <v>14</v>
      </c>
      <c r="G1579">
        <v>20000</v>
      </c>
      <c r="H1579">
        <v>3.2</v>
      </c>
      <c r="I1579" t="s">
        <v>16</v>
      </c>
    </row>
    <row r="1580" spans="1:11" x14ac:dyDescent="0.25">
      <c r="A1580" t="s">
        <v>2726</v>
      </c>
      <c r="B1580">
        <v>120</v>
      </c>
      <c r="C1580">
        <v>48334413</v>
      </c>
      <c r="D1580" t="s">
        <v>2727</v>
      </c>
      <c r="E1580" t="s">
        <v>13</v>
      </c>
      <c r="F1580" t="s">
        <v>14</v>
      </c>
      <c r="G1580">
        <v>20000</v>
      </c>
      <c r="H1580">
        <v>6.9</v>
      </c>
      <c r="I1580" t="s">
        <v>31</v>
      </c>
    </row>
    <row r="1581" spans="1:11" x14ac:dyDescent="0.25">
      <c r="A1581" t="s">
        <v>2728</v>
      </c>
      <c r="B1581">
        <v>78</v>
      </c>
      <c r="C1581">
        <v>48334413</v>
      </c>
      <c r="D1581" t="s">
        <v>2729</v>
      </c>
      <c r="E1581" t="s">
        <v>13</v>
      </c>
      <c r="F1581" t="s">
        <v>14</v>
      </c>
      <c r="G1581">
        <v>20000</v>
      </c>
      <c r="H1581">
        <v>4</v>
      </c>
      <c r="I1581" t="s">
        <v>37</v>
      </c>
      <c r="J1581" t="s">
        <v>24</v>
      </c>
    </row>
    <row r="1582" spans="1:11" x14ac:dyDescent="0.25">
      <c r="A1582" t="s">
        <v>2730</v>
      </c>
      <c r="B1582">
        <v>143</v>
      </c>
      <c r="C1582">
        <v>48334413</v>
      </c>
      <c r="D1582" t="s">
        <v>2731</v>
      </c>
      <c r="E1582" t="s">
        <v>13</v>
      </c>
      <c r="F1582" t="s">
        <v>14</v>
      </c>
      <c r="G1582">
        <v>17350</v>
      </c>
      <c r="H1582">
        <v>3</v>
      </c>
      <c r="I1582" t="s">
        <v>31</v>
      </c>
      <c r="J1582" t="s">
        <v>22</v>
      </c>
      <c r="K1582" t="s">
        <v>24</v>
      </c>
    </row>
    <row r="1583" spans="1:11" x14ac:dyDescent="0.25">
      <c r="A1583" t="s">
        <v>2732</v>
      </c>
      <c r="B1583">
        <v>60</v>
      </c>
      <c r="C1583">
        <v>48334413</v>
      </c>
      <c r="D1583" t="s">
        <v>2733</v>
      </c>
      <c r="E1583" t="s">
        <v>2734</v>
      </c>
      <c r="F1583" t="s">
        <v>2735</v>
      </c>
      <c r="G1583">
        <v>15000</v>
      </c>
      <c r="H1583">
        <v>7.4</v>
      </c>
      <c r="I1583" t="s">
        <v>31</v>
      </c>
    </row>
    <row r="1584" spans="1:11" x14ac:dyDescent="0.25">
      <c r="A1584" t="s">
        <v>2736</v>
      </c>
      <c r="B1584">
        <v>7</v>
      </c>
      <c r="C1584">
        <v>48334413</v>
      </c>
      <c r="D1584" t="s">
        <v>2737</v>
      </c>
      <c r="E1584" t="s">
        <v>13</v>
      </c>
      <c r="F1584" t="s">
        <v>14</v>
      </c>
      <c r="G1584">
        <v>13000</v>
      </c>
      <c r="H1584">
        <v>5.2</v>
      </c>
      <c r="I1584" t="s">
        <v>19</v>
      </c>
      <c r="J1584" t="s">
        <v>86</v>
      </c>
    </row>
    <row r="1585" spans="1:12" x14ac:dyDescent="0.25">
      <c r="A1585" t="s">
        <v>2738</v>
      </c>
      <c r="B1585">
        <v>83</v>
      </c>
      <c r="C1585">
        <v>48334413</v>
      </c>
      <c r="D1585" t="s">
        <v>2739</v>
      </c>
      <c r="E1585" t="s">
        <v>13</v>
      </c>
      <c r="F1585" t="s">
        <v>1465</v>
      </c>
      <c r="G1585">
        <v>10000</v>
      </c>
      <c r="H1585">
        <v>6.7</v>
      </c>
      <c r="I1585" t="s">
        <v>22</v>
      </c>
    </row>
    <row r="1586" spans="1:12" x14ac:dyDescent="0.25">
      <c r="A1586" t="s">
        <v>2740</v>
      </c>
      <c r="B1586">
        <v>84</v>
      </c>
      <c r="C1586">
        <v>48334413</v>
      </c>
      <c r="D1586" t="s">
        <v>2741</v>
      </c>
      <c r="E1586" t="s">
        <v>13</v>
      </c>
      <c r="F1586" t="s">
        <v>14</v>
      </c>
      <c r="G1586">
        <v>3250</v>
      </c>
      <c r="H1586">
        <v>7.8</v>
      </c>
      <c r="I1586" t="s">
        <v>38</v>
      </c>
      <c r="J1586" t="s">
        <v>31</v>
      </c>
    </row>
    <row r="1587" spans="1:12" x14ac:dyDescent="0.25">
      <c r="A1587" t="s">
        <v>2742</v>
      </c>
      <c r="B1587">
        <v>76</v>
      </c>
      <c r="C1587">
        <v>48334413</v>
      </c>
      <c r="D1587" t="s">
        <v>2743</v>
      </c>
      <c r="E1587" t="s">
        <v>13</v>
      </c>
      <c r="F1587" t="s">
        <v>14</v>
      </c>
      <c r="G1587">
        <v>1400</v>
      </c>
      <c r="H1587">
        <v>6.3</v>
      </c>
      <c r="I1587" t="s">
        <v>31</v>
      </c>
      <c r="J1587" t="s">
        <v>22</v>
      </c>
      <c r="K1587" t="s">
        <v>24</v>
      </c>
    </row>
    <row r="1588" spans="1:12" x14ac:dyDescent="0.25">
      <c r="A1588" t="s">
        <v>11</v>
      </c>
      <c r="B1588">
        <v>95</v>
      </c>
      <c r="C1588">
        <v>48291624</v>
      </c>
      <c r="D1588" t="s">
        <v>2744</v>
      </c>
      <c r="E1588" t="s">
        <v>13</v>
      </c>
      <c r="F1588" t="s">
        <v>14</v>
      </c>
      <c r="G1588">
        <v>58000000</v>
      </c>
      <c r="H1588">
        <v>6.7</v>
      </c>
      <c r="I1588" t="s">
        <v>15</v>
      </c>
      <c r="J1588" t="s">
        <v>17</v>
      </c>
      <c r="K1588" t="s">
        <v>19</v>
      </c>
    </row>
    <row r="1589" spans="1:12" x14ac:dyDescent="0.25">
      <c r="A1589" t="s">
        <v>129</v>
      </c>
      <c r="B1589">
        <v>129</v>
      </c>
      <c r="C1589">
        <v>48265581</v>
      </c>
      <c r="D1589" t="s">
        <v>2745</v>
      </c>
      <c r="E1589" t="s">
        <v>13</v>
      </c>
      <c r="F1589" t="s">
        <v>14</v>
      </c>
      <c r="G1589">
        <v>50000000</v>
      </c>
      <c r="H1589">
        <v>7.8</v>
      </c>
      <c r="I1589" t="s">
        <v>31</v>
      </c>
      <c r="J1589" t="s">
        <v>23</v>
      </c>
      <c r="K1589" t="s">
        <v>24</v>
      </c>
    </row>
    <row r="1590" spans="1:12" x14ac:dyDescent="0.25">
      <c r="A1590" t="s">
        <v>2746</v>
      </c>
      <c r="B1590">
        <v>97</v>
      </c>
      <c r="C1590">
        <v>48237389</v>
      </c>
      <c r="D1590" t="s">
        <v>2747</v>
      </c>
      <c r="E1590" t="s">
        <v>13</v>
      </c>
      <c r="F1590" t="s">
        <v>14</v>
      </c>
      <c r="G1590">
        <v>25000000</v>
      </c>
      <c r="H1590">
        <v>5.5</v>
      </c>
      <c r="I1590" t="s">
        <v>15</v>
      </c>
      <c r="J1590" t="s">
        <v>19</v>
      </c>
    </row>
    <row r="1591" spans="1:12" x14ac:dyDescent="0.25">
      <c r="A1591" t="s">
        <v>302</v>
      </c>
      <c r="B1591">
        <v>202</v>
      </c>
      <c r="C1591">
        <v>48169908</v>
      </c>
      <c r="D1591" t="s">
        <v>2748</v>
      </c>
      <c r="E1591" t="s">
        <v>13</v>
      </c>
      <c r="F1591" t="s">
        <v>14</v>
      </c>
      <c r="G1591">
        <v>33000000</v>
      </c>
      <c r="H1591">
        <v>7.7</v>
      </c>
      <c r="I1591" t="s">
        <v>42</v>
      </c>
      <c r="J1591" t="s">
        <v>31</v>
      </c>
      <c r="K1591" t="s">
        <v>64</v>
      </c>
      <c r="L1591" t="s">
        <v>19</v>
      </c>
    </row>
    <row r="1592" spans="1:12" x14ac:dyDescent="0.25">
      <c r="A1592" t="s">
        <v>456</v>
      </c>
      <c r="B1592">
        <v>125</v>
      </c>
      <c r="C1592">
        <v>48154732</v>
      </c>
      <c r="D1592" t="s">
        <v>2749</v>
      </c>
      <c r="E1592" t="s">
        <v>13</v>
      </c>
      <c r="F1592" t="s">
        <v>14</v>
      </c>
      <c r="G1592">
        <v>50000000</v>
      </c>
      <c r="H1592">
        <v>5.8</v>
      </c>
      <c r="I1592" t="s">
        <v>34</v>
      </c>
      <c r="J1592" t="s">
        <v>31</v>
      </c>
      <c r="K1592" t="s">
        <v>83</v>
      </c>
    </row>
    <row r="1593" spans="1:12" x14ac:dyDescent="0.25">
      <c r="A1593" t="s">
        <v>2750</v>
      </c>
      <c r="B1593">
        <v>93</v>
      </c>
      <c r="C1593">
        <v>48114556</v>
      </c>
      <c r="D1593" t="s">
        <v>2751</v>
      </c>
      <c r="E1593" t="s">
        <v>13</v>
      </c>
      <c r="F1593" t="s">
        <v>14</v>
      </c>
      <c r="G1593">
        <v>26000000</v>
      </c>
      <c r="H1593">
        <v>4.3</v>
      </c>
      <c r="I1593" t="s">
        <v>15</v>
      </c>
      <c r="J1593" t="s">
        <v>16</v>
      </c>
      <c r="K1593" t="s">
        <v>17</v>
      </c>
      <c r="L1593" t="s">
        <v>19</v>
      </c>
    </row>
    <row r="1594" spans="1:12" x14ac:dyDescent="0.25">
      <c r="A1594" t="s">
        <v>875</v>
      </c>
      <c r="B1594">
        <v>69</v>
      </c>
      <c r="C1594">
        <v>48092846</v>
      </c>
      <c r="D1594" t="s">
        <v>2752</v>
      </c>
      <c r="E1594" t="s">
        <v>13</v>
      </c>
      <c r="F1594" t="s">
        <v>14</v>
      </c>
      <c r="G1594">
        <v>12500000</v>
      </c>
      <c r="H1594">
        <v>7.3</v>
      </c>
      <c r="I1594" t="s">
        <v>28</v>
      </c>
      <c r="J1594" t="s">
        <v>46</v>
      </c>
      <c r="K1594" t="s">
        <v>16</v>
      </c>
    </row>
    <row r="1595" spans="1:12" x14ac:dyDescent="0.25">
      <c r="A1595" t="s">
        <v>450</v>
      </c>
      <c r="B1595">
        <v>110</v>
      </c>
      <c r="C1595">
        <v>48056940</v>
      </c>
      <c r="D1595" t="s">
        <v>2753</v>
      </c>
      <c r="E1595" t="s">
        <v>13</v>
      </c>
      <c r="F1595" t="s">
        <v>14</v>
      </c>
      <c r="G1595">
        <v>3000000</v>
      </c>
      <c r="H1595">
        <v>6.8</v>
      </c>
      <c r="I1595" t="s">
        <v>22</v>
      </c>
      <c r="J1595" t="s">
        <v>23</v>
      </c>
    </row>
    <row r="1596" spans="1:12" x14ac:dyDescent="0.25">
      <c r="A1596" t="s">
        <v>2754</v>
      </c>
      <c r="B1596">
        <v>117</v>
      </c>
      <c r="C1596">
        <v>48043505</v>
      </c>
      <c r="D1596" t="s">
        <v>2755</v>
      </c>
      <c r="E1596" t="s">
        <v>13</v>
      </c>
      <c r="F1596" t="s">
        <v>82</v>
      </c>
      <c r="G1596">
        <v>30000000</v>
      </c>
      <c r="H1596">
        <v>7.7</v>
      </c>
      <c r="I1596" t="s">
        <v>34</v>
      </c>
      <c r="J1596" t="s">
        <v>15</v>
      </c>
    </row>
    <row r="1597" spans="1:12" x14ac:dyDescent="0.25">
      <c r="A1597" t="s">
        <v>2756</v>
      </c>
      <c r="B1597">
        <v>96</v>
      </c>
      <c r="C1597">
        <v>48006503</v>
      </c>
      <c r="D1597" t="s">
        <v>2757</v>
      </c>
      <c r="E1597" t="s">
        <v>13</v>
      </c>
      <c r="F1597" t="s">
        <v>14</v>
      </c>
      <c r="G1597">
        <v>37000000</v>
      </c>
      <c r="H1597">
        <v>6</v>
      </c>
      <c r="I1597" t="s">
        <v>28</v>
      </c>
      <c r="J1597" t="s">
        <v>15</v>
      </c>
      <c r="K1597" t="s">
        <v>16</v>
      </c>
      <c r="L1597" t="s">
        <v>17</v>
      </c>
    </row>
    <row r="1598" spans="1:12" x14ac:dyDescent="0.25">
      <c r="A1598" t="s">
        <v>2758</v>
      </c>
      <c r="B1598">
        <v>72</v>
      </c>
      <c r="C1598">
        <v>47887943</v>
      </c>
      <c r="D1598" t="s">
        <v>2759</v>
      </c>
      <c r="E1598" t="s">
        <v>13</v>
      </c>
      <c r="F1598" t="s">
        <v>14</v>
      </c>
      <c r="G1598">
        <v>20000000</v>
      </c>
      <c r="H1598">
        <v>5.4</v>
      </c>
      <c r="I1598" t="s">
        <v>28</v>
      </c>
      <c r="J1598" t="s">
        <v>46</v>
      </c>
      <c r="K1598" t="s">
        <v>16</v>
      </c>
      <c r="L1598" t="s">
        <v>59</v>
      </c>
    </row>
    <row r="1599" spans="1:12" x14ac:dyDescent="0.25">
      <c r="A1599" t="s">
        <v>158</v>
      </c>
      <c r="B1599">
        <v>87</v>
      </c>
      <c r="C1599">
        <v>47860214</v>
      </c>
      <c r="D1599" t="s">
        <v>2760</v>
      </c>
      <c r="E1599" t="s">
        <v>13</v>
      </c>
      <c r="F1599" t="s">
        <v>14</v>
      </c>
      <c r="G1599">
        <v>15000000</v>
      </c>
      <c r="H1599">
        <v>5</v>
      </c>
      <c r="I1599" t="s">
        <v>22</v>
      </c>
      <c r="J1599" t="s">
        <v>24</v>
      </c>
    </row>
    <row r="1600" spans="1:12" x14ac:dyDescent="0.25">
      <c r="A1600" t="s">
        <v>2761</v>
      </c>
      <c r="B1600">
        <v>96</v>
      </c>
      <c r="C1600">
        <v>47852604</v>
      </c>
      <c r="D1600" t="s">
        <v>2762</v>
      </c>
      <c r="E1600" t="s">
        <v>13</v>
      </c>
      <c r="F1600" t="s">
        <v>14</v>
      </c>
      <c r="G1600">
        <v>20000000</v>
      </c>
      <c r="H1600">
        <v>5.9</v>
      </c>
      <c r="I1600" t="s">
        <v>31</v>
      </c>
      <c r="J1600" t="s">
        <v>23</v>
      </c>
      <c r="K1600" t="s">
        <v>24</v>
      </c>
    </row>
    <row r="1601" spans="1:15" x14ac:dyDescent="0.25">
      <c r="A1601" t="s">
        <v>187</v>
      </c>
      <c r="B1601">
        <v>88</v>
      </c>
      <c r="C1601">
        <v>47811275</v>
      </c>
      <c r="D1601" t="s">
        <v>2763</v>
      </c>
      <c r="E1601" t="s">
        <v>13</v>
      </c>
      <c r="F1601" t="s">
        <v>14</v>
      </c>
      <c r="G1601">
        <v>15000000</v>
      </c>
      <c r="H1601">
        <v>5.4</v>
      </c>
      <c r="I1601" t="s">
        <v>28</v>
      </c>
      <c r="J1601" t="s">
        <v>15</v>
      </c>
      <c r="K1601" t="s">
        <v>16</v>
      </c>
    </row>
    <row r="1602" spans="1:15" x14ac:dyDescent="0.25">
      <c r="A1602" t="s">
        <v>1155</v>
      </c>
      <c r="B1602">
        <v>104</v>
      </c>
      <c r="C1602">
        <v>47806295</v>
      </c>
      <c r="D1602" t="s">
        <v>2764</v>
      </c>
      <c r="E1602" t="s">
        <v>13</v>
      </c>
      <c r="F1602" t="s">
        <v>14</v>
      </c>
      <c r="G1602">
        <v>43000000</v>
      </c>
      <c r="H1602">
        <v>6.5</v>
      </c>
      <c r="I1602" t="s">
        <v>22</v>
      </c>
      <c r="J1602" t="s">
        <v>23</v>
      </c>
      <c r="K1602" t="s">
        <v>24</v>
      </c>
    </row>
    <row r="1603" spans="1:15" x14ac:dyDescent="0.25">
      <c r="A1603" t="s">
        <v>2765</v>
      </c>
      <c r="B1603">
        <v>96</v>
      </c>
      <c r="C1603">
        <v>47781388</v>
      </c>
      <c r="D1603" t="s">
        <v>2766</v>
      </c>
      <c r="E1603" t="s">
        <v>13</v>
      </c>
      <c r="F1603" t="s">
        <v>14</v>
      </c>
      <c r="G1603">
        <v>40000000</v>
      </c>
      <c r="H1603">
        <v>6.6</v>
      </c>
      <c r="I1603" t="s">
        <v>23</v>
      </c>
      <c r="J1603" t="s">
        <v>24</v>
      </c>
    </row>
    <row r="1604" spans="1:15" x14ac:dyDescent="0.25">
      <c r="A1604" t="s">
        <v>2767</v>
      </c>
      <c r="B1604">
        <v>116</v>
      </c>
      <c r="C1604">
        <v>47748610</v>
      </c>
      <c r="D1604" t="s">
        <v>2768</v>
      </c>
      <c r="E1604" t="s">
        <v>13</v>
      </c>
      <c r="F1604" t="s">
        <v>14</v>
      </c>
      <c r="G1604">
        <v>75000000</v>
      </c>
      <c r="H1604">
        <v>6.3</v>
      </c>
      <c r="I1604" t="s">
        <v>34</v>
      </c>
      <c r="J1604" t="s">
        <v>22</v>
      </c>
      <c r="K1604" t="s">
        <v>37</v>
      </c>
    </row>
    <row r="1605" spans="1:15" x14ac:dyDescent="0.25">
      <c r="A1605" t="s">
        <v>2769</v>
      </c>
      <c r="B1605">
        <v>104</v>
      </c>
      <c r="C1605">
        <v>47592825</v>
      </c>
      <c r="D1605" t="s">
        <v>2770</v>
      </c>
      <c r="E1605" t="s">
        <v>13</v>
      </c>
      <c r="F1605" t="s">
        <v>14</v>
      </c>
      <c r="G1605">
        <v>85000000</v>
      </c>
      <c r="H1605">
        <v>6.7</v>
      </c>
      <c r="I1605" t="s">
        <v>34</v>
      </c>
      <c r="J1605" t="s">
        <v>28</v>
      </c>
      <c r="K1605" t="s">
        <v>15</v>
      </c>
      <c r="L1605" t="s">
        <v>24</v>
      </c>
    </row>
    <row r="1606" spans="1:15" x14ac:dyDescent="0.25">
      <c r="A1606" t="s">
        <v>2771</v>
      </c>
      <c r="B1606">
        <v>89</v>
      </c>
      <c r="C1606">
        <v>47553512</v>
      </c>
      <c r="D1606" t="s">
        <v>2772</v>
      </c>
      <c r="E1606" t="s">
        <v>13</v>
      </c>
      <c r="F1606" t="s">
        <v>14</v>
      </c>
      <c r="G1606">
        <v>50000000</v>
      </c>
      <c r="H1606">
        <v>5.8</v>
      </c>
      <c r="I1606" t="s">
        <v>34</v>
      </c>
      <c r="J1606" t="s">
        <v>24</v>
      </c>
    </row>
    <row r="1607" spans="1:15" x14ac:dyDescent="0.25">
      <c r="A1607" t="s">
        <v>2773</v>
      </c>
      <c r="B1607">
        <v>109</v>
      </c>
      <c r="C1607">
        <v>47536959</v>
      </c>
      <c r="D1607" t="s">
        <v>2774</v>
      </c>
      <c r="E1607" t="s">
        <v>13</v>
      </c>
      <c r="F1607" t="s">
        <v>14</v>
      </c>
      <c r="G1607">
        <v>10000000</v>
      </c>
      <c r="H1607">
        <v>7.3</v>
      </c>
      <c r="I1607" t="s">
        <v>31</v>
      </c>
    </row>
    <row r="1608" spans="1:15" x14ac:dyDescent="0.25">
      <c r="A1608" t="s">
        <v>2773</v>
      </c>
      <c r="B1608">
        <v>109</v>
      </c>
      <c r="C1608">
        <v>47536959</v>
      </c>
      <c r="D1608" t="s">
        <v>2774</v>
      </c>
      <c r="E1608" t="s">
        <v>13</v>
      </c>
      <c r="F1608" t="s">
        <v>14</v>
      </c>
      <c r="G1608">
        <v>10000000</v>
      </c>
      <c r="H1608">
        <v>7.3</v>
      </c>
      <c r="I1608" t="s">
        <v>31</v>
      </c>
    </row>
    <row r="1609" spans="1:15" x14ac:dyDescent="0.25">
      <c r="A1609" t="s">
        <v>2775</v>
      </c>
      <c r="B1609">
        <v>104</v>
      </c>
      <c r="C1609">
        <v>47474112</v>
      </c>
      <c r="D1609" t="s">
        <v>2776</v>
      </c>
      <c r="E1609" t="s">
        <v>13</v>
      </c>
      <c r="F1609" t="s">
        <v>14</v>
      </c>
      <c r="G1609">
        <v>90000000</v>
      </c>
      <c r="H1609">
        <v>5.4</v>
      </c>
      <c r="I1609" t="s">
        <v>34</v>
      </c>
      <c r="J1609" t="s">
        <v>31</v>
      </c>
      <c r="K1609" t="s">
        <v>37</v>
      </c>
      <c r="L1609" t="s">
        <v>24</v>
      </c>
    </row>
    <row r="1610" spans="1:15" x14ac:dyDescent="0.25">
      <c r="A1610" t="s">
        <v>2769</v>
      </c>
      <c r="B1610">
        <v>110</v>
      </c>
      <c r="C1610">
        <v>47456450</v>
      </c>
      <c r="D1610" t="s">
        <v>2777</v>
      </c>
      <c r="E1610" t="s">
        <v>13</v>
      </c>
      <c r="F1610" t="s">
        <v>14</v>
      </c>
      <c r="G1610">
        <v>70000000</v>
      </c>
      <c r="H1610">
        <v>7.1</v>
      </c>
      <c r="I1610" t="s">
        <v>34</v>
      </c>
      <c r="J1610" t="s">
        <v>31</v>
      </c>
      <c r="K1610" t="s">
        <v>24</v>
      </c>
    </row>
    <row r="1611" spans="1:15" x14ac:dyDescent="0.25">
      <c r="A1611" t="s">
        <v>196</v>
      </c>
      <c r="B1611">
        <v>163</v>
      </c>
      <c r="C1611">
        <v>47379090</v>
      </c>
      <c r="D1611" t="s">
        <v>2778</v>
      </c>
      <c r="E1611" t="s">
        <v>13</v>
      </c>
      <c r="F1611" t="s">
        <v>295</v>
      </c>
      <c r="G1611">
        <v>70000000</v>
      </c>
      <c r="H1611">
        <v>7.6</v>
      </c>
      <c r="I1611" t="s">
        <v>31</v>
      </c>
      <c r="J1611" t="s">
        <v>64</v>
      </c>
      <c r="K1611" t="s">
        <v>24</v>
      </c>
    </row>
    <row r="1612" spans="1:15" x14ac:dyDescent="0.25">
      <c r="A1612" t="s">
        <v>519</v>
      </c>
      <c r="B1612">
        <v>141</v>
      </c>
      <c r="C1612">
        <v>47307550</v>
      </c>
      <c r="D1612" t="s">
        <v>2779</v>
      </c>
      <c r="E1612" t="s">
        <v>13</v>
      </c>
      <c r="F1612" t="s">
        <v>14</v>
      </c>
      <c r="G1612">
        <v>45000000</v>
      </c>
      <c r="H1612">
        <v>6.5</v>
      </c>
      <c r="I1612" t="s">
        <v>38</v>
      </c>
      <c r="J1612" t="s">
        <v>31</v>
      </c>
      <c r="K1612" t="s">
        <v>24</v>
      </c>
    </row>
    <row r="1613" spans="1:15" x14ac:dyDescent="0.25">
      <c r="A1613" t="s">
        <v>2780</v>
      </c>
      <c r="B1613">
        <v>102</v>
      </c>
      <c r="C1613">
        <v>47285499</v>
      </c>
      <c r="D1613" t="s">
        <v>2781</v>
      </c>
      <c r="E1613" t="s">
        <v>13</v>
      </c>
      <c r="F1613" t="s">
        <v>14</v>
      </c>
      <c r="G1613">
        <v>26000000</v>
      </c>
      <c r="H1613">
        <v>5</v>
      </c>
      <c r="I1613" t="s">
        <v>34</v>
      </c>
      <c r="J1613" t="s">
        <v>28</v>
      </c>
      <c r="K1613" t="s">
        <v>15</v>
      </c>
      <c r="L1613" t="s">
        <v>38</v>
      </c>
      <c r="M1613" t="s">
        <v>16</v>
      </c>
      <c r="N1613" t="s">
        <v>19</v>
      </c>
      <c r="O1613" t="s">
        <v>24</v>
      </c>
    </row>
    <row r="1614" spans="1:15" x14ac:dyDescent="0.25">
      <c r="A1614" t="s">
        <v>2782</v>
      </c>
      <c r="B1614">
        <v>93</v>
      </c>
      <c r="C1614">
        <v>47277326</v>
      </c>
      <c r="D1614" t="s">
        <v>2783</v>
      </c>
      <c r="E1614" t="s">
        <v>13</v>
      </c>
      <c r="F1614" t="s">
        <v>14</v>
      </c>
      <c r="G1614">
        <v>4800000</v>
      </c>
      <c r="H1614">
        <v>5.9</v>
      </c>
      <c r="I1614" t="s">
        <v>22</v>
      </c>
    </row>
    <row r="1615" spans="1:15" x14ac:dyDescent="0.25">
      <c r="A1615" t="s">
        <v>847</v>
      </c>
      <c r="B1615">
        <v>97</v>
      </c>
      <c r="C1615">
        <v>47124400</v>
      </c>
      <c r="D1615" t="s">
        <v>2784</v>
      </c>
      <c r="E1615" t="s">
        <v>13</v>
      </c>
      <c r="F1615" t="s">
        <v>14</v>
      </c>
      <c r="G1615">
        <v>25000000</v>
      </c>
      <c r="H1615">
        <v>6.6</v>
      </c>
      <c r="I1615" t="s">
        <v>15</v>
      </c>
      <c r="J1615" t="s">
        <v>16</v>
      </c>
      <c r="K1615" t="s">
        <v>17</v>
      </c>
    </row>
    <row r="1616" spans="1:15" x14ac:dyDescent="0.25">
      <c r="A1616" t="s">
        <v>813</v>
      </c>
      <c r="B1616">
        <v>141</v>
      </c>
      <c r="C1616">
        <v>47105085</v>
      </c>
      <c r="D1616" t="s">
        <v>2785</v>
      </c>
      <c r="E1616" t="s">
        <v>13</v>
      </c>
      <c r="F1616" t="s">
        <v>14</v>
      </c>
      <c r="G1616">
        <v>50000000</v>
      </c>
      <c r="H1616">
        <v>7.4</v>
      </c>
      <c r="I1616" t="s">
        <v>38</v>
      </c>
      <c r="J1616" t="s">
        <v>31</v>
      </c>
    </row>
    <row r="1617" spans="1:13" x14ac:dyDescent="0.25">
      <c r="A1617" t="s">
        <v>1026</v>
      </c>
      <c r="B1617">
        <v>123</v>
      </c>
      <c r="C1617">
        <v>47095453</v>
      </c>
      <c r="D1617" t="s">
        <v>2786</v>
      </c>
      <c r="E1617" t="s">
        <v>13</v>
      </c>
      <c r="F1617" t="s">
        <v>14</v>
      </c>
      <c r="G1617">
        <v>48000000</v>
      </c>
      <c r="H1617">
        <v>6.4</v>
      </c>
      <c r="I1617" t="s">
        <v>15</v>
      </c>
      <c r="J1617" t="s">
        <v>17</v>
      </c>
      <c r="K1617" t="s">
        <v>19</v>
      </c>
    </row>
    <row r="1618" spans="1:13" x14ac:dyDescent="0.25">
      <c r="A1618" t="s">
        <v>154</v>
      </c>
      <c r="B1618">
        <v>134</v>
      </c>
      <c r="C1618">
        <v>47034272</v>
      </c>
      <c r="D1618" t="s">
        <v>2787</v>
      </c>
      <c r="E1618" t="s">
        <v>13</v>
      </c>
      <c r="F1618" t="s">
        <v>14</v>
      </c>
      <c r="G1618">
        <v>40000000</v>
      </c>
      <c r="H1618">
        <v>6.9</v>
      </c>
      <c r="I1618" t="s">
        <v>42</v>
      </c>
      <c r="J1618" t="s">
        <v>31</v>
      </c>
      <c r="K1618" t="s">
        <v>18</v>
      </c>
      <c r="L1618" t="s">
        <v>59</v>
      </c>
    </row>
    <row r="1619" spans="1:13" x14ac:dyDescent="0.25">
      <c r="A1619" t="s">
        <v>206</v>
      </c>
      <c r="B1619">
        <v>100</v>
      </c>
      <c r="C1619">
        <v>47000485</v>
      </c>
      <c r="D1619" t="s">
        <v>2788</v>
      </c>
      <c r="E1619" t="s">
        <v>13</v>
      </c>
      <c r="F1619" t="s">
        <v>14</v>
      </c>
      <c r="G1619">
        <v>75000000</v>
      </c>
      <c r="H1619">
        <v>5.4</v>
      </c>
      <c r="I1619" t="s">
        <v>34</v>
      </c>
      <c r="J1619" t="s">
        <v>15</v>
      </c>
      <c r="K1619" t="s">
        <v>19</v>
      </c>
      <c r="L1619" t="s">
        <v>24</v>
      </c>
    </row>
    <row r="1620" spans="1:13" x14ac:dyDescent="0.25">
      <c r="A1620" t="s">
        <v>2789</v>
      </c>
      <c r="B1620">
        <v>101</v>
      </c>
      <c r="C1620">
        <v>47000000</v>
      </c>
      <c r="D1620" t="s">
        <v>2790</v>
      </c>
      <c r="E1620" t="s">
        <v>13</v>
      </c>
      <c r="F1620" t="s">
        <v>14</v>
      </c>
      <c r="G1620">
        <v>300000</v>
      </c>
      <c r="H1620">
        <v>7.9</v>
      </c>
      <c r="I1620" t="s">
        <v>22</v>
      </c>
      <c r="J1620" t="s">
        <v>24</v>
      </c>
    </row>
    <row r="1621" spans="1:13" x14ac:dyDescent="0.25">
      <c r="A1621" t="s">
        <v>2789</v>
      </c>
      <c r="B1621">
        <v>101</v>
      </c>
      <c r="C1621">
        <v>47000000</v>
      </c>
      <c r="D1621" t="s">
        <v>2790</v>
      </c>
      <c r="E1621" t="s">
        <v>13</v>
      </c>
      <c r="F1621" t="s">
        <v>14</v>
      </c>
      <c r="G1621">
        <v>300000</v>
      </c>
      <c r="H1621">
        <v>7.9</v>
      </c>
      <c r="I1621" t="s">
        <v>22</v>
      </c>
      <c r="J1621" t="s">
        <v>24</v>
      </c>
    </row>
    <row r="1622" spans="1:13" x14ac:dyDescent="0.25">
      <c r="A1622" t="s">
        <v>2791</v>
      </c>
      <c r="B1622">
        <v>132</v>
      </c>
      <c r="C1622">
        <v>46982632</v>
      </c>
      <c r="D1622" t="s">
        <v>2792</v>
      </c>
      <c r="E1622" t="s">
        <v>13</v>
      </c>
      <c r="F1622" t="s">
        <v>98</v>
      </c>
      <c r="G1622">
        <v>50000000</v>
      </c>
      <c r="H1622">
        <v>6.6</v>
      </c>
      <c r="I1622" t="s">
        <v>28</v>
      </c>
      <c r="J1622" t="s">
        <v>22</v>
      </c>
      <c r="K1622" t="s">
        <v>23</v>
      </c>
    </row>
    <row r="1623" spans="1:13" x14ac:dyDescent="0.25">
      <c r="A1623" t="s">
        <v>147</v>
      </c>
      <c r="B1623">
        <v>124</v>
      </c>
      <c r="C1623">
        <v>46975183</v>
      </c>
      <c r="D1623" t="s">
        <v>2793</v>
      </c>
      <c r="E1623" t="s">
        <v>13</v>
      </c>
      <c r="F1623" t="s">
        <v>14</v>
      </c>
      <c r="G1623">
        <v>61000000</v>
      </c>
      <c r="H1623">
        <v>7.2</v>
      </c>
      <c r="I1623" t="s">
        <v>34</v>
      </c>
      <c r="J1623" t="s">
        <v>38</v>
      </c>
      <c r="K1623" t="s">
        <v>31</v>
      </c>
      <c r="L1623" t="s">
        <v>23</v>
      </c>
      <c r="M1623" t="s">
        <v>24</v>
      </c>
    </row>
    <row r="1624" spans="1:13" x14ac:dyDescent="0.25">
      <c r="A1624" t="s">
        <v>803</v>
      </c>
      <c r="B1624">
        <v>121</v>
      </c>
      <c r="C1624">
        <v>46875468</v>
      </c>
      <c r="D1624" t="s">
        <v>2794</v>
      </c>
      <c r="E1624" t="s">
        <v>13</v>
      </c>
      <c r="F1624" t="s">
        <v>14</v>
      </c>
      <c r="G1624">
        <v>30000000</v>
      </c>
      <c r="H1624">
        <v>7.6</v>
      </c>
      <c r="I1624" t="s">
        <v>34</v>
      </c>
      <c r="J1624" t="s">
        <v>38</v>
      </c>
      <c r="K1624" t="s">
        <v>31</v>
      </c>
      <c r="L1624" t="s">
        <v>23</v>
      </c>
      <c r="M1624" t="s">
        <v>24</v>
      </c>
    </row>
    <row r="1625" spans="1:13" x14ac:dyDescent="0.25">
      <c r="A1625" t="s">
        <v>452</v>
      </c>
      <c r="B1625">
        <v>146</v>
      </c>
      <c r="C1625">
        <v>46836394</v>
      </c>
      <c r="D1625" t="s">
        <v>2795</v>
      </c>
      <c r="E1625" t="s">
        <v>13</v>
      </c>
      <c r="F1625" t="s">
        <v>14</v>
      </c>
      <c r="G1625">
        <v>25000000</v>
      </c>
      <c r="H1625">
        <v>8.6999999999999993</v>
      </c>
      <c r="I1625" t="s">
        <v>42</v>
      </c>
      <c r="J1625" t="s">
        <v>38</v>
      </c>
      <c r="K1625" t="s">
        <v>31</v>
      </c>
    </row>
    <row r="1626" spans="1:13" x14ac:dyDescent="0.25">
      <c r="A1626" t="s">
        <v>731</v>
      </c>
      <c r="B1626">
        <v>111</v>
      </c>
      <c r="C1626">
        <v>46815748</v>
      </c>
      <c r="D1626" t="s">
        <v>2796</v>
      </c>
      <c r="E1626" t="s">
        <v>13</v>
      </c>
      <c r="F1626" t="s">
        <v>14</v>
      </c>
      <c r="G1626">
        <v>45000000</v>
      </c>
      <c r="H1626">
        <v>6.3</v>
      </c>
      <c r="I1626" t="s">
        <v>34</v>
      </c>
      <c r="J1626" t="s">
        <v>28</v>
      </c>
      <c r="K1626" t="s">
        <v>38</v>
      </c>
      <c r="L1626" t="s">
        <v>24</v>
      </c>
    </row>
    <row r="1627" spans="1:13" x14ac:dyDescent="0.25">
      <c r="A1627" t="s">
        <v>2797</v>
      </c>
      <c r="B1627">
        <v>110</v>
      </c>
      <c r="C1627">
        <v>46813366</v>
      </c>
      <c r="D1627" t="s">
        <v>2798</v>
      </c>
      <c r="E1627" t="s">
        <v>13</v>
      </c>
      <c r="F1627" t="s">
        <v>14</v>
      </c>
      <c r="G1627">
        <v>38000000</v>
      </c>
      <c r="H1627">
        <v>6.1</v>
      </c>
      <c r="I1627" t="s">
        <v>15</v>
      </c>
      <c r="J1627" t="s">
        <v>19</v>
      </c>
    </row>
    <row r="1628" spans="1:13" x14ac:dyDescent="0.25">
      <c r="A1628" t="s">
        <v>773</v>
      </c>
      <c r="B1628">
        <v>123</v>
      </c>
      <c r="C1628">
        <v>46800000</v>
      </c>
      <c r="D1628" t="s">
        <v>2799</v>
      </c>
      <c r="E1628" t="s">
        <v>13</v>
      </c>
      <c r="F1628" t="s">
        <v>82</v>
      </c>
      <c r="G1628">
        <v>14000000</v>
      </c>
      <c r="H1628">
        <v>7.1</v>
      </c>
      <c r="I1628" t="s">
        <v>34</v>
      </c>
      <c r="J1628" t="s">
        <v>28</v>
      </c>
      <c r="K1628" t="s">
        <v>37</v>
      </c>
      <c r="L1628" t="s">
        <v>24</v>
      </c>
    </row>
    <row r="1629" spans="1:13" x14ac:dyDescent="0.25">
      <c r="A1629" t="s">
        <v>2800</v>
      </c>
      <c r="B1629">
        <v>83</v>
      </c>
      <c r="C1629">
        <v>46729374</v>
      </c>
      <c r="D1629" t="s">
        <v>2801</v>
      </c>
      <c r="E1629" t="s">
        <v>13</v>
      </c>
      <c r="F1629" t="s">
        <v>14</v>
      </c>
      <c r="G1629">
        <v>13000000</v>
      </c>
      <c r="H1629">
        <v>5.5</v>
      </c>
      <c r="I1629" t="s">
        <v>15</v>
      </c>
      <c r="J1629" t="s">
        <v>23</v>
      </c>
    </row>
    <row r="1630" spans="1:13" x14ac:dyDescent="0.25">
      <c r="A1630" t="s">
        <v>154</v>
      </c>
      <c r="B1630">
        <v>136</v>
      </c>
      <c r="C1630">
        <v>46700000</v>
      </c>
      <c r="D1630" t="s">
        <v>2802</v>
      </c>
      <c r="E1630" t="s">
        <v>13</v>
      </c>
      <c r="F1630" t="s">
        <v>14</v>
      </c>
      <c r="G1630">
        <v>21000000</v>
      </c>
      <c r="H1630">
        <v>5.9</v>
      </c>
      <c r="I1630" t="s">
        <v>34</v>
      </c>
      <c r="J1630" t="s">
        <v>28</v>
      </c>
      <c r="K1630" t="s">
        <v>24</v>
      </c>
    </row>
    <row r="1631" spans="1:13" x14ac:dyDescent="0.25">
      <c r="A1631" t="s">
        <v>2803</v>
      </c>
      <c r="B1631">
        <v>104</v>
      </c>
      <c r="C1631">
        <v>46611204</v>
      </c>
      <c r="D1631" t="s">
        <v>2804</v>
      </c>
      <c r="E1631" t="s">
        <v>13</v>
      </c>
      <c r="F1631" t="s">
        <v>14</v>
      </c>
      <c r="G1631">
        <v>48000000</v>
      </c>
      <c r="H1631">
        <v>6.1</v>
      </c>
      <c r="I1631" t="s">
        <v>15</v>
      </c>
      <c r="J1631" t="s">
        <v>31</v>
      </c>
      <c r="K1631" t="s">
        <v>17</v>
      </c>
      <c r="L1631" t="s">
        <v>19</v>
      </c>
    </row>
    <row r="1632" spans="1:13" x14ac:dyDescent="0.25">
      <c r="A1632" t="s">
        <v>50</v>
      </c>
      <c r="B1632">
        <v>81</v>
      </c>
      <c r="C1632">
        <v>46563158</v>
      </c>
      <c r="D1632" t="s">
        <v>2805</v>
      </c>
      <c r="E1632" t="s">
        <v>13</v>
      </c>
      <c r="F1632" t="s">
        <v>14</v>
      </c>
      <c r="G1632">
        <v>13000000</v>
      </c>
      <c r="H1632">
        <v>7.1</v>
      </c>
      <c r="I1632" t="s">
        <v>38</v>
      </c>
      <c r="J1632" t="s">
        <v>24</v>
      </c>
    </row>
    <row r="1633" spans="1:13" x14ac:dyDescent="0.25">
      <c r="A1633" t="s">
        <v>698</v>
      </c>
      <c r="B1633">
        <v>90</v>
      </c>
      <c r="C1633">
        <v>46455802</v>
      </c>
      <c r="D1633" t="s">
        <v>2806</v>
      </c>
      <c r="E1633" t="s">
        <v>13</v>
      </c>
      <c r="F1633" t="s">
        <v>14</v>
      </c>
      <c r="G1633">
        <v>26000000</v>
      </c>
      <c r="H1633">
        <v>6.2</v>
      </c>
      <c r="I1633" t="s">
        <v>22</v>
      </c>
      <c r="J1633" t="s">
        <v>24</v>
      </c>
    </row>
    <row r="1634" spans="1:13" x14ac:dyDescent="0.25">
      <c r="A1634" t="s">
        <v>177</v>
      </c>
      <c r="B1634">
        <v>124</v>
      </c>
      <c r="C1634">
        <v>46377022</v>
      </c>
      <c r="D1634" t="s">
        <v>2807</v>
      </c>
      <c r="E1634" t="s">
        <v>13</v>
      </c>
      <c r="F1634" t="s">
        <v>82</v>
      </c>
      <c r="G1634">
        <v>10000000</v>
      </c>
      <c r="H1634">
        <v>7.3</v>
      </c>
      <c r="I1634" t="s">
        <v>15</v>
      </c>
      <c r="J1634" t="s">
        <v>31</v>
      </c>
    </row>
    <row r="1635" spans="1:13" x14ac:dyDescent="0.25">
      <c r="A1635" t="s">
        <v>2808</v>
      </c>
      <c r="B1635">
        <v>89</v>
      </c>
      <c r="C1635">
        <v>46363118</v>
      </c>
      <c r="D1635" t="s">
        <v>2809</v>
      </c>
      <c r="E1635" t="s">
        <v>13</v>
      </c>
      <c r="F1635" t="s">
        <v>14</v>
      </c>
      <c r="G1635">
        <v>20000000</v>
      </c>
      <c r="H1635">
        <v>4.0999999999999996</v>
      </c>
      <c r="I1635" t="s">
        <v>31</v>
      </c>
      <c r="J1635" t="s">
        <v>22</v>
      </c>
      <c r="K1635" t="s">
        <v>23</v>
      </c>
      <c r="L1635" t="s">
        <v>24</v>
      </c>
    </row>
    <row r="1636" spans="1:13" x14ac:dyDescent="0.25">
      <c r="A1636" t="s">
        <v>894</v>
      </c>
      <c r="B1636">
        <v>120</v>
      </c>
      <c r="C1636">
        <v>46338728</v>
      </c>
      <c r="D1636" t="s">
        <v>2810</v>
      </c>
      <c r="E1636" t="s">
        <v>13</v>
      </c>
      <c r="F1636" t="s">
        <v>14</v>
      </c>
      <c r="G1636">
        <v>14500000</v>
      </c>
      <c r="H1636">
        <v>6.8</v>
      </c>
      <c r="I1636" t="s">
        <v>31</v>
      </c>
      <c r="J1636" t="s">
        <v>19</v>
      </c>
    </row>
    <row r="1637" spans="1:13" x14ac:dyDescent="0.25">
      <c r="A1637" t="s">
        <v>2148</v>
      </c>
      <c r="B1637">
        <v>197</v>
      </c>
      <c r="C1637">
        <v>46300000</v>
      </c>
      <c r="D1637" t="s">
        <v>2811</v>
      </c>
      <c r="E1637" t="s">
        <v>13</v>
      </c>
      <c r="F1637" t="s">
        <v>14</v>
      </c>
      <c r="G1637">
        <v>9400000</v>
      </c>
      <c r="H1637">
        <v>7.6</v>
      </c>
      <c r="I1637" t="s">
        <v>34</v>
      </c>
      <c r="J1637" t="s">
        <v>28</v>
      </c>
      <c r="K1637" t="s">
        <v>15</v>
      </c>
      <c r="L1637" t="s">
        <v>38</v>
      </c>
    </row>
    <row r="1638" spans="1:13" x14ac:dyDescent="0.25">
      <c r="A1638" t="s">
        <v>415</v>
      </c>
      <c r="B1638">
        <v>117</v>
      </c>
      <c r="C1638">
        <v>46280507</v>
      </c>
      <c r="D1638" t="s">
        <v>2812</v>
      </c>
      <c r="E1638" t="s">
        <v>13</v>
      </c>
      <c r="F1638" t="s">
        <v>14</v>
      </c>
      <c r="G1638">
        <v>40000000</v>
      </c>
      <c r="H1638">
        <v>6.5</v>
      </c>
      <c r="I1638" t="s">
        <v>15</v>
      </c>
      <c r="J1638" t="s">
        <v>19</v>
      </c>
    </row>
    <row r="1639" spans="1:13" x14ac:dyDescent="0.25">
      <c r="A1639" t="s">
        <v>2813</v>
      </c>
      <c r="B1639">
        <v>101</v>
      </c>
      <c r="C1639">
        <v>46012734</v>
      </c>
      <c r="D1639" t="s">
        <v>2814</v>
      </c>
      <c r="E1639" t="s">
        <v>13</v>
      </c>
      <c r="F1639" t="s">
        <v>14</v>
      </c>
      <c r="G1639">
        <v>40000000</v>
      </c>
      <c r="H1639">
        <v>5.8</v>
      </c>
      <c r="I1639" t="s">
        <v>15</v>
      </c>
      <c r="J1639" t="s">
        <v>19</v>
      </c>
    </row>
    <row r="1640" spans="1:13" x14ac:dyDescent="0.25">
      <c r="A1640" t="s">
        <v>515</v>
      </c>
      <c r="B1640">
        <v>113</v>
      </c>
      <c r="C1640">
        <v>45996718</v>
      </c>
      <c r="D1640" t="s">
        <v>2815</v>
      </c>
      <c r="E1640" t="s">
        <v>13</v>
      </c>
      <c r="F1640" t="s">
        <v>14</v>
      </c>
      <c r="G1640">
        <v>60000000</v>
      </c>
      <c r="H1640">
        <v>6.7</v>
      </c>
      <c r="I1640" t="s">
        <v>34</v>
      </c>
      <c r="J1640" t="s">
        <v>38</v>
      </c>
      <c r="K1640" t="s">
        <v>31</v>
      </c>
      <c r="L1640" t="s">
        <v>24</v>
      </c>
    </row>
    <row r="1641" spans="1:13" x14ac:dyDescent="0.25">
      <c r="A1641" t="s">
        <v>2816</v>
      </c>
      <c r="B1641">
        <v>86</v>
      </c>
      <c r="C1641">
        <v>45860039</v>
      </c>
      <c r="D1641" t="s">
        <v>2817</v>
      </c>
      <c r="E1641" t="s">
        <v>13</v>
      </c>
      <c r="F1641" t="s">
        <v>14</v>
      </c>
      <c r="G1641">
        <v>56000000</v>
      </c>
      <c r="H1641">
        <v>6.2</v>
      </c>
      <c r="I1641" t="s">
        <v>34</v>
      </c>
      <c r="J1641" t="s">
        <v>38</v>
      </c>
    </row>
    <row r="1642" spans="1:13" x14ac:dyDescent="0.25">
      <c r="A1642" t="s">
        <v>2818</v>
      </c>
      <c r="B1642">
        <v>91</v>
      </c>
      <c r="C1642">
        <v>45857453</v>
      </c>
      <c r="D1642" t="s">
        <v>2819</v>
      </c>
      <c r="E1642" t="s">
        <v>13</v>
      </c>
      <c r="F1642" t="s">
        <v>82</v>
      </c>
      <c r="G1642">
        <v>3500000</v>
      </c>
      <c r="H1642">
        <v>7.2</v>
      </c>
      <c r="I1642" t="s">
        <v>15</v>
      </c>
      <c r="J1642" t="s">
        <v>31</v>
      </c>
      <c r="K1642" t="s">
        <v>18</v>
      </c>
    </row>
    <row r="1643" spans="1:13" x14ac:dyDescent="0.25">
      <c r="A1643" t="s">
        <v>380</v>
      </c>
      <c r="B1643">
        <v>135</v>
      </c>
      <c r="C1643">
        <v>45856732</v>
      </c>
      <c r="D1643" t="s">
        <v>2820</v>
      </c>
      <c r="E1643" t="s">
        <v>13</v>
      </c>
      <c r="F1643" t="s">
        <v>14</v>
      </c>
      <c r="G1643">
        <v>40000000</v>
      </c>
      <c r="H1643">
        <v>7.1</v>
      </c>
      <c r="I1643" t="s">
        <v>38</v>
      </c>
      <c r="J1643" t="s">
        <v>31</v>
      </c>
      <c r="K1643" t="s">
        <v>24</v>
      </c>
    </row>
    <row r="1644" spans="1:13" x14ac:dyDescent="0.25">
      <c r="A1644" t="s">
        <v>2821</v>
      </c>
      <c r="B1644">
        <v>92</v>
      </c>
      <c r="C1644">
        <v>45802315</v>
      </c>
      <c r="D1644" t="s">
        <v>2822</v>
      </c>
      <c r="E1644" t="s">
        <v>13</v>
      </c>
      <c r="F1644" t="s">
        <v>14</v>
      </c>
      <c r="G1644">
        <v>35000000</v>
      </c>
      <c r="H1644">
        <v>6.6</v>
      </c>
      <c r="I1644" t="s">
        <v>34</v>
      </c>
      <c r="J1644" t="s">
        <v>28</v>
      </c>
      <c r="K1644" t="s">
        <v>17</v>
      </c>
      <c r="L1644" t="s">
        <v>37</v>
      </c>
      <c r="M1644" t="s">
        <v>24</v>
      </c>
    </row>
    <row r="1645" spans="1:13" x14ac:dyDescent="0.25">
      <c r="A1645" t="s">
        <v>2823</v>
      </c>
      <c r="B1645">
        <v>90</v>
      </c>
      <c r="C1645">
        <v>45670855</v>
      </c>
      <c r="D1645" t="s">
        <v>2824</v>
      </c>
      <c r="E1645" t="s">
        <v>13</v>
      </c>
      <c r="F1645" t="s">
        <v>98</v>
      </c>
      <c r="G1645">
        <v>20000000</v>
      </c>
      <c r="H1645">
        <v>5.6</v>
      </c>
      <c r="I1645" t="s">
        <v>22</v>
      </c>
      <c r="J1645" t="s">
        <v>23</v>
      </c>
    </row>
    <row r="1646" spans="1:13" x14ac:dyDescent="0.25">
      <c r="A1646" t="s">
        <v>456</v>
      </c>
      <c r="B1646">
        <v>125</v>
      </c>
      <c r="C1646">
        <v>45645204</v>
      </c>
      <c r="D1646" t="s">
        <v>2825</v>
      </c>
      <c r="E1646" t="s">
        <v>13</v>
      </c>
      <c r="F1646" t="s">
        <v>14</v>
      </c>
      <c r="G1646">
        <v>30000000</v>
      </c>
      <c r="H1646">
        <v>6.6</v>
      </c>
      <c r="I1646" t="s">
        <v>34</v>
      </c>
      <c r="J1646" t="s">
        <v>38</v>
      </c>
      <c r="K1646" t="s">
        <v>24</v>
      </c>
    </row>
    <row r="1647" spans="1:13" x14ac:dyDescent="0.25">
      <c r="A1647" t="s">
        <v>2826</v>
      </c>
      <c r="B1647">
        <v>77</v>
      </c>
      <c r="C1647">
        <v>45542421</v>
      </c>
      <c r="D1647" t="s">
        <v>2827</v>
      </c>
      <c r="E1647" t="s">
        <v>13</v>
      </c>
      <c r="F1647" t="s">
        <v>14</v>
      </c>
      <c r="G1647">
        <v>30000000</v>
      </c>
      <c r="H1647">
        <v>6.3</v>
      </c>
      <c r="I1647" t="s">
        <v>46</v>
      </c>
      <c r="J1647" t="s">
        <v>15</v>
      </c>
      <c r="K1647" t="s">
        <v>31</v>
      </c>
      <c r="L1647" t="s">
        <v>16</v>
      </c>
      <c r="M1647" t="s">
        <v>59</v>
      </c>
    </row>
    <row r="1648" spans="1:13" x14ac:dyDescent="0.25">
      <c r="A1648" t="s">
        <v>852</v>
      </c>
      <c r="B1648">
        <v>94</v>
      </c>
      <c r="C1648">
        <v>45507053</v>
      </c>
      <c r="D1648" t="s">
        <v>2828</v>
      </c>
      <c r="E1648" t="s">
        <v>13</v>
      </c>
      <c r="F1648" t="s">
        <v>14</v>
      </c>
      <c r="G1648">
        <v>16000000</v>
      </c>
      <c r="H1648">
        <v>7.8</v>
      </c>
      <c r="I1648" t="s">
        <v>28</v>
      </c>
      <c r="J1648" t="s">
        <v>15</v>
      </c>
      <c r="K1648" t="s">
        <v>31</v>
      </c>
      <c r="L1648" t="s">
        <v>19</v>
      </c>
    </row>
    <row r="1649" spans="1:13" x14ac:dyDescent="0.25">
      <c r="A1649" t="s">
        <v>2829</v>
      </c>
      <c r="B1649">
        <v>107</v>
      </c>
      <c r="C1649">
        <v>45506619</v>
      </c>
      <c r="D1649" t="s">
        <v>2830</v>
      </c>
      <c r="E1649" t="s">
        <v>13</v>
      </c>
      <c r="F1649" t="s">
        <v>82</v>
      </c>
      <c r="G1649">
        <v>26000000</v>
      </c>
      <c r="H1649">
        <v>7.8</v>
      </c>
      <c r="I1649" t="s">
        <v>28</v>
      </c>
      <c r="J1649" t="s">
        <v>15</v>
      </c>
      <c r="K1649" t="s">
        <v>38</v>
      </c>
      <c r="L1649" t="s">
        <v>18</v>
      </c>
    </row>
    <row r="1650" spans="1:13" x14ac:dyDescent="0.25">
      <c r="A1650" t="s">
        <v>182</v>
      </c>
      <c r="B1650">
        <v>106</v>
      </c>
      <c r="C1650">
        <v>45500797</v>
      </c>
      <c r="D1650" t="s">
        <v>2831</v>
      </c>
      <c r="E1650" t="s">
        <v>13</v>
      </c>
      <c r="F1650" t="s">
        <v>14</v>
      </c>
      <c r="G1650">
        <v>40000000</v>
      </c>
      <c r="H1650">
        <v>6</v>
      </c>
      <c r="I1650" t="s">
        <v>28</v>
      </c>
      <c r="J1650" t="s">
        <v>31</v>
      </c>
      <c r="K1650" t="s">
        <v>19</v>
      </c>
    </row>
    <row r="1651" spans="1:13" x14ac:dyDescent="0.25">
      <c r="A1651" t="s">
        <v>141</v>
      </c>
      <c r="B1651">
        <v>109</v>
      </c>
      <c r="C1651">
        <v>45489752</v>
      </c>
      <c r="D1651" t="s">
        <v>2832</v>
      </c>
      <c r="E1651" t="s">
        <v>13</v>
      </c>
      <c r="F1651" t="s">
        <v>14</v>
      </c>
      <c r="G1651">
        <v>26000000</v>
      </c>
      <c r="H1651">
        <v>6.5</v>
      </c>
      <c r="I1651" t="s">
        <v>15</v>
      </c>
      <c r="J1651" t="s">
        <v>31</v>
      </c>
      <c r="K1651" t="s">
        <v>19</v>
      </c>
    </row>
    <row r="1652" spans="1:13" x14ac:dyDescent="0.25">
      <c r="A1652" t="s">
        <v>2833</v>
      </c>
      <c r="B1652">
        <v>116</v>
      </c>
      <c r="C1652">
        <v>45434443</v>
      </c>
      <c r="D1652" t="s">
        <v>2834</v>
      </c>
      <c r="E1652" t="s">
        <v>13</v>
      </c>
      <c r="F1652" t="s">
        <v>14</v>
      </c>
      <c r="G1652">
        <v>75000000</v>
      </c>
      <c r="H1652">
        <v>7.3</v>
      </c>
      <c r="I1652" t="s">
        <v>34</v>
      </c>
      <c r="J1652" t="s">
        <v>28</v>
      </c>
      <c r="K1652" t="s">
        <v>15</v>
      </c>
    </row>
    <row r="1653" spans="1:13" x14ac:dyDescent="0.25">
      <c r="A1653" t="s">
        <v>87</v>
      </c>
      <c r="B1653">
        <v>129</v>
      </c>
      <c r="C1653">
        <v>45356386</v>
      </c>
      <c r="D1653" t="s">
        <v>2835</v>
      </c>
      <c r="E1653" t="s">
        <v>1498</v>
      </c>
      <c r="F1653" t="s">
        <v>14</v>
      </c>
      <c r="G1653">
        <v>75000000</v>
      </c>
      <c r="H1653">
        <v>5.9</v>
      </c>
      <c r="I1653" t="s">
        <v>34</v>
      </c>
      <c r="J1653" t="s">
        <v>28</v>
      </c>
      <c r="K1653" t="s">
        <v>69</v>
      </c>
    </row>
    <row r="1654" spans="1:13" x14ac:dyDescent="0.25">
      <c r="A1654" t="s">
        <v>415</v>
      </c>
      <c r="B1654">
        <v>105</v>
      </c>
      <c r="C1654">
        <v>45290318</v>
      </c>
      <c r="D1654" t="s">
        <v>2836</v>
      </c>
      <c r="E1654" t="s">
        <v>13</v>
      </c>
      <c r="F1654" t="s">
        <v>14</v>
      </c>
      <c r="G1654">
        <v>42000000</v>
      </c>
      <c r="H1654">
        <v>6.5</v>
      </c>
      <c r="I1654" t="s">
        <v>34</v>
      </c>
      <c r="J1654" t="s">
        <v>15</v>
      </c>
      <c r="K1654" t="s">
        <v>41</v>
      </c>
    </row>
    <row r="1655" spans="1:13" x14ac:dyDescent="0.25">
      <c r="A1655" t="s">
        <v>867</v>
      </c>
      <c r="B1655">
        <v>89</v>
      </c>
      <c r="C1655">
        <v>45207112</v>
      </c>
      <c r="D1655" t="s">
        <v>2837</v>
      </c>
      <c r="E1655" t="s">
        <v>13</v>
      </c>
      <c r="F1655" t="s">
        <v>14</v>
      </c>
      <c r="G1655">
        <v>53000000</v>
      </c>
      <c r="H1655">
        <v>5.5</v>
      </c>
      <c r="I1655" t="s">
        <v>38</v>
      </c>
      <c r="J1655" t="s">
        <v>23</v>
      </c>
      <c r="K1655" t="s">
        <v>24</v>
      </c>
    </row>
    <row r="1656" spans="1:13" x14ac:dyDescent="0.25">
      <c r="A1656" t="s">
        <v>822</v>
      </c>
      <c r="B1656">
        <v>90</v>
      </c>
      <c r="C1656">
        <v>45162741</v>
      </c>
      <c r="D1656" t="s">
        <v>2838</v>
      </c>
      <c r="E1656" t="s">
        <v>13</v>
      </c>
      <c r="F1656" t="s">
        <v>241</v>
      </c>
      <c r="G1656">
        <v>28000000</v>
      </c>
      <c r="H1656">
        <v>6.6</v>
      </c>
      <c r="I1656" t="s">
        <v>15</v>
      </c>
    </row>
    <row r="1657" spans="1:13" x14ac:dyDescent="0.25">
      <c r="A1657" t="s">
        <v>365</v>
      </c>
      <c r="B1657">
        <v>97</v>
      </c>
      <c r="C1657">
        <v>45089048</v>
      </c>
      <c r="D1657" t="s">
        <v>2839</v>
      </c>
      <c r="E1657" t="s">
        <v>13</v>
      </c>
      <c r="F1657" t="s">
        <v>1682</v>
      </c>
      <c r="G1657">
        <v>25000000</v>
      </c>
      <c r="H1657">
        <v>6.5</v>
      </c>
      <c r="I1657" t="s">
        <v>31</v>
      </c>
      <c r="J1657" t="s">
        <v>19</v>
      </c>
      <c r="K1657" t="s">
        <v>37</v>
      </c>
    </row>
    <row r="1658" spans="1:13" x14ac:dyDescent="0.25">
      <c r="A1658" t="s">
        <v>2840</v>
      </c>
      <c r="B1658">
        <v>113</v>
      </c>
      <c r="C1658">
        <v>45063889</v>
      </c>
      <c r="D1658" t="s">
        <v>2841</v>
      </c>
      <c r="E1658" t="s">
        <v>13</v>
      </c>
      <c r="F1658" t="s">
        <v>82</v>
      </c>
      <c r="G1658">
        <v>8000000</v>
      </c>
      <c r="H1658">
        <v>7.6</v>
      </c>
      <c r="I1658" t="s">
        <v>31</v>
      </c>
      <c r="J1658" t="s">
        <v>22</v>
      </c>
      <c r="K1658" t="s">
        <v>37</v>
      </c>
      <c r="L1658" t="s">
        <v>24</v>
      </c>
    </row>
    <row r="1659" spans="1:13" x14ac:dyDescent="0.25">
      <c r="A1659" t="s">
        <v>272</v>
      </c>
      <c r="B1659">
        <v>111</v>
      </c>
      <c r="C1659">
        <v>45045037</v>
      </c>
      <c r="D1659" t="s">
        <v>2842</v>
      </c>
      <c r="E1659" t="s">
        <v>13</v>
      </c>
      <c r="F1659" t="s">
        <v>14</v>
      </c>
      <c r="G1659">
        <v>36000000</v>
      </c>
      <c r="H1659">
        <v>5.9</v>
      </c>
      <c r="I1659" t="s">
        <v>15</v>
      </c>
      <c r="J1659" t="s">
        <v>19</v>
      </c>
    </row>
    <row r="1660" spans="1:13" x14ac:dyDescent="0.25">
      <c r="A1660" t="s">
        <v>2843</v>
      </c>
      <c r="B1660">
        <v>128</v>
      </c>
      <c r="C1660">
        <v>44988180</v>
      </c>
      <c r="D1660" t="s">
        <v>2844</v>
      </c>
      <c r="E1660" t="s">
        <v>13</v>
      </c>
      <c r="F1660" t="s">
        <v>14</v>
      </c>
      <c r="G1660">
        <v>20000000</v>
      </c>
      <c r="H1660">
        <v>8.1</v>
      </c>
      <c r="I1660" t="s">
        <v>42</v>
      </c>
      <c r="J1660" t="s">
        <v>38</v>
      </c>
      <c r="K1660" t="s">
        <v>31</v>
      </c>
      <c r="L1660" t="s">
        <v>64</v>
      </c>
    </row>
    <row r="1661" spans="1:13" x14ac:dyDescent="0.25">
      <c r="A1661" t="s">
        <v>2845</v>
      </c>
      <c r="B1661">
        <v>118</v>
      </c>
      <c r="C1661">
        <v>44983704</v>
      </c>
      <c r="D1661" t="s">
        <v>2846</v>
      </c>
      <c r="E1661" t="s">
        <v>13</v>
      </c>
      <c r="F1661" t="s">
        <v>14</v>
      </c>
      <c r="G1661">
        <v>31000000</v>
      </c>
      <c r="H1661">
        <v>7.3</v>
      </c>
      <c r="I1661" t="s">
        <v>38</v>
      </c>
      <c r="J1661" t="s">
        <v>31</v>
      </c>
      <c r="K1661" t="s">
        <v>23</v>
      </c>
      <c r="L1661" t="s">
        <v>37</v>
      </c>
      <c r="M1661" t="s">
        <v>24</v>
      </c>
    </row>
    <row r="1662" spans="1:13" x14ac:dyDescent="0.25">
      <c r="A1662" t="s">
        <v>1026</v>
      </c>
      <c r="B1662">
        <v>120</v>
      </c>
      <c r="C1662">
        <v>44886089</v>
      </c>
      <c r="D1662" t="s">
        <v>2847</v>
      </c>
      <c r="E1662" t="s">
        <v>13</v>
      </c>
      <c r="F1662" t="s">
        <v>14</v>
      </c>
      <c r="G1662">
        <v>10000000</v>
      </c>
      <c r="H1662">
        <v>6.9</v>
      </c>
      <c r="I1662" t="s">
        <v>38</v>
      </c>
      <c r="J1662" t="s">
        <v>31</v>
      </c>
      <c r="K1662" t="s">
        <v>24</v>
      </c>
    </row>
    <row r="1663" spans="1:13" x14ac:dyDescent="0.25">
      <c r="A1663" t="s">
        <v>2019</v>
      </c>
      <c r="B1663">
        <v>107</v>
      </c>
      <c r="C1663">
        <v>44867349</v>
      </c>
      <c r="D1663" t="s">
        <v>2848</v>
      </c>
      <c r="E1663" t="s">
        <v>13</v>
      </c>
      <c r="F1663" t="s">
        <v>14</v>
      </c>
      <c r="G1663">
        <v>37000000</v>
      </c>
      <c r="H1663">
        <v>5.6</v>
      </c>
      <c r="I1663" t="s">
        <v>34</v>
      </c>
      <c r="J1663" t="s">
        <v>15</v>
      </c>
      <c r="K1663" t="s">
        <v>38</v>
      </c>
    </row>
    <row r="1664" spans="1:13" x14ac:dyDescent="0.25">
      <c r="A1664" t="s">
        <v>2849</v>
      </c>
      <c r="B1664">
        <v>118</v>
      </c>
      <c r="C1664">
        <v>44834712</v>
      </c>
      <c r="D1664" t="s">
        <v>2850</v>
      </c>
      <c r="E1664" t="s">
        <v>13</v>
      </c>
      <c r="F1664" t="s">
        <v>14</v>
      </c>
      <c r="G1664">
        <v>44000000</v>
      </c>
      <c r="H1664">
        <v>5.6</v>
      </c>
      <c r="I1664" t="s">
        <v>31</v>
      </c>
      <c r="J1664" t="s">
        <v>24</v>
      </c>
    </row>
    <row r="1665" spans="1:13" x14ac:dyDescent="0.25">
      <c r="A1665" t="s">
        <v>287</v>
      </c>
      <c r="B1665">
        <v>88</v>
      </c>
      <c r="C1665">
        <v>44793200</v>
      </c>
      <c r="D1665" t="s">
        <v>2851</v>
      </c>
      <c r="E1665" t="s">
        <v>13</v>
      </c>
      <c r="F1665" t="s">
        <v>14</v>
      </c>
      <c r="G1665">
        <v>4500000</v>
      </c>
      <c r="H1665">
        <v>6.6</v>
      </c>
      <c r="I1665" t="s">
        <v>34</v>
      </c>
      <c r="J1665" t="s">
        <v>17</v>
      </c>
      <c r="K1665" t="s">
        <v>22</v>
      </c>
      <c r="L1665" t="s">
        <v>24</v>
      </c>
    </row>
    <row r="1666" spans="1:13" x14ac:dyDescent="0.25">
      <c r="A1666" t="s">
        <v>2852</v>
      </c>
      <c r="B1666">
        <v>118</v>
      </c>
      <c r="C1666">
        <v>44737059</v>
      </c>
      <c r="D1666" t="s">
        <v>2853</v>
      </c>
      <c r="E1666" t="s">
        <v>13</v>
      </c>
      <c r="F1666" t="s">
        <v>14</v>
      </c>
      <c r="G1666">
        <v>50000000</v>
      </c>
      <c r="H1666">
        <v>6.5</v>
      </c>
      <c r="I1666" t="s">
        <v>15</v>
      </c>
      <c r="J1666" t="s">
        <v>41</v>
      </c>
    </row>
    <row r="1667" spans="1:13" x14ac:dyDescent="0.25">
      <c r="A1667" t="s">
        <v>2854</v>
      </c>
      <c r="B1667">
        <v>107</v>
      </c>
      <c r="C1667">
        <v>44726644</v>
      </c>
      <c r="D1667" t="s">
        <v>2855</v>
      </c>
      <c r="E1667" t="s">
        <v>13</v>
      </c>
      <c r="F1667" t="s">
        <v>14</v>
      </c>
      <c r="G1667">
        <v>13000000</v>
      </c>
      <c r="H1667">
        <v>6.8</v>
      </c>
      <c r="I1667" t="s">
        <v>34</v>
      </c>
      <c r="J1667" t="s">
        <v>38</v>
      </c>
      <c r="K1667" t="s">
        <v>31</v>
      </c>
      <c r="L1667" t="s">
        <v>24</v>
      </c>
      <c r="M1667" t="s">
        <v>69</v>
      </c>
    </row>
    <row r="1668" spans="1:13" x14ac:dyDescent="0.25">
      <c r="A1668" t="s">
        <v>490</v>
      </c>
      <c r="B1668">
        <v>142</v>
      </c>
      <c r="C1668">
        <v>44700000</v>
      </c>
      <c r="D1668" t="s">
        <v>2856</v>
      </c>
      <c r="E1668" t="s">
        <v>13</v>
      </c>
      <c r="F1668" t="s">
        <v>14</v>
      </c>
      <c r="G1668">
        <v>25000000</v>
      </c>
      <c r="H1668">
        <v>8.3000000000000007</v>
      </c>
      <c r="I1668" t="s">
        <v>38</v>
      </c>
      <c r="J1668" t="s">
        <v>31</v>
      </c>
    </row>
    <row r="1669" spans="1:13" x14ac:dyDescent="0.25">
      <c r="A1669" t="s">
        <v>2857</v>
      </c>
      <c r="B1669">
        <v>100</v>
      </c>
      <c r="C1669">
        <v>44667095</v>
      </c>
      <c r="D1669" t="s">
        <v>2858</v>
      </c>
      <c r="E1669" t="s">
        <v>13</v>
      </c>
      <c r="F1669" t="s">
        <v>295</v>
      </c>
      <c r="G1669">
        <v>15000000</v>
      </c>
      <c r="H1669">
        <v>8</v>
      </c>
      <c r="I1669" t="s">
        <v>15</v>
      </c>
      <c r="J1669" t="s">
        <v>31</v>
      </c>
      <c r="K1669" t="s">
        <v>19</v>
      </c>
    </row>
    <row r="1670" spans="1:13" x14ac:dyDescent="0.25">
      <c r="A1670" t="s">
        <v>187</v>
      </c>
      <c r="B1670">
        <v>125</v>
      </c>
      <c r="C1670">
        <v>44665963</v>
      </c>
      <c r="D1670" t="s">
        <v>2859</v>
      </c>
      <c r="E1670" t="s">
        <v>13</v>
      </c>
      <c r="F1670" t="s">
        <v>14</v>
      </c>
      <c r="G1670">
        <v>58000000</v>
      </c>
      <c r="H1670">
        <v>6.3</v>
      </c>
      <c r="I1670" t="s">
        <v>15</v>
      </c>
    </row>
    <row r="1671" spans="1:13" x14ac:dyDescent="0.25">
      <c r="A1671" t="s">
        <v>2860</v>
      </c>
      <c r="B1671">
        <v>178</v>
      </c>
      <c r="C1671">
        <v>44606335</v>
      </c>
      <c r="D1671" t="s">
        <v>2861</v>
      </c>
      <c r="E1671" t="s">
        <v>13</v>
      </c>
      <c r="F1671" t="s">
        <v>14</v>
      </c>
      <c r="G1671">
        <v>90000000</v>
      </c>
      <c r="H1671">
        <v>7.1</v>
      </c>
      <c r="I1671" t="s">
        <v>31</v>
      </c>
      <c r="J1671" t="s">
        <v>17</v>
      </c>
      <c r="K1671" t="s">
        <v>19</v>
      </c>
    </row>
    <row r="1672" spans="1:13" x14ac:dyDescent="0.25">
      <c r="A1672" t="s">
        <v>2862</v>
      </c>
      <c r="B1672">
        <v>101</v>
      </c>
      <c r="C1672">
        <v>44566004</v>
      </c>
      <c r="D1672" t="s">
        <v>2863</v>
      </c>
      <c r="E1672" t="s">
        <v>13</v>
      </c>
      <c r="F1672" t="s">
        <v>14</v>
      </c>
      <c r="G1672">
        <v>4000000</v>
      </c>
      <c r="H1672">
        <v>7.8</v>
      </c>
      <c r="I1672" t="s">
        <v>31</v>
      </c>
    </row>
    <row r="1673" spans="1:13" x14ac:dyDescent="0.25">
      <c r="A1673" t="s">
        <v>423</v>
      </c>
      <c r="B1673">
        <v>92</v>
      </c>
      <c r="C1673">
        <v>44540956</v>
      </c>
      <c r="D1673" t="s">
        <v>2864</v>
      </c>
      <c r="E1673" t="s">
        <v>13</v>
      </c>
      <c r="F1673" t="s">
        <v>14</v>
      </c>
      <c r="G1673">
        <v>400000</v>
      </c>
      <c r="H1673">
        <v>6.9</v>
      </c>
      <c r="I1673" t="s">
        <v>15</v>
      </c>
    </row>
    <row r="1674" spans="1:13" x14ac:dyDescent="0.25">
      <c r="A1674" t="s">
        <v>93</v>
      </c>
      <c r="B1674">
        <v>140</v>
      </c>
      <c r="C1674">
        <v>44484065</v>
      </c>
      <c r="D1674" t="s">
        <v>2865</v>
      </c>
      <c r="E1674" t="s">
        <v>13</v>
      </c>
      <c r="F1674" t="s">
        <v>241</v>
      </c>
      <c r="G1674">
        <v>50000000</v>
      </c>
      <c r="H1674">
        <v>7.3</v>
      </c>
      <c r="I1674" t="s">
        <v>34</v>
      </c>
      <c r="J1674" t="s">
        <v>38</v>
      </c>
      <c r="K1674" t="s">
        <v>31</v>
      </c>
      <c r="L1674" t="s">
        <v>23</v>
      </c>
      <c r="M1674" t="s">
        <v>24</v>
      </c>
    </row>
    <row r="1675" spans="1:13" x14ac:dyDescent="0.25">
      <c r="A1675" t="s">
        <v>2866</v>
      </c>
      <c r="B1675">
        <v>129</v>
      </c>
      <c r="C1675">
        <v>44469602</v>
      </c>
      <c r="D1675" t="s">
        <v>2867</v>
      </c>
      <c r="E1675" t="s">
        <v>13</v>
      </c>
      <c r="F1675" t="s">
        <v>14</v>
      </c>
      <c r="G1675">
        <v>17000000</v>
      </c>
      <c r="H1675">
        <v>7.4</v>
      </c>
      <c r="I1675" t="s">
        <v>42</v>
      </c>
      <c r="J1675" t="s">
        <v>31</v>
      </c>
      <c r="K1675" t="s">
        <v>41</v>
      </c>
    </row>
    <row r="1676" spans="1:13" x14ac:dyDescent="0.25">
      <c r="A1676" t="s">
        <v>2868</v>
      </c>
      <c r="B1676">
        <v>115</v>
      </c>
      <c r="C1676">
        <v>44456509</v>
      </c>
      <c r="D1676" t="s">
        <v>2869</v>
      </c>
      <c r="E1676" t="s">
        <v>1498</v>
      </c>
      <c r="F1676" t="s">
        <v>1901</v>
      </c>
      <c r="G1676">
        <v>5000000</v>
      </c>
      <c r="H1676">
        <v>7.6</v>
      </c>
      <c r="I1676" t="s">
        <v>15</v>
      </c>
      <c r="J1676" t="s">
        <v>31</v>
      </c>
    </row>
    <row r="1677" spans="1:13" x14ac:dyDescent="0.25">
      <c r="A1677" t="s">
        <v>53</v>
      </c>
      <c r="B1677">
        <v>98</v>
      </c>
      <c r="C1677">
        <v>44455658</v>
      </c>
      <c r="D1677" t="s">
        <v>2870</v>
      </c>
      <c r="E1677" t="s">
        <v>13</v>
      </c>
      <c r="F1677" t="s">
        <v>14</v>
      </c>
      <c r="G1677">
        <v>25000000</v>
      </c>
      <c r="H1677">
        <v>6.7</v>
      </c>
      <c r="I1677" t="s">
        <v>34</v>
      </c>
      <c r="J1677" t="s">
        <v>28</v>
      </c>
      <c r="K1677" t="s">
        <v>15</v>
      </c>
      <c r="L1677" t="s">
        <v>38</v>
      </c>
    </row>
    <row r="1678" spans="1:13" x14ac:dyDescent="0.25">
      <c r="A1678" t="s">
        <v>679</v>
      </c>
      <c r="B1678">
        <v>99</v>
      </c>
      <c r="C1678">
        <v>44450000</v>
      </c>
      <c r="D1678" t="s">
        <v>2871</v>
      </c>
      <c r="E1678" t="s">
        <v>13</v>
      </c>
      <c r="F1678" t="s">
        <v>98</v>
      </c>
      <c r="G1678">
        <v>27000000</v>
      </c>
      <c r="H1678">
        <v>5.8</v>
      </c>
      <c r="I1678" t="s">
        <v>34</v>
      </c>
      <c r="J1678" t="s">
        <v>38</v>
      </c>
      <c r="K1678" t="s">
        <v>37</v>
      </c>
      <c r="L1678" t="s">
        <v>24</v>
      </c>
    </row>
    <row r="1679" spans="1:13" x14ac:dyDescent="0.25">
      <c r="A1679" t="s">
        <v>272</v>
      </c>
      <c r="B1679">
        <v>92</v>
      </c>
      <c r="C1679">
        <v>44328238</v>
      </c>
      <c r="D1679" t="s">
        <v>2872</v>
      </c>
      <c r="E1679" t="s">
        <v>13</v>
      </c>
      <c r="F1679" t="s">
        <v>14</v>
      </c>
      <c r="G1679">
        <v>39751583.5</v>
      </c>
      <c r="H1679">
        <v>5.0999999999999996</v>
      </c>
      <c r="I1679" t="s">
        <v>15</v>
      </c>
    </row>
    <row r="1680" spans="1:13" x14ac:dyDescent="0.25">
      <c r="A1680" t="s">
        <v>196</v>
      </c>
      <c r="B1680">
        <v>155</v>
      </c>
      <c r="C1680">
        <v>44175394</v>
      </c>
      <c r="D1680" t="s">
        <v>2873</v>
      </c>
      <c r="E1680" t="s">
        <v>13</v>
      </c>
      <c r="F1680" t="s">
        <v>14</v>
      </c>
      <c r="G1680">
        <v>36000000</v>
      </c>
      <c r="H1680">
        <v>7.2</v>
      </c>
      <c r="I1680" t="s">
        <v>31</v>
      </c>
      <c r="J1680" t="s">
        <v>64</v>
      </c>
    </row>
    <row r="1681" spans="1:13" x14ac:dyDescent="0.25">
      <c r="A1681" t="s">
        <v>2874</v>
      </c>
      <c r="B1681">
        <v>102</v>
      </c>
      <c r="C1681">
        <v>44134898</v>
      </c>
      <c r="D1681" t="s">
        <v>2875</v>
      </c>
      <c r="E1681" t="s">
        <v>13</v>
      </c>
      <c r="F1681" t="s">
        <v>14</v>
      </c>
      <c r="G1681">
        <v>13000000</v>
      </c>
      <c r="H1681">
        <v>7.3</v>
      </c>
      <c r="I1681" t="s">
        <v>15</v>
      </c>
      <c r="J1681" t="s">
        <v>31</v>
      </c>
    </row>
    <row r="1682" spans="1:13" x14ac:dyDescent="0.25">
      <c r="A1682" t="s">
        <v>2876</v>
      </c>
      <c r="B1682">
        <v>119</v>
      </c>
      <c r="C1682">
        <v>44087387</v>
      </c>
      <c r="D1682" t="s">
        <v>2877</v>
      </c>
      <c r="E1682" t="s">
        <v>13</v>
      </c>
      <c r="F1682" t="s">
        <v>14</v>
      </c>
      <c r="G1682">
        <v>39751583.5</v>
      </c>
      <c r="H1682">
        <v>6.2</v>
      </c>
      <c r="I1682" t="s">
        <v>15</v>
      </c>
      <c r="J1682" t="s">
        <v>31</v>
      </c>
      <c r="K1682" t="s">
        <v>16</v>
      </c>
      <c r="L1682" t="s">
        <v>19</v>
      </c>
    </row>
    <row r="1683" spans="1:13" x14ac:dyDescent="0.25">
      <c r="A1683" t="s">
        <v>2501</v>
      </c>
      <c r="B1683">
        <v>219</v>
      </c>
      <c r="C1683">
        <v>43984230</v>
      </c>
      <c r="D1683" t="s">
        <v>2878</v>
      </c>
      <c r="E1683" t="s">
        <v>13</v>
      </c>
      <c r="F1683" t="s">
        <v>1206</v>
      </c>
      <c r="G1683">
        <v>23000000</v>
      </c>
      <c r="H1683">
        <v>7.8</v>
      </c>
      <c r="I1683" t="s">
        <v>42</v>
      </c>
      <c r="J1683" t="s">
        <v>31</v>
      </c>
      <c r="K1683" t="s">
        <v>64</v>
      </c>
    </row>
    <row r="1684" spans="1:13" x14ac:dyDescent="0.25">
      <c r="A1684" t="s">
        <v>2879</v>
      </c>
      <c r="B1684">
        <v>135</v>
      </c>
      <c r="C1684">
        <v>43982842</v>
      </c>
      <c r="D1684" t="s">
        <v>2880</v>
      </c>
      <c r="E1684" t="s">
        <v>13</v>
      </c>
      <c r="F1684" t="s">
        <v>14</v>
      </c>
      <c r="G1684">
        <v>65000000</v>
      </c>
      <c r="H1684">
        <v>6.7</v>
      </c>
      <c r="I1684" t="s">
        <v>31</v>
      </c>
      <c r="J1684" t="s">
        <v>17</v>
      </c>
      <c r="K1684" t="s">
        <v>24</v>
      </c>
    </row>
    <row r="1685" spans="1:13" x14ac:dyDescent="0.25">
      <c r="A1685" t="s">
        <v>2879</v>
      </c>
      <c r="B1685">
        <v>135</v>
      </c>
      <c r="C1685">
        <v>43982842</v>
      </c>
      <c r="D1685" t="s">
        <v>2880</v>
      </c>
      <c r="E1685" t="s">
        <v>13</v>
      </c>
      <c r="F1685" t="s">
        <v>14</v>
      </c>
      <c r="G1685">
        <v>65000000</v>
      </c>
      <c r="H1685">
        <v>6.7</v>
      </c>
      <c r="I1685" t="s">
        <v>31</v>
      </c>
      <c r="J1685" t="s">
        <v>17</v>
      </c>
      <c r="K1685" t="s">
        <v>24</v>
      </c>
    </row>
    <row r="1686" spans="1:13" x14ac:dyDescent="0.25">
      <c r="A1686" t="s">
        <v>1009</v>
      </c>
      <c r="B1686">
        <v>85</v>
      </c>
      <c r="C1686">
        <v>43905746</v>
      </c>
      <c r="D1686" t="s">
        <v>2881</v>
      </c>
      <c r="E1686" t="s">
        <v>13</v>
      </c>
      <c r="F1686" t="s">
        <v>14</v>
      </c>
      <c r="G1686">
        <v>49000000</v>
      </c>
      <c r="H1686">
        <v>5.9</v>
      </c>
      <c r="I1686" t="s">
        <v>34</v>
      </c>
      <c r="J1686" t="s">
        <v>37</v>
      </c>
      <c r="K1686" t="s">
        <v>24</v>
      </c>
    </row>
    <row r="1687" spans="1:13" x14ac:dyDescent="0.25">
      <c r="A1687" t="s">
        <v>2882</v>
      </c>
      <c r="B1687">
        <v>98</v>
      </c>
      <c r="C1687">
        <v>43894863</v>
      </c>
      <c r="D1687" t="s">
        <v>2883</v>
      </c>
      <c r="E1687" t="s">
        <v>13</v>
      </c>
      <c r="F1687" t="s">
        <v>14</v>
      </c>
      <c r="G1687">
        <v>30000000</v>
      </c>
      <c r="H1687">
        <v>5.9</v>
      </c>
      <c r="I1687" t="s">
        <v>15</v>
      </c>
      <c r="J1687" t="s">
        <v>19</v>
      </c>
    </row>
    <row r="1688" spans="1:13" x14ac:dyDescent="0.25">
      <c r="A1688" t="s">
        <v>2884</v>
      </c>
      <c r="B1688">
        <v>106</v>
      </c>
      <c r="C1688">
        <v>43853424</v>
      </c>
      <c r="D1688" t="s">
        <v>2885</v>
      </c>
      <c r="E1688" t="s">
        <v>13</v>
      </c>
      <c r="F1688" t="s">
        <v>14</v>
      </c>
      <c r="G1688">
        <v>18000000</v>
      </c>
      <c r="H1688">
        <v>7.1</v>
      </c>
      <c r="I1688" t="s">
        <v>42</v>
      </c>
      <c r="J1688" t="s">
        <v>31</v>
      </c>
      <c r="K1688" t="s">
        <v>16</v>
      </c>
      <c r="L1688" t="s">
        <v>41</v>
      </c>
    </row>
    <row r="1689" spans="1:13" x14ac:dyDescent="0.25">
      <c r="A1689" t="s">
        <v>519</v>
      </c>
      <c r="B1689">
        <v>126</v>
      </c>
      <c r="C1689">
        <v>43848100</v>
      </c>
      <c r="D1689" t="s">
        <v>2886</v>
      </c>
      <c r="E1689" t="s">
        <v>13</v>
      </c>
      <c r="F1689" t="s">
        <v>14</v>
      </c>
      <c r="G1689">
        <v>15000000</v>
      </c>
      <c r="H1689">
        <v>7.4</v>
      </c>
      <c r="I1689" t="s">
        <v>38</v>
      </c>
      <c r="J1689" t="s">
        <v>31</v>
      </c>
    </row>
    <row r="1690" spans="1:13" x14ac:dyDescent="0.25">
      <c r="A1690" t="s">
        <v>2887</v>
      </c>
      <c r="B1690">
        <v>89</v>
      </c>
      <c r="C1690">
        <v>43818159</v>
      </c>
      <c r="D1690" t="s">
        <v>2888</v>
      </c>
      <c r="E1690" t="s">
        <v>13</v>
      </c>
      <c r="F1690" t="s">
        <v>14</v>
      </c>
      <c r="G1690">
        <v>20000000</v>
      </c>
      <c r="H1690">
        <v>3.9</v>
      </c>
      <c r="I1690" t="s">
        <v>22</v>
      </c>
      <c r="J1690" t="s">
        <v>23</v>
      </c>
    </row>
    <row r="1691" spans="1:13" x14ac:dyDescent="0.25">
      <c r="A1691" t="s">
        <v>1107</v>
      </c>
      <c r="B1691">
        <v>120</v>
      </c>
      <c r="C1691">
        <v>43800000</v>
      </c>
      <c r="D1691" t="s">
        <v>2889</v>
      </c>
      <c r="E1691" t="s">
        <v>13</v>
      </c>
      <c r="F1691" t="s">
        <v>82</v>
      </c>
      <c r="G1691">
        <v>7200000</v>
      </c>
      <c r="H1691">
        <v>6.7</v>
      </c>
      <c r="I1691" t="s">
        <v>34</v>
      </c>
      <c r="J1691" t="s">
        <v>28</v>
      </c>
      <c r="K1691" t="s">
        <v>24</v>
      </c>
    </row>
    <row r="1692" spans="1:13" x14ac:dyDescent="0.25">
      <c r="A1692" t="s">
        <v>221</v>
      </c>
      <c r="B1692">
        <v>91</v>
      </c>
      <c r="C1692">
        <v>43792641</v>
      </c>
      <c r="D1692" t="s">
        <v>2890</v>
      </c>
      <c r="E1692" t="s">
        <v>13</v>
      </c>
      <c r="F1692" t="s">
        <v>14</v>
      </c>
      <c r="G1692">
        <v>35000000</v>
      </c>
      <c r="H1692">
        <v>5.3</v>
      </c>
      <c r="I1692" t="s">
        <v>15</v>
      </c>
      <c r="J1692" t="s">
        <v>19</v>
      </c>
    </row>
    <row r="1693" spans="1:13" x14ac:dyDescent="0.25">
      <c r="A1693" t="s">
        <v>2891</v>
      </c>
      <c r="B1693">
        <v>108</v>
      </c>
      <c r="C1693">
        <v>43771291</v>
      </c>
      <c r="D1693" t="s">
        <v>2892</v>
      </c>
      <c r="E1693" t="s">
        <v>13</v>
      </c>
      <c r="F1693" t="s">
        <v>14</v>
      </c>
      <c r="G1693">
        <v>5000000</v>
      </c>
      <c r="H1693">
        <v>7.1</v>
      </c>
      <c r="I1693" t="s">
        <v>23</v>
      </c>
      <c r="J1693" t="s">
        <v>24</v>
      </c>
    </row>
    <row r="1694" spans="1:13" x14ac:dyDescent="0.25">
      <c r="A1694" t="s">
        <v>2891</v>
      </c>
      <c r="B1694">
        <v>108</v>
      </c>
      <c r="C1694">
        <v>43771291</v>
      </c>
      <c r="D1694" t="s">
        <v>2892</v>
      </c>
      <c r="E1694" t="s">
        <v>13</v>
      </c>
      <c r="F1694" t="s">
        <v>14</v>
      </c>
      <c r="G1694">
        <v>5000000</v>
      </c>
      <c r="H1694">
        <v>7.1</v>
      </c>
      <c r="I1694" t="s">
        <v>23</v>
      </c>
      <c r="J1694" t="s">
        <v>24</v>
      </c>
    </row>
    <row r="1695" spans="1:13" x14ac:dyDescent="0.25">
      <c r="A1695" t="s">
        <v>2893</v>
      </c>
      <c r="B1695">
        <v>152</v>
      </c>
      <c r="C1695">
        <v>43650000</v>
      </c>
      <c r="D1695" t="s">
        <v>2894</v>
      </c>
      <c r="E1695" t="s">
        <v>13</v>
      </c>
      <c r="F1695" t="s">
        <v>14</v>
      </c>
      <c r="G1695">
        <v>6000000</v>
      </c>
      <c r="H1695">
        <v>7.6</v>
      </c>
      <c r="I1695" t="s">
        <v>38</v>
      </c>
      <c r="J1695" t="s">
        <v>31</v>
      </c>
      <c r="K1695" t="s">
        <v>59</v>
      </c>
      <c r="L1695" t="s">
        <v>19</v>
      </c>
      <c r="M1695" t="s">
        <v>24</v>
      </c>
    </row>
    <row r="1696" spans="1:13" x14ac:dyDescent="0.25">
      <c r="A1696" t="s">
        <v>2895</v>
      </c>
      <c r="B1696">
        <v>113</v>
      </c>
      <c r="C1696">
        <v>43601508</v>
      </c>
      <c r="D1696" t="s">
        <v>2896</v>
      </c>
      <c r="E1696" t="s">
        <v>13</v>
      </c>
      <c r="F1696" t="s">
        <v>14</v>
      </c>
      <c r="G1696">
        <v>18000000</v>
      </c>
      <c r="H1696">
        <v>6.7</v>
      </c>
      <c r="I1696" t="s">
        <v>15</v>
      </c>
      <c r="J1696" t="s">
        <v>31</v>
      </c>
      <c r="K1696" t="s">
        <v>19</v>
      </c>
    </row>
    <row r="1697" spans="1:14" x14ac:dyDescent="0.25">
      <c r="A1697" t="s">
        <v>115</v>
      </c>
      <c r="B1697">
        <v>82</v>
      </c>
      <c r="C1697">
        <v>43575716</v>
      </c>
      <c r="D1697" t="s">
        <v>2897</v>
      </c>
      <c r="E1697" t="s">
        <v>13</v>
      </c>
      <c r="F1697" t="s">
        <v>14</v>
      </c>
      <c r="G1697">
        <v>85000000</v>
      </c>
      <c r="H1697">
        <v>4.3</v>
      </c>
      <c r="I1697" t="s">
        <v>34</v>
      </c>
      <c r="J1697" t="s">
        <v>15</v>
      </c>
      <c r="K1697" t="s">
        <v>16</v>
      </c>
      <c r="L1697" t="s">
        <v>17</v>
      </c>
    </row>
    <row r="1698" spans="1:14" x14ac:dyDescent="0.25">
      <c r="A1698" t="s">
        <v>2898</v>
      </c>
      <c r="B1698">
        <v>132</v>
      </c>
      <c r="C1698">
        <v>43568507</v>
      </c>
      <c r="D1698" t="s">
        <v>2899</v>
      </c>
      <c r="E1698" t="s">
        <v>13</v>
      </c>
      <c r="F1698" t="s">
        <v>14</v>
      </c>
      <c r="G1698">
        <v>66000000</v>
      </c>
      <c r="H1698">
        <v>6.5</v>
      </c>
      <c r="I1698" t="s">
        <v>34</v>
      </c>
      <c r="J1698" t="s">
        <v>38</v>
      </c>
      <c r="K1698" t="s">
        <v>31</v>
      </c>
      <c r="L1698" t="s">
        <v>24</v>
      </c>
    </row>
    <row r="1699" spans="1:14" x14ac:dyDescent="0.25">
      <c r="A1699" t="s">
        <v>982</v>
      </c>
      <c r="B1699">
        <v>131</v>
      </c>
      <c r="C1699">
        <v>43532294</v>
      </c>
      <c r="D1699" t="s">
        <v>2900</v>
      </c>
      <c r="E1699" t="s">
        <v>13</v>
      </c>
      <c r="F1699" t="s">
        <v>14</v>
      </c>
      <c r="G1699">
        <v>65000000</v>
      </c>
      <c r="H1699">
        <v>7.1</v>
      </c>
      <c r="I1699" t="s">
        <v>31</v>
      </c>
      <c r="J1699" t="s">
        <v>41</v>
      </c>
    </row>
    <row r="1700" spans="1:14" x14ac:dyDescent="0.25">
      <c r="A1700" t="s">
        <v>1190</v>
      </c>
      <c r="B1700">
        <v>115</v>
      </c>
      <c r="C1700">
        <v>43490057</v>
      </c>
      <c r="D1700" t="s">
        <v>2901</v>
      </c>
      <c r="E1700" t="s">
        <v>13</v>
      </c>
      <c r="F1700" t="s">
        <v>14</v>
      </c>
      <c r="G1700">
        <v>7500000</v>
      </c>
      <c r="H1700">
        <v>6.9</v>
      </c>
      <c r="I1700" t="s">
        <v>15</v>
      </c>
      <c r="J1700" t="s">
        <v>31</v>
      </c>
    </row>
    <row r="1701" spans="1:14" x14ac:dyDescent="0.25">
      <c r="A1701" t="s">
        <v>147</v>
      </c>
      <c r="B1701">
        <v>142</v>
      </c>
      <c r="C1701">
        <v>43426961</v>
      </c>
      <c r="D1701" t="s">
        <v>2902</v>
      </c>
      <c r="E1701" t="s">
        <v>13</v>
      </c>
      <c r="F1701" t="s">
        <v>14</v>
      </c>
      <c r="G1701">
        <v>70000000</v>
      </c>
      <c r="H1701">
        <v>6.6</v>
      </c>
      <c r="I1701" t="s">
        <v>34</v>
      </c>
      <c r="J1701" t="s">
        <v>31</v>
      </c>
      <c r="K1701" t="s">
        <v>24</v>
      </c>
      <c r="L1701" t="s">
        <v>83</v>
      </c>
    </row>
    <row r="1702" spans="1:14" x14ac:dyDescent="0.25">
      <c r="A1702" t="s">
        <v>84</v>
      </c>
      <c r="B1702">
        <v>100</v>
      </c>
      <c r="C1702">
        <v>43337279</v>
      </c>
      <c r="D1702" t="s">
        <v>2903</v>
      </c>
      <c r="E1702" t="s">
        <v>13</v>
      </c>
      <c r="F1702" t="s">
        <v>14</v>
      </c>
      <c r="G1702">
        <v>60000000</v>
      </c>
      <c r="H1702">
        <v>4.9000000000000004</v>
      </c>
      <c r="I1702" t="s">
        <v>28</v>
      </c>
      <c r="J1702" t="s">
        <v>15</v>
      </c>
    </row>
    <row r="1703" spans="1:14" x14ac:dyDescent="0.25">
      <c r="A1703" t="s">
        <v>87</v>
      </c>
      <c r="B1703">
        <v>117</v>
      </c>
      <c r="C1703">
        <v>43290977</v>
      </c>
      <c r="D1703" t="s">
        <v>2904</v>
      </c>
      <c r="E1703" t="s">
        <v>13</v>
      </c>
      <c r="F1703" t="s">
        <v>82</v>
      </c>
      <c r="G1703">
        <v>80000000</v>
      </c>
      <c r="H1703">
        <v>6.6</v>
      </c>
      <c r="I1703" t="s">
        <v>38</v>
      </c>
      <c r="J1703" t="s">
        <v>31</v>
      </c>
      <c r="K1703" t="s">
        <v>23</v>
      </c>
      <c r="L1703" t="s">
        <v>24</v>
      </c>
    </row>
    <row r="1704" spans="1:14" x14ac:dyDescent="0.25">
      <c r="A1704" t="s">
        <v>517</v>
      </c>
      <c r="B1704">
        <v>121</v>
      </c>
      <c r="C1704">
        <v>43247140</v>
      </c>
      <c r="D1704" t="s">
        <v>2905</v>
      </c>
      <c r="E1704" t="s">
        <v>13</v>
      </c>
      <c r="F1704" t="s">
        <v>82</v>
      </c>
      <c r="G1704">
        <v>55000000</v>
      </c>
      <c r="H1704">
        <v>7.1</v>
      </c>
      <c r="I1704" t="s">
        <v>28</v>
      </c>
      <c r="J1704" t="s">
        <v>42</v>
      </c>
      <c r="K1704" t="s">
        <v>31</v>
      </c>
      <c r="L1704" t="s">
        <v>64</v>
      </c>
      <c r="M1704" t="s">
        <v>41</v>
      </c>
      <c r="N1704" t="s">
        <v>24</v>
      </c>
    </row>
    <row r="1705" spans="1:14" x14ac:dyDescent="0.25">
      <c r="A1705" t="s">
        <v>651</v>
      </c>
      <c r="B1705">
        <v>116</v>
      </c>
      <c r="C1705">
        <v>43119879</v>
      </c>
      <c r="D1705" t="s">
        <v>2906</v>
      </c>
      <c r="E1705" t="s">
        <v>13</v>
      </c>
      <c r="F1705" t="s">
        <v>14</v>
      </c>
      <c r="G1705">
        <v>60000000</v>
      </c>
      <c r="H1705">
        <v>6.4</v>
      </c>
      <c r="I1705" t="s">
        <v>34</v>
      </c>
      <c r="J1705" t="s">
        <v>28</v>
      </c>
      <c r="K1705" t="s">
        <v>37</v>
      </c>
      <c r="L1705" t="s">
        <v>24</v>
      </c>
    </row>
    <row r="1706" spans="1:14" x14ac:dyDescent="0.25">
      <c r="A1706" t="s">
        <v>773</v>
      </c>
      <c r="B1706">
        <v>117</v>
      </c>
      <c r="C1706">
        <v>43100000</v>
      </c>
      <c r="D1706" t="s">
        <v>2907</v>
      </c>
      <c r="E1706" t="s">
        <v>13</v>
      </c>
      <c r="F1706" t="s">
        <v>82</v>
      </c>
      <c r="G1706">
        <v>9500000</v>
      </c>
      <c r="H1706">
        <v>6.9</v>
      </c>
      <c r="I1706" t="s">
        <v>34</v>
      </c>
      <c r="J1706" t="s">
        <v>28</v>
      </c>
      <c r="K1706" t="s">
        <v>24</v>
      </c>
    </row>
    <row r="1707" spans="1:14" x14ac:dyDescent="0.25">
      <c r="A1707" t="s">
        <v>815</v>
      </c>
      <c r="B1707">
        <v>104</v>
      </c>
      <c r="C1707">
        <v>43097652</v>
      </c>
      <c r="D1707" t="s">
        <v>2908</v>
      </c>
      <c r="E1707" t="s">
        <v>13</v>
      </c>
      <c r="F1707" t="s">
        <v>14</v>
      </c>
      <c r="G1707">
        <v>28000000</v>
      </c>
      <c r="H1707">
        <v>6.3</v>
      </c>
      <c r="I1707" t="s">
        <v>15</v>
      </c>
      <c r="J1707" t="s">
        <v>31</v>
      </c>
      <c r="K1707" t="s">
        <v>19</v>
      </c>
    </row>
    <row r="1708" spans="1:14" x14ac:dyDescent="0.25">
      <c r="A1708" t="s">
        <v>2909</v>
      </c>
      <c r="B1708">
        <v>87</v>
      </c>
      <c r="C1708">
        <v>43095600</v>
      </c>
      <c r="D1708" t="s">
        <v>2910</v>
      </c>
      <c r="E1708" t="s">
        <v>13</v>
      </c>
      <c r="F1708" t="s">
        <v>295</v>
      </c>
      <c r="G1708">
        <v>32000000</v>
      </c>
      <c r="H1708">
        <v>6.3</v>
      </c>
      <c r="I1708" t="s">
        <v>34</v>
      </c>
      <c r="J1708" t="s">
        <v>38</v>
      </c>
      <c r="K1708" t="s">
        <v>24</v>
      </c>
    </row>
    <row r="1709" spans="1:14" x14ac:dyDescent="0.25">
      <c r="A1709" t="s">
        <v>352</v>
      </c>
      <c r="B1709">
        <v>101</v>
      </c>
      <c r="C1709">
        <v>43060566</v>
      </c>
      <c r="D1709" t="s">
        <v>2911</v>
      </c>
      <c r="E1709" t="s">
        <v>13</v>
      </c>
      <c r="F1709" t="s">
        <v>14</v>
      </c>
      <c r="G1709">
        <v>60000000</v>
      </c>
      <c r="H1709">
        <v>6.2</v>
      </c>
      <c r="I1709" t="s">
        <v>34</v>
      </c>
      <c r="J1709" t="s">
        <v>28</v>
      </c>
      <c r="K1709" t="s">
        <v>17</v>
      </c>
      <c r="L1709" t="s">
        <v>37</v>
      </c>
      <c r="M1709" t="s">
        <v>24</v>
      </c>
    </row>
    <row r="1710" spans="1:14" x14ac:dyDescent="0.25">
      <c r="A1710" t="s">
        <v>371</v>
      </c>
      <c r="B1710">
        <v>97</v>
      </c>
      <c r="C1710">
        <v>43022524</v>
      </c>
      <c r="D1710" t="s">
        <v>2912</v>
      </c>
      <c r="E1710" t="s">
        <v>13</v>
      </c>
      <c r="F1710" t="s">
        <v>14</v>
      </c>
      <c r="G1710">
        <v>15000000</v>
      </c>
      <c r="H1710">
        <v>7.1</v>
      </c>
      <c r="I1710" t="s">
        <v>15</v>
      </c>
      <c r="J1710" t="s">
        <v>31</v>
      </c>
    </row>
    <row r="1711" spans="1:14" x14ac:dyDescent="0.25">
      <c r="A1711" t="s">
        <v>2913</v>
      </c>
      <c r="B1711">
        <v>112</v>
      </c>
      <c r="C1711">
        <v>42919096</v>
      </c>
      <c r="D1711" t="s">
        <v>2914</v>
      </c>
      <c r="E1711" t="s">
        <v>13</v>
      </c>
      <c r="F1711" t="s">
        <v>14</v>
      </c>
      <c r="G1711">
        <v>15000000</v>
      </c>
      <c r="H1711">
        <v>6.5</v>
      </c>
      <c r="I1711" t="s">
        <v>34</v>
      </c>
      <c r="J1711" t="s">
        <v>31</v>
      </c>
      <c r="K1711" t="s">
        <v>24</v>
      </c>
    </row>
    <row r="1712" spans="1:14" x14ac:dyDescent="0.25">
      <c r="A1712" t="s">
        <v>2913</v>
      </c>
      <c r="B1712">
        <v>112</v>
      </c>
      <c r="C1712">
        <v>42919096</v>
      </c>
      <c r="D1712" t="s">
        <v>2914</v>
      </c>
      <c r="E1712" t="s">
        <v>13</v>
      </c>
      <c r="F1712" t="s">
        <v>14</v>
      </c>
      <c r="G1712">
        <v>15000000</v>
      </c>
      <c r="H1712">
        <v>6.5</v>
      </c>
      <c r="I1712" t="s">
        <v>34</v>
      </c>
      <c r="J1712" t="s">
        <v>31</v>
      </c>
      <c r="K1712" t="s">
        <v>24</v>
      </c>
    </row>
    <row r="1713" spans="1:14" x14ac:dyDescent="0.25">
      <c r="A1713" t="s">
        <v>162</v>
      </c>
      <c r="B1713">
        <v>111</v>
      </c>
      <c r="C1713">
        <v>42877165</v>
      </c>
      <c r="D1713" t="s">
        <v>2915</v>
      </c>
      <c r="E1713" t="s">
        <v>13</v>
      </c>
      <c r="F1713" t="s">
        <v>14</v>
      </c>
      <c r="G1713">
        <v>86000000</v>
      </c>
      <c r="H1713">
        <v>6.1</v>
      </c>
      <c r="I1713" t="s">
        <v>34</v>
      </c>
      <c r="J1713" t="s">
        <v>38</v>
      </c>
      <c r="K1713" t="s">
        <v>31</v>
      </c>
      <c r="L1713" t="s">
        <v>24</v>
      </c>
    </row>
    <row r="1714" spans="1:14" x14ac:dyDescent="0.25">
      <c r="A1714" t="s">
        <v>369</v>
      </c>
      <c r="B1714">
        <v>136</v>
      </c>
      <c r="C1714">
        <v>42700000</v>
      </c>
      <c r="D1714" t="s">
        <v>2916</v>
      </c>
      <c r="E1714" t="s">
        <v>13</v>
      </c>
      <c r="F1714" t="s">
        <v>14</v>
      </c>
      <c r="G1714">
        <v>16500000</v>
      </c>
      <c r="H1714">
        <v>7.7</v>
      </c>
      <c r="I1714" t="s">
        <v>31</v>
      </c>
      <c r="J1714" t="s">
        <v>19</v>
      </c>
    </row>
    <row r="1715" spans="1:14" x14ac:dyDescent="0.25">
      <c r="A1715" t="s">
        <v>2917</v>
      </c>
      <c r="B1715">
        <v>94</v>
      </c>
      <c r="C1715">
        <v>42672630</v>
      </c>
      <c r="D1715" t="s">
        <v>2918</v>
      </c>
      <c r="E1715" t="s">
        <v>13</v>
      </c>
      <c r="F1715" t="s">
        <v>14</v>
      </c>
      <c r="G1715">
        <v>17000000</v>
      </c>
      <c r="H1715">
        <v>5.3</v>
      </c>
      <c r="I1715" t="s">
        <v>28</v>
      </c>
      <c r="J1715" t="s">
        <v>15</v>
      </c>
      <c r="K1715" t="s">
        <v>16</v>
      </c>
      <c r="L1715" t="s">
        <v>18</v>
      </c>
      <c r="M1715" t="s">
        <v>19</v>
      </c>
    </row>
    <row r="1716" spans="1:14" x14ac:dyDescent="0.25">
      <c r="A1716" t="s">
        <v>2919</v>
      </c>
      <c r="B1716">
        <v>96</v>
      </c>
      <c r="C1716">
        <v>42660000</v>
      </c>
      <c r="D1716" t="s">
        <v>2920</v>
      </c>
      <c r="E1716" t="s">
        <v>13</v>
      </c>
      <c r="F1716" t="s">
        <v>14</v>
      </c>
      <c r="G1716">
        <v>17000000</v>
      </c>
      <c r="H1716">
        <v>4.8</v>
      </c>
      <c r="I1716" t="s">
        <v>34</v>
      </c>
      <c r="J1716" t="s">
        <v>28</v>
      </c>
      <c r="K1716" t="s">
        <v>15</v>
      </c>
      <c r="L1716" t="s">
        <v>16</v>
      </c>
      <c r="M1716" t="s">
        <v>17</v>
      </c>
      <c r="N1716" t="s">
        <v>37</v>
      </c>
    </row>
    <row r="1717" spans="1:14" x14ac:dyDescent="0.25">
      <c r="A1717" t="s">
        <v>2921</v>
      </c>
      <c r="B1717">
        <v>111</v>
      </c>
      <c r="C1717">
        <v>42652003</v>
      </c>
      <c r="D1717" t="s">
        <v>2922</v>
      </c>
      <c r="E1717" t="s">
        <v>13</v>
      </c>
      <c r="F1717" t="s">
        <v>14</v>
      </c>
      <c r="G1717">
        <v>20000000</v>
      </c>
      <c r="H1717">
        <v>6.8</v>
      </c>
      <c r="I1717" t="s">
        <v>28</v>
      </c>
      <c r="J1717" t="s">
        <v>16</v>
      </c>
    </row>
    <row r="1718" spans="1:14" x14ac:dyDescent="0.25">
      <c r="A1718" t="s">
        <v>2923</v>
      </c>
      <c r="B1718">
        <v>118</v>
      </c>
      <c r="C1718">
        <v>42643187</v>
      </c>
      <c r="D1718" t="s">
        <v>2924</v>
      </c>
      <c r="E1718" t="s">
        <v>13</v>
      </c>
      <c r="F1718" t="s">
        <v>14</v>
      </c>
      <c r="G1718">
        <v>39751583.5</v>
      </c>
      <c r="H1718">
        <v>7.2</v>
      </c>
      <c r="I1718" t="s">
        <v>42</v>
      </c>
      <c r="J1718" t="s">
        <v>31</v>
      </c>
      <c r="K1718" t="s">
        <v>41</v>
      </c>
    </row>
    <row r="1719" spans="1:14" x14ac:dyDescent="0.25">
      <c r="A1719" t="s">
        <v>2925</v>
      </c>
      <c r="B1719">
        <v>102</v>
      </c>
      <c r="C1719">
        <v>42640890</v>
      </c>
      <c r="D1719" t="s">
        <v>2926</v>
      </c>
      <c r="E1719" t="s">
        <v>13</v>
      </c>
      <c r="F1719" t="s">
        <v>14</v>
      </c>
      <c r="G1719">
        <v>39751583.5</v>
      </c>
      <c r="H1719">
        <v>5.6</v>
      </c>
      <c r="I1719" t="s">
        <v>15</v>
      </c>
      <c r="J1719" t="s">
        <v>19</v>
      </c>
    </row>
    <row r="1720" spans="1:14" x14ac:dyDescent="0.25">
      <c r="A1720" t="s">
        <v>1056</v>
      </c>
      <c r="B1720">
        <v>89</v>
      </c>
      <c r="C1720">
        <v>42638165</v>
      </c>
      <c r="D1720" t="s">
        <v>2927</v>
      </c>
      <c r="E1720" t="s">
        <v>13</v>
      </c>
      <c r="F1720" t="s">
        <v>14</v>
      </c>
      <c r="G1720">
        <v>16000000</v>
      </c>
      <c r="H1720">
        <v>4.8</v>
      </c>
      <c r="I1720" t="s">
        <v>31</v>
      </c>
      <c r="J1720" t="s">
        <v>17</v>
      </c>
      <c r="K1720" t="s">
        <v>22</v>
      </c>
      <c r="L1720" t="s">
        <v>23</v>
      </c>
      <c r="M1720" t="s">
        <v>24</v>
      </c>
    </row>
    <row r="1721" spans="1:14" x14ac:dyDescent="0.25">
      <c r="A1721" t="s">
        <v>1056</v>
      </c>
      <c r="B1721">
        <v>89</v>
      </c>
      <c r="C1721">
        <v>42638165</v>
      </c>
      <c r="D1721" t="s">
        <v>2927</v>
      </c>
      <c r="E1721" t="s">
        <v>13</v>
      </c>
      <c r="F1721" t="s">
        <v>14</v>
      </c>
      <c r="G1721">
        <v>16000000</v>
      </c>
      <c r="H1721">
        <v>4.8</v>
      </c>
      <c r="I1721" t="s">
        <v>31</v>
      </c>
      <c r="J1721" t="s">
        <v>17</v>
      </c>
      <c r="K1721" t="s">
        <v>22</v>
      </c>
      <c r="L1721" t="s">
        <v>23</v>
      </c>
      <c r="M1721" t="s">
        <v>24</v>
      </c>
    </row>
    <row r="1722" spans="1:14" x14ac:dyDescent="0.25">
      <c r="A1722" t="s">
        <v>405</v>
      </c>
      <c r="B1722">
        <v>136</v>
      </c>
      <c r="C1722">
        <v>42615685</v>
      </c>
      <c r="D1722" t="s">
        <v>2928</v>
      </c>
      <c r="E1722" t="s">
        <v>13</v>
      </c>
      <c r="F1722" t="s">
        <v>14</v>
      </c>
      <c r="G1722">
        <v>40000000</v>
      </c>
      <c r="H1722">
        <v>6.1</v>
      </c>
      <c r="I1722" t="s">
        <v>15</v>
      </c>
      <c r="J1722" t="s">
        <v>69</v>
      </c>
    </row>
    <row r="1723" spans="1:14" x14ac:dyDescent="0.25">
      <c r="A1723" t="s">
        <v>281</v>
      </c>
      <c r="B1723">
        <v>104</v>
      </c>
      <c r="C1723">
        <v>42610000</v>
      </c>
      <c r="D1723" t="s">
        <v>2929</v>
      </c>
      <c r="E1723" t="s">
        <v>13</v>
      </c>
      <c r="F1723" t="s">
        <v>14</v>
      </c>
      <c r="G1723">
        <v>55000000</v>
      </c>
      <c r="H1723">
        <v>5.5</v>
      </c>
      <c r="I1723" t="s">
        <v>34</v>
      </c>
      <c r="J1723" t="s">
        <v>15</v>
      </c>
      <c r="K1723" t="s">
        <v>38</v>
      </c>
      <c r="L1723" t="s">
        <v>24</v>
      </c>
    </row>
    <row r="1724" spans="1:14" x14ac:dyDescent="0.25">
      <c r="A1724" t="s">
        <v>2930</v>
      </c>
      <c r="B1724">
        <v>98</v>
      </c>
      <c r="C1724">
        <v>42592530</v>
      </c>
      <c r="D1724" t="s">
        <v>2931</v>
      </c>
      <c r="E1724" t="s">
        <v>13</v>
      </c>
      <c r="F1724" t="s">
        <v>14</v>
      </c>
      <c r="G1724">
        <v>15000000</v>
      </c>
      <c r="H1724">
        <v>6.2</v>
      </c>
      <c r="I1724" t="s">
        <v>15</v>
      </c>
      <c r="J1724" t="s">
        <v>17</v>
      </c>
      <c r="K1724" t="s">
        <v>22</v>
      </c>
    </row>
    <row r="1725" spans="1:14" x14ac:dyDescent="0.25">
      <c r="A1725" t="s">
        <v>2771</v>
      </c>
      <c r="B1725">
        <v>92</v>
      </c>
      <c r="C1725">
        <v>42575718</v>
      </c>
      <c r="D1725" t="s">
        <v>2932</v>
      </c>
      <c r="E1725" t="s">
        <v>13</v>
      </c>
      <c r="F1725" t="s">
        <v>14</v>
      </c>
      <c r="G1725">
        <v>40000000</v>
      </c>
      <c r="H1725">
        <v>5.9</v>
      </c>
      <c r="I1725" t="s">
        <v>22</v>
      </c>
    </row>
    <row r="1726" spans="1:14" x14ac:dyDescent="0.25">
      <c r="A1726" t="s">
        <v>2933</v>
      </c>
      <c r="B1726">
        <v>112</v>
      </c>
      <c r="C1726">
        <v>42478175</v>
      </c>
      <c r="D1726" t="s">
        <v>2934</v>
      </c>
      <c r="E1726" t="s">
        <v>13</v>
      </c>
      <c r="F1726" t="s">
        <v>14</v>
      </c>
      <c r="G1726">
        <v>25000000</v>
      </c>
      <c r="H1726">
        <v>7.2</v>
      </c>
      <c r="I1726" t="s">
        <v>31</v>
      </c>
      <c r="J1726" t="s">
        <v>17</v>
      </c>
      <c r="K1726" t="s">
        <v>19</v>
      </c>
    </row>
    <row r="1727" spans="1:14" x14ac:dyDescent="0.25">
      <c r="A1727" t="s">
        <v>452</v>
      </c>
      <c r="B1727">
        <v>178</v>
      </c>
      <c r="C1727">
        <v>42438300</v>
      </c>
      <c r="D1727" t="s">
        <v>2935</v>
      </c>
      <c r="E1727" t="s">
        <v>13</v>
      </c>
      <c r="F1727" t="s">
        <v>14</v>
      </c>
      <c r="G1727">
        <v>52000000</v>
      </c>
      <c r="H1727">
        <v>8.1999999999999993</v>
      </c>
      <c r="I1727" t="s">
        <v>42</v>
      </c>
      <c r="J1727" t="s">
        <v>38</v>
      </c>
      <c r="K1727" t="s">
        <v>31</v>
      </c>
    </row>
    <row r="1728" spans="1:14" x14ac:dyDescent="0.25">
      <c r="A1728" t="s">
        <v>560</v>
      </c>
      <c r="B1728">
        <v>107</v>
      </c>
      <c r="C1728">
        <v>42385520</v>
      </c>
      <c r="D1728" t="s">
        <v>2936</v>
      </c>
      <c r="E1728" t="s">
        <v>13</v>
      </c>
      <c r="F1728" t="s">
        <v>14</v>
      </c>
      <c r="G1728">
        <v>30000000</v>
      </c>
      <c r="H1728">
        <v>6.2</v>
      </c>
      <c r="I1728" t="s">
        <v>31</v>
      </c>
      <c r="J1728" t="s">
        <v>18</v>
      </c>
      <c r="K1728" t="s">
        <v>19</v>
      </c>
    </row>
    <row r="1729" spans="1:13" x14ac:dyDescent="0.25">
      <c r="A1729" t="s">
        <v>2937</v>
      </c>
      <c r="B1729">
        <v>103</v>
      </c>
      <c r="C1729">
        <v>42365600</v>
      </c>
      <c r="D1729" t="s">
        <v>2938</v>
      </c>
      <c r="E1729" t="s">
        <v>13</v>
      </c>
      <c r="F1729" t="s">
        <v>82</v>
      </c>
      <c r="G1729">
        <v>5000000</v>
      </c>
      <c r="H1729">
        <v>7</v>
      </c>
      <c r="I1729" t="s">
        <v>28</v>
      </c>
      <c r="J1729" t="s">
        <v>15</v>
      </c>
      <c r="K1729" t="s">
        <v>17</v>
      </c>
      <c r="L1729" t="s">
        <v>37</v>
      </c>
    </row>
    <row r="1730" spans="1:13" x14ac:dyDescent="0.25">
      <c r="A1730" t="s">
        <v>417</v>
      </c>
      <c r="B1730">
        <v>96</v>
      </c>
      <c r="C1730">
        <v>42345531</v>
      </c>
      <c r="D1730" t="s">
        <v>2939</v>
      </c>
      <c r="E1730" t="s">
        <v>13</v>
      </c>
      <c r="F1730" t="s">
        <v>241</v>
      </c>
      <c r="G1730">
        <v>65000000</v>
      </c>
      <c r="H1730">
        <v>5.4</v>
      </c>
      <c r="I1730" t="s">
        <v>34</v>
      </c>
      <c r="J1730" t="s">
        <v>22</v>
      </c>
      <c r="K1730" t="s">
        <v>37</v>
      </c>
      <c r="L1730" t="s">
        <v>24</v>
      </c>
    </row>
    <row r="1731" spans="1:13" x14ac:dyDescent="0.25">
      <c r="A1731" t="s">
        <v>2940</v>
      </c>
      <c r="B1731">
        <v>119</v>
      </c>
      <c r="C1731">
        <v>42335698</v>
      </c>
      <c r="D1731" t="s">
        <v>2941</v>
      </c>
      <c r="E1731" t="s">
        <v>13</v>
      </c>
      <c r="F1731" t="s">
        <v>14</v>
      </c>
      <c r="G1731">
        <v>18000000</v>
      </c>
      <c r="H1731">
        <v>7.8</v>
      </c>
      <c r="I1731" t="s">
        <v>15</v>
      </c>
      <c r="J1731" t="s">
        <v>31</v>
      </c>
      <c r="K1731" t="s">
        <v>19</v>
      </c>
    </row>
    <row r="1732" spans="1:13" x14ac:dyDescent="0.25">
      <c r="A1732" t="s">
        <v>210</v>
      </c>
      <c r="B1732">
        <v>110</v>
      </c>
      <c r="C1732">
        <v>42272747</v>
      </c>
      <c r="D1732" t="s">
        <v>2942</v>
      </c>
      <c r="E1732" t="s">
        <v>13</v>
      </c>
      <c r="F1732" t="s">
        <v>14</v>
      </c>
      <c r="G1732">
        <v>70000000</v>
      </c>
      <c r="H1732">
        <v>5.6</v>
      </c>
      <c r="I1732" t="s">
        <v>31</v>
      </c>
      <c r="J1732" t="s">
        <v>17</v>
      </c>
      <c r="K1732" t="s">
        <v>23</v>
      </c>
      <c r="L1732" t="s">
        <v>24</v>
      </c>
    </row>
    <row r="1733" spans="1:13" x14ac:dyDescent="0.25">
      <c r="A1733" t="s">
        <v>2943</v>
      </c>
      <c r="B1733">
        <v>91</v>
      </c>
      <c r="C1733">
        <v>42194060</v>
      </c>
      <c r="D1733" t="s">
        <v>2944</v>
      </c>
      <c r="E1733" t="s">
        <v>13</v>
      </c>
      <c r="F1733" t="s">
        <v>910</v>
      </c>
      <c r="G1733">
        <v>70000000</v>
      </c>
      <c r="H1733">
        <v>6.1</v>
      </c>
      <c r="I1733" t="s">
        <v>28</v>
      </c>
      <c r="J1733" t="s">
        <v>46</v>
      </c>
      <c r="K1733" t="s">
        <v>15</v>
      </c>
      <c r="L1733" t="s">
        <v>16</v>
      </c>
      <c r="M1733" t="s">
        <v>37</v>
      </c>
    </row>
    <row r="1734" spans="1:13" x14ac:dyDescent="0.25">
      <c r="A1734" t="s">
        <v>611</v>
      </c>
      <c r="B1734">
        <v>114</v>
      </c>
      <c r="C1734">
        <v>42168445</v>
      </c>
      <c r="D1734" t="s">
        <v>2945</v>
      </c>
      <c r="E1734" t="s">
        <v>13</v>
      </c>
      <c r="F1734" t="s">
        <v>14</v>
      </c>
      <c r="G1734">
        <v>35000000</v>
      </c>
      <c r="H1734">
        <v>5.3</v>
      </c>
      <c r="I1734" t="s">
        <v>15</v>
      </c>
      <c r="J1734" t="s">
        <v>31</v>
      </c>
      <c r="K1734" t="s">
        <v>19</v>
      </c>
    </row>
    <row r="1735" spans="1:13" x14ac:dyDescent="0.25">
      <c r="A1735" t="s">
        <v>272</v>
      </c>
      <c r="B1735">
        <v>104</v>
      </c>
      <c r="C1735">
        <v>42071069</v>
      </c>
      <c r="D1735" t="s">
        <v>2946</v>
      </c>
      <c r="E1735" t="s">
        <v>13</v>
      </c>
      <c r="F1735" t="s">
        <v>14</v>
      </c>
      <c r="G1735">
        <v>30000000</v>
      </c>
      <c r="H1735">
        <v>6.2</v>
      </c>
      <c r="I1735" t="s">
        <v>15</v>
      </c>
      <c r="J1735" t="s">
        <v>31</v>
      </c>
      <c r="K1735" t="s">
        <v>19</v>
      </c>
      <c r="L1735" t="s">
        <v>41</v>
      </c>
    </row>
    <row r="1736" spans="1:13" x14ac:dyDescent="0.25">
      <c r="A1736" t="s">
        <v>2577</v>
      </c>
      <c r="B1736">
        <v>99</v>
      </c>
      <c r="C1736">
        <v>42057340</v>
      </c>
      <c r="D1736" t="s">
        <v>2947</v>
      </c>
      <c r="E1736" t="s">
        <v>13</v>
      </c>
      <c r="F1736" t="s">
        <v>14</v>
      </c>
      <c r="G1736">
        <v>30000000</v>
      </c>
      <c r="H1736">
        <v>6.6</v>
      </c>
      <c r="I1736" t="s">
        <v>22</v>
      </c>
      <c r="J1736" t="s">
        <v>24</v>
      </c>
    </row>
    <row r="1737" spans="1:13" x14ac:dyDescent="0.25">
      <c r="A1737" t="s">
        <v>2948</v>
      </c>
      <c r="B1737">
        <v>131</v>
      </c>
      <c r="C1737">
        <v>42044321</v>
      </c>
      <c r="D1737" t="s">
        <v>2949</v>
      </c>
      <c r="E1737" t="s">
        <v>13</v>
      </c>
      <c r="F1737" t="s">
        <v>14</v>
      </c>
      <c r="G1737">
        <v>80000000</v>
      </c>
      <c r="H1737">
        <v>6.5</v>
      </c>
      <c r="I1737" t="s">
        <v>15</v>
      </c>
      <c r="J1737" t="s">
        <v>31</v>
      </c>
      <c r="K1737" t="s">
        <v>19</v>
      </c>
    </row>
    <row r="1738" spans="1:13" x14ac:dyDescent="0.25">
      <c r="A1738" t="s">
        <v>2950</v>
      </c>
      <c r="B1738">
        <v>95</v>
      </c>
      <c r="C1738">
        <v>42043633</v>
      </c>
      <c r="D1738" t="s">
        <v>2951</v>
      </c>
      <c r="E1738" t="s">
        <v>13</v>
      </c>
      <c r="F1738" t="s">
        <v>14</v>
      </c>
      <c r="G1738">
        <v>30000000</v>
      </c>
      <c r="H1738">
        <v>7</v>
      </c>
      <c r="I1738" t="s">
        <v>17</v>
      </c>
      <c r="J1738" t="s">
        <v>22</v>
      </c>
      <c r="K1738" t="s">
        <v>23</v>
      </c>
      <c r="L1738" t="s">
        <v>24</v>
      </c>
    </row>
    <row r="1739" spans="1:13" x14ac:dyDescent="0.25">
      <c r="A1739" t="s">
        <v>570</v>
      </c>
      <c r="B1739">
        <v>107</v>
      </c>
      <c r="C1739">
        <v>42019483</v>
      </c>
      <c r="D1739" t="s">
        <v>2952</v>
      </c>
      <c r="E1739" t="s">
        <v>13</v>
      </c>
      <c r="F1739" t="s">
        <v>14</v>
      </c>
      <c r="G1739">
        <v>36000000</v>
      </c>
      <c r="H1739">
        <v>6.4</v>
      </c>
      <c r="I1739" t="s">
        <v>31</v>
      </c>
      <c r="J1739" t="s">
        <v>16</v>
      </c>
    </row>
    <row r="1740" spans="1:13" x14ac:dyDescent="0.25">
      <c r="A1740" t="s">
        <v>2953</v>
      </c>
      <c r="B1740">
        <v>127</v>
      </c>
      <c r="C1740">
        <v>41997790</v>
      </c>
      <c r="D1740" t="s">
        <v>2954</v>
      </c>
      <c r="E1740" t="s">
        <v>13</v>
      </c>
      <c r="F1740" t="s">
        <v>14</v>
      </c>
      <c r="G1740">
        <v>38000000</v>
      </c>
      <c r="H1740">
        <v>6.4</v>
      </c>
      <c r="I1740" t="s">
        <v>34</v>
      </c>
      <c r="J1740" t="s">
        <v>37</v>
      </c>
      <c r="K1740" t="s">
        <v>24</v>
      </c>
    </row>
    <row r="1741" spans="1:13" x14ac:dyDescent="0.25">
      <c r="A1741" t="s">
        <v>752</v>
      </c>
      <c r="B1741">
        <v>147</v>
      </c>
      <c r="C1741">
        <v>41954997</v>
      </c>
      <c r="D1741" t="s">
        <v>2955</v>
      </c>
      <c r="E1741" t="s">
        <v>13</v>
      </c>
      <c r="F1741" t="s">
        <v>14</v>
      </c>
      <c r="G1741">
        <v>35000000</v>
      </c>
      <c r="H1741">
        <v>7.8</v>
      </c>
      <c r="I1741" t="s">
        <v>42</v>
      </c>
      <c r="J1741" t="s">
        <v>38</v>
      </c>
      <c r="K1741" t="s">
        <v>31</v>
      </c>
    </row>
    <row r="1742" spans="1:13" x14ac:dyDescent="0.25">
      <c r="A1742" t="s">
        <v>2937</v>
      </c>
      <c r="B1742">
        <v>137</v>
      </c>
      <c r="C1742">
        <v>41895491</v>
      </c>
      <c r="D1742" t="s">
        <v>2956</v>
      </c>
      <c r="E1742" t="s">
        <v>13</v>
      </c>
      <c r="F1742" t="s">
        <v>14</v>
      </c>
      <c r="G1742">
        <v>24000000</v>
      </c>
      <c r="H1742">
        <v>7.6</v>
      </c>
      <c r="I1742" t="s">
        <v>15</v>
      </c>
      <c r="J1742" t="s">
        <v>31</v>
      </c>
      <c r="K1742" t="s">
        <v>17</v>
      </c>
    </row>
    <row r="1743" spans="1:13" x14ac:dyDescent="0.25">
      <c r="A1743" t="s">
        <v>2957</v>
      </c>
      <c r="B1743">
        <v>91</v>
      </c>
      <c r="C1743">
        <v>41867960</v>
      </c>
      <c r="D1743" t="s">
        <v>2958</v>
      </c>
      <c r="E1743" t="s">
        <v>13</v>
      </c>
      <c r="F1743" t="s">
        <v>14</v>
      </c>
      <c r="G1743">
        <v>20000000</v>
      </c>
      <c r="H1743">
        <v>5.5</v>
      </c>
      <c r="I1743" t="s">
        <v>22</v>
      </c>
    </row>
    <row r="1744" spans="1:13" x14ac:dyDescent="0.25">
      <c r="A1744" t="s">
        <v>348</v>
      </c>
      <c r="B1744">
        <v>125</v>
      </c>
      <c r="C1744">
        <v>41814863</v>
      </c>
      <c r="D1744" t="s">
        <v>2959</v>
      </c>
      <c r="E1744" t="s">
        <v>13</v>
      </c>
      <c r="F1744" t="s">
        <v>14</v>
      </c>
      <c r="G1744">
        <v>50000000</v>
      </c>
      <c r="H1744">
        <v>5.0999999999999996</v>
      </c>
      <c r="I1744" t="s">
        <v>22</v>
      </c>
      <c r="J1744" t="s">
        <v>23</v>
      </c>
      <c r="K1744" t="s">
        <v>24</v>
      </c>
    </row>
    <row r="1745" spans="1:12" x14ac:dyDescent="0.25">
      <c r="A1745" t="s">
        <v>2960</v>
      </c>
      <c r="B1745">
        <v>102</v>
      </c>
      <c r="C1745">
        <v>41797066</v>
      </c>
      <c r="D1745" t="s">
        <v>2961</v>
      </c>
      <c r="E1745" t="s">
        <v>13</v>
      </c>
      <c r="F1745" t="s">
        <v>14</v>
      </c>
      <c r="G1745">
        <v>40000000</v>
      </c>
      <c r="H1745">
        <v>4.7</v>
      </c>
      <c r="I1745" t="s">
        <v>34</v>
      </c>
      <c r="J1745" t="s">
        <v>22</v>
      </c>
      <c r="K1745" t="s">
        <v>37</v>
      </c>
      <c r="L1745" t="s">
        <v>24</v>
      </c>
    </row>
    <row r="1746" spans="1:12" x14ac:dyDescent="0.25">
      <c r="A1746" t="s">
        <v>2962</v>
      </c>
      <c r="B1746">
        <v>108</v>
      </c>
      <c r="C1746">
        <v>41777564</v>
      </c>
      <c r="D1746" t="s">
        <v>2963</v>
      </c>
      <c r="E1746" t="s">
        <v>13</v>
      </c>
      <c r="F1746" t="s">
        <v>14</v>
      </c>
      <c r="G1746">
        <v>15000000</v>
      </c>
      <c r="H1746">
        <v>6.4</v>
      </c>
      <c r="I1746" t="s">
        <v>22</v>
      </c>
    </row>
    <row r="1747" spans="1:12" x14ac:dyDescent="0.25">
      <c r="A1747" t="s">
        <v>1776</v>
      </c>
      <c r="B1747">
        <v>122</v>
      </c>
      <c r="C1747">
        <v>41609593</v>
      </c>
      <c r="D1747" t="s">
        <v>2964</v>
      </c>
      <c r="E1747" t="s">
        <v>13</v>
      </c>
      <c r="F1747" t="s">
        <v>82</v>
      </c>
      <c r="G1747">
        <v>55000000</v>
      </c>
      <c r="H1747">
        <v>7.3</v>
      </c>
      <c r="I1747" t="s">
        <v>34</v>
      </c>
      <c r="J1747" t="s">
        <v>28</v>
      </c>
      <c r="K1747" t="s">
        <v>38</v>
      </c>
      <c r="L1747" t="s">
        <v>24</v>
      </c>
    </row>
    <row r="1748" spans="1:12" x14ac:dyDescent="0.25">
      <c r="A1748" t="s">
        <v>2965</v>
      </c>
      <c r="B1748">
        <v>114</v>
      </c>
      <c r="C1748">
        <v>41597830</v>
      </c>
      <c r="D1748" t="s">
        <v>2966</v>
      </c>
      <c r="E1748" t="s">
        <v>13</v>
      </c>
      <c r="F1748" t="s">
        <v>14</v>
      </c>
      <c r="G1748">
        <v>25000000</v>
      </c>
      <c r="H1748">
        <v>7.6</v>
      </c>
      <c r="I1748" t="s">
        <v>31</v>
      </c>
      <c r="J1748" t="s">
        <v>19</v>
      </c>
    </row>
    <row r="1749" spans="1:12" x14ac:dyDescent="0.25">
      <c r="A1749" t="s">
        <v>254</v>
      </c>
      <c r="B1749">
        <v>123</v>
      </c>
      <c r="C1749">
        <v>41573740</v>
      </c>
      <c r="D1749" t="s">
        <v>2967</v>
      </c>
      <c r="E1749" t="s">
        <v>13</v>
      </c>
      <c r="F1749" t="s">
        <v>14</v>
      </c>
      <c r="G1749">
        <v>39751583.5</v>
      </c>
      <c r="H1749">
        <v>7</v>
      </c>
      <c r="I1749" t="s">
        <v>22</v>
      </c>
      <c r="J1749" t="s">
        <v>23</v>
      </c>
      <c r="K1749" t="s">
        <v>24</v>
      </c>
    </row>
    <row r="1750" spans="1:12" x14ac:dyDescent="0.25">
      <c r="A1750" t="s">
        <v>2968</v>
      </c>
      <c r="B1750">
        <v>115</v>
      </c>
      <c r="C1750">
        <v>41543207</v>
      </c>
      <c r="D1750" t="s">
        <v>2969</v>
      </c>
      <c r="E1750" t="s">
        <v>13</v>
      </c>
      <c r="F1750" t="s">
        <v>14</v>
      </c>
      <c r="G1750">
        <v>42000000</v>
      </c>
      <c r="H1750">
        <v>6.3</v>
      </c>
      <c r="I1750" t="s">
        <v>38</v>
      </c>
      <c r="J1750" t="s">
        <v>31</v>
      </c>
      <c r="K1750" t="s">
        <v>23</v>
      </c>
      <c r="L1750" t="s">
        <v>24</v>
      </c>
    </row>
    <row r="1751" spans="1:12" x14ac:dyDescent="0.25">
      <c r="A1751" t="s">
        <v>371</v>
      </c>
      <c r="B1751">
        <v>123</v>
      </c>
      <c r="C1751">
        <v>41523271</v>
      </c>
      <c r="D1751" t="s">
        <v>2970</v>
      </c>
      <c r="E1751" t="s">
        <v>13</v>
      </c>
      <c r="F1751" t="s">
        <v>14</v>
      </c>
      <c r="G1751">
        <v>80000000</v>
      </c>
      <c r="H1751">
        <v>6.6</v>
      </c>
      <c r="I1751" t="s">
        <v>15</v>
      </c>
      <c r="J1751" t="s">
        <v>38</v>
      </c>
      <c r="K1751" t="s">
        <v>31</v>
      </c>
      <c r="L1751" t="s">
        <v>19</v>
      </c>
    </row>
    <row r="1752" spans="1:12" x14ac:dyDescent="0.25">
      <c r="A1752" t="s">
        <v>1014</v>
      </c>
      <c r="B1752">
        <v>106</v>
      </c>
      <c r="C1752">
        <v>41482207</v>
      </c>
      <c r="D1752" t="s">
        <v>2971</v>
      </c>
      <c r="E1752" t="s">
        <v>13</v>
      </c>
      <c r="F1752" t="s">
        <v>14</v>
      </c>
      <c r="G1752">
        <v>50000000</v>
      </c>
      <c r="H1752">
        <v>6.3</v>
      </c>
      <c r="I1752" t="s">
        <v>15</v>
      </c>
      <c r="J1752" t="s">
        <v>17</v>
      </c>
      <c r="K1752" t="s">
        <v>22</v>
      </c>
    </row>
    <row r="1753" spans="1:12" x14ac:dyDescent="0.25">
      <c r="A1753" t="s">
        <v>2972</v>
      </c>
      <c r="B1753">
        <v>111</v>
      </c>
      <c r="C1753">
        <v>41407470</v>
      </c>
      <c r="D1753" t="s">
        <v>2973</v>
      </c>
      <c r="E1753" t="s">
        <v>13</v>
      </c>
      <c r="F1753" t="s">
        <v>14</v>
      </c>
      <c r="G1753">
        <v>30000000</v>
      </c>
      <c r="H1753">
        <v>7.6</v>
      </c>
      <c r="I1753" t="s">
        <v>15</v>
      </c>
      <c r="J1753" t="s">
        <v>31</v>
      </c>
      <c r="K1753" t="s">
        <v>16</v>
      </c>
    </row>
    <row r="1754" spans="1:12" x14ac:dyDescent="0.25">
      <c r="A1754" t="s">
        <v>154</v>
      </c>
      <c r="B1754">
        <v>115</v>
      </c>
      <c r="C1754">
        <v>41400000</v>
      </c>
      <c r="D1754" t="s">
        <v>2974</v>
      </c>
      <c r="E1754" t="s">
        <v>13</v>
      </c>
      <c r="F1754" t="s">
        <v>14</v>
      </c>
      <c r="G1754">
        <v>6900000</v>
      </c>
      <c r="H1754">
        <v>7.3</v>
      </c>
      <c r="I1754" t="s">
        <v>69</v>
      </c>
    </row>
    <row r="1755" spans="1:12" x14ac:dyDescent="0.25">
      <c r="A1755" t="s">
        <v>380</v>
      </c>
      <c r="B1755">
        <v>103</v>
      </c>
      <c r="C1755">
        <v>41382841</v>
      </c>
      <c r="D1755" t="s">
        <v>2975</v>
      </c>
      <c r="E1755" t="s">
        <v>13</v>
      </c>
      <c r="F1755" t="s">
        <v>14</v>
      </c>
      <c r="G1755">
        <v>18000000</v>
      </c>
      <c r="H1755">
        <v>6.3</v>
      </c>
      <c r="I1755" t="s">
        <v>15</v>
      </c>
      <c r="J1755" t="s">
        <v>31</v>
      </c>
      <c r="K1755" t="s">
        <v>17</v>
      </c>
      <c r="L1755" t="s">
        <v>19</v>
      </c>
    </row>
    <row r="1756" spans="1:12" x14ac:dyDescent="0.25">
      <c r="A1756" t="s">
        <v>2976</v>
      </c>
      <c r="B1756">
        <v>131</v>
      </c>
      <c r="C1756">
        <v>41300105</v>
      </c>
      <c r="D1756" t="s">
        <v>2977</v>
      </c>
      <c r="E1756" t="s">
        <v>13</v>
      </c>
      <c r="F1756" t="s">
        <v>82</v>
      </c>
      <c r="G1756">
        <v>19800000</v>
      </c>
      <c r="H1756">
        <v>7.3</v>
      </c>
      <c r="I1756" t="s">
        <v>31</v>
      </c>
      <c r="J1756" t="s">
        <v>23</v>
      </c>
    </row>
    <row r="1757" spans="1:12" x14ac:dyDescent="0.25">
      <c r="A1757" t="s">
        <v>2978</v>
      </c>
      <c r="B1757">
        <v>124</v>
      </c>
      <c r="C1757">
        <v>41256277</v>
      </c>
      <c r="D1757" t="s">
        <v>2979</v>
      </c>
      <c r="E1757" t="s">
        <v>13</v>
      </c>
      <c r="F1757" t="s">
        <v>14</v>
      </c>
      <c r="G1757">
        <v>50000000</v>
      </c>
      <c r="H1757">
        <v>5.9</v>
      </c>
      <c r="I1757" t="s">
        <v>34</v>
      </c>
      <c r="J1757" t="s">
        <v>24</v>
      </c>
    </row>
    <row r="1758" spans="1:12" x14ac:dyDescent="0.25">
      <c r="A1758" t="s">
        <v>534</v>
      </c>
      <c r="B1758">
        <v>122</v>
      </c>
      <c r="C1758">
        <v>41252428</v>
      </c>
      <c r="D1758" t="s">
        <v>2980</v>
      </c>
      <c r="E1758" t="s">
        <v>13</v>
      </c>
      <c r="F1758" t="s">
        <v>14</v>
      </c>
      <c r="G1758">
        <v>42000000</v>
      </c>
      <c r="H1758">
        <v>6.5</v>
      </c>
      <c r="I1758" t="s">
        <v>15</v>
      </c>
      <c r="J1758" t="s">
        <v>31</v>
      </c>
      <c r="K1758" t="s">
        <v>19</v>
      </c>
    </row>
    <row r="1759" spans="1:12" x14ac:dyDescent="0.25">
      <c r="A1759" t="s">
        <v>32</v>
      </c>
      <c r="B1759">
        <v>101</v>
      </c>
      <c r="C1759">
        <v>41227069</v>
      </c>
      <c r="D1759" t="s">
        <v>2981</v>
      </c>
      <c r="E1759" t="s">
        <v>13</v>
      </c>
      <c r="F1759" t="s">
        <v>14</v>
      </c>
      <c r="G1759">
        <v>11000000</v>
      </c>
      <c r="H1759">
        <v>7.4</v>
      </c>
      <c r="I1759" t="s">
        <v>31</v>
      </c>
      <c r="J1759" t="s">
        <v>19</v>
      </c>
    </row>
    <row r="1760" spans="1:12" x14ac:dyDescent="0.25">
      <c r="A1760" t="s">
        <v>847</v>
      </c>
      <c r="B1760">
        <v>110</v>
      </c>
      <c r="C1760">
        <v>41102171</v>
      </c>
      <c r="D1760" t="s">
        <v>2982</v>
      </c>
      <c r="E1760" t="s">
        <v>13</v>
      </c>
      <c r="F1760" t="s">
        <v>14</v>
      </c>
      <c r="G1760">
        <v>40000000</v>
      </c>
      <c r="H1760">
        <v>5.7</v>
      </c>
      <c r="I1760" t="s">
        <v>15</v>
      </c>
      <c r="J1760" t="s">
        <v>31</v>
      </c>
      <c r="K1760" t="s">
        <v>19</v>
      </c>
    </row>
    <row r="1761" spans="1:13" x14ac:dyDescent="0.25">
      <c r="A1761" t="s">
        <v>239</v>
      </c>
      <c r="B1761">
        <v>97</v>
      </c>
      <c r="C1761">
        <v>41067398</v>
      </c>
      <c r="D1761" t="s">
        <v>2983</v>
      </c>
      <c r="E1761" t="s">
        <v>13</v>
      </c>
      <c r="F1761" t="s">
        <v>14</v>
      </c>
      <c r="G1761">
        <v>25000000</v>
      </c>
      <c r="H1761">
        <v>6.1</v>
      </c>
      <c r="I1761" t="s">
        <v>34</v>
      </c>
      <c r="J1761" t="s">
        <v>15</v>
      </c>
      <c r="K1761" t="s">
        <v>38</v>
      </c>
      <c r="L1761" t="s">
        <v>24</v>
      </c>
    </row>
    <row r="1762" spans="1:13" x14ac:dyDescent="0.25">
      <c r="A1762" t="s">
        <v>2984</v>
      </c>
      <c r="B1762">
        <v>98</v>
      </c>
      <c r="C1762">
        <v>41008532</v>
      </c>
      <c r="D1762" t="s">
        <v>2985</v>
      </c>
      <c r="E1762" t="s">
        <v>13</v>
      </c>
      <c r="F1762" t="s">
        <v>14</v>
      </c>
      <c r="G1762">
        <v>27000000</v>
      </c>
      <c r="H1762">
        <v>6.7</v>
      </c>
      <c r="I1762" t="s">
        <v>38</v>
      </c>
      <c r="J1762" t="s">
        <v>31</v>
      </c>
      <c r="K1762" t="s">
        <v>24</v>
      </c>
    </row>
    <row r="1763" spans="1:13" x14ac:dyDescent="0.25">
      <c r="A1763" t="s">
        <v>2986</v>
      </c>
      <c r="B1763">
        <v>87</v>
      </c>
      <c r="C1763">
        <v>40990055</v>
      </c>
      <c r="D1763" t="s">
        <v>2987</v>
      </c>
      <c r="E1763" t="s">
        <v>13</v>
      </c>
      <c r="F1763" t="s">
        <v>295</v>
      </c>
      <c r="G1763">
        <v>1800000</v>
      </c>
      <c r="H1763">
        <v>5.6</v>
      </c>
      <c r="I1763" t="s">
        <v>31</v>
      </c>
      <c r="J1763" t="s">
        <v>22</v>
      </c>
      <c r="K1763" t="s">
        <v>24</v>
      </c>
    </row>
    <row r="1764" spans="1:13" x14ac:dyDescent="0.25">
      <c r="A1764" t="s">
        <v>325</v>
      </c>
      <c r="B1764">
        <v>109</v>
      </c>
      <c r="C1764">
        <v>40983001</v>
      </c>
      <c r="D1764" t="s">
        <v>2988</v>
      </c>
      <c r="E1764" t="s">
        <v>13</v>
      </c>
      <c r="F1764" t="s">
        <v>14</v>
      </c>
      <c r="G1764">
        <v>7000000</v>
      </c>
      <c r="H1764">
        <v>7.7</v>
      </c>
      <c r="I1764" t="s">
        <v>38</v>
      </c>
      <c r="J1764" t="s">
        <v>31</v>
      </c>
      <c r="K1764" t="s">
        <v>24</v>
      </c>
    </row>
    <row r="1765" spans="1:13" x14ac:dyDescent="0.25">
      <c r="A1765" t="s">
        <v>467</v>
      </c>
      <c r="B1765">
        <v>101</v>
      </c>
      <c r="C1765">
        <v>40962534</v>
      </c>
      <c r="D1765" t="s">
        <v>2989</v>
      </c>
      <c r="E1765" t="s">
        <v>13</v>
      </c>
      <c r="F1765" t="s">
        <v>14</v>
      </c>
      <c r="G1765">
        <v>12500000</v>
      </c>
      <c r="H1765">
        <v>7.1</v>
      </c>
      <c r="I1765" t="s">
        <v>31</v>
      </c>
    </row>
    <row r="1766" spans="1:13" x14ac:dyDescent="0.25">
      <c r="A1766" t="s">
        <v>692</v>
      </c>
      <c r="B1766">
        <v>116</v>
      </c>
      <c r="C1766">
        <v>40932372</v>
      </c>
      <c r="D1766" t="s">
        <v>2990</v>
      </c>
      <c r="E1766" t="s">
        <v>13</v>
      </c>
      <c r="F1766" t="s">
        <v>14</v>
      </c>
      <c r="G1766">
        <v>70000000</v>
      </c>
      <c r="H1766">
        <v>6.3</v>
      </c>
      <c r="I1766" t="s">
        <v>34</v>
      </c>
      <c r="J1766" t="s">
        <v>24</v>
      </c>
    </row>
    <row r="1767" spans="1:13" x14ac:dyDescent="0.25">
      <c r="A1767" t="s">
        <v>2968</v>
      </c>
      <c r="B1767">
        <v>114</v>
      </c>
      <c r="C1767">
        <v>40905277</v>
      </c>
      <c r="D1767" t="s">
        <v>2991</v>
      </c>
      <c r="E1767" t="s">
        <v>13</v>
      </c>
      <c r="F1767" t="s">
        <v>14</v>
      </c>
      <c r="G1767">
        <v>50000000</v>
      </c>
      <c r="H1767">
        <v>6.5</v>
      </c>
      <c r="I1767" t="s">
        <v>38</v>
      </c>
      <c r="J1767" t="s">
        <v>31</v>
      </c>
      <c r="K1767" t="s">
        <v>19</v>
      </c>
      <c r="L1767" t="s">
        <v>24</v>
      </c>
    </row>
    <row r="1768" spans="1:13" x14ac:dyDescent="0.25">
      <c r="A1768" t="s">
        <v>2992</v>
      </c>
      <c r="B1768">
        <v>93</v>
      </c>
      <c r="C1768">
        <v>40846082</v>
      </c>
      <c r="D1768" t="s">
        <v>2993</v>
      </c>
      <c r="E1768" t="s">
        <v>13</v>
      </c>
      <c r="F1768" t="s">
        <v>14</v>
      </c>
      <c r="G1768">
        <v>19000000</v>
      </c>
      <c r="H1768">
        <v>5.6</v>
      </c>
      <c r="I1768" t="s">
        <v>22</v>
      </c>
      <c r="J1768" t="s">
        <v>23</v>
      </c>
      <c r="K1768" t="s">
        <v>24</v>
      </c>
    </row>
    <row r="1769" spans="1:13" x14ac:dyDescent="0.25">
      <c r="A1769" t="s">
        <v>854</v>
      </c>
      <c r="B1769">
        <v>103</v>
      </c>
      <c r="C1769">
        <v>40687294</v>
      </c>
      <c r="D1769" t="s">
        <v>2994</v>
      </c>
      <c r="E1769" t="s">
        <v>13</v>
      </c>
      <c r="F1769" t="s">
        <v>98</v>
      </c>
      <c r="G1769">
        <v>35000000</v>
      </c>
      <c r="H1769">
        <v>5.4</v>
      </c>
      <c r="I1769" t="s">
        <v>34</v>
      </c>
      <c r="J1769" t="s">
        <v>38</v>
      </c>
      <c r="K1769" t="s">
        <v>31</v>
      </c>
      <c r="L1769" t="s">
        <v>23</v>
      </c>
      <c r="M1769" t="s">
        <v>24</v>
      </c>
    </row>
    <row r="1770" spans="1:13" x14ac:dyDescent="0.25">
      <c r="A1770" t="s">
        <v>744</v>
      </c>
      <c r="B1770">
        <v>101</v>
      </c>
      <c r="C1770">
        <v>40566655</v>
      </c>
      <c r="D1770" t="s">
        <v>2995</v>
      </c>
      <c r="E1770" t="s">
        <v>13</v>
      </c>
      <c r="F1770" t="s">
        <v>82</v>
      </c>
      <c r="G1770">
        <v>30000000</v>
      </c>
      <c r="H1770">
        <v>7.1</v>
      </c>
      <c r="I1770" t="s">
        <v>15</v>
      </c>
      <c r="J1770" t="s">
        <v>31</v>
      </c>
      <c r="K1770" t="s">
        <v>19</v>
      </c>
    </row>
    <row r="1771" spans="1:13" x14ac:dyDescent="0.25">
      <c r="A1771" t="s">
        <v>1187</v>
      </c>
      <c r="B1771">
        <v>125</v>
      </c>
      <c r="C1771">
        <v>40559930</v>
      </c>
      <c r="D1771" t="s">
        <v>2996</v>
      </c>
      <c r="E1771" t="s">
        <v>13</v>
      </c>
      <c r="F1771" t="s">
        <v>14</v>
      </c>
      <c r="G1771">
        <v>60000000</v>
      </c>
      <c r="H1771">
        <v>6.2</v>
      </c>
      <c r="I1771" t="s">
        <v>15</v>
      </c>
      <c r="J1771" t="s">
        <v>38</v>
      </c>
      <c r="K1771" t="s">
        <v>19</v>
      </c>
      <c r="L1771" t="s">
        <v>24</v>
      </c>
    </row>
    <row r="1772" spans="1:13" x14ac:dyDescent="0.25">
      <c r="A1772" t="s">
        <v>378</v>
      </c>
      <c r="B1772">
        <v>90</v>
      </c>
      <c r="C1772">
        <v>40485039</v>
      </c>
      <c r="D1772" t="s">
        <v>2997</v>
      </c>
      <c r="E1772" t="s">
        <v>13</v>
      </c>
      <c r="F1772" t="s">
        <v>14</v>
      </c>
      <c r="G1772">
        <v>10000000</v>
      </c>
      <c r="H1772">
        <v>6.9</v>
      </c>
      <c r="I1772" t="s">
        <v>28</v>
      </c>
      <c r="J1772" t="s">
        <v>15</v>
      </c>
      <c r="K1772" t="s">
        <v>18</v>
      </c>
      <c r="L1772" t="s">
        <v>37</v>
      </c>
    </row>
    <row r="1773" spans="1:13" x14ac:dyDescent="0.25">
      <c r="A1773" t="s">
        <v>2998</v>
      </c>
      <c r="B1773">
        <v>80</v>
      </c>
      <c r="C1773">
        <v>40363530</v>
      </c>
      <c r="D1773" t="s">
        <v>2999</v>
      </c>
      <c r="E1773" t="s">
        <v>13</v>
      </c>
      <c r="F1773" t="s">
        <v>14</v>
      </c>
      <c r="G1773">
        <v>16000000</v>
      </c>
      <c r="H1773">
        <v>3.3</v>
      </c>
      <c r="I1773" t="s">
        <v>15</v>
      </c>
      <c r="J1773" t="s">
        <v>16</v>
      </c>
    </row>
    <row r="1774" spans="1:13" x14ac:dyDescent="0.25">
      <c r="A1774" t="s">
        <v>3000</v>
      </c>
      <c r="B1774">
        <v>123</v>
      </c>
      <c r="C1774">
        <v>40334024</v>
      </c>
      <c r="D1774" t="s">
        <v>3001</v>
      </c>
      <c r="E1774" t="s">
        <v>13</v>
      </c>
      <c r="F1774" t="s">
        <v>14</v>
      </c>
      <c r="G1774">
        <v>35000000</v>
      </c>
      <c r="H1774">
        <v>6.2</v>
      </c>
      <c r="I1774" t="s">
        <v>15</v>
      </c>
      <c r="J1774" t="s">
        <v>38</v>
      </c>
      <c r="K1774" t="s">
        <v>19</v>
      </c>
    </row>
    <row r="1775" spans="1:13" x14ac:dyDescent="0.25">
      <c r="A1775" t="s">
        <v>3002</v>
      </c>
      <c r="B1775">
        <v>132</v>
      </c>
      <c r="C1775">
        <v>40270895</v>
      </c>
      <c r="D1775" t="s">
        <v>3003</v>
      </c>
      <c r="E1775" t="s">
        <v>13</v>
      </c>
      <c r="F1775" t="s">
        <v>14</v>
      </c>
      <c r="G1775">
        <v>22000000</v>
      </c>
      <c r="H1775">
        <v>7.6</v>
      </c>
      <c r="I1775" t="s">
        <v>31</v>
      </c>
    </row>
    <row r="1776" spans="1:13" x14ac:dyDescent="0.25">
      <c r="A1776" t="s">
        <v>1117</v>
      </c>
      <c r="B1776">
        <v>111</v>
      </c>
      <c r="C1776">
        <v>40247512</v>
      </c>
      <c r="D1776" t="s">
        <v>3004</v>
      </c>
      <c r="E1776" t="s">
        <v>13</v>
      </c>
      <c r="F1776" t="s">
        <v>14</v>
      </c>
      <c r="G1776">
        <v>30000000</v>
      </c>
      <c r="H1776">
        <v>6.8</v>
      </c>
      <c r="I1776" t="s">
        <v>34</v>
      </c>
      <c r="J1776" t="s">
        <v>31</v>
      </c>
      <c r="K1776" t="s">
        <v>24</v>
      </c>
    </row>
    <row r="1777" spans="1:13" x14ac:dyDescent="0.25">
      <c r="A1777" t="s">
        <v>799</v>
      </c>
      <c r="B1777">
        <v>106</v>
      </c>
      <c r="C1777">
        <v>40219708</v>
      </c>
      <c r="D1777" t="s">
        <v>3005</v>
      </c>
      <c r="E1777" t="s">
        <v>13</v>
      </c>
      <c r="F1777" t="s">
        <v>14</v>
      </c>
      <c r="G1777">
        <v>21000000</v>
      </c>
      <c r="H1777">
        <v>6.3</v>
      </c>
      <c r="I1777" t="s">
        <v>31</v>
      </c>
      <c r="J1777" t="s">
        <v>41</v>
      </c>
    </row>
    <row r="1778" spans="1:13" x14ac:dyDescent="0.25">
      <c r="A1778" t="s">
        <v>3006</v>
      </c>
      <c r="B1778">
        <v>158</v>
      </c>
      <c r="C1778">
        <v>40218903</v>
      </c>
      <c r="D1778" t="s">
        <v>3007</v>
      </c>
      <c r="E1778" t="s">
        <v>13</v>
      </c>
      <c r="F1778" t="s">
        <v>14</v>
      </c>
      <c r="G1778">
        <v>25000000</v>
      </c>
      <c r="H1778">
        <v>8.1</v>
      </c>
      <c r="I1778" t="s">
        <v>31</v>
      </c>
    </row>
    <row r="1779" spans="1:13" x14ac:dyDescent="0.25">
      <c r="A1779" t="s">
        <v>3008</v>
      </c>
      <c r="B1779">
        <v>108</v>
      </c>
      <c r="C1779">
        <v>40203020</v>
      </c>
      <c r="D1779" t="s">
        <v>3009</v>
      </c>
      <c r="E1779" t="s">
        <v>13</v>
      </c>
      <c r="F1779" t="s">
        <v>82</v>
      </c>
      <c r="G1779">
        <v>40000000</v>
      </c>
      <c r="H1779">
        <v>5.9</v>
      </c>
      <c r="I1779" t="s">
        <v>15</v>
      </c>
      <c r="J1779" t="s">
        <v>31</v>
      </c>
      <c r="K1779" t="s">
        <v>19</v>
      </c>
    </row>
    <row r="1780" spans="1:13" x14ac:dyDescent="0.25">
      <c r="A1780" t="s">
        <v>3010</v>
      </c>
      <c r="B1780">
        <v>100</v>
      </c>
      <c r="C1780">
        <v>40168080</v>
      </c>
      <c r="D1780" t="s">
        <v>3011</v>
      </c>
      <c r="E1780" t="s">
        <v>13</v>
      </c>
      <c r="F1780" t="s">
        <v>14</v>
      </c>
      <c r="G1780">
        <v>26000000</v>
      </c>
      <c r="H1780">
        <v>5.2</v>
      </c>
      <c r="I1780" t="s">
        <v>34</v>
      </c>
      <c r="J1780" t="s">
        <v>17</v>
      </c>
      <c r="K1780" t="s">
        <v>22</v>
      </c>
    </row>
    <row r="1781" spans="1:13" x14ac:dyDescent="0.25">
      <c r="A1781" t="s">
        <v>3012</v>
      </c>
      <c r="B1781">
        <v>121</v>
      </c>
      <c r="C1781">
        <v>40158000</v>
      </c>
      <c r="D1781" t="s">
        <v>3013</v>
      </c>
      <c r="E1781" t="s">
        <v>13</v>
      </c>
      <c r="F1781" t="s">
        <v>1472</v>
      </c>
      <c r="G1781">
        <v>7000000</v>
      </c>
      <c r="H1781">
        <v>7.6</v>
      </c>
      <c r="I1781" t="s">
        <v>31</v>
      </c>
      <c r="J1781" t="s">
        <v>18</v>
      </c>
      <c r="K1781" t="s">
        <v>19</v>
      </c>
    </row>
    <row r="1782" spans="1:13" x14ac:dyDescent="0.25">
      <c r="A1782" t="s">
        <v>1084</v>
      </c>
      <c r="B1782">
        <v>113</v>
      </c>
      <c r="C1782">
        <v>40137776</v>
      </c>
      <c r="D1782" t="s">
        <v>3014</v>
      </c>
      <c r="E1782" t="s">
        <v>13</v>
      </c>
      <c r="F1782" t="s">
        <v>14</v>
      </c>
      <c r="G1782">
        <v>38000000</v>
      </c>
      <c r="H1782">
        <v>7.6</v>
      </c>
      <c r="I1782" t="s">
        <v>15</v>
      </c>
      <c r="J1782" t="s">
        <v>31</v>
      </c>
      <c r="K1782" t="s">
        <v>17</v>
      </c>
      <c r="L1782" t="s">
        <v>19</v>
      </c>
    </row>
    <row r="1783" spans="1:13" x14ac:dyDescent="0.25">
      <c r="A1783" t="s">
        <v>1722</v>
      </c>
      <c r="B1783">
        <v>104</v>
      </c>
      <c r="C1783">
        <v>40118420</v>
      </c>
      <c r="D1783" t="s">
        <v>3015</v>
      </c>
      <c r="E1783" t="s">
        <v>13</v>
      </c>
      <c r="F1783" t="s">
        <v>14</v>
      </c>
      <c r="G1783">
        <v>30000000</v>
      </c>
      <c r="H1783">
        <v>5.6</v>
      </c>
      <c r="I1783" t="s">
        <v>31</v>
      </c>
      <c r="J1783" t="s">
        <v>19</v>
      </c>
      <c r="K1783" t="s">
        <v>41</v>
      </c>
    </row>
    <row r="1784" spans="1:13" x14ac:dyDescent="0.25">
      <c r="A1784" t="s">
        <v>1113</v>
      </c>
      <c r="B1784">
        <v>101</v>
      </c>
      <c r="C1784">
        <v>40076438</v>
      </c>
      <c r="D1784" t="s">
        <v>3016</v>
      </c>
      <c r="E1784" t="s">
        <v>13</v>
      </c>
      <c r="F1784" t="s">
        <v>14</v>
      </c>
      <c r="G1784">
        <v>60000000</v>
      </c>
      <c r="H1784">
        <v>6</v>
      </c>
      <c r="I1784" t="s">
        <v>34</v>
      </c>
      <c r="J1784" t="s">
        <v>38</v>
      </c>
      <c r="K1784" t="s">
        <v>31</v>
      </c>
      <c r="L1784" t="s">
        <v>23</v>
      </c>
      <c r="M1784" t="s">
        <v>24</v>
      </c>
    </row>
    <row r="1785" spans="1:13" x14ac:dyDescent="0.25">
      <c r="A1785" t="s">
        <v>2082</v>
      </c>
      <c r="B1785">
        <v>95</v>
      </c>
      <c r="C1785">
        <v>40066497</v>
      </c>
      <c r="D1785" t="s">
        <v>3017</v>
      </c>
      <c r="E1785" t="s">
        <v>13</v>
      </c>
      <c r="F1785" t="s">
        <v>14</v>
      </c>
      <c r="G1785">
        <v>8000000</v>
      </c>
      <c r="H1785">
        <v>3.5</v>
      </c>
      <c r="I1785" t="s">
        <v>31</v>
      </c>
      <c r="J1785" t="s">
        <v>18</v>
      </c>
    </row>
    <row r="1786" spans="1:13" x14ac:dyDescent="0.25">
      <c r="A1786" t="s">
        <v>327</v>
      </c>
      <c r="B1786">
        <v>104</v>
      </c>
      <c r="C1786">
        <v>40064955</v>
      </c>
      <c r="D1786" t="s">
        <v>3018</v>
      </c>
      <c r="E1786" t="s">
        <v>13</v>
      </c>
      <c r="F1786" t="s">
        <v>14</v>
      </c>
      <c r="G1786">
        <v>15000000</v>
      </c>
      <c r="H1786">
        <v>6.4</v>
      </c>
      <c r="I1786" t="s">
        <v>22</v>
      </c>
      <c r="J1786" t="s">
        <v>23</v>
      </c>
      <c r="K1786" t="s">
        <v>37</v>
      </c>
    </row>
    <row r="1787" spans="1:13" x14ac:dyDescent="0.25">
      <c r="A1787" t="s">
        <v>666</v>
      </c>
      <c r="B1787">
        <v>108</v>
      </c>
      <c r="C1787">
        <v>40048332</v>
      </c>
      <c r="D1787" t="s">
        <v>3019</v>
      </c>
      <c r="E1787" t="s">
        <v>13</v>
      </c>
      <c r="F1787" t="s">
        <v>14</v>
      </c>
      <c r="G1787">
        <v>85000000</v>
      </c>
      <c r="H1787">
        <v>5.5</v>
      </c>
      <c r="I1787" t="s">
        <v>34</v>
      </c>
      <c r="J1787" t="s">
        <v>31</v>
      </c>
      <c r="K1787" t="s">
        <v>24</v>
      </c>
    </row>
    <row r="1788" spans="1:13" x14ac:dyDescent="0.25">
      <c r="A1788" t="s">
        <v>3020</v>
      </c>
      <c r="B1788">
        <v>86</v>
      </c>
      <c r="C1788">
        <v>40041683</v>
      </c>
      <c r="D1788" t="s">
        <v>3021</v>
      </c>
      <c r="E1788" t="s">
        <v>13</v>
      </c>
      <c r="F1788" t="s">
        <v>14</v>
      </c>
      <c r="G1788">
        <v>2500000</v>
      </c>
      <c r="H1788">
        <v>5.0999999999999996</v>
      </c>
      <c r="I1788" t="s">
        <v>15</v>
      </c>
      <c r="J1788" t="s">
        <v>17</v>
      </c>
    </row>
    <row r="1789" spans="1:13" x14ac:dyDescent="0.25">
      <c r="A1789" t="s">
        <v>3022</v>
      </c>
      <c r="B1789">
        <v>100</v>
      </c>
      <c r="C1789">
        <v>39989008</v>
      </c>
      <c r="D1789" t="s">
        <v>3023</v>
      </c>
      <c r="E1789" t="s">
        <v>13</v>
      </c>
      <c r="F1789" t="s">
        <v>14</v>
      </c>
      <c r="G1789">
        <v>24000000</v>
      </c>
      <c r="H1789">
        <v>4.5999999999999996</v>
      </c>
      <c r="I1789" t="s">
        <v>22</v>
      </c>
      <c r="J1789" t="s">
        <v>23</v>
      </c>
    </row>
    <row r="1790" spans="1:13" x14ac:dyDescent="0.25">
      <c r="A1790" t="s">
        <v>3024</v>
      </c>
      <c r="B1790">
        <v>85</v>
      </c>
      <c r="C1790">
        <v>39880476</v>
      </c>
      <c r="D1790" t="s">
        <v>3025</v>
      </c>
      <c r="E1790" t="s">
        <v>13</v>
      </c>
      <c r="F1790" t="s">
        <v>14</v>
      </c>
      <c r="G1790">
        <v>25000000</v>
      </c>
      <c r="H1790">
        <v>5.2</v>
      </c>
      <c r="I1790" t="s">
        <v>28</v>
      </c>
      <c r="J1790" t="s">
        <v>46</v>
      </c>
      <c r="K1790" t="s">
        <v>15</v>
      </c>
      <c r="L1790" t="s">
        <v>16</v>
      </c>
      <c r="M1790" t="s">
        <v>17</v>
      </c>
    </row>
    <row r="1791" spans="1:13" x14ac:dyDescent="0.25">
      <c r="A1791" t="s">
        <v>3026</v>
      </c>
      <c r="B1791">
        <v>110</v>
      </c>
      <c r="C1791">
        <v>39825798</v>
      </c>
      <c r="D1791" t="s">
        <v>3027</v>
      </c>
      <c r="E1791" t="s">
        <v>13</v>
      </c>
      <c r="F1791" t="s">
        <v>14</v>
      </c>
      <c r="G1791">
        <v>16000000</v>
      </c>
      <c r="H1791">
        <v>7.6</v>
      </c>
      <c r="I1791" t="s">
        <v>31</v>
      </c>
      <c r="J1791" t="s">
        <v>23</v>
      </c>
      <c r="K1791" t="s">
        <v>19</v>
      </c>
      <c r="L1791" t="s">
        <v>24</v>
      </c>
    </row>
    <row r="1792" spans="1:13" x14ac:dyDescent="0.25">
      <c r="A1792" t="s">
        <v>84</v>
      </c>
      <c r="B1792">
        <v>98</v>
      </c>
      <c r="C1792">
        <v>39800000</v>
      </c>
      <c r="D1792" t="s">
        <v>3028</v>
      </c>
      <c r="E1792" t="s">
        <v>13</v>
      </c>
      <c r="F1792" t="s">
        <v>14</v>
      </c>
      <c r="G1792">
        <v>6000000</v>
      </c>
      <c r="H1792">
        <v>7.4</v>
      </c>
      <c r="I1792" t="s">
        <v>15</v>
      </c>
      <c r="J1792" t="s">
        <v>41</v>
      </c>
    </row>
    <row r="1793" spans="1:14" x14ac:dyDescent="0.25">
      <c r="A1793" t="s">
        <v>2840</v>
      </c>
      <c r="B1793">
        <v>119</v>
      </c>
      <c r="C1793">
        <v>39778599</v>
      </c>
      <c r="D1793" t="s">
        <v>3029</v>
      </c>
      <c r="E1793" t="s">
        <v>13</v>
      </c>
      <c r="F1793" t="s">
        <v>14</v>
      </c>
      <c r="G1793">
        <v>50000000</v>
      </c>
      <c r="H1793">
        <v>6.6</v>
      </c>
      <c r="I1793" t="s">
        <v>28</v>
      </c>
      <c r="J1793" t="s">
        <v>31</v>
      </c>
      <c r="K1793" t="s">
        <v>24</v>
      </c>
    </row>
    <row r="1794" spans="1:14" x14ac:dyDescent="0.25">
      <c r="A1794" t="s">
        <v>3030</v>
      </c>
      <c r="B1794">
        <v>93</v>
      </c>
      <c r="C1794">
        <v>39737645</v>
      </c>
      <c r="D1794" t="s">
        <v>3031</v>
      </c>
      <c r="E1794" t="s">
        <v>13</v>
      </c>
      <c r="F1794" t="s">
        <v>14</v>
      </c>
      <c r="G1794">
        <v>20000000</v>
      </c>
      <c r="H1794">
        <v>2.2999999999999998</v>
      </c>
      <c r="I1794" t="s">
        <v>28</v>
      </c>
      <c r="J1794" t="s">
        <v>15</v>
      </c>
    </row>
    <row r="1795" spans="1:14" x14ac:dyDescent="0.25">
      <c r="A1795" t="s">
        <v>542</v>
      </c>
      <c r="B1795">
        <v>104</v>
      </c>
      <c r="C1795">
        <v>39692139</v>
      </c>
      <c r="D1795" t="s">
        <v>3032</v>
      </c>
      <c r="E1795" t="s">
        <v>13</v>
      </c>
      <c r="F1795" t="s">
        <v>14</v>
      </c>
      <c r="G1795">
        <v>35000000</v>
      </c>
      <c r="H1795">
        <v>6.2</v>
      </c>
      <c r="I1795" t="s">
        <v>15</v>
      </c>
      <c r="J1795" t="s">
        <v>38</v>
      </c>
      <c r="K1795" t="s">
        <v>24</v>
      </c>
    </row>
    <row r="1796" spans="1:14" x14ac:dyDescent="0.25">
      <c r="A1796" t="s">
        <v>3033</v>
      </c>
      <c r="B1796">
        <v>94</v>
      </c>
      <c r="C1796">
        <v>39687528</v>
      </c>
      <c r="D1796" t="s">
        <v>3034</v>
      </c>
      <c r="E1796" t="s">
        <v>13</v>
      </c>
      <c r="F1796" t="s">
        <v>295</v>
      </c>
      <c r="G1796">
        <v>24000000</v>
      </c>
      <c r="H1796">
        <v>6.3</v>
      </c>
      <c r="I1796" t="s">
        <v>34</v>
      </c>
      <c r="J1796" t="s">
        <v>38</v>
      </c>
      <c r="K1796" t="s">
        <v>31</v>
      </c>
      <c r="L1796" t="s">
        <v>24</v>
      </c>
    </row>
    <row r="1797" spans="1:14" x14ac:dyDescent="0.25">
      <c r="A1797" t="s">
        <v>62</v>
      </c>
      <c r="B1797">
        <v>154</v>
      </c>
      <c r="C1797">
        <v>39647595</v>
      </c>
      <c r="D1797" t="s">
        <v>3035</v>
      </c>
      <c r="E1797" t="s">
        <v>13</v>
      </c>
      <c r="F1797" t="s">
        <v>14</v>
      </c>
      <c r="G1797">
        <v>12000000</v>
      </c>
      <c r="H1797">
        <v>7.5</v>
      </c>
      <c r="I1797" t="s">
        <v>38</v>
      </c>
      <c r="J1797" t="s">
        <v>24</v>
      </c>
    </row>
    <row r="1798" spans="1:14" x14ac:dyDescent="0.25">
      <c r="A1798" t="s">
        <v>3036</v>
      </c>
      <c r="B1798">
        <v>113</v>
      </c>
      <c r="C1798">
        <v>39568996</v>
      </c>
      <c r="D1798" t="s">
        <v>3037</v>
      </c>
      <c r="E1798" t="s">
        <v>13</v>
      </c>
      <c r="F1798" t="s">
        <v>14</v>
      </c>
      <c r="G1798">
        <v>32000000</v>
      </c>
      <c r="H1798">
        <v>6.6</v>
      </c>
      <c r="I1798" t="s">
        <v>22</v>
      </c>
    </row>
    <row r="1799" spans="1:14" x14ac:dyDescent="0.25">
      <c r="A1799" t="s">
        <v>3038</v>
      </c>
      <c r="B1799">
        <v>86</v>
      </c>
      <c r="C1799">
        <v>39552600</v>
      </c>
      <c r="D1799" t="s">
        <v>3039</v>
      </c>
      <c r="E1799" t="s">
        <v>13</v>
      </c>
      <c r="F1799" t="s">
        <v>14</v>
      </c>
      <c r="G1799">
        <v>500000</v>
      </c>
      <c r="H1799">
        <v>6.1</v>
      </c>
      <c r="I1799" t="s">
        <v>28</v>
      </c>
      <c r="J1799" t="s">
        <v>16</v>
      </c>
      <c r="K1799" t="s">
        <v>19</v>
      </c>
    </row>
    <row r="1800" spans="1:14" x14ac:dyDescent="0.25">
      <c r="A1800" t="s">
        <v>417</v>
      </c>
      <c r="B1800">
        <v>100</v>
      </c>
      <c r="C1800">
        <v>39532308</v>
      </c>
      <c r="D1800" t="s">
        <v>3040</v>
      </c>
      <c r="E1800" t="s">
        <v>13</v>
      </c>
      <c r="F1800" t="s">
        <v>82</v>
      </c>
      <c r="G1800">
        <v>33000000</v>
      </c>
      <c r="H1800">
        <v>6.7</v>
      </c>
      <c r="I1800" t="s">
        <v>34</v>
      </c>
      <c r="J1800" t="s">
        <v>22</v>
      </c>
      <c r="K1800" t="s">
        <v>37</v>
      </c>
    </row>
    <row r="1801" spans="1:14" x14ac:dyDescent="0.25">
      <c r="A1801" t="s">
        <v>274</v>
      </c>
      <c r="B1801">
        <v>96</v>
      </c>
      <c r="C1801">
        <v>39514713</v>
      </c>
      <c r="D1801" t="s">
        <v>3041</v>
      </c>
      <c r="E1801" t="s">
        <v>13</v>
      </c>
      <c r="F1801" t="s">
        <v>14</v>
      </c>
      <c r="G1801">
        <v>28000000</v>
      </c>
      <c r="H1801">
        <v>6.7</v>
      </c>
      <c r="I1801" t="s">
        <v>15</v>
      </c>
      <c r="J1801" t="s">
        <v>16</v>
      </c>
      <c r="K1801" t="s">
        <v>17</v>
      </c>
    </row>
    <row r="1802" spans="1:14" x14ac:dyDescent="0.25">
      <c r="A1802" t="s">
        <v>357</v>
      </c>
      <c r="B1802">
        <v>83</v>
      </c>
      <c r="C1802">
        <v>39511038</v>
      </c>
      <c r="D1802" t="s">
        <v>3042</v>
      </c>
      <c r="E1802" t="s">
        <v>13</v>
      </c>
      <c r="F1802" t="s">
        <v>14</v>
      </c>
      <c r="G1802">
        <v>16000000</v>
      </c>
      <c r="H1802">
        <v>5.9</v>
      </c>
      <c r="I1802" t="s">
        <v>22</v>
      </c>
    </row>
    <row r="1803" spans="1:14" x14ac:dyDescent="0.25">
      <c r="A1803" t="s">
        <v>776</v>
      </c>
      <c r="B1803">
        <v>112</v>
      </c>
      <c r="C1803">
        <v>39462438</v>
      </c>
      <c r="D1803" t="s">
        <v>3043</v>
      </c>
      <c r="E1803" t="s">
        <v>13</v>
      </c>
      <c r="F1803" t="s">
        <v>14</v>
      </c>
      <c r="G1803">
        <v>7000000</v>
      </c>
      <c r="H1803">
        <v>7.3</v>
      </c>
      <c r="I1803" t="s">
        <v>31</v>
      </c>
      <c r="J1803" t="s">
        <v>18</v>
      </c>
      <c r="K1803" t="s">
        <v>19</v>
      </c>
    </row>
    <row r="1804" spans="1:14" x14ac:dyDescent="0.25">
      <c r="A1804" t="s">
        <v>879</v>
      </c>
      <c r="B1804">
        <v>90</v>
      </c>
      <c r="C1804">
        <v>39442871</v>
      </c>
      <c r="D1804" t="s">
        <v>3044</v>
      </c>
      <c r="E1804" t="s">
        <v>13</v>
      </c>
      <c r="F1804" t="s">
        <v>14</v>
      </c>
      <c r="G1804">
        <v>80000000</v>
      </c>
      <c r="H1804">
        <v>5.3</v>
      </c>
      <c r="I1804" t="s">
        <v>15</v>
      </c>
      <c r="J1804" t="s">
        <v>17</v>
      </c>
    </row>
    <row r="1805" spans="1:14" x14ac:dyDescent="0.25">
      <c r="A1805" t="s">
        <v>3045</v>
      </c>
      <c r="B1805">
        <v>119</v>
      </c>
      <c r="C1805">
        <v>39440655</v>
      </c>
      <c r="D1805" t="s">
        <v>3046</v>
      </c>
      <c r="E1805" t="s">
        <v>13</v>
      </c>
      <c r="F1805" t="s">
        <v>14</v>
      </c>
      <c r="G1805">
        <v>55000000</v>
      </c>
      <c r="H1805">
        <v>6.4</v>
      </c>
      <c r="I1805" t="s">
        <v>31</v>
      </c>
      <c r="J1805" t="s">
        <v>18</v>
      </c>
      <c r="K1805" t="s">
        <v>59</v>
      </c>
      <c r="L1805" t="s">
        <v>19</v>
      </c>
    </row>
    <row r="1806" spans="1:14" x14ac:dyDescent="0.25">
      <c r="A1806" t="s">
        <v>3047</v>
      </c>
      <c r="B1806">
        <v>80</v>
      </c>
      <c r="C1806">
        <v>39399750</v>
      </c>
      <c r="D1806" t="s">
        <v>3048</v>
      </c>
      <c r="E1806" t="s">
        <v>13</v>
      </c>
      <c r="F1806" t="s">
        <v>14</v>
      </c>
      <c r="G1806">
        <v>25000000</v>
      </c>
      <c r="H1806">
        <v>5.6</v>
      </c>
      <c r="I1806" t="s">
        <v>28</v>
      </c>
      <c r="J1806" t="s">
        <v>46</v>
      </c>
      <c r="K1806" t="s">
        <v>15</v>
      </c>
      <c r="L1806" t="s">
        <v>16</v>
      </c>
      <c r="M1806" t="s">
        <v>17</v>
      </c>
      <c r="N1806" t="s">
        <v>59</v>
      </c>
    </row>
    <row r="1807" spans="1:14" x14ac:dyDescent="0.25">
      <c r="A1807" t="s">
        <v>456</v>
      </c>
      <c r="B1807">
        <v>128</v>
      </c>
      <c r="C1807">
        <v>39380442</v>
      </c>
      <c r="D1807" t="s">
        <v>3049</v>
      </c>
      <c r="E1807" t="s">
        <v>13</v>
      </c>
      <c r="F1807" t="s">
        <v>14</v>
      </c>
      <c r="G1807">
        <v>70000000</v>
      </c>
      <c r="H1807">
        <v>7.1</v>
      </c>
      <c r="I1807" t="s">
        <v>34</v>
      </c>
      <c r="J1807" t="s">
        <v>31</v>
      </c>
      <c r="K1807" t="s">
        <v>24</v>
      </c>
    </row>
    <row r="1808" spans="1:14" x14ac:dyDescent="0.25">
      <c r="A1808" t="s">
        <v>3050</v>
      </c>
      <c r="B1808">
        <v>131</v>
      </c>
      <c r="C1808">
        <v>39292022</v>
      </c>
      <c r="D1808" t="s">
        <v>3051</v>
      </c>
      <c r="E1808" t="s">
        <v>13</v>
      </c>
      <c r="F1808" t="s">
        <v>14</v>
      </c>
      <c r="G1808">
        <v>90000000</v>
      </c>
      <c r="H1808">
        <v>6.1</v>
      </c>
      <c r="I1808" t="s">
        <v>34</v>
      </c>
      <c r="J1808" t="s">
        <v>28</v>
      </c>
      <c r="K1808" t="s">
        <v>24</v>
      </c>
    </row>
    <row r="1809" spans="1:12" x14ac:dyDescent="0.25">
      <c r="A1809" t="s">
        <v>3052</v>
      </c>
      <c r="B1809">
        <v>110</v>
      </c>
      <c r="C1809">
        <v>39263506</v>
      </c>
      <c r="D1809" t="s">
        <v>3053</v>
      </c>
      <c r="E1809" t="s">
        <v>13</v>
      </c>
      <c r="F1809" t="s">
        <v>14</v>
      </c>
      <c r="G1809">
        <v>22000000</v>
      </c>
      <c r="H1809">
        <v>6.1</v>
      </c>
      <c r="I1809" t="s">
        <v>38</v>
      </c>
      <c r="J1809" t="s">
        <v>31</v>
      </c>
      <c r="K1809" t="s">
        <v>24</v>
      </c>
    </row>
    <row r="1810" spans="1:12" x14ac:dyDescent="0.25">
      <c r="A1810" t="s">
        <v>621</v>
      </c>
      <c r="B1810">
        <v>148</v>
      </c>
      <c r="C1810">
        <v>39251128</v>
      </c>
      <c r="D1810" t="s">
        <v>3054</v>
      </c>
      <c r="E1810" t="s">
        <v>13</v>
      </c>
      <c r="F1810" t="s">
        <v>14</v>
      </c>
      <c r="G1810">
        <v>75000000</v>
      </c>
      <c r="H1810">
        <v>6.7</v>
      </c>
      <c r="I1810" t="s">
        <v>31</v>
      </c>
      <c r="J1810" t="s">
        <v>64</v>
      </c>
      <c r="K1810" t="s">
        <v>19</v>
      </c>
    </row>
    <row r="1811" spans="1:12" x14ac:dyDescent="0.25">
      <c r="A1811" t="s">
        <v>2953</v>
      </c>
      <c r="B1811">
        <v>112</v>
      </c>
      <c r="C1811">
        <v>39235088</v>
      </c>
      <c r="D1811" t="s">
        <v>3055</v>
      </c>
      <c r="E1811" t="s">
        <v>13</v>
      </c>
      <c r="F1811" t="s">
        <v>14</v>
      </c>
      <c r="G1811">
        <v>23000000</v>
      </c>
      <c r="H1811">
        <v>7.1</v>
      </c>
      <c r="I1811" t="s">
        <v>22</v>
      </c>
      <c r="J1811" t="s">
        <v>37</v>
      </c>
    </row>
    <row r="1812" spans="1:12" x14ac:dyDescent="0.25">
      <c r="A1812" t="s">
        <v>908</v>
      </c>
      <c r="B1812">
        <v>93</v>
      </c>
      <c r="C1812">
        <v>39200000</v>
      </c>
      <c r="D1812" t="s">
        <v>3056</v>
      </c>
      <c r="E1812" t="s">
        <v>13</v>
      </c>
      <c r="F1812" t="s">
        <v>14</v>
      </c>
      <c r="G1812">
        <v>4000000</v>
      </c>
      <c r="H1812">
        <v>8.1</v>
      </c>
      <c r="I1812" t="s">
        <v>15</v>
      </c>
      <c r="J1812" t="s">
        <v>19</v>
      </c>
    </row>
    <row r="1813" spans="1:12" x14ac:dyDescent="0.25">
      <c r="A1813" t="s">
        <v>327</v>
      </c>
      <c r="B1813">
        <v>93</v>
      </c>
      <c r="C1813">
        <v>39177541</v>
      </c>
      <c r="D1813" t="s">
        <v>3057</v>
      </c>
      <c r="E1813" t="s">
        <v>13</v>
      </c>
      <c r="F1813" t="s">
        <v>14</v>
      </c>
      <c r="G1813">
        <v>50000000</v>
      </c>
      <c r="H1813">
        <v>3.5</v>
      </c>
      <c r="I1813" t="s">
        <v>34</v>
      </c>
      <c r="J1813" t="s">
        <v>28</v>
      </c>
      <c r="K1813" t="s">
        <v>16</v>
      </c>
      <c r="L1813" t="s">
        <v>17</v>
      </c>
    </row>
    <row r="1814" spans="1:12" x14ac:dyDescent="0.25">
      <c r="A1814" t="s">
        <v>441</v>
      </c>
      <c r="B1814">
        <v>115</v>
      </c>
      <c r="C1814">
        <v>39177215</v>
      </c>
      <c r="D1814" t="s">
        <v>3058</v>
      </c>
      <c r="E1814" t="s">
        <v>13</v>
      </c>
      <c r="F1814" t="s">
        <v>14</v>
      </c>
      <c r="G1814">
        <v>38000000</v>
      </c>
      <c r="H1814">
        <v>5.6</v>
      </c>
      <c r="I1814" t="s">
        <v>38</v>
      </c>
      <c r="J1814" t="s">
        <v>31</v>
      </c>
      <c r="K1814" t="s">
        <v>24</v>
      </c>
    </row>
    <row r="1815" spans="1:12" x14ac:dyDescent="0.25">
      <c r="A1815" t="s">
        <v>20</v>
      </c>
      <c r="B1815">
        <v>137</v>
      </c>
      <c r="C1815">
        <v>39143839</v>
      </c>
      <c r="D1815" t="s">
        <v>3059</v>
      </c>
      <c r="E1815" t="s">
        <v>13</v>
      </c>
      <c r="F1815" t="s">
        <v>14</v>
      </c>
      <c r="G1815">
        <v>20000000</v>
      </c>
      <c r="H1815">
        <v>5</v>
      </c>
      <c r="I1815" t="s">
        <v>22</v>
      </c>
      <c r="J1815" t="s">
        <v>24</v>
      </c>
    </row>
    <row r="1816" spans="1:12" x14ac:dyDescent="0.25">
      <c r="A1816" t="s">
        <v>3060</v>
      </c>
      <c r="B1816">
        <v>101</v>
      </c>
      <c r="C1816">
        <v>39103378</v>
      </c>
      <c r="D1816" t="s">
        <v>3061</v>
      </c>
      <c r="E1816" t="s">
        <v>13</v>
      </c>
      <c r="F1816" t="s">
        <v>14</v>
      </c>
      <c r="G1816">
        <v>20000000</v>
      </c>
      <c r="H1816">
        <v>6.5</v>
      </c>
      <c r="I1816" t="s">
        <v>22</v>
      </c>
      <c r="J1816" t="s">
        <v>24</v>
      </c>
    </row>
    <row r="1817" spans="1:12" x14ac:dyDescent="0.25">
      <c r="A1817" t="s">
        <v>2849</v>
      </c>
      <c r="B1817">
        <v>118</v>
      </c>
      <c r="C1817">
        <v>39100956</v>
      </c>
      <c r="D1817" t="s">
        <v>3062</v>
      </c>
      <c r="E1817" t="s">
        <v>13</v>
      </c>
      <c r="F1817" t="s">
        <v>14</v>
      </c>
      <c r="G1817">
        <v>39751583.5</v>
      </c>
      <c r="H1817">
        <v>7.2</v>
      </c>
      <c r="I1817" t="s">
        <v>42</v>
      </c>
      <c r="J1817" t="s">
        <v>31</v>
      </c>
      <c r="K1817" t="s">
        <v>18</v>
      </c>
    </row>
    <row r="1818" spans="1:12" x14ac:dyDescent="0.25">
      <c r="A1818" t="s">
        <v>384</v>
      </c>
      <c r="B1818">
        <v>112</v>
      </c>
      <c r="C1818">
        <v>39026186</v>
      </c>
      <c r="D1818" t="s">
        <v>3063</v>
      </c>
      <c r="E1818" t="s">
        <v>13</v>
      </c>
      <c r="F1818" t="s">
        <v>14</v>
      </c>
      <c r="G1818">
        <v>35000000</v>
      </c>
      <c r="H1818">
        <v>5.9</v>
      </c>
      <c r="I1818" t="s">
        <v>15</v>
      </c>
      <c r="J1818" t="s">
        <v>31</v>
      </c>
      <c r="K1818" t="s">
        <v>19</v>
      </c>
    </row>
    <row r="1819" spans="1:12" x14ac:dyDescent="0.25">
      <c r="A1819" t="s">
        <v>3064</v>
      </c>
      <c r="B1819">
        <v>122</v>
      </c>
      <c r="C1819">
        <v>39025000</v>
      </c>
      <c r="D1819" t="s">
        <v>3065</v>
      </c>
      <c r="E1819" t="s">
        <v>13</v>
      </c>
      <c r="F1819" t="s">
        <v>82</v>
      </c>
      <c r="G1819">
        <v>11000000</v>
      </c>
      <c r="H1819">
        <v>7.6</v>
      </c>
      <c r="I1819" t="s">
        <v>38</v>
      </c>
      <c r="J1819" t="s">
        <v>31</v>
      </c>
    </row>
    <row r="1820" spans="1:12" x14ac:dyDescent="0.25">
      <c r="A1820" t="s">
        <v>221</v>
      </c>
      <c r="B1820">
        <v>119</v>
      </c>
      <c r="C1820">
        <v>39008741</v>
      </c>
      <c r="D1820" t="s">
        <v>3066</v>
      </c>
      <c r="E1820" t="s">
        <v>13</v>
      </c>
      <c r="F1820" t="s">
        <v>14</v>
      </c>
      <c r="G1820">
        <v>25000000</v>
      </c>
      <c r="H1820">
        <v>6.6</v>
      </c>
      <c r="I1820" t="s">
        <v>15</v>
      </c>
      <c r="J1820" t="s">
        <v>31</v>
      </c>
      <c r="K1820" t="s">
        <v>16</v>
      </c>
      <c r="L1820" t="s">
        <v>19</v>
      </c>
    </row>
    <row r="1821" spans="1:12" x14ac:dyDescent="0.25">
      <c r="A1821" t="s">
        <v>688</v>
      </c>
      <c r="B1821">
        <v>143</v>
      </c>
      <c r="C1821">
        <v>38966057</v>
      </c>
      <c r="D1821" t="s">
        <v>3067</v>
      </c>
      <c r="E1821" t="s">
        <v>13</v>
      </c>
      <c r="F1821" t="s">
        <v>295</v>
      </c>
      <c r="G1821">
        <v>65000000</v>
      </c>
      <c r="H1821">
        <v>6.7</v>
      </c>
      <c r="I1821" t="s">
        <v>15</v>
      </c>
      <c r="J1821" t="s">
        <v>31</v>
      </c>
    </row>
    <row r="1822" spans="1:12" x14ac:dyDescent="0.25">
      <c r="A1822" t="s">
        <v>3068</v>
      </c>
      <c r="B1822">
        <v>91</v>
      </c>
      <c r="C1822">
        <v>38916903</v>
      </c>
      <c r="D1822" t="s">
        <v>3069</v>
      </c>
      <c r="E1822" t="s">
        <v>13</v>
      </c>
      <c r="F1822" t="s">
        <v>14</v>
      </c>
      <c r="G1822">
        <v>13000000</v>
      </c>
      <c r="H1822">
        <v>5.8</v>
      </c>
      <c r="I1822" t="s">
        <v>28</v>
      </c>
      <c r="J1822" t="s">
        <v>16</v>
      </c>
      <c r="K1822" t="s">
        <v>37</v>
      </c>
    </row>
    <row r="1823" spans="1:12" x14ac:dyDescent="0.25">
      <c r="A1823" t="s">
        <v>601</v>
      </c>
      <c r="B1823">
        <v>102</v>
      </c>
      <c r="C1823">
        <v>38747385</v>
      </c>
      <c r="D1823" t="s">
        <v>3070</v>
      </c>
      <c r="E1823" t="s">
        <v>13</v>
      </c>
      <c r="F1823" t="s">
        <v>14</v>
      </c>
      <c r="G1823">
        <v>25000000</v>
      </c>
      <c r="H1823">
        <v>6.9</v>
      </c>
      <c r="I1823" t="s">
        <v>15</v>
      </c>
      <c r="J1823" t="s">
        <v>22</v>
      </c>
      <c r="K1823" t="s">
        <v>59</v>
      </c>
      <c r="L1823" t="s">
        <v>37</v>
      </c>
    </row>
    <row r="1824" spans="1:12" x14ac:dyDescent="0.25">
      <c r="A1824" t="s">
        <v>119</v>
      </c>
      <c r="B1824">
        <v>92</v>
      </c>
      <c r="C1824">
        <v>38624000</v>
      </c>
      <c r="D1824" t="s">
        <v>3071</v>
      </c>
      <c r="E1824" t="s">
        <v>13</v>
      </c>
      <c r="F1824" t="s">
        <v>14</v>
      </c>
      <c r="G1824">
        <v>12000000</v>
      </c>
      <c r="H1824">
        <v>7</v>
      </c>
      <c r="I1824" t="s">
        <v>15</v>
      </c>
      <c r="J1824" t="s">
        <v>41</v>
      </c>
    </row>
    <row r="1825" spans="1:13" x14ac:dyDescent="0.25">
      <c r="A1825" t="s">
        <v>3072</v>
      </c>
      <c r="B1825">
        <v>101</v>
      </c>
      <c r="C1825">
        <v>38590500</v>
      </c>
      <c r="D1825" t="s">
        <v>3073</v>
      </c>
      <c r="E1825" t="s">
        <v>13</v>
      </c>
      <c r="F1825" t="s">
        <v>14</v>
      </c>
      <c r="G1825">
        <v>50000000</v>
      </c>
      <c r="H1825">
        <v>4.4000000000000004</v>
      </c>
      <c r="I1825" t="s">
        <v>34</v>
      </c>
      <c r="J1825" t="s">
        <v>28</v>
      </c>
      <c r="K1825" t="s">
        <v>24</v>
      </c>
    </row>
    <row r="1826" spans="1:13" x14ac:dyDescent="0.25">
      <c r="A1826" t="s">
        <v>648</v>
      </c>
      <c r="B1826">
        <v>110</v>
      </c>
      <c r="C1826">
        <v>38553833</v>
      </c>
      <c r="D1826" t="s">
        <v>3074</v>
      </c>
      <c r="E1826" t="s">
        <v>13</v>
      </c>
      <c r="F1826" t="s">
        <v>14</v>
      </c>
      <c r="G1826">
        <v>55000000</v>
      </c>
      <c r="H1826">
        <v>6.8</v>
      </c>
      <c r="I1826" t="s">
        <v>28</v>
      </c>
      <c r="J1826" t="s">
        <v>31</v>
      </c>
      <c r="K1826" t="s">
        <v>22</v>
      </c>
      <c r="L1826" t="s">
        <v>24</v>
      </c>
    </row>
    <row r="1827" spans="1:13" x14ac:dyDescent="0.25">
      <c r="A1827" t="s">
        <v>175</v>
      </c>
      <c r="B1827">
        <v>94</v>
      </c>
      <c r="C1827">
        <v>38543473</v>
      </c>
      <c r="D1827" t="s">
        <v>3075</v>
      </c>
      <c r="E1827" t="s">
        <v>13</v>
      </c>
      <c r="F1827" t="s">
        <v>14</v>
      </c>
      <c r="G1827">
        <v>40000000</v>
      </c>
      <c r="H1827">
        <v>5.0999999999999996</v>
      </c>
      <c r="I1827" t="s">
        <v>15</v>
      </c>
    </row>
    <row r="1828" spans="1:13" x14ac:dyDescent="0.25">
      <c r="A1828" t="s">
        <v>477</v>
      </c>
      <c r="B1828">
        <v>89</v>
      </c>
      <c r="C1828">
        <v>38542418</v>
      </c>
      <c r="D1828" t="s">
        <v>3076</v>
      </c>
      <c r="E1828" t="s">
        <v>13</v>
      </c>
      <c r="F1828" t="s">
        <v>14</v>
      </c>
      <c r="G1828">
        <v>80000000</v>
      </c>
      <c r="H1828">
        <v>6.3</v>
      </c>
      <c r="I1828" t="s">
        <v>34</v>
      </c>
      <c r="J1828" t="s">
        <v>37</v>
      </c>
      <c r="K1828" t="s">
        <v>24</v>
      </c>
    </row>
    <row r="1829" spans="1:13" x14ac:dyDescent="0.25">
      <c r="A1829" t="s">
        <v>327</v>
      </c>
      <c r="B1829">
        <v>89</v>
      </c>
      <c r="C1829">
        <v>38536376</v>
      </c>
      <c r="D1829" t="s">
        <v>3077</v>
      </c>
      <c r="E1829" t="s">
        <v>13</v>
      </c>
      <c r="F1829" t="s">
        <v>14</v>
      </c>
      <c r="G1829">
        <v>27000000</v>
      </c>
      <c r="H1829">
        <v>3.6</v>
      </c>
      <c r="I1829" t="s">
        <v>34</v>
      </c>
      <c r="J1829" t="s">
        <v>28</v>
      </c>
      <c r="K1829" t="s">
        <v>15</v>
      </c>
      <c r="L1829" t="s">
        <v>16</v>
      </c>
      <c r="M1829" t="s">
        <v>37</v>
      </c>
    </row>
    <row r="1830" spans="1:13" x14ac:dyDescent="0.25">
      <c r="A1830" t="s">
        <v>32</v>
      </c>
      <c r="B1830">
        <v>136</v>
      </c>
      <c r="C1830">
        <v>38509342</v>
      </c>
      <c r="D1830" t="s">
        <v>3078</v>
      </c>
      <c r="E1830" t="s">
        <v>13</v>
      </c>
      <c r="F1830" t="s">
        <v>14</v>
      </c>
      <c r="G1830">
        <v>75000000</v>
      </c>
      <c r="H1830">
        <v>5.9</v>
      </c>
      <c r="I1830" t="s">
        <v>15</v>
      </c>
      <c r="J1830" t="s">
        <v>31</v>
      </c>
      <c r="K1830" t="s">
        <v>59</v>
      </c>
      <c r="L1830" t="s">
        <v>19</v>
      </c>
    </row>
    <row r="1831" spans="1:13" x14ac:dyDescent="0.25">
      <c r="A1831" t="s">
        <v>2080</v>
      </c>
      <c r="B1831">
        <v>125</v>
      </c>
      <c r="C1831">
        <v>38432823</v>
      </c>
      <c r="D1831" t="s">
        <v>3079</v>
      </c>
      <c r="E1831" t="s">
        <v>13</v>
      </c>
      <c r="F1831" t="s">
        <v>14</v>
      </c>
      <c r="G1831">
        <v>30000000</v>
      </c>
      <c r="H1831">
        <v>6.9</v>
      </c>
      <c r="I1831" t="s">
        <v>38</v>
      </c>
      <c r="J1831" t="s">
        <v>31</v>
      </c>
      <c r="K1831" t="s">
        <v>41</v>
      </c>
    </row>
    <row r="1832" spans="1:13" x14ac:dyDescent="0.25">
      <c r="A1832" t="s">
        <v>2860</v>
      </c>
      <c r="B1832">
        <v>126</v>
      </c>
      <c r="C1832">
        <v>38413606</v>
      </c>
      <c r="D1832" t="s">
        <v>3080</v>
      </c>
      <c r="E1832" t="s">
        <v>13</v>
      </c>
      <c r="F1832" t="s">
        <v>14</v>
      </c>
      <c r="G1832">
        <v>30000000</v>
      </c>
      <c r="H1832">
        <v>7.6</v>
      </c>
      <c r="I1832" t="s">
        <v>34</v>
      </c>
      <c r="J1832" t="s">
        <v>15</v>
      </c>
      <c r="K1832" t="s">
        <v>38</v>
      </c>
      <c r="L1832" t="s">
        <v>24</v>
      </c>
    </row>
    <row r="1833" spans="1:13" x14ac:dyDescent="0.25">
      <c r="A1833" t="s">
        <v>332</v>
      </c>
      <c r="B1833">
        <v>107</v>
      </c>
      <c r="C1833">
        <v>38400000</v>
      </c>
      <c r="D1833" t="s">
        <v>3081</v>
      </c>
      <c r="E1833" t="s">
        <v>13</v>
      </c>
      <c r="F1833" t="s">
        <v>82</v>
      </c>
      <c r="G1833">
        <v>6500000</v>
      </c>
      <c r="H1833">
        <v>8.1</v>
      </c>
      <c r="I1833" t="s">
        <v>34</v>
      </c>
      <c r="J1833" t="s">
        <v>37</v>
      </c>
    </row>
    <row r="1834" spans="1:13" x14ac:dyDescent="0.25">
      <c r="A1834" t="s">
        <v>1117</v>
      </c>
      <c r="B1834">
        <v>135</v>
      </c>
      <c r="C1834">
        <v>38372662</v>
      </c>
      <c r="D1834" t="s">
        <v>3082</v>
      </c>
      <c r="E1834" t="s">
        <v>13</v>
      </c>
      <c r="F1834" t="s">
        <v>295</v>
      </c>
      <c r="G1834">
        <v>28000000</v>
      </c>
      <c r="H1834">
        <v>7.8</v>
      </c>
      <c r="I1834" t="s">
        <v>31</v>
      </c>
      <c r="J1834" t="s">
        <v>19</v>
      </c>
    </row>
    <row r="1835" spans="1:13" x14ac:dyDescent="0.25">
      <c r="A1835" t="s">
        <v>223</v>
      </c>
      <c r="B1835">
        <v>112</v>
      </c>
      <c r="C1835">
        <v>38360195</v>
      </c>
      <c r="D1835" t="s">
        <v>3083</v>
      </c>
      <c r="E1835" t="s">
        <v>13</v>
      </c>
      <c r="F1835" t="s">
        <v>14</v>
      </c>
      <c r="G1835">
        <v>45000000</v>
      </c>
      <c r="H1835">
        <v>6.4</v>
      </c>
      <c r="I1835" t="s">
        <v>28</v>
      </c>
      <c r="J1835" t="s">
        <v>15</v>
      </c>
      <c r="K1835" t="s">
        <v>31</v>
      </c>
    </row>
    <row r="1836" spans="1:13" x14ac:dyDescent="0.25">
      <c r="A1836" t="s">
        <v>2754</v>
      </c>
      <c r="B1836">
        <v>127</v>
      </c>
      <c r="C1836">
        <v>38345403</v>
      </c>
      <c r="D1836" t="s">
        <v>3084</v>
      </c>
      <c r="E1836" t="s">
        <v>13</v>
      </c>
      <c r="F1836" t="s">
        <v>82</v>
      </c>
      <c r="G1836">
        <v>70000000</v>
      </c>
      <c r="H1836">
        <v>7.7</v>
      </c>
      <c r="I1836" t="s">
        <v>28</v>
      </c>
      <c r="J1836" t="s">
        <v>16</v>
      </c>
      <c r="K1836" t="s">
        <v>17</v>
      </c>
      <c r="L1836" t="s">
        <v>19</v>
      </c>
    </row>
    <row r="1837" spans="1:13" x14ac:dyDescent="0.25">
      <c r="A1837" t="s">
        <v>3085</v>
      </c>
      <c r="B1837">
        <v>111</v>
      </c>
      <c r="C1837">
        <v>38317535</v>
      </c>
      <c r="D1837" t="s">
        <v>3086</v>
      </c>
      <c r="E1837" t="s">
        <v>13</v>
      </c>
      <c r="F1837" t="s">
        <v>82</v>
      </c>
      <c r="G1837">
        <v>11000000</v>
      </c>
      <c r="H1837">
        <v>7.5</v>
      </c>
      <c r="I1837" t="s">
        <v>31</v>
      </c>
      <c r="J1837" t="s">
        <v>19</v>
      </c>
    </row>
    <row r="1838" spans="1:13" x14ac:dyDescent="0.25">
      <c r="A1838" t="s">
        <v>3030</v>
      </c>
      <c r="B1838">
        <v>86</v>
      </c>
      <c r="C1838">
        <v>38232624</v>
      </c>
      <c r="D1838" t="s">
        <v>3087</v>
      </c>
      <c r="E1838" t="s">
        <v>13</v>
      </c>
      <c r="F1838" t="s">
        <v>14</v>
      </c>
      <c r="G1838">
        <v>30000000</v>
      </c>
      <c r="H1838">
        <v>2.7</v>
      </c>
      <c r="I1838" t="s">
        <v>15</v>
      </c>
    </row>
    <row r="1839" spans="1:13" x14ac:dyDescent="0.25">
      <c r="A1839" t="s">
        <v>611</v>
      </c>
      <c r="B1839">
        <v>86</v>
      </c>
      <c r="C1839">
        <v>38230435</v>
      </c>
      <c r="D1839" t="s">
        <v>3088</v>
      </c>
      <c r="E1839" t="s">
        <v>13</v>
      </c>
      <c r="F1839" t="s">
        <v>14</v>
      </c>
      <c r="G1839">
        <v>25000000</v>
      </c>
      <c r="H1839">
        <v>5.8</v>
      </c>
      <c r="I1839" t="s">
        <v>34</v>
      </c>
      <c r="J1839" t="s">
        <v>15</v>
      </c>
    </row>
    <row r="1840" spans="1:13" x14ac:dyDescent="0.25">
      <c r="A1840" t="s">
        <v>3089</v>
      </c>
      <c r="B1840">
        <v>97</v>
      </c>
      <c r="C1840">
        <v>38201895</v>
      </c>
      <c r="D1840" t="s">
        <v>3090</v>
      </c>
      <c r="E1840" t="s">
        <v>13</v>
      </c>
      <c r="F1840" t="s">
        <v>14</v>
      </c>
      <c r="G1840">
        <v>10500000</v>
      </c>
      <c r="H1840">
        <v>6.9</v>
      </c>
      <c r="I1840" t="s">
        <v>31</v>
      </c>
      <c r="J1840" t="s">
        <v>19</v>
      </c>
    </row>
    <row r="1841" spans="1:13" x14ac:dyDescent="0.25">
      <c r="A1841" t="s">
        <v>121</v>
      </c>
      <c r="B1841">
        <v>111</v>
      </c>
      <c r="C1841">
        <v>38176892</v>
      </c>
      <c r="D1841" t="s">
        <v>3091</v>
      </c>
      <c r="E1841" t="s">
        <v>13</v>
      </c>
      <c r="F1841" t="s">
        <v>14</v>
      </c>
      <c r="G1841">
        <v>40000000</v>
      </c>
      <c r="H1841">
        <v>6.2</v>
      </c>
      <c r="I1841" t="s">
        <v>22</v>
      </c>
      <c r="J1841" t="s">
        <v>23</v>
      </c>
    </row>
    <row r="1842" spans="1:13" x14ac:dyDescent="0.25">
      <c r="A1842" t="s">
        <v>3092</v>
      </c>
      <c r="B1842">
        <v>97</v>
      </c>
      <c r="C1842">
        <v>38176108</v>
      </c>
      <c r="D1842" t="s">
        <v>3093</v>
      </c>
      <c r="E1842" t="s">
        <v>13</v>
      </c>
      <c r="F1842" t="s">
        <v>14</v>
      </c>
      <c r="G1842">
        <v>16000000</v>
      </c>
      <c r="H1842">
        <v>7.2</v>
      </c>
      <c r="I1842" t="s">
        <v>15</v>
      </c>
      <c r="J1842" t="s">
        <v>31</v>
      </c>
      <c r="K1842" t="s">
        <v>19</v>
      </c>
    </row>
    <row r="1843" spans="1:13" x14ac:dyDescent="0.25">
      <c r="A1843" t="s">
        <v>302</v>
      </c>
      <c r="B1843">
        <v>115</v>
      </c>
      <c r="C1843">
        <v>38168022</v>
      </c>
      <c r="D1843" t="s">
        <v>3094</v>
      </c>
      <c r="E1843" t="s">
        <v>13</v>
      </c>
      <c r="F1843" t="s">
        <v>14</v>
      </c>
      <c r="G1843">
        <v>3000000</v>
      </c>
      <c r="H1843">
        <v>6.6</v>
      </c>
      <c r="I1843" t="s">
        <v>15</v>
      </c>
      <c r="J1843" t="s">
        <v>52</v>
      </c>
    </row>
    <row r="1844" spans="1:13" x14ac:dyDescent="0.25">
      <c r="A1844" t="s">
        <v>3095</v>
      </c>
      <c r="B1844">
        <v>101</v>
      </c>
      <c r="C1844">
        <v>38122105</v>
      </c>
      <c r="D1844" t="s">
        <v>3096</v>
      </c>
      <c r="E1844" t="s">
        <v>13</v>
      </c>
      <c r="F1844" t="s">
        <v>14</v>
      </c>
      <c r="G1844">
        <v>27000000</v>
      </c>
      <c r="H1844">
        <v>6.6</v>
      </c>
      <c r="I1844" t="s">
        <v>34</v>
      </c>
      <c r="J1844" t="s">
        <v>38</v>
      </c>
      <c r="K1844" t="s">
        <v>37</v>
      </c>
      <c r="L1844" t="s">
        <v>24</v>
      </c>
    </row>
    <row r="1845" spans="1:13" x14ac:dyDescent="0.25">
      <c r="A1845" t="s">
        <v>317</v>
      </c>
      <c r="B1845">
        <v>96</v>
      </c>
      <c r="C1845">
        <v>38119483</v>
      </c>
      <c r="D1845" t="s">
        <v>3097</v>
      </c>
      <c r="E1845" t="s">
        <v>13</v>
      </c>
      <c r="F1845" t="s">
        <v>14</v>
      </c>
      <c r="G1845">
        <v>22700000</v>
      </c>
      <c r="H1845">
        <v>7.1</v>
      </c>
      <c r="I1845" t="s">
        <v>28</v>
      </c>
      <c r="J1845" t="s">
        <v>15</v>
      </c>
      <c r="K1845" t="s">
        <v>37</v>
      </c>
    </row>
    <row r="1846" spans="1:13" x14ac:dyDescent="0.25">
      <c r="A1846" t="s">
        <v>609</v>
      </c>
      <c r="B1846">
        <v>99</v>
      </c>
      <c r="C1846">
        <v>38105077</v>
      </c>
      <c r="D1846" t="s">
        <v>3098</v>
      </c>
      <c r="E1846" t="s">
        <v>13</v>
      </c>
      <c r="F1846" t="s">
        <v>14</v>
      </c>
      <c r="G1846">
        <v>40000000</v>
      </c>
      <c r="H1846">
        <v>6.4</v>
      </c>
      <c r="I1846" t="s">
        <v>34</v>
      </c>
      <c r="J1846" t="s">
        <v>38</v>
      </c>
      <c r="K1846" t="s">
        <v>24</v>
      </c>
    </row>
    <row r="1847" spans="1:13" x14ac:dyDescent="0.25">
      <c r="A1847" t="s">
        <v>78</v>
      </c>
      <c r="B1847">
        <v>95</v>
      </c>
      <c r="C1847">
        <v>38087756</v>
      </c>
      <c r="D1847" t="s">
        <v>3099</v>
      </c>
      <c r="E1847" t="s">
        <v>13</v>
      </c>
      <c r="F1847" t="s">
        <v>14</v>
      </c>
      <c r="G1847">
        <v>40000000</v>
      </c>
      <c r="H1847">
        <v>5.2</v>
      </c>
      <c r="I1847" t="s">
        <v>15</v>
      </c>
      <c r="J1847" t="s">
        <v>16</v>
      </c>
    </row>
    <row r="1848" spans="1:13" x14ac:dyDescent="0.25">
      <c r="A1848" t="s">
        <v>913</v>
      </c>
      <c r="B1848">
        <v>102</v>
      </c>
      <c r="C1848">
        <v>38087366</v>
      </c>
      <c r="D1848" t="s">
        <v>3100</v>
      </c>
      <c r="E1848" t="s">
        <v>13</v>
      </c>
      <c r="F1848" t="s">
        <v>14</v>
      </c>
      <c r="G1848">
        <v>12000000</v>
      </c>
      <c r="H1848">
        <v>6.6</v>
      </c>
      <c r="I1848" t="s">
        <v>28</v>
      </c>
      <c r="J1848" t="s">
        <v>15</v>
      </c>
    </row>
    <row r="1849" spans="1:13" x14ac:dyDescent="0.25">
      <c r="A1849" t="s">
        <v>3101</v>
      </c>
      <c r="B1849">
        <v>99</v>
      </c>
      <c r="C1849">
        <v>38048637</v>
      </c>
      <c r="D1849" t="s">
        <v>3102</v>
      </c>
      <c r="E1849" t="s">
        <v>13</v>
      </c>
      <c r="F1849" t="s">
        <v>14</v>
      </c>
      <c r="G1849">
        <v>14000000</v>
      </c>
      <c r="H1849">
        <v>5.5</v>
      </c>
      <c r="I1849" t="s">
        <v>22</v>
      </c>
      <c r="J1849" t="s">
        <v>23</v>
      </c>
      <c r="K1849" t="s">
        <v>24</v>
      </c>
    </row>
    <row r="1850" spans="1:13" x14ac:dyDescent="0.25">
      <c r="A1850" t="s">
        <v>523</v>
      </c>
      <c r="B1850">
        <v>93</v>
      </c>
      <c r="C1850">
        <v>38037513</v>
      </c>
      <c r="D1850" t="s">
        <v>3103</v>
      </c>
      <c r="E1850" t="s">
        <v>13</v>
      </c>
      <c r="F1850" t="s">
        <v>14</v>
      </c>
      <c r="G1850">
        <v>20000000</v>
      </c>
      <c r="H1850">
        <v>6.2</v>
      </c>
      <c r="I1850" t="s">
        <v>28</v>
      </c>
      <c r="J1850" t="s">
        <v>15</v>
      </c>
      <c r="K1850" t="s">
        <v>17</v>
      </c>
      <c r="L1850" t="s">
        <v>18</v>
      </c>
      <c r="M1850" t="s">
        <v>37</v>
      </c>
    </row>
    <row r="1851" spans="1:13" x14ac:dyDescent="0.25">
      <c r="A1851" t="s">
        <v>2925</v>
      </c>
      <c r="B1851">
        <v>96</v>
      </c>
      <c r="C1851">
        <v>37939782</v>
      </c>
      <c r="D1851" t="s">
        <v>3104</v>
      </c>
      <c r="E1851" t="s">
        <v>13</v>
      </c>
      <c r="F1851" t="s">
        <v>14</v>
      </c>
      <c r="G1851">
        <v>17000000</v>
      </c>
      <c r="H1851">
        <v>5.6</v>
      </c>
      <c r="I1851" t="s">
        <v>15</v>
      </c>
      <c r="J1851" t="s">
        <v>19</v>
      </c>
    </row>
    <row r="1852" spans="1:13" x14ac:dyDescent="0.25">
      <c r="A1852" t="s">
        <v>623</v>
      </c>
      <c r="B1852">
        <v>113</v>
      </c>
      <c r="C1852">
        <v>37911876</v>
      </c>
      <c r="D1852" t="s">
        <v>3105</v>
      </c>
      <c r="E1852" t="s">
        <v>13</v>
      </c>
      <c r="F1852" t="s">
        <v>14</v>
      </c>
      <c r="G1852">
        <v>32000000</v>
      </c>
      <c r="H1852">
        <v>4.4000000000000004</v>
      </c>
      <c r="I1852" t="s">
        <v>34</v>
      </c>
      <c r="J1852" t="s">
        <v>15</v>
      </c>
      <c r="K1852" t="s">
        <v>38</v>
      </c>
    </row>
    <row r="1853" spans="1:13" x14ac:dyDescent="0.25">
      <c r="A1853" t="s">
        <v>1098</v>
      </c>
      <c r="B1853">
        <v>136</v>
      </c>
      <c r="C1853">
        <v>37901509</v>
      </c>
      <c r="D1853" t="s">
        <v>3106</v>
      </c>
      <c r="E1853" t="s">
        <v>13</v>
      </c>
      <c r="F1853" t="s">
        <v>14</v>
      </c>
      <c r="G1853">
        <v>70000000</v>
      </c>
      <c r="H1853">
        <v>7</v>
      </c>
      <c r="I1853" t="s">
        <v>28</v>
      </c>
      <c r="J1853" t="s">
        <v>42</v>
      </c>
      <c r="K1853" t="s">
        <v>31</v>
      </c>
      <c r="L1853" t="s">
        <v>64</v>
      </c>
      <c r="M1853" t="s">
        <v>83</v>
      </c>
    </row>
    <row r="1854" spans="1:13" x14ac:dyDescent="0.25">
      <c r="A1854" t="s">
        <v>2937</v>
      </c>
      <c r="B1854">
        <v>118</v>
      </c>
      <c r="C1854">
        <v>37899638</v>
      </c>
      <c r="D1854" t="s">
        <v>3107</v>
      </c>
      <c r="E1854" t="s">
        <v>13</v>
      </c>
      <c r="F1854" t="s">
        <v>14</v>
      </c>
      <c r="G1854">
        <v>88000000</v>
      </c>
      <c r="H1854">
        <v>5.9</v>
      </c>
      <c r="I1854" t="s">
        <v>34</v>
      </c>
      <c r="J1854" t="s">
        <v>28</v>
      </c>
      <c r="K1854" t="s">
        <v>15</v>
      </c>
      <c r="L1854" t="s">
        <v>17</v>
      </c>
      <c r="M1854" t="s">
        <v>24</v>
      </c>
    </row>
    <row r="1855" spans="1:13" x14ac:dyDescent="0.25">
      <c r="A1855" t="s">
        <v>3108</v>
      </c>
      <c r="B1855">
        <v>99</v>
      </c>
      <c r="C1855">
        <v>37882551</v>
      </c>
      <c r="D1855" t="s">
        <v>3109</v>
      </c>
      <c r="E1855" t="s">
        <v>13</v>
      </c>
      <c r="F1855" t="s">
        <v>14</v>
      </c>
      <c r="G1855">
        <v>16000000</v>
      </c>
      <c r="H1855">
        <v>5.7</v>
      </c>
      <c r="I1855" t="s">
        <v>15</v>
      </c>
    </row>
    <row r="1856" spans="1:13" x14ac:dyDescent="0.25">
      <c r="A1856" t="s">
        <v>84</v>
      </c>
      <c r="B1856">
        <v>93</v>
      </c>
      <c r="C1856">
        <v>37879996</v>
      </c>
      <c r="D1856" t="s">
        <v>3110</v>
      </c>
      <c r="E1856" t="s">
        <v>13</v>
      </c>
      <c r="F1856" t="s">
        <v>14</v>
      </c>
      <c r="G1856">
        <v>48000000</v>
      </c>
      <c r="H1856">
        <v>6</v>
      </c>
      <c r="I1856" t="s">
        <v>15</v>
      </c>
      <c r="J1856" t="s">
        <v>17</v>
      </c>
      <c r="K1856" t="s">
        <v>19</v>
      </c>
    </row>
    <row r="1857" spans="1:13" x14ac:dyDescent="0.25">
      <c r="A1857" t="s">
        <v>3111</v>
      </c>
      <c r="B1857">
        <v>115</v>
      </c>
      <c r="C1857">
        <v>37877959</v>
      </c>
      <c r="D1857" t="s">
        <v>3112</v>
      </c>
      <c r="E1857" t="s">
        <v>13</v>
      </c>
      <c r="F1857" t="s">
        <v>14</v>
      </c>
      <c r="G1857">
        <v>15000000</v>
      </c>
      <c r="H1857">
        <v>7.1</v>
      </c>
      <c r="I1857" t="s">
        <v>28</v>
      </c>
      <c r="J1857" t="s">
        <v>42</v>
      </c>
      <c r="K1857" t="s">
        <v>31</v>
      </c>
    </row>
    <row r="1858" spans="1:13" x14ac:dyDescent="0.25">
      <c r="A1858" t="s">
        <v>3113</v>
      </c>
      <c r="B1858">
        <v>95</v>
      </c>
      <c r="C1858">
        <v>37788228</v>
      </c>
      <c r="D1858" t="s">
        <v>3114</v>
      </c>
      <c r="E1858" t="s">
        <v>13</v>
      </c>
      <c r="F1858" t="s">
        <v>14</v>
      </c>
      <c r="G1858">
        <v>35200000</v>
      </c>
      <c r="H1858">
        <v>5.4</v>
      </c>
      <c r="I1858" t="s">
        <v>15</v>
      </c>
    </row>
    <row r="1859" spans="1:13" x14ac:dyDescent="0.25">
      <c r="A1859" t="s">
        <v>3115</v>
      </c>
      <c r="B1859">
        <v>110</v>
      </c>
      <c r="C1859">
        <v>37766350</v>
      </c>
      <c r="D1859" t="s">
        <v>3116</v>
      </c>
      <c r="E1859" t="s">
        <v>13</v>
      </c>
      <c r="F1859" t="s">
        <v>14</v>
      </c>
      <c r="G1859">
        <v>11000000</v>
      </c>
      <c r="H1859">
        <v>7.3</v>
      </c>
      <c r="I1859" t="s">
        <v>31</v>
      </c>
    </row>
    <row r="1860" spans="1:13" x14ac:dyDescent="0.25">
      <c r="A1860" t="s">
        <v>3117</v>
      </c>
      <c r="B1860">
        <v>106</v>
      </c>
      <c r="C1860">
        <v>37760080</v>
      </c>
      <c r="D1860" t="s">
        <v>3118</v>
      </c>
      <c r="E1860" t="s">
        <v>13</v>
      </c>
      <c r="F1860" t="s">
        <v>14</v>
      </c>
      <c r="G1860">
        <v>70000000</v>
      </c>
      <c r="H1860">
        <v>6.1</v>
      </c>
      <c r="I1860" t="s">
        <v>34</v>
      </c>
      <c r="J1860" t="s">
        <v>28</v>
      </c>
      <c r="K1860" t="s">
        <v>23</v>
      </c>
      <c r="L1860" t="s">
        <v>37</v>
      </c>
      <c r="M1860" t="s">
        <v>24</v>
      </c>
    </row>
    <row r="1861" spans="1:13" x14ac:dyDescent="0.25">
      <c r="A1861" t="s">
        <v>554</v>
      </c>
      <c r="B1861">
        <v>106</v>
      </c>
      <c r="C1861">
        <v>37754208</v>
      </c>
      <c r="D1861" t="s">
        <v>3119</v>
      </c>
      <c r="E1861" t="s">
        <v>13</v>
      </c>
      <c r="F1861" t="s">
        <v>14</v>
      </c>
      <c r="G1861">
        <v>70000000</v>
      </c>
      <c r="H1861">
        <v>6.3</v>
      </c>
      <c r="I1861" t="s">
        <v>34</v>
      </c>
      <c r="J1861" t="s">
        <v>15</v>
      </c>
      <c r="K1861" t="s">
        <v>37</v>
      </c>
    </row>
    <row r="1862" spans="1:13" x14ac:dyDescent="0.25">
      <c r="A1862" t="s">
        <v>3120</v>
      </c>
      <c r="B1862">
        <v>103</v>
      </c>
      <c r="C1862">
        <v>37752931</v>
      </c>
      <c r="D1862" t="s">
        <v>3121</v>
      </c>
      <c r="E1862" t="s">
        <v>13</v>
      </c>
      <c r="F1862" t="s">
        <v>14</v>
      </c>
      <c r="G1862">
        <v>40000000</v>
      </c>
      <c r="H1862">
        <v>5.5</v>
      </c>
      <c r="I1862" t="s">
        <v>31</v>
      </c>
      <c r="J1862" t="s">
        <v>19</v>
      </c>
    </row>
    <row r="1863" spans="1:13" x14ac:dyDescent="0.25">
      <c r="A1863" t="s">
        <v>3122</v>
      </c>
      <c r="B1863">
        <v>121</v>
      </c>
      <c r="C1863">
        <v>37738400</v>
      </c>
      <c r="D1863" t="s">
        <v>3123</v>
      </c>
      <c r="E1863" t="s">
        <v>13</v>
      </c>
      <c r="F1863" t="s">
        <v>14</v>
      </c>
      <c r="G1863">
        <v>25000000</v>
      </c>
      <c r="H1863">
        <v>7.3</v>
      </c>
      <c r="I1863" t="s">
        <v>31</v>
      </c>
    </row>
    <row r="1864" spans="1:13" x14ac:dyDescent="0.25">
      <c r="A1864" t="s">
        <v>276</v>
      </c>
      <c r="B1864">
        <v>133</v>
      </c>
      <c r="C1864">
        <v>37721949</v>
      </c>
      <c r="D1864" t="s">
        <v>3124</v>
      </c>
      <c r="E1864" t="s">
        <v>13</v>
      </c>
      <c r="F1864" t="s">
        <v>14</v>
      </c>
      <c r="G1864">
        <v>39751583.5</v>
      </c>
      <c r="H1864">
        <v>6</v>
      </c>
      <c r="I1864" t="s">
        <v>31</v>
      </c>
    </row>
    <row r="1865" spans="1:13" x14ac:dyDescent="0.25">
      <c r="A1865" t="s">
        <v>932</v>
      </c>
      <c r="B1865">
        <v>98</v>
      </c>
      <c r="C1865">
        <v>37707719</v>
      </c>
      <c r="D1865" t="s">
        <v>3125</v>
      </c>
      <c r="E1865" t="s">
        <v>13</v>
      </c>
      <c r="F1865" t="s">
        <v>82</v>
      </c>
      <c r="G1865">
        <v>12000000</v>
      </c>
      <c r="H1865">
        <v>7.6</v>
      </c>
      <c r="I1865" t="s">
        <v>42</v>
      </c>
      <c r="J1865" t="s">
        <v>31</v>
      </c>
    </row>
    <row r="1866" spans="1:13" x14ac:dyDescent="0.25">
      <c r="A1866" t="s">
        <v>659</v>
      </c>
      <c r="B1866">
        <v>124</v>
      </c>
      <c r="C1866">
        <v>37672350</v>
      </c>
      <c r="D1866" t="s">
        <v>3126</v>
      </c>
      <c r="E1866" t="s">
        <v>13</v>
      </c>
      <c r="F1866" t="s">
        <v>14</v>
      </c>
      <c r="G1866">
        <v>20000000</v>
      </c>
      <c r="H1866">
        <v>5.5</v>
      </c>
      <c r="I1866" t="s">
        <v>15</v>
      </c>
      <c r="J1866" t="s">
        <v>31</v>
      </c>
      <c r="K1866" t="s">
        <v>19</v>
      </c>
    </row>
    <row r="1867" spans="1:13" x14ac:dyDescent="0.25">
      <c r="A1867" t="s">
        <v>3127</v>
      </c>
      <c r="B1867">
        <v>100</v>
      </c>
      <c r="C1867">
        <v>37652565</v>
      </c>
      <c r="D1867" t="s">
        <v>3128</v>
      </c>
      <c r="E1867" t="s">
        <v>13</v>
      </c>
      <c r="F1867" t="s">
        <v>14</v>
      </c>
      <c r="G1867">
        <v>42000000</v>
      </c>
      <c r="H1867">
        <v>5.4</v>
      </c>
      <c r="I1867" t="s">
        <v>17</v>
      </c>
      <c r="J1867" t="s">
        <v>22</v>
      </c>
      <c r="K1867" t="s">
        <v>23</v>
      </c>
      <c r="L1867" t="s">
        <v>24</v>
      </c>
    </row>
    <row r="1868" spans="1:13" x14ac:dyDescent="0.25">
      <c r="A1868" t="s">
        <v>396</v>
      </c>
      <c r="B1868">
        <v>112</v>
      </c>
      <c r="C1868">
        <v>37623143</v>
      </c>
      <c r="D1868" t="s">
        <v>3129</v>
      </c>
      <c r="E1868" t="s">
        <v>1498</v>
      </c>
      <c r="F1868" t="s">
        <v>910</v>
      </c>
      <c r="G1868">
        <v>13500000</v>
      </c>
      <c r="H1868">
        <v>8.1999999999999993</v>
      </c>
      <c r="I1868" t="s">
        <v>31</v>
      </c>
      <c r="J1868" t="s">
        <v>17</v>
      </c>
      <c r="K1868" t="s">
        <v>83</v>
      </c>
    </row>
    <row r="1869" spans="1:13" x14ac:dyDescent="0.25">
      <c r="A1869" t="s">
        <v>3127</v>
      </c>
      <c r="B1869">
        <v>101</v>
      </c>
      <c r="C1869">
        <v>37617947</v>
      </c>
      <c r="D1869" t="s">
        <v>3130</v>
      </c>
      <c r="E1869" t="s">
        <v>13</v>
      </c>
      <c r="F1869" t="s">
        <v>14</v>
      </c>
      <c r="G1869">
        <v>30000000</v>
      </c>
      <c r="H1869">
        <v>6.8</v>
      </c>
      <c r="I1869" t="s">
        <v>31</v>
      </c>
      <c r="J1869" t="s">
        <v>16</v>
      </c>
      <c r="K1869" t="s">
        <v>17</v>
      </c>
    </row>
    <row r="1870" spans="1:13" x14ac:dyDescent="0.25">
      <c r="A1870" t="s">
        <v>925</v>
      </c>
      <c r="B1870">
        <v>134</v>
      </c>
      <c r="C1870">
        <v>37600435</v>
      </c>
      <c r="D1870" t="s">
        <v>3131</v>
      </c>
      <c r="E1870" t="s">
        <v>13</v>
      </c>
      <c r="F1870" t="s">
        <v>14</v>
      </c>
      <c r="G1870">
        <v>55000000</v>
      </c>
      <c r="H1870">
        <v>5.9</v>
      </c>
      <c r="I1870" t="s">
        <v>34</v>
      </c>
      <c r="J1870" t="s">
        <v>28</v>
      </c>
      <c r="K1870" t="s">
        <v>19</v>
      </c>
      <c r="L1870" t="s">
        <v>24</v>
      </c>
    </row>
    <row r="1871" spans="1:13" x14ac:dyDescent="0.25">
      <c r="A1871" t="s">
        <v>1724</v>
      </c>
      <c r="B1871">
        <v>129</v>
      </c>
      <c r="C1871">
        <v>37567440</v>
      </c>
      <c r="D1871" t="s">
        <v>3132</v>
      </c>
      <c r="E1871" t="s">
        <v>13</v>
      </c>
      <c r="F1871" t="s">
        <v>14</v>
      </c>
      <c r="G1871">
        <v>20000000</v>
      </c>
      <c r="H1871">
        <v>6.9</v>
      </c>
      <c r="I1871" t="s">
        <v>28</v>
      </c>
      <c r="J1871" t="s">
        <v>17</v>
      </c>
    </row>
    <row r="1872" spans="1:13" x14ac:dyDescent="0.25">
      <c r="A1872" t="s">
        <v>1724</v>
      </c>
      <c r="B1872">
        <v>129</v>
      </c>
      <c r="C1872">
        <v>37567440</v>
      </c>
      <c r="D1872" t="s">
        <v>3132</v>
      </c>
      <c r="E1872" t="s">
        <v>13</v>
      </c>
      <c r="F1872" t="s">
        <v>14</v>
      </c>
      <c r="G1872">
        <v>20000000</v>
      </c>
      <c r="H1872">
        <v>6.9</v>
      </c>
      <c r="I1872" t="s">
        <v>28</v>
      </c>
      <c r="J1872" t="s">
        <v>17</v>
      </c>
    </row>
    <row r="1873" spans="1:13" x14ac:dyDescent="0.25">
      <c r="A1873" t="s">
        <v>3133</v>
      </c>
      <c r="B1873">
        <v>87</v>
      </c>
      <c r="C1873">
        <v>37566230</v>
      </c>
      <c r="D1873" t="s">
        <v>3134</v>
      </c>
      <c r="E1873" t="s">
        <v>13</v>
      </c>
      <c r="F1873" t="s">
        <v>14</v>
      </c>
      <c r="G1873">
        <v>17000000</v>
      </c>
      <c r="H1873">
        <v>5.0999999999999996</v>
      </c>
      <c r="I1873" t="s">
        <v>15</v>
      </c>
      <c r="J1873" t="s">
        <v>31</v>
      </c>
      <c r="K1873" t="s">
        <v>16</v>
      </c>
      <c r="L1873" t="s">
        <v>17</v>
      </c>
      <c r="M1873" t="s">
        <v>37</v>
      </c>
    </row>
    <row r="1874" spans="1:13" x14ac:dyDescent="0.25">
      <c r="A1874" t="s">
        <v>3135</v>
      </c>
      <c r="B1874">
        <v>109</v>
      </c>
      <c r="C1874">
        <v>37553932</v>
      </c>
      <c r="D1874" t="s">
        <v>3136</v>
      </c>
      <c r="E1874" t="s">
        <v>13</v>
      </c>
      <c r="F1874" t="s">
        <v>14</v>
      </c>
      <c r="G1874">
        <v>40000000</v>
      </c>
      <c r="H1874">
        <v>6.7</v>
      </c>
      <c r="I1874" t="s">
        <v>34</v>
      </c>
      <c r="J1874" t="s">
        <v>37</v>
      </c>
      <c r="K1874" t="s">
        <v>24</v>
      </c>
    </row>
    <row r="1875" spans="1:13" x14ac:dyDescent="0.25">
      <c r="A1875" t="s">
        <v>1234</v>
      </c>
      <c r="B1875">
        <v>105</v>
      </c>
      <c r="C1875">
        <v>37516013</v>
      </c>
      <c r="D1875" t="s">
        <v>3137</v>
      </c>
      <c r="E1875" t="s">
        <v>13</v>
      </c>
      <c r="F1875" t="s">
        <v>14</v>
      </c>
      <c r="G1875">
        <v>69000000</v>
      </c>
      <c r="H1875">
        <v>5.9</v>
      </c>
      <c r="I1875" t="s">
        <v>34</v>
      </c>
      <c r="J1875" t="s">
        <v>17</v>
      </c>
      <c r="K1875" t="s">
        <v>22</v>
      </c>
    </row>
    <row r="1876" spans="1:13" x14ac:dyDescent="0.25">
      <c r="A1876" t="s">
        <v>55</v>
      </c>
      <c r="B1876">
        <v>119</v>
      </c>
      <c r="C1876">
        <v>37486138</v>
      </c>
      <c r="D1876" t="s">
        <v>3138</v>
      </c>
      <c r="E1876" t="s">
        <v>13</v>
      </c>
      <c r="F1876" t="s">
        <v>14</v>
      </c>
      <c r="G1876">
        <v>50000000</v>
      </c>
      <c r="H1876">
        <v>6</v>
      </c>
      <c r="I1876" t="s">
        <v>15</v>
      </c>
      <c r="J1876" t="s">
        <v>31</v>
      </c>
      <c r="K1876" t="s">
        <v>19</v>
      </c>
    </row>
    <row r="1877" spans="1:13" x14ac:dyDescent="0.25">
      <c r="A1877" t="s">
        <v>3139</v>
      </c>
      <c r="B1877">
        <v>104</v>
      </c>
      <c r="C1877">
        <v>37481242</v>
      </c>
      <c r="D1877" t="s">
        <v>3140</v>
      </c>
      <c r="E1877" t="s">
        <v>13</v>
      </c>
      <c r="F1877" t="s">
        <v>14</v>
      </c>
      <c r="G1877">
        <v>35000000</v>
      </c>
      <c r="H1877">
        <v>5.3</v>
      </c>
      <c r="I1877" t="s">
        <v>15</v>
      </c>
      <c r="J1877" t="s">
        <v>19</v>
      </c>
    </row>
    <row r="1878" spans="1:13" x14ac:dyDescent="0.25">
      <c r="A1878" t="s">
        <v>154</v>
      </c>
      <c r="B1878">
        <v>134</v>
      </c>
      <c r="C1878">
        <v>37479778</v>
      </c>
      <c r="D1878" t="s">
        <v>3141</v>
      </c>
      <c r="E1878" t="s">
        <v>13</v>
      </c>
      <c r="F1878" t="s">
        <v>14</v>
      </c>
      <c r="G1878">
        <v>60000000</v>
      </c>
      <c r="H1878">
        <v>7.4</v>
      </c>
      <c r="I1878" t="s">
        <v>42</v>
      </c>
      <c r="J1878" t="s">
        <v>31</v>
      </c>
      <c r="K1878" t="s">
        <v>64</v>
      </c>
      <c r="L1878" t="s">
        <v>41</v>
      </c>
    </row>
    <row r="1879" spans="1:13" x14ac:dyDescent="0.25">
      <c r="A1879" t="s">
        <v>3142</v>
      </c>
      <c r="B1879">
        <v>90</v>
      </c>
      <c r="C1879">
        <v>37470017</v>
      </c>
      <c r="D1879" t="s">
        <v>3143</v>
      </c>
      <c r="E1879" t="s">
        <v>13</v>
      </c>
      <c r="F1879" t="s">
        <v>241</v>
      </c>
      <c r="G1879">
        <v>10000000</v>
      </c>
      <c r="H1879">
        <v>6.1</v>
      </c>
      <c r="I1879" t="s">
        <v>22</v>
      </c>
      <c r="J1879" t="s">
        <v>23</v>
      </c>
    </row>
    <row r="1880" spans="1:13" x14ac:dyDescent="0.25">
      <c r="A1880" t="s">
        <v>371</v>
      </c>
      <c r="B1880">
        <v>115</v>
      </c>
      <c r="C1880">
        <v>37442180</v>
      </c>
      <c r="D1880" t="s">
        <v>3144</v>
      </c>
      <c r="E1880" t="s">
        <v>13</v>
      </c>
      <c r="F1880" t="s">
        <v>14</v>
      </c>
      <c r="G1880">
        <v>20000000</v>
      </c>
      <c r="H1880">
        <v>6.2</v>
      </c>
      <c r="I1880" t="s">
        <v>15</v>
      </c>
      <c r="J1880" t="s">
        <v>31</v>
      </c>
      <c r="K1880" t="s">
        <v>19</v>
      </c>
      <c r="L1880" t="s">
        <v>24</v>
      </c>
    </row>
    <row r="1881" spans="1:13" x14ac:dyDescent="0.25">
      <c r="A1881" t="s">
        <v>1190</v>
      </c>
      <c r="B1881">
        <v>128</v>
      </c>
      <c r="C1881">
        <v>37432299</v>
      </c>
      <c r="D1881" t="s">
        <v>3145</v>
      </c>
      <c r="E1881" t="s">
        <v>13</v>
      </c>
      <c r="F1881" t="s">
        <v>14</v>
      </c>
      <c r="G1881">
        <v>34000000</v>
      </c>
      <c r="H1881">
        <v>7.1</v>
      </c>
      <c r="I1881" t="s">
        <v>31</v>
      </c>
      <c r="J1881" t="s">
        <v>19</v>
      </c>
    </row>
    <row r="1882" spans="1:13" x14ac:dyDescent="0.25">
      <c r="A1882" t="s">
        <v>3146</v>
      </c>
      <c r="B1882">
        <v>109</v>
      </c>
      <c r="C1882">
        <v>37371385</v>
      </c>
      <c r="D1882" t="s">
        <v>3147</v>
      </c>
      <c r="E1882" t="s">
        <v>13</v>
      </c>
      <c r="F1882" t="s">
        <v>14</v>
      </c>
      <c r="G1882">
        <v>40000000</v>
      </c>
      <c r="H1882">
        <v>7</v>
      </c>
      <c r="I1882" t="s">
        <v>28</v>
      </c>
      <c r="J1882" t="s">
        <v>15</v>
      </c>
      <c r="K1882" t="s">
        <v>37</v>
      </c>
    </row>
    <row r="1883" spans="1:13" x14ac:dyDescent="0.25">
      <c r="A1883" t="s">
        <v>505</v>
      </c>
      <c r="B1883">
        <v>123</v>
      </c>
      <c r="C1883">
        <v>37339525</v>
      </c>
      <c r="D1883" t="s">
        <v>3148</v>
      </c>
      <c r="E1883" t="s">
        <v>13</v>
      </c>
      <c r="F1883" t="s">
        <v>14</v>
      </c>
      <c r="G1883">
        <v>48000000</v>
      </c>
      <c r="H1883">
        <v>7</v>
      </c>
      <c r="I1883" t="s">
        <v>38</v>
      </c>
      <c r="J1883" t="s">
        <v>31</v>
      </c>
      <c r="K1883" t="s">
        <v>19</v>
      </c>
      <c r="L1883" t="s">
        <v>24</v>
      </c>
    </row>
    <row r="1884" spans="1:13" x14ac:dyDescent="0.25">
      <c r="A1884" t="s">
        <v>154</v>
      </c>
      <c r="B1884">
        <v>137</v>
      </c>
      <c r="C1884">
        <v>37304950</v>
      </c>
      <c r="D1884" t="s">
        <v>3149</v>
      </c>
      <c r="E1884" t="s">
        <v>13</v>
      </c>
      <c r="F1884" t="s">
        <v>14</v>
      </c>
      <c r="G1884">
        <v>35000000</v>
      </c>
      <c r="H1884">
        <v>6.6</v>
      </c>
      <c r="I1884" t="s">
        <v>42</v>
      </c>
      <c r="J1884" t="s">
        <v>38</v>
      </c>
      <c r="K1884" t="s">
        <v>31</v>
      </c>
    </row>
    <row r="1885" spans="1:13" x14ac:dyDescent="0.25">
      <c r="A1885" t="s">
        <v>3150</v>
      </c>
      <c r="B1885">
        <v>91</v>
      </c>
      <c r="C1885">
        <v>37300107</v>
      </c>
      <c r="D1885" t="s">
        <v>3151</v>
      </c>
      <c r="E1885" t="s">
        <v>13</v>
      </c>
      <c r="F1885" t="s">
        <v>14</v>
      </c>
      <c r="G1885">
        <v>16000000</v>
      </c>
      <c r="H1885">
        <v>4.8</v>
      </c>
      <c r="I1885" t="s">
        <v>31</v>
      </c>
      <c r="J1885" t="s">
        <v>22</v>
      </c>
      <c r="K1885" t="s">
        <v>24</v>
      </c>
    </row>
    <row r="1886" spans="1:13" x14ac:dyDescent="0.25">
      <c r="A1886" t="s">
        <v>3152</v>
      </c>
      <c r="B1886">
        <v>112</v>
      </c>
      <c r="C1886">
        <v>37295394</v>
      </c>
      <c r="D1886" t="s">
        <v>3153</v>
      </c>
      <c r="E1886" t="s">
        <v>13</v>
      </c>
      <c r="F1886" t="s">
        <v>14</v>
      </c>
      <c r="G1886">
        <v>6600000</v>
      </c>
      <c r="H1886">
        <v>5.7</v>
      </c>
      <c r="I1886" t="s">
        <v>15</v>
      </c>
      <c r="J1886" t="s">
        <v>31</v>
      </c>
    </row>
    <row r="1887" spans="1:13" x14ac:dyDescent="0.25">
      <c r="A1887" t="s">
        <v>3154</v>
      </c>
      <c r="B1887">
        <v>93</v>
      </c>
      <c r="C1887">
        <v>37188667</v>
      </c>
      <c r="D1887" t="s">
        <v>3155</v>
      </c>
      <c r="E1887" t="s">
        <v>13</v>
      </c>
      <c r="F1887" t="s">
        <v>14</v>
      </c>
      <c r="G1887">
        <v>12000000</v>
      </c>
      <c r="H1887">
        <v>3.3</v>
      </c>
      <c r="I1887" t="s">
        <v>15</v>
      </c>
      <c r="J1887" t="s">
        <v>31</v>
      </c>
    </row>
    <row r="1888" spans="1:13" x14ac:dyDescent="0.25">
      <c r="A1888" t="s">
        <v>480</v>
      </c>
      <c r="B1888">
        <v>95</v>
      </c>
      <c r="C1888">
        <v>37101011</v>
      </c>
      <c r="D1888" t="s">
        <v>3156</v>
      </c>
      <c r="E1888" t="s">
        <v>13</v>
      </c>
      <c r="F1888" t="s">
        <v>14</v>
      </c>
      <c r="G1888">
        <v>40000000</v>
      </c>
      <c r="H1888">
        <v>5.8</v>
      </c>
      <c r="I1888" t="s">
        <v>15</v>
      </c>
      <c r="J1888" t="s">
        <v>31</v>
      </c>
    </row>
    <row r="1889" spans="1:13" x14ac:dyDescent="0.25">
      <c r="A1889" t="s">
        <v>515</v>
      </c>
      <c r="B1889">
        <v>83</v>
      </c>
      <c r="C1889">
        <v>37053924</v>
      </c>
      <c r="D1889" t="s">
        <v>3157</v>
      </c>
      <c r="E1889" t="s">
        <v>13</v>
      </c>
      <c r="F1889" t="s">
        <v>241</v>
      </c>
      <c r="G1889">
        <v>28000000</v>
      </c>
      <c r="H1889">
        <v>6.1</v>
      </c>
      <c r="I1889" t="s">
        <v>34</v>
      </c>
      <c r="J1889" t="s">
        <v>15</v>
      </c>
      <c r="K1889" t="s">
        <v>38</v>
      </c>
    </row>
    <row r="1890" spans="1:13" x14ac:dyDescent="0.25">
      <c r="A1890" t="s">
        <v>3158</v>
      </c>
      <c r="B1890">
        <v>128</v>
      </c>
      <c r="C1890">
        <v>37036404</v>
      </c>
      <c r="D1890" t="s">
        <v>3159</v>
      </c>
      <c r="E1890" t="s">
        <v>13</v>
      </c>
      <c r="F1890" t="s">
        <v>14</v>
      </c>
      <c r="G1890">
        <v>30000000</v>
      </c>
      <c r="H1890">
        <v>6.4</v>
      </c>
      <c r="I1890" t="s">
        <v>15</v>
      </c>
      <c r="J1890" t="s">
        <v>31</v>
      </c>
      <c r="K1890" t="s">
        <v>19</v>
      </c>
    </row>
    <row r="1891" spans="1:13" x14ac:dyDescent="0.25">
      <c r="A1891" t="s">
        <v>813</v>
      </c>
      <c r="B1891">
        <v>118</v>
      </c>
      <c r="C1891">
        <v>37035845</v>
      </c>
      <c r="D1891" t="s">
        <v>3160</v>
      </c>
      <c r="E1891" t="s">
        <v>13</v>
      </c>
      <c r="F1891" t="s">
        <v>14</v>
      </c>
      <c r="G1891">
        <v>52000000</v>
      </c>
      <c r="H1891">
        <v>6.4</v>
      </c>
      <c r="I1891" t="s">
        <v>15</v>
      </c>
      <c r="J1891" t="s">
        <v>17</v>
      </c>
    </row>
    <row r="1892" spans="1:13" x14ac:dyDescent="0.25">
      <c r="A1892" t="s">
        <v>3161</v>
      </c>
      <c r="B1892">
        <v>103</v>
      </c>
      <c r="C1892">
        <v>37035515</v>
      </c>
      <c r="D1892" t="s">
        <v>3162</v>
      </c>
      <c r="E1892" t="s">
        <v>13</v>
      </c>
      <c r="F1892" t="s">
        <v>14</v>
      </c>
      <c r="G1892">
        <v>43000000</v>
      </c>
      <c r="H1892">
        <v>6</v>
      </c>
      <c r="I1892" t="s">
        <v>15</v>
      </c>
      <c r="J1892" t="s">
        <v>31</v>
      </c>
    </row>
    <row r="1893" spans="1:13" x14ac:dyDescent="0.25">
      <c r="A1893" t="s">
        <v>129</v>
      </c>
      <c r="B1893">
        <v>151</v>
      </c>
      <c r="C1893">
        <v>37023395</v>
      </c>
      <c r="D1893" t="s">
        <v>3163</v>
      </c>
      <c r="E1893" t="s">
        <v>13</v>
      </c>
      <c r="F1893" t="s">
        <v>14</v>
      </c>
      <c r="G1893">
        <v>63000000</v>
      </c>
      <c r="H1893">
        <v>8.8000000000000007</v>
      </c>
      <c r="I1893" t="s">
        <v>31</v>
      </c>
    </row>
    <row r="1894" spans="1:13" x14ac:dyDescent="0.25">
      <c r="A1894" t="s">
        <v>246</v>
      </c>
      <c r="B1894">
        <v>94</v>
      </c>
      <c r="C1894">
        <v>36985501</v>
      </c>
      <c r="D1894" t="s">
        <v>3164</v>
      </c>
      <c r="E1894" t="s">
        <v>13</v>
      </c>
      <c r="F1894" t="s">
        <v>14</v>
      </c>
      <c r="G1894">
        <v>26000000</v>
      </c>
      <c r="H1894">
        <v>5.2</v>
      </c>
      <c r="I1894" t="s">
        <v>34</v>
      </c>
      <c r="J1894" t="s">
        <v>28</v>
      </c>
      <c r="K1894" t="s">
        <v>15</v>
      </c>
      <c r="L1894" t="s">
        <v>37</v>
      </c>
      <c r="M1894" t="s">
        <v>24</v>
      </c>
    </row>
    <row r="1895" spans="1:13" x14ac:dyDescent="0.25">
      <c r="A1895" t="s">
        <v>371</v>
      </c>
      <c r="B1895">
        <v>134</v>
      </c>
      <c r="C1895">
        <v>36976367</v>
      </c>
      <c r="D1895" t="s">
        <v>3165</v>
      </c>
      <c r="E1895" t="s">
        <v>13</v>
      </c>
      <c r="F1895" t="s">
        <v>14</v>
      </c>
      <c r="G1895">
        <v>75000000</v>
      </c>
      <c r="H1895">
        <v>6</v>
      </c>
      <c r="I1895" t="s">
        <v>31</v>
      </c>
      <c r="J1895" t="s">
        <v>23</v>
      </c>
      <c r="K1895" t="s">
        <v>37</v>
      </c>
      <c r="L1895" t="s">
        <v>24</v>
      </c>
    </row>
    <row r="1896" spans="1:13" x14ac:dyDescent="0.25">
      <c r="A1896" t="s">
        <v>3166</v>
      </c>
      <c r="B1896">
        <v>127</v>
      </c>
      <c r="C1896">
        <v>36965395</v>
      </c>
      <c r="D1896" t="s">
        <v>3167</v>
      </c>
      <c r="E1896" t="s">
        <v>13</v>
      </c>
      <c r="F1896" t="s">
        <v>14</v>
      </c>
      <c r="G1896">
        <v>39751583.5</v>
      </c>
      <c r="H1896">
        <v>7.1</v>
      </c>
      <c r="I1896" t="s">
        <v>38</v>
      </c>
      <c r="J1896" t="s">
        <v>31</v>
      </c>
      <c r="K1896" t="s">
        <v>23</v>
      </c>
      <c r="L1896" t="s">
        <v>24</v>
      </c>
    </row>
    <row r="1897" spans="1:13" x14ac:dyDescent="0.25">
      <c r="A1897" t="s">
        <v>991</v>
      </c>
      <c r="B1897">
        <v>116</v>
      </c>
      <c r="C1897">
        <v>36931089</v>
      </c>
      <c r="D1897" t="s">
        <v>3168</v>
      </c>
      <c r="E1897" t="s">
        <v>13</v>
      </c>
      <c r="F1897" t="s">
        <v>14</v>
      </c>
      <c r="G1897">
        <v>70000000</v>
      </c>
      <c r="H1897">
        <v>5.6</v>
      </c>
      <c r="I1897" t="s">
        <v>15</v>
      </c>
    </row>
    <row r="1898" spans="1:13" x14ac:dyDescent="0.25">
      <c r="A1898" t="s">
        <v>495</v>
      </c>
      <c r="B1898">
        <v>102</v>
      </c>
      <c r="C1898">
        <v>36883539</v>
      </c>
      <c r="D1898" t="s">
        <v>3169</v>
      </c>
      <c r="E1898" t="s">
        <v>13</v>
      </c>
      <c r="F1898" t="s">
        <v>241</v>
      </c>
      <c r="G1898">
        <v>52000000</v>
      </c>
      <c r="H1898">
        <v>6.6</v>
      </c>
      <c r="I1898" t="s">
        <v>34</v>
      </c>
      <c r="J1898" t="s">
        <v>38</v>
      </c>
      <c r="K1898" t="s">
        <v>31</v>
      </c>
      <c r="L1898" t="s">
        <v>24</v>
      </c>
    </row>
    <row r="1899" spans="1:13" x14ac:dyDescent="0.25">
      <c r="A1899" t="s">
        <v>999</v>
      </c>
      <c r="B1899">
        <v>107</v>
      </c>
      <c r="C1899">
        <v>36874745</v>
      </c>
      <c r="D1899" t="s">
        <v>3170</v>
      </c>
      <c r="E1899" t="s">
        <v>13</v>
      </c>
      <c r="F1899" t="s">
        <v>14</v>
      </c>
      <c r="G1899">
        <v>20000000</v>
      </c>
      <c r="H1899">
        <v>6.3</v>
      </c>
      <c r="I1899" t="s">
        <v>34</v>
      </c>
      <c r="J1899" t="s">
        <v>28</v>
      </c>
      <c r="K1899" t="s">
        <v>31</v>
      </c>
      <c r="L1899" t="s">
        <v>23</v>
      </c>
    </row>
    <row r="1900" spans="1:13" x14ac:dyDescent="0.25">
      <c r="A1900" t="s">
        <v>3171</v>
      </c>
      <c r="B1900">
        <v>98</v>
      </c>
      <c r="C1900">
        <v>36833473</v>
      </c>
      <c r="D1900" t="s">
        <v>3172</v>
      </c>
      <c r="E1900" t="s">
        <v>13</v>
      </c>
      <c r="F1900" t="s">
        <v>295</v>
      </c>
      <c r="G1900">
        <v>25000000</v>
      </c>
      <c r="H1900">
        <v>6.6</v>
      </c>
      <c r="I1900" t="s">
        <v>34</v>
      </c>
      <c r="J1900" t="s">
        <v>38</v>
      </c>
      <c r="K1900" t="s">
        <v>31</v>
      </c>
      <c r="L1900" t="s">
        <v>24</v>
      </c>
    </row>
    <row r="1901" spans="1:13" x14ac:dyDescent="0.25">
      <c r="A1901" t="s">
        <v>78</v>
      </c>
      <c r="B1901">
        <v>94</v>
      </c>
      <c r="C1901">
        <v>36830057</v>
      </c>
      <c r="D1901" t="s">
        <v>3173</v>
      </c>
      <c r="E1901" t="s">
        <v>13</v>
      </c>
      <c r="F1901" t="s">
        <v>14</v>
      </c>
      <c r="G1901">
        <v>65000000</v>
      </c>
      <c r="H1901">
        <v>4.9000000000000004</v>
      </c>
      <c r="I1901" t="s">
        <v>15</v>
      </c>
      <c r="J1901" t="s">
        <v>16</v>
      </c>
      <c r="K1901" t="s">
        <v>37</v>
      </c>
    </row>
    <row r="1902" spans="1:13" x14ac:dyDescent="0.25">
      <c r="A1902" t="s">
        <v>398</v>
      </c>
      <c r="B1902">
        <v>120</v>
      </c>
      <c r="C1902">
        <v>36733909</v>
      </c>
      <c r="D1902" t="s">
        <v>3174</v>
      </c>
      <c r="E1902" t="s">
        <v>13</v>
      </c>
      <c r="F1902" t="s">
        <v>14</v>
      </c>
      <c r="G1902">
        <v>32000000</v>
      </c>
      <c r="H1902">
        <v>7.1</v>
      </c>
      <c r="I1902" t="s">
        <v>28</v>
      </c>
      <c r="J1902" t="s">
        <v>42</v>
      </c>
      <c r="K1902" t="s">
        <v>31</v>
      </c>
      <c r="L1902" t="s">
        <v>24</v>
      </c>
    </row>
    <row r="1903" spans="1:13" x14ac:dyDescent="0.25">
      <c r="A1903" t="s">
        <v>3175</v>
      </c>
      <c r="B1903">
        <v>82</v>
      </c>
      <c r="C1903">
        <v>36696761</v>
      </c>
      <c r="D1903" t="s">
        <v>3176</v>
      </c>
      <c r="E1903" t="s">
        <v>13</v>
      </c>
      <c r="F1903" t="s">
        <v>14</v>
      </c>
      <c r="G1903">
        <v>23000000</v>
      </c>
      <c r="H1903">
        <v>6.5</v>
      </c>
      <c r="I1903" t="s">
        <v>46</v>
      </c>
      <c r="J1903" t="s">
        <v>15</v>
      </c>
      <c r="K1903" t="s">
        <v>16</v>
      </c>
      <c r="L1903" t="s">
        <v>23</v>
      </c>
      <c r="M1903" t="s">
        <v>37</v>
      </c>
    </row>
    <row r="1904" spans="1:13" x14ac:dyDescent="0.25">
      <c r="A1904" t="s">
        <v>293</v>
      </c>
      <c r="B1904">
        <v>112</v>
      </c>
      <c r="C1904">
        <v>36665854</v>
      </c>
      <c r="D1904" t="s">
        <v>3177</v>
      </c>
      <c r="E1904" t="s">
        <v>13</v>
      </c>
      <c r="F1904" t="s">
        <v>295</v>
      </c>
      <c r="G1904">
        <v>40000000</v>
      </c>
      <c r="H1904">
        <v>6.4</v>
      </c>
      <c r="I1904" t="s">
        <v>34</v>
      </c>
      <c r="J1904" t="s">
        <v>38</v>
      </c>
      <c r="K1904" t="s">
        <v>31</v>
      </c>
      <c r="L1904" t="s">
        <v>24</v>
      </c>
    </row>
    <row r="1905" spans="1:13" x14ac:dyDescent="0.25">
      <c r="A1905" t="s">
        <v>3030</v>
      </c>
      <c r="B1905">
        <v>82</v>
      </c>
      <c r="C1905">
        <v>36658108</v>
      </c>
      <c r="D1905" t="s">
        <v>3178</v>
      </c>
      <c r="E1905" t="s">
        <v>13</v>
      </c>
      <c r="F1905" t="s">
        <v>14</v>
      </c>
      <c r="G1905">
        <v>20000000</v>
      </c>
      <c r="H1905">
        <v>3.5</v>
      </c>
      <c r="I1905" t="s">
        <v>15</v>
      </c>
    </row>
    <row r="1906" spans="1:13" x14ac:dyDescent="0.25">
      <c r="A1906" t="s">
        <v>1024</v>
      </c>
      <c r="B1906">
        <v>123</v>
      </c>
      <c r="C1906">
        <v>36581633</v>
      </c>
      <c r="D1906" t="s">
        <v>3179</v>
      </c>
      <c r="E1906" t="s">
        <v>13</v>
      </c>
      <c r="F1906" t="s">
        <v>241</v>
      </c>
      <c r="G1906">
        <v>21000000</v>
      </c>
      <c r="H1906">
        <v>7.5</v>
      </c>
      <c r="I1906" t="s">
        <v>42</v>
      </c>
      <c r="J1906" t="s">
        <v>38</v>
      </c>
      <c r="K1906" t="s">
        <v>31</v>
      </c>
    </row>
    <row r="1907" spans="1:13" x14ac:dyDescent="0.25">
      <c r="A1907" t="s">
        <v>3180</v>
      </c>
      <c r="B1907">
        <v>112</v>
      </c>
      <c r="C1907">
        <v>36500000</v>
      </c>
      <c r="D1907" t="s">
        <v>3181</v>
      </c>
      <c r="E1907" t="s">
        <v>13</v>
      </c>
      <c r="F1907" t="s">
        <v>14</v>
      </c>
      <c r="G1907">
        <v>8000000</v>
      </c>
      <c r="H1907">
        <v>7.6</v>
      </c>
      <c r="I1907" t="s">
        <v>42</v>
      </c>
      <c r="J1907" t="s">
        <v>38</v>
      </c>
      <c r="K1907" t="s">
        <v>31</v>
      </c>
    </row>
    <row r="1908" spans="1:13" x14ac:dyDescent="0.25">
      <c r="A1908" t="s">
        <v>3182</v>
      </c>
      <c r="B1908">
        <v>124</v>
      </c>
      <c r="C1908">
        <v>36447959</v>
      </c>
      <c r="D1908" t="s">
        <v>3183</v>
      </c>
      <c r="E1908" t="s">
        <v>13</v>
      </c>
      <c r="F1908" t="s">
        <v>14</v>
      </c>
      <c r="G1908">
        <v>25000000</v>
      </c>
      <c r="H1908">
        <v>7</v>
      </c>
      <c r="I1908" t="s">
        <v>42</v>
      </c>
      <c r="J1908" t="s">
        <v>31</v>
      </c>
      <c r="K1908" t="s">
        <v>41</v>
      </c>
    </row>
    <row r="1909" spans="1:13" x14ac:dyDescent="0.25">
      <c r="A1909" t="s">
        <v>2154</v>
      </c>
      <c r="B1909">
        <v>215</v>
      </c>
      <c r="C1909">
        <v>36385763</v>
      </c>
      <c r="D1909" t="s">
        <v>3184</v>
      </c>
      <c r="E1909" t="s">
        <v>13</v>
      </c>
      <c r="F1909" t="s">
        <v>14</v>
      </c>
      <c r="G1909">
        <v>52000000</v>
      </c>
      <c r="H1909">
        <v>7.6</v>
      </c>
      <c r="I1909" t="s">
        <v>31</v>
      </c>
      <c r="J1909" t="s">
        <v>83</v>
      </c>
    </row>
    <row r="1910" spans="1:13" x14ac:dyDescent="0.25">
      <c r="A1910" t="s">
        <v>858</v>
      </c>
      <c r="B1910">
        <v>128</v>
      </c>
      <c r="C1910">
        <v>36381716</v>
      </c>
      <c r="D1910" t="s">
        <v>3185</v>
      </c>
      <c r="E1910" t="s">
        <v>13</v>
      </c>
      <c r="F1910" t="s">
        <v>14</v>
      </c>
      <c r="G1910">
        <v>82000000</v>
      </c>
      <c r="H1910">
        <v>6.1</v>
      </c>
      <c r="I1910" t="s">
        <v>34</v>
      </c>
      <c r="J1910" t="s">
        <v>17</v>
      </c>
    </row>
    <row r="1911" spans="1:13" x14ac:dyDescent="0.25">
      <c r="A1911" t="s">
        <v>3186</v>
      </c>
      <c r="B1911">
        <v>105</v>
      </c>
      <c r="C1911">
        <v>36310118</v>
      </c>
      <c r="D1911" t="s">
        <v>3187</v>
      </c>
      <c r="E1911" t="s">
        <v>13</v>
      </c>
      <c r="F1911" t="s">
        <v>14</v>
      </c>
      <c r="G1911">
        <v>39751583.5</v>
      </c>
      <c r="H1911">
        <v>5.5</v>
      </c>
      <c r="I1911" t="s">
        <v>15</v>
      </c>
    </row>
    <row r="1912" spans="1:13" x14ac:dyDescent="0.25">
      <c r="A1912" t="s">
        <v>50</v>
      </c>
      <c r="B1912">
        <v>123</v>
      </c>
      <c r="C1912">
        <v>36283504</v>
      </c>
      <c r="D1912" t="s">
        <v>3188</v>
      </c>
      <c r="E1912" t="s">
        <v>13</v>
      </c>
      <c r="F1912" t="s">
        <v>241</v>
      </c>
      <c r="G1912">
        <v>40000000</v>
      </c>
      <c r="H1912">
        <v>6.5</v>
      </c>
      <c r="I1912" t="s">
        <v>23</v>
      </c>
      <c r="J1912" t="s">
        <v>24</v>
      </c>
    </row>
    <row r="1913" spans="1:13" x14ac:dyDescent="0.25">
      <c r="A1913" t="s">
        <v>3189</v>
      </c>
      <c r="B1913">
        <v>107</v>
      </c>
      <c r="C1913">
        <v>36279230</v>
      </c>
      <c r="D1913" t="s">
        <v>3190</v>
      </c>
      <c r="E1913" t="s">
        <v>13</v>
      </c>
      <c r="F1913" t="s">
        <v>14</v>
      </c>
      <c r="G1913">
        <v>60000000</v>
      </c>
      <c r="H1913">
        <v>6.1</v>
      </c>
      <c r="I1913" t="s">
        <v>34</v>
      </c>
      <c r="J1913" t="s">
        <v>38</v>
      </c>
      <c r="K1913" t="s">
        <v>24</v>
      </c>
    </row>
    <row r="1914" spans="1:13" x14ac:dyDescent="0.25">
      <c r="A1914" t="s">
        <v>2099</v>
      </c>
      <c r="B1914">
        <v>107</v>
      </c>
      <c r="C1914">
        <v>36200000</v>
      </c>
      <c r="D1914" t="s">
        <v>3191</v>
      </c>
      <c r="E1914" t="s">
        <v>13</v>
      </c>
      <c r="F1914" t="s">
        <v>45</v>
      </c>
      <c r="G1914">
        <v>12305523</v>
      </c>
      <c r="H1914">
        <v>6.2</v>
      </c>
      <c r="I1914" t="s">
        <v>34</v>
      </c>
      <c r="J1914" t="s">
        <v>28</v>
      </c>
      <c r="K1914" t="s">
        <v>37</v>
      </c>
      <c r="L1914" t="s">
        <v>24</v>
      </c>
    </row>
    <row r="1915" spans="1:13" x14ac:dyDescent="0.25">
      <c r="A1915" t="s">
        <v>3192</v>
      </c>
      <c r="B1915">
        <v>91</v>
      </c>
      <c r="C1915">
        <v>36200000</v>
      </c>
      <c r="D1915" t="s">
        <v>3193</v>
      </c>
      <c r="E1915" t="s">
        <v>13</v>
      </c>
      <c r="F1915" t="s">
        <v>14</v>
      </c>
      <c r="G1915">
        <v>4000000</v>
      </c>
      <c r="H1915">
        <v>5.7</v>
      </c>
      <c r="I1915" t="s">
        <v>22</v>
      </c>
      <c r="J1915" t="s">
        <v>24</v>
      </c>
    </row>
    <row r="1916" spans="1:13" x14ac:dyDescent="0.25">
      <c r="A1916" t="s">
        <v>3194</v>
      </c>
      <c r="B1916">
        <v>87</v>
      </c>
      <c r="C1916">
        <v>36073232</v>
      </c>
      <c r="D1916" t="s">
        <v>3195</v>
      </c>
      <c r="E1916" t="s">
        <v>13</v>
      </c>
      <c r="F1916" t="s">
        <v>14</v>
      </c>
      <c r="G1916">
        <v>80000000</v>
      </c>
      <c r="H1916">
        <v>5.2</v>
      </c>
      <c r="I1916" t="s">
        <v>28</v>
      </c>
      <c r="J1916" t="s">
        <v>46</v>
      </c>
      <c r="K1916" t="s">
        <v>16</v>
      </c>
    </row>
    <row r="1917" spans="1:13" x14ac:dyDescent="0.25">
      <c r="A1917" t="s">
        <v>417</v>
      </c>
      <c r="B1917">
        <v>111</v>
      </c>
      <c r="C1917">
        <v>36064910</v>
      </c>
      <c r="D1917" t="s">
        <v>3196</v>
      </c>
      <c r="E1917" t="s">
        <v>13</v>
      </c>
      <c r="F1917" t="s">
        <v>14</v>
      </c>
      <c r="G1917">
        <v>45000000</v>
      </c>
      <c r="H1917">
        <v>6.4</v>
      </c>
      <c r="I1917" t="s">
        <v>34</v>
      </c>
      <c r="J1917" t="s">
        <v>37</v>
      </c>
      <c r="K1917" t="s">
        <v>24</v>
      </c>
    </row>
    <row r="1918" spans="1:13" x14ac:dyDescent="0.25">
      <c r="A1918" t="s">
        <v>93</v>
      </c>
      <c r="B1918">
        <v>123</v>
      </c>
      <c r="C1918">
        <v>36049108</v>
      </c>
      <c r="D1918" t="s">
        <v>3197</v>
      </c>
      <c r="E1918" t="s">
        <v>13</v>
      </c>
      <c r="F1918" t="s">
        <v>14</v>
      </c>
      <c r="G1918">
        <v>9000000</v>
      </c>
      <c r="H1918">
        <v>6.8</v>
      </c>
      <c r="I1918" t="s">
        <v>34</v>
      </c>
      <c r="J1918" t="s">
        <v>38</v>
      </c>
      <c r="K1918" t="s">
        <v>31</v>
      </c>
      <c r="L1918" t="s">
        <v>19</v>
      </c>
      <c r="M1918" t="s">
        <v>24</v>
      </c>
    </row>
    <row r="1919" spans="1:13" x14ac:dyDescent="0.25">
      <c r="A1919" t="s">
        <v>3198</v>
      </c>
      <c r="B1919">
        <v>94</v>
      </c>
      <c r="C1919">
        <v>36037909</v>
      </c>
      <c r="D1919" t="s">
        <v>3199</v>
      </c>
      <c r="E1919" t="s">
        <v>13</v>
      </c>
      <c r="F1919" t="s">
        <v>241</v>
      </c>
      <c r="G1919">
        <v>60000000</v>
      </c>
      <c r="H1919">
        <v>4.7</v>
      </c>
      <c r="I1919" t="s">
        <v>15</v>
      </c>
      <c r="J1919" t="s">
        <v>31</v>
      </c>
    </row>
    <row r="1920" spans="1:13" x14ac:dyDescent="0.25">
      <c r="A1920" t="s">
        <v>582</v>
      </c>
      <c r="B1920">
        <v>112</v>
      </c>
      <c r="C1920">
        <v>36020063</v>
      </c>
      <c r="D1920" t="s">
        <v>3200</v>
      </c>
      <c r="E1920" t="s">
        <v>13</v>
      </c>
      <c r="F1920" t="s">
        <v>14</v>
      </c>
      <c r="G1920">
        <v>22000000</v>
      </c>
      <c r="H1920">
        <v>6.6</v>
      </c>
      <c r="I1920" t="s">
        <v>31</v>
      </c>
      <c r="J1920" t="s">
        <v>24</v>
      </c>
    </row>
    <row r="1921" spans="1:13" x14ac:dyDescent="0.25">
      <c r="A1921" t="s">
        <v>3201</v>
      </c>
      <c r="B1921">
        <v>135</v>
      </c>
      <c r="C1921">
        <v>36000000</v>
      </c>
      <c r="D1921" t="s">
        <v>3202</v>
      </c>
      <c r="E1921" t="s">
        <v>13</v>
      </c>
      <c r="F1921" t="s">
        <v>14</v>
      </c>
      <c r="G1921">
        <v>5000000</v>
      </c>
      <c r="H1921">
        <v>6.8</v>
      </c>
      <c r="I1921" t="s">
        <v>31</v>
      </c>
      <c r="J1921" t="s">
        <v>64</v>
      </c>
    </row>
    <row r="1922" spans="1:13" x14ac:dyDescent="0.25">
      <c r="A1922" t="s">
        <v>3203</v>
      </c>
      <c r="B1922">
        <v>152</v>
      </c>
      <c r="C1922">
        <v>36000000</v>
      </c>
      <c r="D1922" t="s">
        <v>3204</v>
      </c>
      <c r="E1922" t="s">
        <v>13</v>
      </c>
      <c r="F1922" t="s">
        <v>14</v>
      </c>
      <c r="G1922">
        <v>4000000</v>
      </c>
      <c r="H1922">
        <v>6.7</v>
      </c>
      <c r="I1922" t="s">
        <v>31</v>
      </c>
      <c r="J1922" t="s">
        <v>16</v>
      </c>
      <c r="K1922" t="s">
        <v>19</v>
      </c>
    </row>
    <row r="1923" spans="1:13" x14ac:dyDescent="0.25">
      <c r="A1923" t="s">
        <v>3205</v>
      </c>
      <c r="B1923">
        <v>105</v>
      </c>
      <c r="C1923">
        <v>35990505</v>
      </c>
      <c r="D1923" t="s">
        <v>3206</v>
      </c>
      <c r="E1923" t="s">
        <v>13</v>
      </c>
      <c r="F1923" t="s">
        <v>14</v>
      </c>
      <c r="G1923">
        <v>20000000</v>
      </c>
      <c r="H1923">
        <v>5.8</v>
      </c>
      <c r="I1923" t="s">
        <v>15</v>
      </c>
      <c r="J1923" t="s">
        <v>31</v>
      </c>
      <c r="K1923" t="s">
        <v>16</v>
      </c>
      <c r="L1923" t="s">
        <v>19</v>
      </c>
    </row>
    <row r="1924" spans="1:13" x14ac:dyDescent="0.25">
      <c r="A1924" t="s">
        <v>342</v>
      </c>
      <c r="B1924">
        <v>95</v>
      </c>
      <c r="C1924">
        <v>35927406</v>
      </c>
      <c r="D1924" t="s">
        <v>3207</v>
      </c>
      <c r="E1924" t="s">
        <v>13</v>
      </c>
      <c r="F1924" t="s">
        <v>14</v>
      </c>
      <c r="G1924">
        <v>30000000</v>
      </c>
      <c r="H1924">
        <v>3.7</v>
      </c>
      <c r="I1924" t="s">
        <v>34</v>
      </c>
      <c r="J1924" t="s">
        <v>28</v>
      </c>
      <c r="K1924" t="s">
        <v>17</v>
      </c>
      <c r="L1924" t="s">
        <v>37</v>
      </c>
      <c r="M1924" t="s">
        <v>24</v>
      </c>
    </row>
    <row r="1925" spans="1:13" x14ac:dyDescent="0.25">
      <c r="A1925" t="s">
        <v>3208</v>
      </c>
      <c r="B1925">
        <v>138</v>
      </c>
      <c r="C1925">
        <v>35918429</v>
      </c>
      <c r="D1925" t="s">
        <v>3209</v>
      </c>
      <c r="E1925" t="s">
        <v>13</v>
      </c>
      <c r="F1925" t="s">
        <v>14</v>
      </c>
      <c r="G1925">
        <v>1700000</v>
      </c>
      <c r="H1925">
        <v>7.5</v>
      </c>
      <c r="I1925" t="s">
        <v>38</v>
      </c>
      <c r="J1925" t="s">
        <v>31</v>
      </c>
    </row>
    <row r="1926" spans="1:13" x14ac:dyDescent="0.25">
      <c r="A1926" t="s">
        <v>3210</v>
      </c>
      <c r="B1926">
        <v>123</v>
      </c>
      <c r="C1926">
        <v>35887263</v>
      </c>
      <c r="D1926" t="s">
        <v>3211</v>
      </c>
      <c r="E1926" t="s">
        <v>13</v>
      </c>
      <c r="F1926" t="s">
        <v>82</v>
      </c>
      <c r="G1926">
        <v>15000000</v>
      </c>
      <c r="H1926">
        <v>7.7</v>
      </c>
      <c r="I1926" t="s">
        <v>42</v>
      </c>
      <c r="J1926" t="s">
        <v>31</v>
      </c>
      <c r="K1926" t="s">
        <v>19</v>
      </c>
    </row>
    <row r="1927" spans="1:13" x14ac:dyDescent="0.25">
      <c r="A1927" t="s">
        <v>815</v>
      </c>
      <c r="B1927">
        <v>105</v>
      </c>
      <c r="C1927">
        <v>35811509</v>
      </c>
      <c r="D1927" t="s">
        <v>3212</v>
      </c>
      <c r="E1927" t="s">
        <v>13</v>
      </c>
      <c r="F1927" t="s">
        <v>45</v>
      </c>
      <c r="G1927">
        <v>5500000</v>
      </c>
      <c r="H1927">
        <v>7.7</v>
      </c>
      <c r="I1927" t="s">
        <v>42</v>
      </c>
      <c r="J1927" t="s">
        <v>31</v>
      </c>
      <c r="K1927" t="s">
        <v>18</v>
      </c>
      <c r="L1927" t="s">
        <v>19</v>
      </c>
    </row>
    <row r="1928" spans="1:13" x14ac:dyDescent="0.25">
      <c r="A1928" t="s">
        <v>1031</v>
      </c>
      <c r="B1928">
        <v>97</v>
      </c>
      <c r="C1928">
        <v>35794166</v>
      </c>
      <c r="D1928" t="s">
        <v>3213</v>
      </c>
      <c r="E1928" t="s">
        <v>13</v>
      </c>
      <c r="F1928" t="s">
        <v>14</v>
      </c>
      <c r="G1928">
        <v>10000000</v>
      </c>
      <c r="H1928">
        <v>6</v>
      </c>
      <c r="I1928" t="s">
        <v>22</v>
      </c>
      <c r="J1928" t="s">
        <v>23</v>
      </c>
      <c r="K1928" t="s">
        <v>24</v>
      </c>
    </row>
    <row r="1929" spans="1:13" x14ac:dyDescent="0.25">
      <c r="A1929" t="s">
        <v>3214</v>
      </c>
      <c r="B1929">
        <v>111</v>
      </c>
      <c r="C1929">
        <v>35754555</v>
      </c>
      <c r="D1929" t="s">
        <v>3215</v>
      </c>
      <c r="E1929" t="s">
        <v>13</v>
      </c>
      <c r="F1929" t="s">
        <v>14</v>
      </c>
      <c r="G1929">
        <v>39751583.5</v>
      </c>
      <c r="H1929">
        <v>6.8</v>
      </c>
      <c r="I1929" t="s">
        <v>31</v>
      </c>
      <c r="J1929" t="s">
        <v>41</v>
      </c>
    </row>
    <row r="1930" spans="1:13" x14ac:dyDescent="0.25">
      <c r="A1930" t="s">
        <v>154</v>
      </c>
      <c r="B1930">
        <v>141</v>
      </c>
      <c r="C1930">
        <v>35707327</v>
      </c>
      <c r="D1930" t="s">
        <v>3216</v>
      </c>
      <c r="E1930" t="s">
        <v>13</v>
      </c>
      <c r="F1930" t="s">
        <v>14</v>
      </c>
      <c r="G1930">
        <v>55000000</v>
      </c>
      <c r="H1930">
        <v>7.8</v>
      </c>
      <c r="I1930" t="s">
        <v>38</v>
      </c>
      <c r="J1930" t="s">
        <v>31</v>
      </c>
      <c r="K1930" t="s">
        <v>23</v>
      </c>
      <c r="L1930" t="s">
        <v>24</v>
      </c>
    </row>
    <row r="1931" spans="1:13" x14ac:dyDescent="0.25">
      <c r="A1931" t="s">
        <v>1088</v>
      </c>
      <c r="B1931">
        <v>109</v>
      </c>
      <c r="C1931">
        <v>35635046</v>
      </c>
      <c r="D1931" t="s">
        <v>3217</v>
      </c>
      <c r="E1931" t="s">
        <v>13</v>
      </c>
      <c r="F1931" t="s">
        <v>82</v>
      </c>
      <c r="G1931">
        <v>17000000</v>
      </c>
      <c r="H1931">
        <v>6.7</v>
      </c>
      <c r="I1931" t="s">
        <v>34</v>
      </c>
      <c r="J1931" t="s">
        <v>38</v>
      </c>
      <c r="K1931" t="s">
        <v>31</v>
      </c>
      <c r="L1931" t="s">
        <v>24</v>
      </c>
    </row>
    <row r="1932" spans="1:13" x14ac:dyDescent="0.25">
      <c r="A1932" t="s">
        <v>601</v>
      </c>
      <c r="B1932">
        <v>96</v>
      </c>
      <c r="C1932">
        <v>35617599</v>
      </c>
      <c r="D1932" t="s">
        <v>3218</v>
      </c>
      <c r="E1932" t="s">
        <v>13</v>
      </c>
      <c r="F1932" t="s">
        <v>14</v>
      </c>
      <c r="G1932">
        <v>45000000</v>
      </c>
      <c r="H1932">
        <v>5.9</v>
      </c>
      <c r="I1932" t="s">
        <v>31</v>
      </c>
      <c r="J1932" t="s">
        <v>16</v>
      </c>
      <c r="K1932" t="s">
        <v>17</v>
      </c>
    </row>
    <row r="1933" spans="1:13" x14ac:dyDescent="0.25">
      <c r="A1933" t="s">
        <v>3219</v>
      </c>
      <c r="B1933">
        <v>105</v>
      </c>
      <c r="C1933">
        <v>35596227</v>
      </c>
      <c r="D1933" t="s">
        <v>3220</v>
      </c>
      <c r="E1933" t="s">
        <v>13</v>
      </c>
      <c r="F1933" t="s">
        <v>14</v>
      </c>
      <c r="G1933">
        <v>20000000</v>
      </c>
      <c r="H1933">
        <v>6.3</v>
      </c>
      <c r="I1933" t="s">
        <v>38</v>
      </c>
      <c r="J1933" t="s">
        <v>31</v>
      </c>
      <c r="K1933" t="s">
        <v>24</v>
      </c>
    </row>
    <row r="1934" spans="1:13" x14ac:dyDescent="0.25">
      <c r="A1934" t="s">
        <v>3221</v>
      </c>
      <c r="B1934">
        <v>98</v>
      </c>
      <c r="C1934">
        <v>35565975</v>
      </c>
      <c r="D1934" t="s">
        <v>3222</v>
      </c>
      <c r="E1934" t="s">
        <v>13</v>
      </c>
      <c r="F1934" t="s">
        <v>14</v>
      </c>
      <c r="G1934">
        <v>30000000</v>
      </c>
      <c r="H1934">
        <v>6.1</v>
      </c>
      <c r="I1934" t="s">
        <v>15</v>
      </c>
      <c r="J1934" t="s">
        <v>31</v>
      </c>
      <c r="K1934" t="s">
        <v>19</v>
      </c>
    </row>
    <row r="1935" spans="1:13" x14ac:dyDescent="0.25">
      <c r="A1935" t="s">
        <v>3223</v>
      </c>
      <c r="B1935">
        <v>109</v>
      </c>
      <c r="C1935">
        <v>35537564</v>
      </c>
      <c r="D1935" t="s">
        <v>3224</v>
      </c>
      <c r="E1935" t="s">
        <v>13</v>
      </c>
      <c r="F1935" t="s">
        <v>14</v>
      </c>
      <c r="G1935">
        <v>11500000</v>
      </c>
      <c r="H1935">
        <v>6</v>
      </c>
      <c r="I1935" t="s">
        <v>15</v>
      </c>
    </row>
    <row r="1936" spans="1:13" x14ac:dyDescent="0.25">
      <c r="A1936" t="s">
        <v>3225</v>
      </c>
      <c r="B1936">
        <v>127</v>
      </c>
      <c r="C1936">
        <v>35422828</v>
      </c>
      <c r="D1936" t="s">
        <v>3226</v>
      </c>
      <c r="E1936" t="s">
        <v>13</v>
      </c>
      <c r="F1936" t="s">
        <v>14</v>
      </c>
      <c r="G1936">
        <v>20000000</v>
      </c>
      <c r="H1936">
        <v>6.7</v>
      </c>
      <c r="I1936" t="s">
        <v>42</v>
      </c>
      <c r="J1936" t="s">
        <v>31</v>
      </c>
      <c r="K1936" t="s">
        <v>18</v>
      </c>
    </row>
    <row r="1937" spans="1:13" x14ac:dyDescent="0.25">
      <c r="A1937" t="s">
        <v>1107</v>
      </c>
      <c r="B1937">
        <v>121</v>
      </c>
      <c r="C1937">
        <v>35400000</v>
      </c>
      <c r="D1937" t="s">
        <v>3227</v>
      </c>
      <c r="E1937" t="s">
        <v>13</v>
      </c>
      <c r="F1937" t="s">
        <v>82</v>
      </c>
      <c r="G1937">
        <v>7000000</v>
      </c>
      <c r="H1937">
        <v>6.8</v>
      </c>
      <c r="I1937" t="s">
        <v>34</v>
      </c>
      <c r="J1937" t="s">
        <v>28</v>
      </c>
      <c r="K1937" t="s">
        <v>24</v>
      </c>
    </row>
    <row r="1938" spans="1:13" x14ac:dyDescent="0.25">
      <c r="A1938" t="s">
        <v>1100</v>
      </c>
      <c r="B1938">
        <v>91</v>
      </c>
      <c r="C1938">
        <v>35385560</v>
      </c>
      <c r="D1938" t="s">
        <v>3228</v>
      </c>
      <c r="E1938" t="s">
        <v>13</v>
      </c>
      <c r="F1938" t="s">
        <v>14</v>
      </c>
      <c r="G1938">
        <v>4000000</v>
      </c>
      <c r="H1938">
        <v>4.5999999999999996</v>
      </c>
      <c r="I1938" t="s">
        <v>23</v>
      </c>
      <c r="J1938" t="s">
        <v>24</v>
      </c>
    </row>
    <row r="1939" spans="1:13" x14ac:dyDescent="0.25">
      <c r="A1939" t="s">
        <v>3229</v>
      </c>
      <c r="B1939">
        <v>105</v>
      </c>
      <c r="C1939">
        <v>35324232</v>
      </c>
      <c r="D1939" t="s">
        <v>3230</v>
      </c>
      <c r="E1939" t="s">
        <v>13</v>
      </c>
      <c r="F1939" t="s">
        <v>14</v>
      </c>
      <c r="G1939">
        <v>68000000</v>
      </c>
      <c r="H1939">
        <v>5.6</v>
      </c>
      <c r="I1939" t="s">
        <v>34</v>
      </c>
      <c r="J1939" t="s">
        <v>15</v>
      </c>
      <c r="K1939" t="s">
        <v>38</v>
      </c>
      <c r="L1939" t="s">
        <v>31</v>
      </c>
      <c r="M1939" t="s">
        <v>24</v>
      </c>
    </row>
    <row r="1940" spans="1:13" x14ac:dyDescent="0.25">
      <c r="A1940" t="s">
        <v>554</v>
      </c>
      <c r="B1940">
        <v>87</v>
      </c>
      <c r="C1940">
        <v>35287788</v>
      </c>
      <c r="D1940" t="s">
        <v>3231</v>
      </c>
      <c r="E1940" t="s">
        <v>13</v>
      </c>
      <c r="F1940" t="s">
        <v>14</v>
      </c>
      <c r="G1940">
        <v>39000000</v>
      </c>
      <c r="H1940">
        <v>7</v>
      </c>
      <c r="I1940" t="s">
        <v>46</v>
      </c>
      <c r="J1940" t="s">
        <v>15</v>
      </c>
      <c r="K1940" t="s">
        <v>16</v>
      </c>
      <c r="L1940" t="s">
        <v>22</v>
      </c>
      <c r="M1940" t="s">
        <v>37</v>
      </c>
    </row>
    <row r="1941" spans="1:13" x14ac:dyDescent="0.25">
      <c r="A1941" t="s">
        <v>3232</v>
      </c>
      <c r="B1941">
        <v>109</v>
      </c>
      <c r="C1941">
        <v>35286428</v>
      </c>
      <c r="D1941" t="s">
        <v>3233</v>
      </c>
      <c r="E1941" t="s">
        <v>13</v>
      </c>
      <c r="F1941" t="s">
        <v>14</v>
      </c>
      <c r="G1941">
        <v>76000000</v>
      </c>
      <c r="H1941">
        <v>7.9</v>
      </c>
      <c r="I1941" t="s">
        <v>31</v>
      </c>
      <c r="J1941" t="s">
        <v>37</v>
      </c>
      <c r="K1941" t="s">
        <v>24</v>
      </c>
    </row>
    <row r="1942" spans="1:13" x14ac:dyDescent="0.25">
      <c r="A1942" t="s">
        <v>3234</v>
      </c>
      <c r="B1942">
        <v>100</v>
      </c>
      <c r="C1942">
        <v>35266619</v>
      </c>
      <c r="D1942" t="s">
        <v>3235</v>
      </c>
      <c r="E1942" t="s">
        <v>13</v>
      </c>
      <c r="F1942" t="s">
        <v>14</v>
      </c>
      <c r="G1942">
        <v>30000000</v>
      </c>
      <c r="H1942">
        <v>5.9</v>
      </c>
      <c r="I1942" t="s">
        <v>31</v>
      </c>
      <c r="J1942" t="s">
        <v>17</v>
      </c>
      <c r="K1942" t="s">
        <v>22</v>
      </c>
    </row>
    <row r="1943" spans="1:13" x14ac:dyDescent="0.25">
      <c r="A1943" t="s">
        <v>3234</v>
      </c>
      <c r="B1943">
        <v>100</v>
      </c>
      <c r="C1943">
        <v>35266619</v>
      </c>
      <c r="D1943" t="s">
        <v>3235</v>
      </c>
      <c r="E1943" t="s">
        <v>13</v>
      </c>
      <c r="F1943" t="s">
        <v>14</v>
      </c>
      <c r="G1943">
        <v>30000000</v>
      </c>
      <c r="H1943">
        <v>5.9</v>
      </c>
      <c r="I1943" t="s">
        <v>31</v>
      </c>
      <c r="J1943" t="s">
        <v>17</v>
      </c>
      <c r="K1943" t="s">
        <v>22</v>
      </c>
    </row>
    <row r="1944" spans="1:13" x14ac:dyDescent="0.25">
      <c r="A1944" t="s">
        <v>386</v>
      </c>
      <c r="B1944">
        <v>90</v>
      </c>
      <c r="C1944">
        <v>35231365</v>
      </c>
      <c r="D1944" t="s">
        <v>3236</v>
      </c>
      <c r="E1944" t="s">
        <v>13</v>
      </c>
      <c r="F1944" t="s">
        <v>14</v>
      </c>
      <c r="G1944">
        <v>60000000</v>
      </c>
      <c r="H1944">
        <v>3.6</v>
      </c>
      <c r="I1944" t="s">
        <v>15</v>
      </c>
      <c r="J1944" t="s">
        <v>16</v>
      </c>
      <c r="K1944" t="s">
        <v>19</v>
      </c>
      <c r="L1944" t="s">
        <v>37</v>
      </c>
    </row>
    <row r="1945" spans="1:13" x14ac:dyDescent="0.25">
      <c r="A1945" t="s">
        <v>3237</v>
      </c>
      <c r="B1945">
        <v>119</v>
      </c>
      <c r="C1945">
        <v>35228696</v>
      </c>
      <c r="D1945" t="s">
        <v>3238</v>
      </c>
      <c r="E1945" t="s">
        <v>13</v>
      </c>
      <c r="F1945" t="s">
        <v>14</v>
      </c>
      <c r="G1945">
        <v>32000000</v>
      </c>
      <c r="H1945">
        <v>6.5</v>
      </c>
      <c r="I1945" t="s">
        <v>31</v>
      </c>
      <c r="J1945" t="s">
        <v>22</v>
      </c>
      <c r="K1945" t="s">
        <v>23</v>
      </c>
      <c r="L1945" t="s">
        <v>24</v>
      </c>
    </row>
    <row r="1946" spans="1:13" x14ac:dyDescent="0.25">
      <c r="A1946" t="s">
        <v>519</v>
      </c>
      <c r="B1946">
        <v>140</v>
      </c>
      <c r="C1946">
        <v>35183792</v>
      </c>
      <c r="D1946" t="s">
        <v>3239</v>
      </c>
      <c r="E1946" t="s">
        <v>13</v>
      </c>
      <c r="F1946" t="s">
        <v>14</v>
      </c>
      <c r="G1946">
        <v>38000000</v>
      </c>
      <c r="H1946">
        <v>7.2</v>
      </c>
      <c r="I1946" t="s">
        <v>42</v>
      </c>
      <c r="J1946" t="s">
        <v>31</v>
      </c>
      <c r="K1946" t="s">
        <v>18</v>
      </c>
      <c r="L1946" t="s">
        <v>59</v>
      </c>
    </row>
    <row r="1947" spans="1:13" x14ac:dyDescent="0.25">
      <c r="A1947" t="s">
        <v>2577</v>
      </c>
      <c r="B1947">
        <v>137</v>
      </c>
      <c r="C1947">
        <v>35168395</v>
      </c>
      <c r="D1947" t="s">
        <v>3240</v>
      </c>
      <c r="E1947" t="s">
        <v>13</v>
      </c>
      <c r="F1947" t="s">
        <v>14</v>
      </c>
      <c r="G1947">
        <v>50000000</v>
      </c>
      <c r="H1947">
        <v>6.5</v>
      </c>
      <c r="I1947" t="s">
        <v>31</v>
      </c>
      <c r="J1947" t="s">
        <v>19</v>
      </c>
      <c r="K1947" t="s">
        <v>41</v>
      </c>
    </row>
    <row r="1948" spans="1:13" x14ac:dyDescent="0.25">
      <c r="A1948" t="s">
        <v>3142</v>
      </c>
      <c r="B1948">
        <v>104</v>
      </c>
      <c r="C1948">
        <v>35143332</v>
      </c>
      <c r="D1948" t="s">
        <v>3241</v>
      </c>
      <c r="E1948" t="s">
        <v>13</v>
      </c>
      <c r="F1948" t="s">
        <v>14</v>
      </c>
      <c r="G1948">
        <v>17000000</v>
      </c>
      <c r="H1948">
        <v>5.6</v>
      </c>
      <c r="I1948" t="s">
        <v>22</v>
      </c>
    </row>
    <row r="1949" spans="1:13" x14ac:dyDescent="0.25">
      <c r="A1949" t="s">
        <v>2829</v>
      </c>
      <c r="B1949">
        <v>100</v>
      </c>
      <c r="C1949">
        <v>35096190</v>
      </c>
      <c r="D1949" t="s">
        <v>3242</v>
      </c>
      <c r="E1949" t="s">
        <v>13</v>
      </c>
      <c r="F1949" t="s">
        <v>14</v>
      </c>
      <c r="G1949">
        <v>60000000</v>
      </c>
      <c r="H1949">
        <v>6.3</v>
      </c>
      <c r="I1949" t="s">
        <v>15</v>
      </c>
      <c r="J1949" t="s">
        <v>38</v>
      </c>
      <c r="K1949" t="s">
        <v>19</v>
      </c>
    </row>
    <row r="1950" spans="1:13" x14ac:dyDescent="0.25">
      <c r="A1950" t="s">
        <v>623</v>
      </c>
      <c r="B1950">
        <v>93</v>
      </c>
      <c r="C1950">
        <v>35092918</v>
      </c>
      <c r="D1950" t="s">
        <v>3243</v>
      </c>
      <c r="E1950" t="s">
        <v>13</v>
      </c>
      <c r="F1950" t="s">
        <v>14</v>
      </c>
      <c r="G1950">
        <v>39751583.5</v>
      </c>
      <c r="H1950">
        <v>4.9000000000000004</v>
      </c>
      <c r="I1950" t="s">
        <v>15</v>
      </c>
      <c r="J1950" t="s">
        <v>16</v>
      </c>
    </row>
    <row r="1951" spans="1:13" x14ac:dyDescent="0.25">
      <c r="A1951" t="s">
        <v>50</v>
      </c>
      <c r="B1951">
        <v>98</v>
      </c>
      <c r="C1951">
        <v>35063732</v>
      </c>
      <c r="D1951" t="s">
        <v>3244</v>
      </c>
      <c r="E1951" t="s">
        <v>13</v>
      </c>
      <c r="F1951" t="s">
        <v>14</v>
      </c>
      <c r="G1951">
        <v>32000000</v>
      </c>
      <c r="H1951">
        <v>6.4</v>
      </c>
      <c r="I1951" t="s">
        <v>23</v>
      </c>
      <c r="J1951" t="s">
        <v>24</v>
      </c>
    </row>
    <row r="1952" spans="1:13" x14ac:dyDescent="0.25">
      <c r="A1952" t="s">
        <v>3245</v>
      </c>
      <c r="B1952">
        <v>99</v>
      </c>
      <c r="C1952">
        <v>35057332</v>
      </c>
      <c r="D1952" t="s">
        <v>3246</v>
      </c>
      <c r="E1952" t="s">
        <v>13</v>
      </c>
      <c r="F1952" t="s">
        <v>14</v>
      </c>
      <c r="G1952">
        <v>33000000</v>
      </c>
      <c r="H1952">
        <v>6.5</v>
      </c>
      <c r="I1952" t="s">
        <v>31</v>
      </c>
      <c r="J1952" t="s">
        <v>18</v>
      </c>
      <c r="K1952" t="s">
        <v>19</v>
      </c>
    </row>
    <row r="1953" spans="1:13" x14ac:dyDescent="0.25">
      <c r="A1953" t="s">
        <v>3247</v>
      </c>
      <c r="B1953">
        <v>100</v>
      </c>
      <c r="C1953">
        <v>35054909</v>
      </c>
      <c r="D1953" t="s">
        <v>3248</v>
      </c>
      <c r="E1953" t="s">
        <v>13</v>
      </c>
      <c r="F1953" t="s">
        <v>14</v>
      </c>
      <c r="G1953">
        <v>15000000</v>
      </c>
      <c r="H1953">
        <v>7.8</v>
      </c>
      <c r="I1953" t="s">
        <v>38</v>
      </c>
      <c r="J1953" t="s">
        <v>31</v>
      </c>
    </row>
    <row r="1954" spans="1:13" x14ac:dyDescent="0.25">
      <c r="A1954" t="s">
        <v>3249</v>
      </c>
      <c r="B1954">
        <v>90</v>
      </c>
      <c r="C1954">
        <v>35033759</v>
      </c>
      <c r="D1954" t="s">
        <v>3250</v>
      </c>
      <c r="E1954" t="s">
        <v>13</v>
      </c>
      <c r="F1954" t="s">
        <v>14</v>
      </c>
      <c r="G1954">
        <v>19000000</v>
      </c>
      <c r="H1954">
        <v>6.3</v>
      </c>
      <c r="I1954" t="s">
        <v>28</v>
      </c>
      <c r="J1954" t="s">
        <v>15</v>
      </c>
    </row>
    <row r="1955" spans="1:13" x14ac:dyDescent="0.25">
      <c r="A1955" t="s">
        <v>276</v>
      </c>
      <c r="B1955">
        <v>110</v>
      </c>
      <c r="C1955">
        <v>35010192</v>
      </c>
      <c r="D1955" t="s">
        <v>3251</v>
      </c>
      <c r="E1955" t="s">
        <v>13</v>
      </c>
      <c r="F1955" t="s">
        <v>14</v>
      </c>
      <c r="G1955">
        <v>39751583.5</v>
      </c>
      <c r="H1955">
        <v>5.4</v>
      </c>
      <c r="I1955" t="s">
        <v>15</v>
      </c>
      <c r="J1955" t="s">
        <v>31</v>
      </c>
      <c r="K1955" t="s">
        <v>19</v>
      </c>
    </row>
    <row r="1956" spans="1:13" x14ac:dyDescent="0.25">
      <c r="A1956" t="s">
        <v>1100</v>
      </c>
      <c r="B1956">
        <v>106</v>
      </c>
      <c r="C1956">
        <v>35007180</v>
      </c>
      <c r="D1956" t="s">
        <v>3252</v>
      </c>
      <c r="E1956" t="s">
        <v>13</v>
      </c>
      <c r="F1956" t="s">
        <v>14</v>
      </c>
      <c r="G1956">
        <v>15000000</v>
      </c>
      <c r="H1956">
        <v>5.6</v>
      </c>
      <c r="I1956" t="s">
        <v>34</v>
      </c>
      <c r="J1956" t="s">
        <v>38</v>
      </c>
      <c r="K1956" t="s">
        <v>31</v>
      </c>
      <c r="L1956" t="s">
        <v>24</v>
      </c>
    </row>
    <row r="1957" spans="1:13" x14ac:dyDescent="0.25">
      <c r="A1957" t="s">
        <v>3253</v>
      </c>
      <c r="B1957">
        <v>101</v>
      </c>
      <c r="C1957">
        <v>35000629</v>
      </c>
      <c r="D1957" t="s">
        <v>3254</v>
      </c>
      <c r="E1957" t="s">
        <v>13</v>
      </c>
      <c r="F1957" t="s">
        <v>14</v>
      </c>
      <c r="G1957">
        <v>25000000</v>
      </c>
      <c r="H1957">
        <v>5.6</v>
      </c>
      <c r="I1957" t="s">
        <v>15</v>
      </c>
      <c r="J1957" t="s">
        <v>19</v>
      </c>
    </row>
    <row r="1958" spans="1:13" x14ac:dyDescent="0.25">
      <c r="A1958" t="s">
        <v>702</v>
      </c>
      <c r="B1958">
        <v>100</v>
      </c>
      <c r="C1958">
        <v>34963967</v>
      </c>
      <c r="D1958" t="s">
        <v>3255</v>
      </c>
      <c r="E1958" t="s">
        <v>13</v>
      </c>
      <c r="F1958" t="s">
        <v>14</v>
      </c>
      <c r="G1958">
        <v>8000000</v>
      </c>
      <c r="H1958">
        <v>7.7</v>
      </c>
      <c r="I1958" t="s">
        <v>15</v>
      </c>
      <c r="J1958" t="s">
        <v>31</v>
      </c>
      <c r="K1958" t="s">
        <v>19</v>
      </c>
    </row>
    <row r="1959" spans="1:13" x14ac:dyDescent="0.25">
      <c r="A1959" t="s">
        <v>3256</v>
      </c>
      <c r="B1959">
        <v>112</v>
      </c>
      <c r="C1959">
        <v>34912982</v>
      </c>
      <c r="D1959" t="s">
        <v>3257</v>
      </c>
      <c r="E1959" t="s">
        <v>13</v>
      </c>
      <c r="F1959" t="s">
        <v>14</v>
      </c>
      <c r="G1959">
        <v>38000000</v>
      </c>
      <c r="H1959">
        <v>5.2</v>
      </c>
      <c r="I1959" t="s">
        <v>34</v>
      </c>
      <c r="J1959" t="s">
        <v>28</v>
      </c>
      <c r="K1959" t="s">
        <v>37</v>
      </c>
      <c r="L1959" t="s">
        <v>24</v>
      </c>
    </row>
    <row r="1960" spans="1:13" x14ac:dyDescent="0.25">
      <c r="A1960" t="s">
        <v>3258</v>
      </c>
      <c r="B1960">
        <v>93</v>
      </c>
      <c r="C1960">
        <v>34872293</v>
      </c>
      <c r="D1960" t="s">
        <v>3259</v>
      </c>
      <c r="E1960" t="s">
        <v>13</v>
      </c>
      <c r="F1960" t="s">
        <v>14</v>
      </c>
      <c r="G1960">
        <v>8500000</v>
      </c>
      <c r="H1960">
        <v>4.9000000000000004</v>
      </c>
      <c r="I1960" t="s">
        <v>15</v>
      </c>
      <c r="J1960" t="s">
        <v>17</v>
      </c>
      <c r="K1960" t="s">
        <v>22</v>
      </c>
      <c r="L1960" t="s">
        <v>24</v>
      </c>
    </row>
    <row r="1961" spans="1:13" x14ac:dyDescent="0.25">
      <c r="A1961" t="s">
        <v>2036</v>
      </c>
      <c r="B1961">
        <v>107</v>
      </c>
      <c r="C1961">
        <v>34793160</v>
      </c>
      <c r="D1961" t="s">
        <v>3260</v>
      </c>
      <c r="E1961" t="s">
        <v>13</v>
      </c>
      <c r="F1961" t="s">
        <v>14</v>
      </c>
      <c r="G1961">
        <v>14000000</v>
      </c>
      <c r="H1961">
        <v>6.7</v>
      </c>
      <c r="I1961" t="s">
        <v>28</v>
      </c>
      <c r="J1961" t="s">
        <v>31</v>
      </c>
    </row>
    <row r="1962" spans="1:13" x14ac:dyDescent="0.25">
      <c r="A1962" t="s">
        <v>3261</v>
      </c>
      <c r="B1962">
        <v>108</v>
      </c>
      <c r="C1962">
        <v>34746109</v>
      </c>
      <c r="D1962" t="s">
        <v>3262</v>
      </c>
      <c r="E1962" t="s">
        <v>13</v>
      </c>
      <c r="F1962" t="s">
        <v>14</v>
      </c>
      <c r="G1962">
        <v>8000000</v>
      </c>
      <c r="H1962">
        <v>5.6</v>
      </c>
      <c r="I1962" t="s">
        <v>15</v>
      </c>
      <c r="J1962" t="s">
        <v>38</v>
      </c>
      <c r="K1962" t="s">
        <v>31</v>
      </c>
      <c r="L1962" t="s">
        <v>19</v>
      </c>
      <c r="M1962" t="s">
        <v>24</v>
      </c>
    </row>
    <row r="1963" spans="1:13" x14ac:dyDescent="0.25">
      <c r="A1963" t="s">
        <v>3263</v>
      </c>
      <c r="B1963">
        <v>118</v>
      </c>
      <c r="C1963">
        <v>34703228</v>
      </c>
      <c r="D1963" t="s">
        <v>3264</v>
      </c>
      <c r="E1963" t="s">
        <v>13</v>
      </c>
      <c r="F1963" t="s">
        <v>14</v>
      </c>
      <c r="G1963">
        <v>30000000</v>
      </c>
      <c r="H1963">
        <v>6.7</v>
      </c>
      <c r="I1963" t="s">
        <v>31</v>
      </c>
      <c r="J1963" t="s">
        <v>18</v>
      </c>
    </row>
    <row r="1964" spans="1:13" x14ac:dyDescent="0.25">
      <c r="A1964" t="s">
        <v>932</v>
      </c>
      <c r="B1964">
        <v>119</v>
      </c>
      <c r="C1964">
        <v>34700000</v>
      </c>
      <c r="D1964" t="s">
        <v>3265</v>
      </c>
      <c r="E1964" t="s">
        <v>13</v>
      </c>
      <c r="F1964" t="s">
        <v>14</v>
      </c>
      <c r="G1964">
        <v>14000000</v>
      </c>
      <c r="H1964">
        <v>7.7</v>
      </c>
      <c r="I1964" t="s">
        <v>31</v>
      </c>
      <c r="J1964" t="s">
        <v>19</v>
      </c>
    </row>
    <row r="1965" spans="1:13" x14ac:dyDescent="0.25">
      <c r="A1965" t="s">
        <v>661</v>
      </c>
      <c r="B1965">
        <v>133</v>
      </c>
      <c r="C1965">
        <v>34667015</v>
      </c>
      <c r="D1965" t="s">
        <v>3266</v>
      </c>
      <c r="E1965" t="s">
        <v>13</v>
      </c>
      <c r="F1965" t="s">
        <v>82</v>
      </c>
      <c r="G1965">
        <v>32000000</v>
      </c>
      <c r="H1965">
        <v>6.6</v>
      </c>
      <c r="I1965" t="s">
        <v>34</v>
      </c>
      <c r="J1965" t="s">
        <v>28</v>
      </c>
      <c r="K1965" t="s">
        <v>24</v>
      </c>
    </row>
    <row r="1966" spans="1:13" x14ac:dyDescent="0.25">
      <c r="A1966" t="s">
        <v>3267</v>
      </c>
      <c r="B1966">
        <v>113</v>
      </c>
      <c r="C1966">
        <v>34636443</v>
      </c>
      <c r="D1966" t="s">
        <v>3268</v>
      </c>
      <c r="E1966" t="s">
        <v>13</v>
      </c>
      <c r="F1966" t="s">
        <v>14</v>
      </c>
      <c r="G1966">
        <v>52000000</v>
      </c>
      <c r="H1966">
        <v>6.6</v>
      </c>
      <c r="I1966" t="s">
        <v>34</v>
      </c>
      <c r="J1966" t="s">
        <v>38</v>
      </c>
      <c r="K1966" t="s">
        <v>31</v>
      </c>
      <c r="L1966" t="s">
        <v>23</v>
      </c>
      <c r="M1966" t="s">
        <v>24</v>
      </c>
    </row>
    <row r="1967" spans="1:13" x14ac:dyDescent="0.25">
      <c r="A1967" t="s">
        <v>946</v>
      </c>
      <c r="B1967">
        <v>101</v>
      </c>
      <c r="C1967">
        <v>34604054</v>
      </c>
      <c r="D1967" t="s">
        <v>3269</v>
      </c>
      <c r="E1967" t="s">
        <v>13</v>
      </c>
      <c r="F1967" t="s">
        <v>14</v>
      </c>
      <c r="G1967">
        <v>30000000</v>
      </c>
      <c r="H1967">
        <v>5.8</v>
      </c>
      <c r="I1967" t="s">
        <v>34</v>
      </c>
      <c r="J1967" t="s">
        <v>38</v>
      </c>
      <c r="K1967" t="s">
        <v>31</v>
      </c>
      <c r="L1967" t="s">
        <v>24</v>
      </c>
    </row>
    <row r="1968" spans="1:13" x14ac:dyDescent="0.25">
      <c r="A1968" t="s">
        <v>1086</v>
      </c>
      <c r="B1968">
        <v>118</v>
      </c>
      <c r="C1968">
        <v>34580635</v>
      </c>
      <c r="D1968" t="s">
        <v>3270</v>
      </c>
      <c r="E1968" t="s">
        <v>13</v>
      </c>
      <c r="F1968" t="s">
        <v>82</v>
      </c>
      <c r="G1968">
        <v>52000000</v>
      </c>
      <c r="H1968">
        <v>7.4</v>
      </c>
      <c r="I1968" t="s">
        <v>42</v>
      </c>
      <c r="J1968" t="s">
        <v>15</v>
      </c>
      <c r="K1968" t="s">
        <v>31</v>
      </c>
    </row>
    <row r="1969" spans="1:12" x14ac:dyDescent="0.25">
      <c r="A1969" t="s">
        <v>828</v>
      </c>
      <c r="B1969">
        <v>145</v>
      </c>
      <c r="C1969">
        <v>34566746</v>
      </c>
      <c r="D1969" t="s">
        <v>3271</v>
      </c>
      <c r="E1969" t="s">
        <v>13</v>
      </c>
      <c r="F1969" t="s">
        <v>14</v>
      </c>
      <c r="G1969">
        <v>80000000</v>
      </c>
      <c r="H1969">
        <v>7.3</v>
      </c>
      <c r="I1969" t="s">
        <v>31</v>
      </c>
      <c r="J1969" t="s">
        <v>64</v>
      </c>
      <c r="K1969" t="s">
        <v>24</v>
      </c>
    </row>
    <row r="1970" spans="1:12" x14ac:dyDescent="0.25">
      <c r="A1970" t="s">
        <v>1781</v>
      </c>
      <c r="B1970">
        <v>123</v>
      </c>
      <c r="C1970">
        <v>34543701</v>
      </c>
      <c r="D1970" t="s">
        <v>3272</v>
      </c>
      <c r="E1970" t="s">
        <v>13</v>
      </c>
      <c r="F1970" t="s">
        <v>14</v>
      </c>
      <c r="G1970">
        <v>82000000</v>
      </c>
      <c r="H1970">
        <v>5.9</v>
      </c>
      <c r="I1970" t="s">
        <v>34</v>
      </c>
      <c r="J1970" t="s">
        <v>23</v>
      </c>
      <c r="K1970" t="s">
        <v>37</v>
      </c>
      <c r="L1970" t="s">
        <v>24</v>
      </c>
    </row>
    <row r="1971" spans="1:12" x14ac:dyDescent="0.25">
      <c r="A1971" t="s">
        <v>3273</v>
      </c>
      <c r="B1971">
        <v>123</v>
      </c>
      <c r="C1971">
        <v>34531832</v>
      </c>
      <c r="D1971" t="s">
        <v>3274</v>
      </c>
      <c r="E1971" t="s">
        <v>13</v>
      </c>
      <c r="F1971" t="s">
        <v>82</v>
      </c>
      <c r="G1971">
        <v>35000000</v>
      </c>
      <c r="H1971">
        <v>7.1</v>
      </c>
      <c r="I1971" t="s">
        <v>42</v>
      </c>
      <c r="J1971" t="s">
        <v>31</v>
      </c>
      <c r="K1971" t="s">
        <v>41</v>
      </c>
    </row>
    <row r="1972" spans="1:12" x14ac:dyDescent="0.25">
      <c r="A1972" t="s">
        <v>2726</v>
      </c>
      <c r="B1972">
        <v>129</v>
      </c>
      <c r="C1972">
        <v>34522221</v>
      </c>
      <c r="D1972" t="s">
        <v>3275</v>
      </c>
      <c r="E1972" t="s">
        <v>13</v>
      </c>
      <c r="F1972" t="s">
        <v>14</v>
      </c>
      <c r="G1972">
        <v>2000000</v>
      </c>
      <c r="H1972">
        <v>7</v>
      </c>
      <c r="I1972" t="s">
        <v>31</v>
      </c>
    </row>
    <row r="1973" spans="1:12" x14ac:dyDescent="0.25">
      <c r="A1973" t="s">
        <v>480</v>
      </c>
      <c r="B1973">
        <v>87</v>
      </c>
      <c r="C1973">
        <v>34507079</v>
      </c>
      <c r="D1973" t="s">
        <v>3276</v>
      </c>
      <c r="E1973" t="s">
        <v>13</v>
      </c>
      <c r="F1973" t="s">
        <v>14</v>
      </c>
      <c r="G1973">
        <v>35000000</v>
      </c>
      <c r="H1973">
        <v>5.0999999999999996</v>
      </c>
      <c r="I1973" t="s">
        <v>34</v>
      </c>
      <c r="J1973" t="s">
        <v>15</v>
      </c>
      <c r="K1973" t="s">
        <v>38</v>
      </c>
    </row>
    <row r="1974" spans="1:12" x14ac:dyDescent="0.25">
      <c r="A1974" t="s">
        <v>3277</v>
      </c>
      <c r="B1974">
        <v>109</v>
      </c>
      <c r="C1974">
        <v>34468224</v>
      </c>
      <c r="D1974" t="s">
        <v>3278</v>
      </c>
      <c r="E1974" t="s">
        <v>13</v>
      </c>
      <c r="F1974" t="s">
        <v>14</v>
      </c>
      <c r="G1974">
        <v>4500000</v>
      </c>
      <c r="H1974">
        <v>7.3</v>
      </c>
      <c r="I1974" t="s">
        <v>42</v>
      </c>
      <c r="J1974" t="s">
        <v>38</v>
      </c>
      <c r="K1974" t="s">
        <v>31</v>
      </c>
      <c r="L1974" t="s">
        <v>24</v>
      </c>
    </row>
    <row r="1975" spans="1:12" x14ac:dyDescent="0.25">
      <c r="A1975" t="s">
        <v>3279</v>
      </c>
      <c r="B1975">
        <v>102</v>
      </c>
      <c r="C1975">
        <v>34350553</v>
      </c>
      <c r="D1975" t="s">
        <v>3280</v>
      </c>
      <c r="E1975" t="s">
        <v>13</v>
      </c>
      <c r="F1975" t="s">
        <v>14</v>
      </c>
      <c r="G1975">
        <v>68000000</v>
      </c>
      <c r="H1975">
        <v>5.7</v>
      </c>
      <c r="I1975" t="s">
        <v>34</v>
      </c>
      <c r="J1975" t="s">
        <v>15</v>
      </c>
      <c r="K1975" t="s">
        <v>37</v>
      </c>
    </row>
    <row r="1976" spans="1:12" x14ac:dyDescent="0.25">
      <c r="A1976" t="s">
        <v>3279</v>
      </c>
      <c r="B1976">
        <v>102</v>
      </c>
      <c r="C1976">
        <v>34350553</v>
      </c>
      <c r="D1976" t="s">
        <v>3280</v>
      </c>
      <c r="E1976" t="s">
        <v>13</v>
      </c>
      <c r="F1976" t="s">
        <v>14</v>
      </c>
      <c r="G1976">
        <v>68000000</v>
      </c>
      <c r="H1976">
        <v>5.7</v>
      </c>
      <c r="I1976" t="s">
        <v>34</v>
      </c>
      <c r="J1976" t="s">
        <v>15</v>
      </c>
      <c r="K1976" t="s">
        <v>37</v>
      </c>
    </row>
    <row r="1977" spans="1:12" x14ac:dyDescent="0.25">
      <c r="A1977" t="s">
        <v>888</v>
      </c>
      <c r="B1977">
        <v>92</v>
      </c>
      <c r="C1977">
        <v>34334256</v>
      </c>
      <c r="D1977" t="s">
        <v>3281</v>
      </c>
      <c r="E1977" t="s">
        <v>13</v>
      </c>
      <c r="F1977" t="s">
        <v>14</v>
      </c>
      <c r="G1977">
        <v>11000000</v>
      </c>
      <c r="H1977">
        <v>4.8</v>
      </c>
      <c r="I1977" t="s">
        <v>22</v>
      </c>
      <c r="J1977" t="s">
        <v>24</v>
      </c>
    </row>
    <row r="1978" spans="1:12" x14ac:dyDescent="0.25">
      <c r="A1978" t="s">
        <v>623</v>
      </c>
      <c r="B1978">
        <v>86</v>
      </c>
      <c r="C1978">
        <v>34308901</v>
      </c>
      <c r="D1978" t="s">
        <v>3282</v>
      </c>
      <c r="E1978" t="s">
        <v>13</v>
      </c>
      <c r="F1978" t="s">
        <v>14</v>
      </c>
      <c r="G1978">
        <v>16000000</v>
      </c>
      <c r="H1978">
        <v>5.0999999999999996</v>
      </c>
      <c r="I1978" t="s">
        <v>15</v>
      </c>
      <c r="J1978" t="s">
        <v>38</v>
      </c>
    </row>
    <row r="1979" spans="1:12" x14ac:dyDescent="0.25">
      <c r="A1979" t="s">
        <v>2940</v>
      </c>
      <c r="B1979">
        <v>143</v>
      </c>
      <c r="C1979">
        <v>34300771</v>
      </c>
      <c r="D1979" t="s">
        <v>3283</v>
      </c>
      <c r="E1979" t="s">
        <v>13</v>
      </c>
      <c r="F1979" t="s">
        <v>295</v>
      </c>
      <c r="G1979">
        <v>25000000</v>
      </c>
      <c r="H1979">
        <v>7.5</v>
      </c>
      <c r="I1979" t="s">
        <v>31</v>
      </c>
    </row>
    <row r="1980" spans="1:12" x14ac:dyDescent="0.25">
      <c r="A1980" t="s">
        <v>187</v>
      </c>
      <c r="B1980">
        <v>103</v>
      </c>
      <c r="C1980">
        <v>34290142</v>
      </c>
      <c r="D1980" t="s">
        <v>3284</v>
      </c>
      <c r="E1980" t="s">
        <v>13</v>
      </c>
      <c r="F1980" t="s">
        <v>14</v>
      </c>
      <c r="G1980">
        <v>19800000</v>
      </c>
      <c r="H1980">
        <v>6.6</v>
      </c>
      <c r="I1980" t="s">
        <v>15</v>
      </c>
      <c r="J1980" t="s">
        <v>31</v>
      </c>
    </row>
    <row r="1981" spans="1:12" x14ac:dyDescent="0.25">
      <c r="A1981" t="s">
        <v>1770</v>
      </c>
      <c r="B1981">
        <v>94</v>
      </c>
      <c r="C1981">
        <v>34238611</v>
      </c>
      <c r="D1981" t="s">
        <v>3285</v>
      </c>
      <c r="E1981" t="s">
        <v>13</v>
      </c>
      <c r="F1981" t="s">
        <v>14</v>
      </c>
      <c r="G1981">
        <v>55000000</v>
      </c>
      <c r="H1981">
        <v>6</v>
      </c>
      <c r="I1981" t="s">
        <v>34</v>
      </c>
      <c r="J1981" t="s">
        <v>38</v>
      </c>
      <c r="K1981" t="s">
        <v>31</v>
      </c>
      <c r="L1981" t="s">
        <v>24</v>
      </c>
    </row>
    <row r="1982" spans="1:12" x14ac:dyDescent="0.25">
      <c r="A1982" t="s">
        <v>2965</v>
      </c>
      <c r="B1982">
        <v>124</v>
      </c>
      <c r="C1982">
        <v>34180954</v>
      </c>
      <c r="D1982" t="s">
        <v>3286</v>
      </c>
      <c r="E1982" t="s">
        <v>13</v>
      </c>
      <c r="F1982" t="s">
        <v>14</v>
      </c>
      <c r="G1982">
        <v>32000000</v>
      </c>
      <c r="H1982">
        <v>7.6</v>
      </c>
      <c r="I1982" t="s">
        <v>31</v>
      </c>
      <c r="J1982" t="s">
        <v>19</v>
      </c>
    </row>
    <row r="1983" spans="1:12" x14ac:dyDescent="0.25">
      <c r="A1983" t="s">
        <v>3287</v>
      </c>
      <c r="B1983">
        <v>108</v>
      </c>
      <c r="C1983">
        <v>34126138</v>
      </c>
      <c r="D1983" t="s">
        <v>3288</v>
      </c>
      <c r="E1983" t="s">
        <v>13</v>
      </c>
      <c r="F1983" t="s">
        <v>14</v>
      </c>
      <c r="G1983">
        <v>20000000</v>
      </c>
      <c r="H1983">
        <v>8.3000000000000007</v>
      </c>
      <c r="I1983" t="s">
        <v>31</v>
      </c>
      <c r="J1983" t="s">
        <v>17</v>
      </c>
      <c r="K1983" t="s">
        <v>19</v>
      </c>
      <c r="L1983" t="s">
        <v>37</v>
      </c>
    </row>
    <row r="1984" spans="1:12" x14ac:dyDescent="0.25">
      <c r="A1984" t="s">
        <v>537</v>
      </c>
      <c r="B1984">
        <v>95</v>
      </c>
      <c r="C1984">
        <v>34099640</v>
      </c>
      <c r="D1984" t="s">
        <v>3289</v>
      </c>
      <c r="E1984" t="s">
        <v>13</v>
      </c>
      <c r="F1984" t="s">
        <v>14</v>
      </c>
      <c r="G1984">
        <v>5000000</v>
      </c>
      <c r="H1984">
        <v>7</v>
      </c>
      <c r="I1984" t="s">
        <v>31</v>
      </c>
      <c r="J1984" t="s">
        <v>16</v>
      </c>
      <c r="K1984" t="s">
        <v>41</v>
      </c>
    </row>
    <row r="1985" spans="1:13" x14ac:dyDescent="0.25">
      <c r="A1985" t="s">
        <v>105</v>
      </c>
      <c r="B1985">
        <v>126</v>
      </c>
      <c r="C1985">
        <v>34098563</v>
      </c>
      <c r="D1985" t="s">
        <v>3290</v>
      </c>
      <c r="E1985" t="s">
        <v>13</v>
      </c>
      <c r="F1985" t="s">
        <v>14</v>
      </c>
      <c r="G1985">
        <v>55000000</v>
      </c>
      <c r="H1985">
        <v>6.5</v>
      </c>
      <c r="I1985" t="s">
        <v>31</v>
      </c>
      <c r="J1985" t="s">
        <v>24</v>
      </c>
    </row>
    <row r="1986" spans="1:13" x14ac:dyDescent="0.25">
      <c r="A1986" t="s">
        <v>611</v>
      </c>
      <c r="B1986">
        <v>120</v>
      </c>
      <c r="C1986">
        <v>34074895</v>
      </c>
      <c r="D1986" t="s">
        <v>3291</v>
      </c>
      <c r="E1986" t="s">
        <v>13</v>
      </c>
      <c r="F1986" t="s">
        <v>14</v>
      </c>
      <c r="G1986">
        <v>9000000</v>
      </c>
      <c r="H1986">
        <v>6.7</v>
      </c>
      <c r="I1986" t="s">
        <v>15</v>
      </c>
      <c r="J1986" t="s">
        <v>31</v>
      </c>
    </row>
    <row r="1987" spans="1:13" x14ac:dyDescent="0.25">
      <c r="A1987" t="s">
        <v>3292</v>
      </c>
      <c r="B1987">
        <v>101</v>
      </c>
      <c r="C1987">
        <v>34017854</v>
      </c>
      <c r="D1987" t="s">
        <v>3293</v>
      </c>
      <c r="E1987" t="s">
        <v>13</v>
      </c>
      <c r="F1987" t="s">
        <v>14</v>
      </c>
      <c r="G1987">
        <v>8500000</v>
      </c>
      <c r="H1987">
        <v>6.5</v>
      </c>
      <c r="I1987" t="s">
        <v>15</v>
      </c>
    </row>
    <row r="1988" spans="1:13" x14ac:dyDescent="0.25">
      <c r="A1988" t="s">
        <v>698</v>
      </c>
      <c r="B1988">
        <v>105</v>
      </c>
      <c r="C1988">
        <v>34014398</v>
      </c>
      <c r="D1988" t="s">
        <v>3294</v>
      </c>
      <c r="E1988" t="s">
        <v>13</v>
      </c>
      <c r="F1988" t="s">
        <v>241</v>
      </c>
      <c r="G1988">
        <v>33000000</v>
      </c>
      <c r="H1988">
        <v>5.6</v>
      </c>
      <c r="I1988" t="s">
        <v>34</v>
      </c>
      <c r="J1988" t="s">
        <v>28</v>
      </c>
      <c r="K1988" t="s">
        <v>38</v>
      </c>
      <c r="L1988" t="s">
        <v>31</v>
      </c>
      <c r="M1988" t="s">
        <v>24</v>
      </c>
    </row>
    <row r="1989" spans="1:13" x14ac:dyDescent="0.25">
      <c r="A1989" t="s">
        <v>698</v>
      </c>
      <c r="B1989">
        <v>105</v>
      </c>
      <c r="C1989">
        <v>34014398</v>
      </c>
      <c r="D1989" t="s">
        <v>3294</v>
      </c>
      <c r="E1989" t="s">
        <v>13</v>
      </c>
      <c r="F1989" t="s">
        <v>241</v>
      </c>
      <c r="G1989">
        <v>33000000</v>
      </c>
      <c r="H1989">
        <v>5.6</v>
      </c>
      <c r="I1989" t="s">
        <v>34</v>
      </c>
      <c r="J1989" t="s">
        <v>28</v>
      </c>
      <c r="K1989" t="s">
        <v>38</v>
      </c>
      <c r="L1989" t="s">
        <v>31</v>
      </c>
      <c r="M1989" t="s">
        <v>24</v>
      </c>
    </row>
    <row r="1990" spans="1:13" x14ac:dyDescent="0.25">
      <c r="A1990" t="s">
        <v>688</v>
      </c>
      <c r="B1990">
        <v>98</v>
      </c>
      <c r="C1990">
        <v>33987757</v>
      </c>
      <c r="D1990" t="s">
        <v>3295</v>
      </c>
      <c r="E1990" t="s">
        <v>13</v>
      </c>
      <c r="F1990" t="s">
        <v>14</v>
      </c>
      <c r="G1990">
        <v>27000000</v>
      </c>
      <c r="H1990">
        <v>7.3</v>
      </c>
      <c r="I1990" t="s">
        <v>31</v>
      </c>
      <c r="J1990" t="s">
        <v>19</v>
      </c>
    </row>
    <row r="1991" spans="1:13" x14ac:dyDescent="0.25">
      <c r="A1991" t="s">
        <v>679</v>
      </c>
      <c r="B1991">
        <v>110</v>
      </c>
      <c r="C1991">
        <v>33927476</v>
      </c>
      <c r="D1991" t="s">
        <v>3296</v>
      </c>
      <c r="E1991" t="s">
        <v>13</v>
      </c>
      <c r="F1991" t="s">
        <v>82</v>
      </c>
      <c r="G1991">
        <v>40000000</v>
      </c>
      <c r="H1991">
        <v>5.7</v>
      </c>
      <c r="I1991" t="s">
        <v>22</v>
      </c>
      <c r="J1991" t="s">
        <v>23</v>
      </c>
      <c r="K1991" t="s">
        <v>37</v>
      </c>
      <c r="L1991" t="s">
        <v>24</v>
      </c>
    </row>
    <row r="1992" spans="1:13" x14ac:dyDescent="0.25">
      <c r="A1992" t="s">
        <v>3297</v>
      </c>
      <c r="B1992">
        <v>102</v>
      </c>
      <c r="C1992">
        <v>33864342</v>
      </c>
      <c r="D1992" t="s">
        <v>3298</v>
      </c>
      <c r="E1992" t="s">
        <v>13</v>
      </c>
      <c r="F1992" t="s">
        <v>82</v>
      </c>
      <c r="G1992">
        <v>40000000</v>
      </c>
      <c r="H1992">
        <v>5.8</v>
      </c>
      <c r="I1992" t="s">
        <v>15</v>
      </c>
      <c r="J1992" t="s">
        <v>38</v>
      </c>
      <c r="K1992" t="s">
        <v>19</v>
      </c>
    </row>
    <row r="1993" spans="1:13" x14ac:dyDescent="0.25">
      <c r="A1993" t="s">
        <v>3299</v>
      </c>
      <c r="B1993">
        <v>99</v>
      </c>
      <c r="C1993">
        <v>33860010</v>
      </c>
      <c r="D1993" t="s">
        <v>3300</v>
      </c>
      <c r="E1993" t="s">
        <v>13</v>
      </c>
      <c r="F1993" t="s">
        <v>14</v>
      </c>
      <c r="G1993">
        <v>15000000</v>
      </c>
      <c r="H1993">
        <v>4.8</v>
      </c>
      <c r="I1993" t="s">
        <v>15</v>
      </c>
      <c r="J1993" t="s">
        <v>19</v>
      </c>
    </row>
    <row r="1994" spans="1:13" x14ac:dyDescent="0.25">
      <c r="A1994" t="s">
        <v>272</v>
      </c>
      <c r="B1994">
        <v>118</v>
      </c>
      <c r="C1994">
        <v>33828318</v>
      </c>
      <c r="D1994" t="s">
        <v>3301</v>
      </c>
      <c r="E1994" t="s">
        <v>13</v>
      </c>
      <c r="F1994" t="s">
        <v>14</v>
      </c>
      <c r="G1994">
        <v>55000000</v>
      </c>
      <c r="H1994">
        <v>5.8</v>
      </c>
      <c r="I1994" t="s">
        <v>15</v>
      </c>
    </row>
    <row r="1995" spans="1:13" x14ac:dyDescent="0.25">
      <c r="A1995" t="s">
        <v>3302</v>
      </c>
      <c r="B1995">
        <v>120</v>
      </c>
      <c r="C1995">
        <v>33771174</v>
      </c>
      <c r="D1995" t="s">
        <v>3303</v>
      </c>
      <c r="E1995" t="s">
        <v>13</v>
      </c>
      <c r="F1995" t="s">
        <v>14</v>
      </c>
      <c r="G1995">
        <v>15000000</v>
      </c>
      <c r="H1995">
        <v>6.8</v>
      </c>
      <c r="I1995" t="s">
        <v>15</v>
      </c>
      <c r="J1995" t="s">
        <v>31</v>
      </c>
      <c r="K1995" t="s">
        <v>19</v>
      </c>
    </row>
    <row r="1996" spans="1:13" x14ac:dyDescent="0.25">
      <c r="A1996" t="s">
        <v>270</v>
      </c>
      <c r="B1996">
        <v>105</v>
      </c>
      <c r="C1996">
        <v>33687630</v>
      </c>
      <c r="D1996" t="s">
        <v>3304</v>
      </c>
      <c r="E1996" t="s">
        <v>13</v>
      </c>
      <c r="F1996" t="s">
        <v>14</v>
      </c>
      <c r="G1996">
        <v>20000000</v>
      </c>
      <c r="H1996">
        <v>6.4</v>
      </c>
      <c r="I1996" t="s">
        <v>15</v>
      </c>
      <c r="J1996" t="s">
        <v>19</v>
      </c>
    </row>
    <row r="1997" spans="1:13" x14ac:dyDescent="0.25">
      <c r="A1997" t="s">
        <v>3305</v>
      </c>
      <c r="B1997">
        <v>136</v>
      </c>
      <c r="C1997">
        <v>33685268</v>
      </c>
      <c r="D1997" t="s">
        <v>3306</v>
      </c>
      <c r="E1997" t="s">
        <v>13</v>
      </c>
      <c r="F1997" t="s">
        <v>14</v>
      </c>
      <c r="G1997">
        <v>68000000</v>
      </c>
      <c r="H1997">
        <v>5.5</v>
      </c>
      <c r="I1997" t="s">
        <v>31</v>
      </c>
      <c r="J1997" t="s">
        <v>22</v>
      </c>
      <c r="K1997" t="s">
        <v>37</v>
      </c>
      <c r="L1997" t="s">
        <v>24</v>
      </c>
    </row>
    <row r="1998" spans="1:13" x14ac:dyDescent="0.25">
      <c r="A1998" t="s">
        <v>3307</v>
      </c>
      <c r="B1998">
        <v>140</v>
      </c>
      <c r="C1998">
        <v>33682273</v>
      </c>
      <c r="D1998" t="s">
        <v>3308</v>
      </c>
      <c r="E1998" t="s">
        <v>13</v>
      </c>
      <c r="F1998" t="s">
        <v>14</v>
      </c>
      <c r="G1998">
        <v>33000000</v>
      </c>
      <c r="H1998">
        <v>6.5</v>
      </c>
      <c r="I1998" t="s">
        <v>34</v>
      </c>
      <c r="J1998" t="s">
        <v>38</v>
      </c>
      <c r="K1998" t="s">
        <v>31</v>
      </c>
      <c r="L1998" t="s">
        <v>24</v>
      </c>
    </row>
    <row r="1999" spans="1:13" x14ac:dyDescent="0.25">
      <c r="A1999" t="s">
        <v>298</v>
      </c>
      <c r="B1999">
        <v>87</v>
      </c>
      <c r="C1999">
        <v>33643461</v>
      </c>
      <c r="D1999" t="s">
        <v>3309</v>
      </c>
      <c r="E1999" t="s">
        <v>13</v>
      </c>
      <c r="F1999" t="s">
        <v>14</v>
      </c>
      <c r="G1999">
        <v>50000000</v>
      </c>
      <c r="H1999">
        <v>4.2</v>
      </c>
      <c r="I1999" t="s">
        <v>15</v>
      </c>
      <c r="J1999" t="s">
        <v>16</v>
      </c>
    </row>
    <row r="2000" spans="1:13" x14ac:dyDescent="0.25">
      <c r="A2000" t="s">
        <v>3310</v>
      </c>
      <c r="B2000">
        <v>111</v>
      </c>
      <c r="C2000">
        <v>33631221</v>
      </c>
      <c r="D2000" t="s">
        <v>3311</v>
      </c>
      <c r="E2000" t="s">
        <v>13</v>
      </c>
      <c r="F2000" t="s">
        <v>14</v>
      </c>
      <c r="G2000">
        <v>25000000</v>
      </c>
      <c r="H2000">
        <v>6</v>
      </c>
      <c r="I2000" t="s">
        <v>38</v>
      </c>
      <c r="J2000" t="s">
        <v>31</v>
      </c>
      <c r="K2000" t="s">
        <v>24</v>
      </c>
    </row>
    <row r="2001" spans="1:13" x14ac:dyDescent="0.25">
      <c r="A2001" t="s">
        <v>3310</v>
      </c>
      <c r="B2001">
        <v>111</v>
      </c>
      <c r="C2001">
        <v>33631221</v>
      </c>
      <c r="D2001" t="s">
        <v>3311</v>
      </c>
      <c r="E2001" t="s">
        <v>13</v>
      </c>
      <c r="F2001" t="s">
        <v>14</v>
      </c>
      <c r="G2001">
        <v>25000000</v>
      </c>
      <c r="H2001">
        <v>6</v>
      </c>
      <c r="I2001" t="s">
        <v>38</v>
      </c>
      <c r="J2001" t="s">
        <v>31</v>
      </c>
      <c r="K2001" t="s">
        <v>24</v>
      </c>
    </row>
    <row r="2002" spans="1:13" x14ac:dyDescent="0.25">
      <c r="A2002" t="s">
        <v>3312</v>
      </c>
      <c r="B2002">
        <v>80</v>
      </c>
      <c r="C2002">
        <v>33583175</v>
      </c>
      <c r="D2002" t="s">
        <v>3313</v>
      </c>
      <c r="E2002" t="s">
        <v>13</v>
      </c>
      <c r="F2002" t="s">
        <v>14</v>
      </c>
      <c r="G2002">
        <v>10000000</v>
      </c>
      <c r="H2002">
        <v>6.3</v>
      </c>
      <c r="I2002" t="s">
        <v>22</v>
      </c>
      <c r="J2002" t="s">
        <v>23</v>
      </c>
      <c r="K2002" t="s">
        <v>24</v>
      </c>
    </row>
    <row r="2003" spans="1:13" x14ac:dyDescent="0.25">
      <c r="A2003" t="s">
        <v>154</v>
      </c>
      <c r="B2003">
        <v>135</v>
      </c>
      <c r="C2003">
        <v>33574332</v>
      </c>
      <c r="D2003" t="s">
        <v>3314</v>
      </c>
      <c r="E2003" t="s">
        <v>13</v>
      </c>
      <c r="F2003" t="s">
        <v>14</v>
      </c>
      <c r="G2003">
        <v>90000000</v>
      </c>
      <c r="H2003">
        <v>7.1</v>
      </c>
      <c r="I2003" t="s">
        <v>31</v>
      </c>
      <c r="J2003" t="s">
        <v>64</v>
      </c>
      <c r="K2003" t="s">
        <v>83</v>
      </c>
    </row>
    <row r="2004" spans="1:13" x14ac:dyDescent="0.25">
      <c r="A2004" t="s">
        <v>3315</v>
      </c>
      <c r="B2004">
        <v>129</v>
      </c>
      <c r="C2004">
        <v>33565375</v>
      </c>
      <c r="D2004" t="s">
        <v>3316</v>
      </c>
      <c r="E2004" t="s">
        <v>13</v>
      </c>
      <c r="F2004" t="s">
        <v>82</v>
      </c>
      <c r="G2004">
        <v>15000000</v>
      </c>
      <c r="H2004">
        <v>7.5</v>
      </c>
      <c r="I2004" t="s">
        <v>31</v>
      </c>
      <c r="J2004" t="s">
        <v>23</v>
      </c>
      <c r="K2004" t="s">
        <v>19</v>
      </c>
      <c r="L2004" t="s">
        <v>24</v>
      </c>
    </row>
    <row r="2005" spans="1:13" x14ac:dyDescent="0.25">
      <c r="A2005" t="s">
        <v>2978</v>
      </c>
      <c r="B2005">
        <v>123</v>
      </c>
      <c r="C2005">
        <v>33508922</v>
      </c>
      <c r="D2005" t="s">
        <v>3317</v>
      </c>
      <c r="E2005" t="s">
        <v>13</v>
      </c>
      <c r="F2005" t="s">
        <v>14</v>
      </c>
      <c r="G2005">
        <v>40000000</v>
      </c>
      <c r="H2005">
        <v>7.2</v>
      </c>
      <c r="I2005" t="s">
        <v>31</v>
      </c>
    </row>
    <row r="2006" spans="1:13" x14ac:dyDescent="0.25">
      <c r="A2006" t="s">
        <v>3318</v>
      </c>
      <c r="B2006">
        <v>99</v>
      </c>
      <c r="C2006">
        <v>33472850</v>
      </c>
      <c r="D2006" t="s">
        <v>3319</v>
      </c>
      <c r="E2006" t="s">
        <v>13</v>
      </c>
      <c r="F2006" t="s">
        <v>14</v>
      </c>
      <c r="G2006">
        <v>55000000</v>
      </c>
      <c r="H2006">
        <v>5.8</v>
      </c>
      <c r="I2006" t="s">
        <v>15</v>
      </c>
      <c r="J2006" t="s">
        <v>41</v>
      </c>
    </row>
    <row r="2007" spans="1:13" x14ac:dyDescent="0.25">
      <c r="A2007" t="s">
        <v>2726</v>
      </c>
      <c r="B2007">
        <v>122</v>
      </c>
      <c r="C2007">
        <v>33451479</v>
      </c>
      <c r="D2007" t="s">
        <v>3320</v>
      </c>
      <c r="E2007" t="s">
        <v>13</v>
      </c>
      <c r="F2007" t="s">
        <v>14</v>
      </c>
      <c r="G2007">
        <v>500000</v>
      </c>
      <c r="H2007">
        <v>6.5</v>
      </c>
      <c r="I2007" t="s">
        <v>31</v>
      </c>
      <c r="J2007" t="s">
        <v>19</v>
      </c>
    </row>
    <row r="2008" spans="1:13" x14ac:dyDescent="0.25">
      <c r="A2008" t="s">
        <v>3321</v>
      </c>
      <c r="B2008">
        <v>102</v>
      </c>
      <c r="C2008">
        <v>33423521</v>
      </c>
      <c r="D2008" t="s">
        <v>3322</v>
      </c>
      <c r="E2008" t="s">
        <v>13</v>
      </c>
      <c r="F2008" t="s">
        <v>27</v>
      </c>
      <c r="G2008">
        <v>35000000</v>
      </c>
      <c r="H2008">
        <v>3.8</v>
      </c>
      <c r="I2008" t="s">
        <v>34</v>
      </c>
      <c r="J2008" t="s">
        <v>28</v>
      </c>
      <c r="K2008" t="s">
        <v>15</v>
      </c>
      <c r="L2008" t="s">
        <v>24</v>
      </c>
    </row>
    <row r="2009" spans="1:13" x14ac:dyDescent="0.25">
      <c r="A2009" t="s">
        <v>3092</v>
      </c>
      <c r="B2009">
        <v>95</v>
      </c>
      <c r="C2009">
        <v>33422806</v>
      </c>
      <c r="D2009" t="s">
        <v>3323</v>
      </c>
      <c r="E2009" t="s">
        <v>13</v>
      </c>
      <c r="F2009" t="s">
        <v>14</v>
      </c>
      <c r="G2009">
        <v>50000000</v>
      </c>
      <c r="H2009">
        <v>4.8</v>
      </c>
      <c r="I2009" t="s">
        <v>28</v>
      </c>
      <c r="J2009" t="s">
        <v>15</v>
      </c>
      <c r="K2009" t="s">
        <v>17</v>
      </c>
    </row>
    <row r="2010" spans="1:13" x14ac:dyDescent="0.25">
      <c r="A2010" t="s">
        <v>3324</v>
      </c>
      <c r="B2010">
        <v>104</v>
      </c>
      <c r="C2010">
        <v>33422556</v>
      </c>
      <c r="D2010" t="s">
        <v>3325</v>
      </c>
      <c r="E2010" t="s">
        <v>13</v>
      </c>
      <c r="F2010" t="s">
        <v>14</v>
      </c>
      <c r="G2010">
        <v>20000000</v>
      </c>
      <c r="H2010">
        <v>7.5</v>
      </c>
      <c r="I2010" t="s">
        <v>31</v>
      </c>
      <c r="J2010" t="s">
        <v>23</v>
      </c>
    </row>
    <row r="2011" spans="1:13" x14ac:dyDescent="0.25">
      <c r="A2011" t="s">
        <v>908</v>
      </c>
      <c r="B2011">
        <v>98</v>
      </c>
      <c r="C2011">
        <v>33404871</v>
      </c>
      <c r="D2011" t="s">
        <v>3326</v>
      </c>
      <c r="E2011" t="s">
        <v>13</v>
      </c>
      <c r="F2011" t="s">
        <v>14</v>
      </c>
      <c r="G2011">
        <v>18000000</v>
      </c>
      <c r="H2011">
        <v>7.3</v>
      </c>
      <c r="I2011" t="s">
        <v>31</v>
      </c>
    </row>
    <row r="2012" spans="1:13" x14ac:dyDescent="0.25">
      <c r="A2012" t="s">
        <v>3327</v>
      </c>
      <c r="B2012">
        <v>119</v>
      </c>
      <c r="C2012">
        <v>33386128</v>
      </c>
      <c r="D2012" t="s">
        <v>3328</v>
      </c>
      <c r="E2012" t="s">
        <v>13</v>
      </c>
      <c r="F2012" t="s">
        <v>14</v>
      </c>
      <c r="G2012">
        <v>15000000</v>
      </c>
      <c r="H2012">
        <v>4.9000000000000004</v>
      </c>
      <c r="I2012" t="s">
        <v>22</v>
      </c>
    </row>
    <row r="2013" spans="1:13" x14ac:dyDescent="0.25">
      <c r="A2013" t="s">
        <v>623</v>
      </c>
      <c r="B2013">
        <v>94</v>
      </c>
      <c r="C2013">
        <v>33357476</v>
      </c>
      <c r="D2013" t="s">
        <v>3329</v>
      </c>
      <c r="E2013" t="s">
        <v>13</v>
      </c>
      <c r="F2013" t="s">
        <v>14</v>
      </c>
      <c r="G2013">
        <v>35000000</v>
      </c>
      <c r="H2013">
        <v>5.4</v>
      </c>
      <c r="I2013" t="s">
        <v>34</v>
      </c>
      <c r="J2013" t="s">
        <v>15</v>
      </c>
      <c r="K2013" t="s">
        <v>38</v>
      </c>
      <c r="L2013" t="s">
        <v>16</v>
      </c>
    </row>
    <row r="2014" spans="1:13" x14ac:dyDescent="0.25">
      <c r="A2014" t="s">
        <v>3330</v>
      </c>
      <c r="B2014">
        <v>87</v>
      </c>
      <c r="C2014">
        <v>33349949</v>
      </c>
      <c r="D2014" t="s">
        <v>3331</v>
      </c>
      <c r="E2014" t="s">
        <v>13</v>
      </c>
      <c r="F2014" t="s">
        <v>14</v>
      </c>
      <c r="G2014">
        <v>2500000</v>
      </c>
      <c r="H2014">
        <v>5.0999999999999996</v>
      </c>
      <c r="I2014" t="s">
        <v>52</v>
      </c>
    </row>
    <row r="2015" spans="1:13" x14ac:dyDescent="0.25">
      <c r="A2015" t="s">
        <v>348</v>
      </c>
      <c r="B2015">
        <v>121</v>
      </c>
      <c r="C2015">
        <v>33328051</v>
      </c>
      <c r="D2015" t="s">
        <v>3332</v>
      </c>
      <c r="E2015" t="s">
        <v>13</v>
      </c>
      <c r="F2015" t="s">
        <v>14</v>
      </c>
      <c r="G2015">
        <v>65000000</v>
      </c>
      <c r="H2015">
        <v>6.7</v>
      </c>
      <c r="I2015" t="s">
        <v>34</v>
      </c>
      <c r="J2015" t="s">
        <v>38</v>
      </c>
      <c r="K2015" t="s">
        <v>31</v>
      </c>
      <c r="L2015" t="s">
        <v>23</v>
      </c>
      <c r="M2015" t="s">
        <v>24</v>
      </c>
    </row>
    <row r="2016" spans="1:13" x14ac:dyDescent="0.25">
      <c r="A2016" t="s">
        <v>505</v>
      </c>
      <c r="B2016">
        <v>108</v>
      </c>
      <c r="C2016">
        <v>33313582</v>
      </c>
      <c r="D2016" t="s">
        <v>3333</v>
      </c>
      <c r="E2016" t="s">
        <v>13</v>
      </c>
      <c r="F2016" t="s">
        <v>14</v>
      </c>
      <c r="G2016">
        <v>21000000</v>
      </c>
      <c r="H2016">
        <v>6.5</v>
      </c>
      <c r="I2016" t="s">
        <v>15</v>
      </c>
      <c r="J2016" t="s">
        <v>38</v>
      </c>
      <c r="K2016" t="s">
        <v>31</v>
      </c>
      <c r="L2016" t="s">
        <v>24</v>
      </c>
    </row>
    <row r="2017" spans="1:13" x14ac:dyDescent="0.25">
      <c r="A2017" t="s">
        <v>3334</v>
      </c>
      <c r="B2017">
        <v>109</v>
      </c>
      <c r="C2017">
        <v>33305037</v>
      </c>
      <c r="D2017" t="s">
        <v>3335</v>
      </c>
      <c r="E2017" t="s">
        <v>13</v>
      </c>
      <c r="F2017" t="s">
        <v>82</v>
      </c>
      <c r="G2017">
        <v>11000000</v>
      </c>
      <c r="H2017">
        <v>7.3</v>
      </c>
      <c r="I2017" t="s">
        <v>42</v>
      </c>
      <c r="J2017" t="s">
        <v>31</v>
      </c>
      <c r="K2017" t="s">
        <v>64</v>
      </c>
    </row>
    <row r="2018" spans="1:13" x14ac:dyDescent="0.25">
      <c r="A2018" t="s">
        <v>3336</v>
      </c>
      <c r="B2018">
        <v>87</v>
      </c>
      <c r="C2018">
        <v>33244684</v>
      </c>
      <c r="D2018" t="s">
        <v>3337</v>
      </c>
      <c r="E2018" t="s">
        <v>13</v>
      </c>
      <c r="F2018" t="s">
        <v>14</v>
      </c>
      <c r="G2018">
        <v>9000000</v>
      </c>
      <c r="H2018">
        <v>6.5</v>
      </c>
      <c r="I2018" t="s">
        <v>17</v>
      </c>
      <c r="J2018" t="s">
        <v>22</v>
      </c>
    </row>
    <row r="2019" spans="1:13" x14ac:dyDescent="0.25">
      <c r="A2019" t="s">
        <v>2767</v>
      </c>
      <c r="B2019">
        <v>122</v>
      </c>
      <c r="C2019">
        <v>33201661</v>
      </c>
      <c r="D2019" t="s">
        <v>3338</v>
      </c>
      <c r="E2019" t="s">
        <v>473</v>
      </c>
      <c r="F2019" t="s">
        <v>295</v>
      </c>
      <c r="G2019">
        <v>77000000</v>
      </c>
      <c r="H2019">
        <v>8.4</v>
      </c>
      <c r="I2019" t="s">
        <v>15</v>
      </c>
      <c r="J2019" t="s">
        <v>19</v>
      </c>
    </row>
    <row r="2020" spans="1:13" x14ac:dyDescent="0.25">
      <c r="A2020" t="s">
        <v>3305</v>
      </c>
      <c r="B2020">
        <v>133</v>
      </c>
      <c r="C2020">
        <v>33200000</v>
      </c>
      <c r="D2020" t="s">
        <v>3339</v>
      </c>
      <c r="E2020" t="s">
        <v>13</v>
      </c>
      <c r="F2020" t="s">
        <v>14</v>
      </c>
      <c r="G2020">
        <v>26000000</v>
      </c>
      <c r="H2020">
        <v>7.2</v>
      </c>
      <c r="I2020" t="s">
        <v>34</v>
      </c>
      <c r="J2020" t="s">
        <v>38</v>
      </c>
      <c r="K2020" t="s">
        <v>31</v>
      </c>
      <c r="L2020" t="s">
        <v>69</v>
      </c>
    </row>
    <row r="2021" spans="1:13" x14ac:dyDescent="0.25">
      <c r="A2021" t="s">
        <v>3161</v>
      </c>
      <c r="B2021">
        <v>97</v>
      </c>
      <c r="C2021">
        <v>33105600</v>
      </c>
      <c r="D2021" t="s">
        <v>3340</v>
      </c>
      <c r="E2021" t="s">
        <v>13</v>
      </c>
      <c r="F2021" t="s">
        <v>14</v>
      </c>
      <c r="G2021">
        <v>70000000</v>
      </c>
      <c r="H2021">
        <v>5.4</v>
      </c>
      <c r="I2021" t="s">
        <v>34</v>
      </c>
      <c r="J2021" t="s">
        <v>28</v>
      </c>
      <c r="K2021" t="s">
        <v>15</v>
      </c>
      <c r="L2021" t="s">
        <v>24</v>
      </c>
    </row>
    <row r="2022" spans="1:13" x14ac:dyDescent="0.25">
      <c r="A2022" t="s">
        <v>177</v>
      </c>
      <c r="B2022">
        <v>122</v>
      </c>
      <c r="C2022">
        <v>33071558</v>
      </c>
      <c r="D2022" t="s">
        <v>3341</v>
      </c>
      <c r="E2022" t="s">
        <v>13</v>
      </c>
      <c r="F2022" t="s">
        <v>82</v>
      </c>
      <c r="G2022">
        <v>10000000</v>
      </c>
      <c r="H2022">
        <v>6.6</v>
      </c>
      <c r="I2022" t="s">
        <v>15</v>
      </c>
      <c r="J2022" t="s">
        <v>31</v>
      </c>
    </row>
    <row r="2023" spans="1:13" x14ac:dyDescent="0.25">
      <c r="A2023" t="s">
        <v>129</v>
      </c>
      <c r="B2023">
        <v>162</v>
      </c>
      <c r="C2023">
        <v>33048353</v>
      </c>
      <c r="D2023" t="s">
        <v>3342</v>
      </c>
      <c r="E2023" t="s">
        <v>13</v>
      </c>
      <c r="F2023" t="s">
        <v>14</v>
      </c>
      <c r="G2023">
        <v>65000000</v>
      </c>
      <c r="H2023">
        <v>7.7</v>
      </c>
      <c r="I2023" t="s">
        <v>38</v>
      </c>
      <c r="J2023" t="s">
        <v>31</v>
      </c>
      <c r="K2023" t="s">
        <v>64</v>
      </c>
      <c r="L2023" t="s">
        <v>23</v>
      </c>
      <c r="M2023" t="s">
        <v>24</v>
      </c>
    </row>
    <row r="2024" spans="1:13" x14ac:dyDescent="0.25">
      <c r="A2024" t="s">
        <v>582</v>
      </c>
      <c r="B2024">
        <v>114</v>
      </c>
      <c r="C2024">
        <v>33037754</v>
      </c>
      <c r="D2024" t="s">
        <v>3343</v>
      </c>
      <c r="E2024" t="s">
        <v>13</v>
      </c>
      <c r="F2024" t="s">
        <v>14</v>
      </c>
      <c r="G2024">
        <v>37000000</v>
      </c>
      <c r="H2024">
        <v>6</v>
      </c>
      <c r="I2024" t="s">
        <v>31</v>
      </c>
      <c r="J2024" t="s">
        <v>22</v>
      </c>
      <c r="K2024" t="s">
        <v>23</v>
      </c>
      <c r="L2024" t="s">
        <v>24</v>
      </c>
    </row>
    <row r="2025" spans="1:13" x14ac:dyDescent="0.25">
      <c r="A2025" t="s">
        <v>1090</v>
      </c>
      <c r="B2025">
        <v>99</v>
      </c>
      <c r="C2025">
        <v>33000377</v>
      </c>
      <c r="D2025" t="s">
        <v>3344</v>
      </c>
      <c r="E2025" t="s">
        <v>13</v>
      </c>
      <c r="F2025" t="s">
        <v>14</v>
      </c>
      <c r="G2025">
        <v>28000000</v>
      </c>
      <c r="H2025">
        <v>4.9000000000000004</v>
      </c>
      <c r="I2025" t="s">
        <v>34</v>
      </c>
      <c r="J2025" t="s">
        <v>17</v>
      </c>
      <c r="K2025" t="s">
        <v>22</v>
      </c>
      <c r="L2025" t="s">
        <v>24</v>
      </c>
    </row>
    <row r="2026" spans="1:13" x14ac:dyDescent="0.25">
      <c r="A2026" t="s">
        <v>2145</v>
      </c>
      <c r="B2026">
        <v>109</v>
      </c>
      <c r="C2026">
        <v>33000000</v>
      </c>
      <c r="D2026" t="s">
        <v>3345</v>
      </c>
      <c r="E2026" t="s">
        <v>13</v>
      </c>
      <c r="F2026" t="s">
        <v>14</v>
      </c>
      <c r="G2026">
        <v>10000000</v>
      </c>
      <c r="H2026">
        <v>6.9</v>
      </c>
      <c r="I2026" t="s">
        <v>34</v>
      </c>
      <c r="J2026" t="s">
        <v>15</v>
      </c>
      <c r="K2026" t="s">
        <v>31</v>
      </c>
      <c r="L2026" t="s">
        <v>18</v>
      </c>
    </row>
    <row r="2027" spans="1:13" x14ac:dyDescent="0.25">
      <c r="A2027" t="s">
        <v>1345</v>
      </c>
      <c r="B2027">
        <v>85</v>
      </c>
      <c r="C2027">
        <v>32983713</v>
      </c>
      <c r="D2027" t="s">
        <v>3346</v>
      </c>
      <c r="E2027" t="s">
        <v>13</v>
      </c>
      <c r="F2027" t="s">
        <v>14</v>
      </c>
      <c r="G2027">
        <v>20000000</v>
      </c>
      <c r="H2027">
        <v>5.8</v>
      </c>
      <c r="I2027" t="s">
        <v>15</v>
      </c>
      <c r="J2027" t="s">
        <v>31</v>
      </c>
    </row>
    <row r="2028" spans="1:13" x14ac:dyDescent="0.25">
      <c r="A2028" t="s">
        <v>867</v>
      </c>
      <c r="B2028">
        <v>111</v>
      </c>
      <c r="C2028">
        <v>32940507</v>
      </c>
      <c r="D2028" t="s">
        <v>3347</v>
      </c>
      <c r="E2028" t="s">
        <v>13</v>
      </c>
      <c r="F2028" t="s">
        <v>14</v>
      </c>
      <c r="G2028">
        <v>60000000</v>
      </c>
      <c r="H2028">
        <v>6.1</v>
      </c>
      <c r="I2028" t="s">
        <v>34</v>
      </c>
      <c r="J2028" t="s">
        <v>38</v>
      </c>
      <c r="K2028" t="s">
        <v>31</v>
      </c>
      <c r="L2028" t="s">
        <v>24</v>
      </c>
    </row>
    <row r="2029" spans="1:13" x14ac:dyDescent="0.25">
      <c r="A2029" t="s">
        <v>867</v>
      </c>
      <c r="B2029">
        <v>111</v>
      </c>
      <c r="C2029">
        <v>32940507</v>
      </c>
      <c r="D2029" t="s">
        <v>3347</v>
      </c>
      <c r="E2029" t="s">
        <v>13</v>
      </c>
      <c r="F2029" t="s">
        <v>14</v>
      </c>
      <c r="G2029">
        <v>60000000</v>
      </c>
      <c r="H2029">
        <v>6.1</v>
      </c>
      <c r="I2029" t="s">
        <v>34</v>
      </c>
      <c r="J2029" t="s">
        <v>38</v>
      </c>
      <c r="K2029" t="s">
        <v>31</v>
      </c>
      <c r="L2029" t="s">
        <v>24</v>
      </c>
    </row>
    <row r="2030" spans="1:13" x14ac:dyDescent="0.25">
      <c r="A2030" t="s">
        <v>1100</v>
      </c>
      <c r="B2030">
        <v>114</v>
      </c>
      <c r="C2030">
        <v>32885565</v>
      </c>
      <c r="D2030" t="s">
        <v>3348</v>
      </c>
      <c r="E2030" t="s">
        <v>13</v>
      </c>
      <c r="F2030" t="s">
        <v>14</v>
      </c>
      <c r="G2030">
        <v>80000000</v>
      </c>
      <c r="H2030">
        <v>5.8</v>
      </c>
      <c r="I2030" t="s">
        <v>34</v>
      </c>
      <c r="J2030" t="s">
        <v>28</v>
      </c>
      <c r="K2030" t="s">
        <v>31</v>
      </c>
      <c r="L2030" t="s">
        <v>24</v>
      </c>
    </row>
    <row r="2031" spans="1:13" x14ac:dyDescent="0.25">
      <c r="A2031" t="s">
        <v>879</v>
      </c>
      <c r="B2031">
        <v>102</v>
      </c>
      <c r="C2031">
        <v>32853640</v>
      </c>
      <c r="D2031" t="s">
        <v>3349</v>
      </c>
      <c r="E2031" t="s">
        <v>13</v>
      </c>
      <c r="F2031" t="s">
        <v>14</v>
      </c>
      <c r="G2031">
        <v>40000000</v>
      </c>
      <c r="H2031">
        <v>5.7</v>
      </c>
      <c r="I2031" t="s">
        <v>15</v>
      </c>
      <c r="J2031" t="s">
        <v>31</v>
      </c>
    </row>
    <row r="2032" spans="1:13" x14ac:dyDescent="0.25">
      <c r="A2032" t="s">
        <v>3350</v>
      </c>
      <c r="B2032">
        <v>117</v>
      </c>
      <c r="C2032">
        <v>32800000</v>
      </c>
      <c r="D2032" t="s">
        <v>3351</v>
      </c>
      <c r="E2032" t="s">
        <v>13</v>
      </c>
      <c r="F2032" t="s">
        <v>14</v>
      </c>
      <c r="G2032">
        <v>40000000</v>
      </c>
      <c r="H2032">
        <v>4.3</v>
      </c>
      <c r="I2032" t="s">
        <v>15</v>
      </c>
      <c r="J2032" t="s">
        <v>38</v>
      </c>
      <c r="K2032" t="s">
        <v>31</v>
      </c>
      <c r="L2032" t="s">
        <v>24</v>
      </c>
    </row>
    <row r="2033" spans="1:12" x14ac:dyDescent="0.25">
      <c r="A2033" t="s">
        <v>1069</v>
      </c>
      <c r="B2033">
        <v>98</v>
      </c>
      <c r="C2033">
        <v>32774834</v>
      </c>
      <c r="D2033" t="s">
        <v>3352</v>
      </c>
      <c r="E2033" t="s">
        <v>13</v>
      </c>
      <c r="F2033" t="s">
        <v>14</v>
      </c>
      <c r="G2033">
        <v>30000000</v>
      </c>
      <c r="H2033">
        <v>7.2</v>
      </c>
      <c r="I2033" t="s">
        <v>34</v>
      </c>
      <c r="J2033" t="s">
        <v>15</v>
      </c>
    </row>
    <row r="2034" spans="1:12" x14ac:dyDescent="0.25">
      <c r="A2034" t="s">
        <v>154</v>
      </c>
      <c r="B2034">
        <v>129</v>
      </c>
      <c r="C2034">
        <v>32741596</v>
      </c>
      <c r="D2034" t="s">
        <v>3353</v>
      </c>
      <c r="E2034" t="s">
        <v>13</v>
      </c>
      <c r="F2034" t="s">
        <v>14</v>
      </c>
      <c r="G2034">
        <v>50000000</v>
      </c>
      <c r="H2034">
        <v>6.5</v>
      </c>
      <c r="I2034" t="s">
        <v>31</v>
      </c>
      <c r="J2034" t="s">
        <v>17</v>
      </c>
    </row>
    <row r="2035" spans="1:12" x14ac:dyDescent="0.25">
      <c r="A2035" t="s">
        <v>3354</v>
      </c>
      <c r="B2035">
        <v>114</v>
      </c>
      <c r="C2035">
        <v>32721635</v>
      </c>
      <c r="D2035" t="s">
        <v>3355</v>
      </c>
      <c r="E2035" t="s">
        <v>13</v>
      </c>
      <c r="F2035" t="s">
        <v>14</v>
      </c>
      <c r="G2035">
        <v>15000000</v>
      </c>
      <c r="H2035">
        <v>6.6</v>
      </c>
      <c r="I2035" t="s">
        <v>38</v>
      </c>
      <c r="J2035" t="s">
        <v>22</v>
      </c>
      <c r="K2035" t="s">
        <v>24</v>
      </c>
    </row>
    <row r="2036" spans="1:12" x14ac:dyDescent="0.25">
      <c r="A2036" t="s">
        <v>3354</v>
      </c>
      <c r="B2036">
        <v>114</v>
      </c>
      <c r="C2036">
        <v>32721635</v>
      </c>
      <c r="D2036" t="s">
        <v>3355</v>
      </c>
      <c r="E2036" t="s">
        <v>13</v>
      </c>
      <c r="F2036" t="s">
        <v>14</v>
      </c>
      <c r="G2036">
        <v>15000000</v>
      </c>
      <c r="H2036">
        <v>6.6</v>
      </c>
      <c r="I2036" t="s">
        <v>38</v>
      </c>
      <c r="J2036" t="s">
        <v>22</v>
      </c>
      <c r="K2036" t="s">
        <v>24</v>
      </c>
    </row>
    <row r="2037" spans="1:12" x14ac:dyDescent="0.25">
      <c r="A2037" t="s">
        <v>3356</v>
      </c>
      <c r="B2037">
        <v>98</v>
      </c>
      <c r="C2037">
        <v>32701088</v>
      </c>
      <c r="D2037" t="s">
        <v>3357</v>
      </c>
      <c r="E2037" t="s">
        <v>13</v>
      </c>
      <c r="F2037" t="s">
        <v>14</v>
      </c>
      <c r="G2037">
        <v>32000000</v>
      </c>
      <c r="H2037">
        <v>6.9</v>
      </c>
      <c r="I2037" t="s">
        <v>31</v>
      </c>
      <c r="J2037" t="s">
        <v>16</v>
      </c>
      <c r="K2037" t="s">
        <v>41</v>
      </c>
    </row>
    <row r="2038" spans="1:12" x14ac:dyDescent="0.25">
      <c r="A2038" t="s">
        <v>182</v>
      </c>
      <c r="B2038">
        <v>102</v>
      </c>
      <c r="C2038">
        <v>32694788</v>
      </c>
      <c r="D2038" t="s">
        <v>3358</v>
      </c>
      <c r="E2038" t="s">
        <v>13</v>
      </c>
      <c r="F2038" t="s">
        <v>14</v>
      </c>
      <c r="G2038">
        <v>85000000</v>
      </c>
      <c r="H2038">
        <v>6.6</v>
      </c>
      <c r="I2038" t="s">
        <v>34</v>
      </c>
      <c r="J2038" t="s">
        <v>28</v>
      </c>
      <c r="K2038" t="s">
        <v>64</v>
      </c>
    </row>
    <row r="2039" spans="1:12" x14ac:dyDescent="0.25">
      <c r="A2039" t="s">
        <v>3359</v>
      </c>
      <c r="B2039">
        <v>115</v>
      </c>
      <c r="C2039">
        <v>32662299</v>
      </c>
      <c r="D2039" t="s">
        <v>3360</v>
      </c>
      <c r="E2039" t="s">
        <v>13</v>
      </c>
      <c r="F2039" t="s">
        <v>14</v>
      </c>
      <c r="G2039">
        <v>24000000</v>
      </c>
      <c r="H2039">
        <v>6.9</v>
      </c>
      <c r="I2039" t="s">
        <v>15</v>
      </c>
      <c r="J2039" t="s">
        <v>31</v>
      </c>
      <c r="K2039" t="s">
        <v>19</v>
      </c>
    </row>
    <row r="2040" spans="1:12" x14ac:dyDescent="0.25">
      <c r="A2040" t="s">
        <v>223</v>
      </c>
      <c r="B2040">
        <v>106</v>
      </c>
      <c r="C2040">
        <v>32645546</v>
      </c>
      <c r="D2040" t="s">
        <v>3361</v>
      </c>
      <c r="E2040" t="s">
        <v>13</v>
      </c>
      <c r="F2040" t="s">
        <v>14</v>
      </c>
      <c r="G2040">
        <v>14000000</v>
      </c>
      <c r="H2040">
        <v>6.4</v>
      </c>
      <c r="I2040" t="s">
        <v>15</v>
      </c>
      <c r="J2040" t="s">
        <v>31</v>
      </c>
      <c r="K2040" t="s">
        <v>16</v>
      </c>
    </row>
    <row r="2041" spans="1:12" x14ac:dyDescent="0.25">
      <c r="A2041" t="s">
        <v>348</v>
      </c>
      <c r="B2041">
        <v>116</v>
      </c>
      <c r="C2041">
        <v>32616869</v>
      </c>
      <c r="D2041" t="s">
        <v>3362</v>
      </c>
      <c r="E2041" t="s">
        <v>13</v>
      </c>
      <c r="F2041" t="s">
        <v>14</v>
      </c>
      <c r="G2041">
        <v>72000000</v>
      </c>
      <c r="H2041">
        <v>4.5</v>
      </c>
      <c r="I2041" t="s">
        <v>34</v>
      </c>
      <c r="J2041" t="s">
        <v>31</v>
      </c>
      <c r="K2041" t="s">
        <v>41</v>
      </c>
    </row>
    <row r="2042" spans="1:12" x14ac:dyDescent="0.25">
      <c r="A2042" t="s">
        <v>1821</v>
      </c>
      <c r="B2042">
        <v>97</v>
      </c>
      <c r="C2042">
        <v>32600000</v>
      </c>
      <c r="D2042" t="s">
        <v>3363</v>
      </c>
      <c r="E2042" t="s">
        <v>13</v>
      </c>
      <c r="F2042" t="s">
        <v>14</v>
      </c>
      <c r="G2042">
        <v>1800000</v>
      </c>
      <c r="H2042">
        <v>5.9</v>
      </c>
      <c r="I2042" t="s">
        <v>22</v>
      </c>
      <c r="J2042" t="s">
        <v>24</v>
      </c>
    </row>
    <row r="2043" spans="1:12" x14ac:dyDescent="0.25">
      <c r="A2043" t="s">
        <v>525</v>
      </c>
      <c r="B2043">
        <v>135</v>
      </c>
      <c r="C2043">
        <v>32598931</v>
      </c>
      <c r="D2043" t="s">
        <v>3364</v>
      </c>
      <c r="E2043" t="s">
        <v>13</v>
      </c>
      <c r="F2043" t="s">
        <v>14</v>
      </c>
      <c r="G2043">
        <v>65000000</v>
      </c>
      <c r="H2043">
        <v>6.2</v>
      </c>
      <c r="I2043" t="s">
        <v>34</v>
      </c>
      <c r="J2043" t="s">
        <v>31</v>
      </c>
      <c r="K2043" t="s">
        <v>24</v>
      </c>
    </row>
    <row r="2044" spans="1:12" x14ac:dyDescent="0.25">
      <c r="A2044" t="s">
        <v>3365</v>
      </c>
      <c r="B2044">
        <v>90</v>
      </c>
      <c r="C2044">
        <v>32553210</v>
      </c>
      <c r="D2044" t="s">
        <v>3366</v>
      </c>
      <c r="E2044" t="s">
        <v>13</v>
      </c>
      <c r="F2044" t="s">
        <v>82</v>
      </c>
      <c r="G2044">
        <v>25000000</v>
      </c>
      <c r="H2044">
        <v>6.3</v>
      </c>
      <c r="I2044" t="s">
        <v>15</v>
      </c>
      <c r="J2044" t="s">
        <v>16</v>
      </c>
    </row>
    <row r="2045" spans="1:12" x14ac:dyDescent="0.25">
      <c r="A2045" t="s">
        <v>1840</v>
      </c>
      <c r="B2045">
        <v>112</v>
      </c>
      <c r="C2045">
        <v>32541719</v>
      </c>
      <c r="D2045" t="s">
        <v>3367</v>
      </c>
      <c r="E2045" t="s">
        <v>13</v>
      </c>
      <c r="F2045" t="s">
        <v>82</v>
      </c>
      <c r="G2045">
        <v>3500159</v>
      </c>
      <c r="H2045">
        <v>6.7</v>
      </c>
      <c r="I2045" t="s">
        <v>15</v>
      </c>
      <c r="J2045" t="s">
        <v>31</v>
      </c>
      <c r="K2045" t="s">
        <v>19</v>
      </c>
      <c r="L2045" t="s">
        <v>41</v>
      </c>
    </row>
    <row r="2046" spans="1:12" x14ac:dyDescent="0.25">
      <c r="A2046" t="s">
        <v>164</v>
      </c>
      <c r="B2046">
        <v>152</v>
      </c>
      <c r="C2046">
        <v>32522352</v>
      </c>
      <c r="D2046" t="s">
        <v>3368</v>
      </c>
      <c r="E2046" t="s">
        <v>13</v>
      </c>
      <c r="F2046" t="s">
        <v>14</v>
      </c>
      <c r="G2046">
        <v>60000000</v>
      </c>
      <c r="H2046">
        <v>7.9</v>
      </c>
      <c r="I2046" t="s">
        <v>28</v>
      </c>
      <c r="J2046" t="s">
        <v>15</v>
      </c>
      <c r="K2046" t="s">
        <v>31</v>
      </c>
      <c r="L2046" t="s">
        <v>18</v>
      </c>
    </row>
    <row r="2047" spans="1:12" x14ac:dyDescent="0.25">
      <c r="A2047" t="s">
        <v>1639</v>
      </c>
      <c r="B2047">
        <v>150</v>
      </c>
      <c r="C2047">
        <v>32519322</v>
      </c>
      <c r="D2047" t="s">
        <v>3369</v>
      </c>
      <c r="E2047" t="s">
        <v>13</v>
      </c>
      <c r="F2047" t="s">
        <v>295</v>
      </c>
      <c r="G2047">
        <v>35000000</v>
      </c>
      <c r="H2047">
        <v>8.5</v>
      </c>
      <c r="I2047" t="s">
        <v>42</v>
      </c>
      <c r="J2047" t="s">
        <v>31</v>
      </c>
      <c r="K2047" t="s">
        <v>83</v>
      </c>
    </row>
    <row r="2048" spans="1:12" x14ac:dyDescent="0.25">
      <c r="A2048" t="s">
        <v>3370</v>
      </c>
      <c r="B2048">
        <v>101</v>
      </c>
      <c r="C2048">
        <v>32453345</v>
      </c>
      <c r="D2048" t="s">
        <v>3371</v>
      </c>
      <c r="E2048" t="s">
        <v>13</v>
      </c>
      <c r="F2048" t="s">
        <v>14</v>
      </c>
      <c r="G2048">
        <v>5000000</v>
      </c>
      <c r="H2048">
        <v>5</v>
      </c>
      <c r="I2048" t="s">
        <v>17</v>
      </c>
      <c r="J2048" t="s">
        <v>22</v>
      </c>
      <c r="K2048" t="s">
        <v>24</v>
      </c>
    </row>
    <row r="2049" spans="1:14" x14ac:dyDescent="0.25">
      <c r="A2049" t="s">
        <v>3372</v>
      </c>
      <c r="B2049">
        <v>94</v>
      </c>
      <c r="C2049">
        <v>32416109</v>
      </c>
      <c r="D2049" t="s">
        <v>3373</v>
      </c>
      <c r="E2049" t="s">
        <v>13</v>
      </c>
      <c r="F2049" t="s">
        <v>14</v>
      </c>
      <c r="G2049">
        <v>25000000</v>
      </c>
      <c r="H2049">
        <v>6.2</v>
      </c>
      <c r="I2049" t="s">
        <v>15</v>
      </c>
      <c r="J2049" t="s">
        <v>83</v>
      </c>
    </row>
    <row r="2050" spans="1:14" x14ac:dyDescent="0.25">
      <c r="A2050" t="s">
        <v>3374</v>
      </c>
      <c r="B2050">
        <v>95</v>
      </c>
      <c r="C2050">
        <v>32391374</v>
      </c>
      <c r="D2050" t="s">
        <v>3375</v>
      </c>
      <c r="E2050" t="s">
        <v>13</v>
      </c>
      <c r="F2050" t="s">
        <v>14</v>
      </c>
      <c r="G2050">
        <v>7500000</v>
      </c>
      <c r="H2050">
        <v>7.7</v>
      </c>
      <c r="I2050" t="s">
        <v>15</v>
      </c>
      <c r="J2050" t="s">
        <v>31</v>
      </c>
      <c r="K2050" t="s">
        <v>19</v>
      </c>
    </row>
    <row r="2051" spans="1:14" x14ac:dyDescent="0.25">
      <c r="A2051" t="s">
        <v>393</v>
      </c>
      <c r="B2051">
        <v>89</v>
      </c>
      <c r="C2051">
        <v>32368960</v>
      </c>
      <c r="D2051" t="s">
        <v>3376</v>
      </c>
      <c r="E2051" t="s">
        <v>13</v>
      </c>
      <c r="F2051" t="s">
        <v>98</v>
      </c>
      <c r="G2051">
        <v>25000000</v>
      </c>
      <c r="H2051">
        <v>5.3</v>
      </c>
      <c r="I2051" t="s">
        <v>15</v>
      </c>
      <c r="J2051" t="s">
        <v>17</v>
      </c>
      <c r="K2051" t="s">
        <v>22</v>
      </c>
      <c r="L2051" t="s">
        <v>19</v>
      </c>
    </row>
    <row r="2052" spans="1:14" x14ac:dyDescent="0.25">
      <c r="A2052" t="s">
        <v>692</v>
      </c>
      <c r="B2052">
        <v>112</v>
      </c>
      <c r="C2052">
        <v>32357532</v>
      </c>
      <c r="D2052" t="s">
        <v>3377</v>
      </c>
      <c r="E2052" t="s">
        <v>13</v>
      </c>
      <c r="F2052" t="s">
        <v>14</v>
      </c>
      <c r="G2052">
        <v>30000000</v>
      </c>
      <c r="H2052">
        <v>6.7</v>
      </c>
      <c r="I2052" t="s">
        <v>15</v>
      </c>
      <c r="J2052" t="s">
        <v>31</v>
      </c>
      <c r="K2052" t="s">
        <v>19</v>
      </c>
    </row>
    <row r="2053" spans="1:14" x14ac:dyDescent="0.25">
      <c r="A2053" t="s">
        <v>3378</v>
      </c>
      <c r="B2053">
        <v>89</v>
      </c>
      <c r="C2053">
        <v>32333860</v>
      </c>
      <c r="D2053" t="s">
        <v>3379</v>
      </c>
      <c r="E2053" t="s">
        <v>1946</v>
      </c>
      <c r="F2053" t="s">
        <v>1007</v>
      </c>
      <c r="G2053">
        <v>7500000</v>
      </c>
      <c r="H2053">
        <v>6.7</v>
      </c>
      <c r="I2053" t="s">
        <v>34</v>
      </c>
      <c r="J2053" t="s">
        <v>15</v>
      </c>
    </row>
    <row r="2054" spans="1:14" x14ac:dyDescent="0.25">
      <c r="A2054" t="s">
        <v>3380</v>
      </c>
      <c r="B2054">
        <v>117</v>
      </c>
      <c r="C2054">
        <v>32279955</v>
      </c>
      <c r="D2054" t="s">
        <v>3381</v>
      </c>
      <c r="E2054" t="s">
        <v>13</v>
      </c>
      <c r="F2054" t="s">
        <v>14</v>
      </c>
      <c r="G2054">
        <v>8500000</v>
      </c>
      <c r="H2054">
        <v>7.9</v>
      </c>
      <c r="I2054" t="s">
        <v>38</v>
      </c>
      <c r="J2054" t="s">
        <v>31</v>
      </c>
      <c r="K2054" t="s">
        <v>24</v>
      </c>
    </row>
    <row r="2055" spans="1:14" x14ac:dyDescent="0.25">
      <c r="A2055" t="s">
        <v>3382</v>
      </c>
      <c r="B2055">
        <v>75</v>
      </c>
      <c r="C2055">
        <v>32230907</v>
      </c>
      <c r="D2055" t="s">
        <v>3383</v>
      </c>
      <c r="E2055" t="s">
        <v>13</v>
      </c>
      <c r="F2055" t="s">
        <v>14</v>
      </c>
      <c r="G2055">
        <v>2500000</v>
      </c>
      <c r="H2055">
        <v>6.7</v>
      </c>
      <c r="I2055" t="s">
        <v>15</v>
      </c>
      <c r="J2055" t="s">
        <v>52</v>
      </c>
    </row>
    <row r="2056" spans="1:14" x14ac:dyDescent="0.25">
      <c r="A2056" t="s">
        <v>50</v>
      </c>
      <c r="B2056">
        <v>97</v>
      </c>
      <c r="C2056">
        <v>32222567</v>
      </c>
      <c r="D2056" t="s">
        <v>3384</v>
      </c>
      <c r="E2056" t="s">
        <v>13</v>
      </c>
      <c r="F2056" t="s">
        <v>14</v>
      </c>
      <c r="G2056">
        <v>39751583.5</v>
      </c>
      <c r="H2056">
        <v>7.2</v>
      </c>
      <c r="I2056" t="s">
        <v>15</v>
      </c>
      <c r="J2056" t="s">
        <v>17</v>
      </c>
      <c r="K2056" t="s">
        <v>22</v>
      </c>
    </row>
    <row r="2057" spans="1:14" x14ac:dyDescent="0.25">
      <c r="A2057" t="s">
        <v>3385</v>
      </c>
      <c r="B2057">
        <v>87</v>
      </c>
      <c r="C2057">
        <v>32178777</v>
      </c>
      <c r="D2057" t="s">
        <v>3386</v>
      </c>
      <c r="E2057" t="s">
        <v>13</v>
      </c>
      <c r="F2057" t="s">
        <v>14</v>
      </c>
      <c r="G2057">
        <v>62000000</v>
      </c>
      <c r="H2057">
        <v>3.8</v>
      </c>
      <c r="I2057" t="s">
        <v>15</v>
      </c>
      <c r="J2057" t="s">
        <v>19</v>
      </c>
      <c r="K2057" t="s">
        <v>41</v>
      </c>
    </row>
    <row r="2058" spans="1:14" x14ac:dyDescent="0.25">
      <c r="A2058" t="s">
        <v>505</v>
      </c>
      <c r="B2058">
        <v>106</v>
      </c>
      <c r="C2058">
        <v>32154410</v>
      </c>
      <c r="D2058" t="s">
        <v>3387</v>
      </c>
      <c r="E2058" t="s">
        <v>13</v>
      </c>
      <c r="F2058" t="s">
        <v>14</v>
      </c>
      <c r="G2058">
        <v>30000000</v>
      </c>
      <c r="H2058">
        <v>7.1</v>
      </c>
      <c r="I2058" t="s">
        <v>38</v>
      </c>
      <c r="J2058" t="s">
        <v>31</v>
      </c>
      <c r="K2058" t="s">
        <v>24</v>
      </c>
    </row>
    <row r="2059" spans="1:14" x14ac:dyDescent="0.25">
      <c r="A2059" t="s">
        <v>505</v>
      </c>
      <c r="B2059">
        <v>106</v>
      </c>
      <c r="C2059">
        <v>32154410</v>
      </c>
      <c r="D2059" t="s">
        <v>3387</v>
      </c>
      <c r="E2059" t="s">
        <v>13</v>
      </c>
      <c r="F2059" t="s">
        <v>14</v>
      </c>
      <c r="G2059">
        <v>30000000</v>
      </c>
      <c r="H2059">
        <v>7.1</v>
      </c>
      <c r="I2059" t="s">
        <v>38</v>
      </c>
      <c r="J2059" t="s">
        <v>31</v>
      </c>
      <c r="K2059" t="s">
        <v>24</v>
      </c>
    </row>
    <row r="2060" spans="1:14" x14ac:dyDescent="0.25">
      <c r="A2060" t="s">
        <v>357</v>
      </c>
      <c r="B2060">
        <v>96</v>
      </c>
      <c r="C2060">
        <v>32131483</v>
      </c>
      <c r="D2060" t="s">
        <v>3388</v>
      </c>
      <c r="E2060" t="s">
        <v>13</v>
      </c>
      <c r="F2060" t="s">
        <v>14</v>
      </c>
      <c r="G2060">
        <v>11000000</v>
      </c>
      <c r="H2060">
        <v>4.9000000000000004</v>
      </c>
      <c r="I2060" t="s">
        <v>22</v>
      </c>
      <c r="J2060" t="s">
        <v>23</v>
      </c>
      <c r="K2060" t="s">
        <v>24</v>
      </c>
    </row>
    <row r="2061" spans="1:14" x14ac:dyDescent="0.25">
      <c r="A2061" t="s">
        <v>84</v>
      </c>
      <c r="B2061">
        <v>96</v>
      </c>
      <c r="C2061">
        <v>32122249</v>
      </c>
      <c r="D2061" t="s">
        <v>3389</v>
      </c>
      <c r="E2061" t="s">
        <v>13</v>
      </c>
      <c r="F2061" t="s">
        <v>14</v>
      </c>
      <c r="G2061">
        <v>60000000</v>
      </c>
      <c r="H2061">
        <v>5.9</v>
      </c>
      <c r="I2061" t="s">
        <v>15</v>
      </c>
      <c r="J2061" t="s">
        <v>38</v>
      </c>
    </row>
    <row r="2062" spans="1:14" x14ac:dyDescent="0.25">
      <c r="A2062" t="s">
        <v>3390</v>
      </c>
      <c r="B2062">
        <v>140</v>
      </c>
      <c r="C2062">
        <v>32101000</v>
      </c>
      <c r="D2062" t="s">
        <v>3391</v>
      </c>
      <c r="E2062" t="s">
        <v>13</v>
      </c>
      <c r="F2062" t="s">
        <v>82</v>
      </c>
      <c r="G2062">
        <v>10000000</v>
      </c>
      <c r="H2062">
        <v>5.4</v>
      </c>
      <c r="I2062" t="s">
        <v>22</v>
      </c>
      <c r="J2062" t="s">
        <v>37</v>
      </c>
    </row>
    <row r="2063" spans="1:14" x14ac:dyDescent="0.25">
      <c r="A2063" t="s">
        <v>103</v>
      </c>
      <c r="B2063">
        <v>94</v>
      </c>
      <c r="C2063">
        <v>32095318</v>
      </c>
      <c r="D2063" t="s">
        <v>3392</v>
      </c>
      <c r="E2063" t="s">
        <v>13</v>
      </c>
      <c r="F2063" t="s">
        <v>14</v>
      </c>
      <c r="G2063">
        <v>45000000</v>
      </c>
      <c r="H2063">
        <v>5.5</v>
      </c>
      <c r="I2063" t="s">
        <v>15</v>
      </c>
      <c r="J2063" t="s">
        <v>38</v>
      </c>
    </row>
    <row r="2064" spans="1:14" x14ac:dyDescent="0.25">
      <c r="A2064" t="s">
        <v>1139</v>
      </c>
      <c r="B2064">
        <v>93</v>
      </c>
      <c r="C2064">
        <v>32055248</v>
      </c>
      <c r="D2064" t="s">
        <v>3393</v>
      </c>
      <c r="E2064" t="s">
        <v>13</v>
      </c>
      <c r="F2064" t="s">
        <v>14</v>
      </c>
      <c r="G2064">
        <v>25000000</v>
      </c>
      <c r="H2064">
        <v>6</v>
      </c>
      <c r="I2064" t="s">
        <v>34</v>
      </c>
      <c r="J2064" t="s">
        <v>28</v>
      </c>
      <c r="K2064" t="s">
        <v>38</v>
      </c>
      <c r="L2064" t="s">
        <v>17</v>
      </c>
      <c r="M2064" t="s">
        <v>23</v>
      </c>
      <c r="N2064" t="s">
        <v>24</v>
      </c>
    </row>
    <row r="2065" spans="1:12" x14ac:dyDescent="0.25">
      <c r="A2065" t="s">
        <v>307</v>
      </c>
      <c r="B2065">
        <v>123</v>
      </c>
      <c r="C2065">
        <v>32051917</v>
      </c>
      <c r="D2065" t="s">
        <v>3394</v>
      </c>
      <c r="E2065" t="s">
        <v>13</v>
      </c>
      <c r="F2065" t="s">
        <v>14</v>
      </c>
      <c r="G2065">
        <v>20000000</v>
      </c>
      <c r="H2065">
        <v>6.6</v>
      </c>
      <c r="I2065" t="s">
        <v>38</v>
      </c>
      <c r="J2065" t="s">
        <v>31</v>
      </c>
      <c r="K2065" t="s">
        <v>23</v>
      </c>
      <c r="L2065" t="s">
        <v>24</v>
      </c>
    </row>
    <row r="2066" spans="1:12" x14ac:dyDescent="0.25">
      <c r="A2066" t="s">
        <v>254</v>
      </c>
      <c r="B2066">
        <v>108</v>
      </c>
      <c r="C2066">
        <v>32048809</v>
      </c>
      <c r="D2066" t="s">
        <v>3395</v>
      </c>
      <c r="E2066" t="s">
        <v>13</v>
      </c>
      <c r="F2066" t="s">
        <v>45</v>
      </c>
      <c r="G2066">
        <v>30000000</v>
      </c>
      <c r="H2066">
        <v>5.3</v>
      </c>
      <c r="I2066" t="s">
        <v>22</v>
      </c>
    </row>
    <row r="2067" spans="1:12" x14ac:dyDescent="0.25">
      <c r="A2067" t="s">
        <v>254</v>
      </c>
      <c r="B2067">
        <v>108</v>
      </c>
      <c r="C2067">
        <v>32048809</v>
      </c>
      <c r="D2067" t="s">
        <v>3395</v>
      </c>
      <c r="E2067" t="s">
        <v>13</v>
      </c>
      <c r="F2067" t="s">
        <v>45</v>
      </c>
      <c r="G2067">
        <v>30000000</v>
      </c>
      <c r="H2067">
        <v>5.3</v>
      </c>
      <c r="I2067" t="s">
        <v>22</v>
      </c>
    </row>
    <row r="2068" spans="1:12" x14ac:dyDescent="0.25">
      <c r="A2068" t="s">
        <v>611</v>
      </c>
      <c r="B2068">
        <v>88</v>
      </c>
      <c r="C2068">
        <v>32014289</v>
      </c>
      <c r="D2068" t="s">
        <v>3396</v>
      </c>
      <c r="E2068" t="s">
        <v>13</v>
      </c>
      <c r="F2068" t="s">
        <v>14</v>
      </c>
      <c r="G2068">
        <v>20000000</v>
      </c>
      <c r="H2068">
        <v>3.5</v>
      </c>
      <c r="I2068" t="s">
        <v>15</v>
      </c>
    </row>
    <row r="2069" spans="1:12" x14ac:dyDescent="0.25">
      <c r="A2069" t="s">
        <v>698</v>
      </c>
      <c r="B2069">
        <v>94</v>
      </c>
      <c r="C2069">
        <v>32003620</v>
      </c>
      <c r="D2069" t="s">
        <v>3397</v>
      </c>
      <c r="E2069" t="s">
        <v>13</v>
      </c>
      <c r="F2069" t="s">
        <v>14</v>
      </c>
      <c r="G2069">
        <v>25000000</v>
      </c>
      <c r="H2069">
        <v>6.5</v>
      </c>
      <c r="I2069" t="s">
        <v>34</v>
      </c>
      <c r="J2069" t="s">
        <v>38</v>
      </c>
      <c r="K2069" t="s">
        <v>24</v>
      </c>
    </row>
    <row r="2070" spans="1:12" x14ac:dyDescent="0.25">
      <c r="A2070" t="s">
        <v>452</v>
      </c>
      <c r="B2070">
        <v>139</v>
      </c>
      <c r="C2070">
        <v>32000000</v>
      </c>
      <c r="D2070" t="s">
        <v>3398</v>
      </c>
      <c r="E2070" t="s">
        <v>13</v>
      </c>
      <c r="F2070" t="s">
        <v>14</v>
      </c>
      <c r="G2070">
        <v>30000000</v>
      </c>
      <c r="H2070">
        <v>7.2</v>
      </c>
      <c r="I2070" t="s">
        <v>31</v>
      </c>
      <c r="J2070" t="s">
        <v>19</v>
      </c>
    </row>
    <row r="2071" spans="1:12" x14ac:dyDescent="0.25">
      <c r="A2071" t="s">
        <v>1972</v>
      </c>
      <c r="B2071">
        <v>108</v>
      </c>
      <c r="C2071">
        <v>32000000</v>
      </c>
      <c r="D2071" t="s">
        <v>3399</v>
      </c>
      <c r="E2071" t="s">
        <v>13</v>
      </c>
      <c r="F2071" t="s">
        <v>14</v>
      </c>
      <c r="G2071">
        <v>806947</v>
      </c>
      <c r="H2071">
        <v>8.5</v>
      </c>
      <c r="I2071" t="s">
        <v>22</v>
      </c>
      <c r="J2071" t="s">
        <v>23</v>
      </c>
      <c r="K2071" t="s">
        <v>24</v>
      </c>
    </row>
    <row r="2072" spans="1:12" x14ac:dyDescent="0.25">
      <c r="A2072" t="s">
        <v>3400</v>
      </c>
      <c r="B2072">
        <v>109</v>
      </c>
      <c r="C2072">
        <v>31990064</v>
      </c>
      <c r="D2072" t="s">
        <v>3401</v>
      </c>
      <c r="E2072" t="s">
        <v>13</v>
      </c>
      <c r="F2072" t="s">
        <v>14</v>
      </c>
      <c r="G2072">
        <v>12000000</v>
      </c>
      <c r="H2072">
        <v>6.4</v>
      </c>
      <c r="I2072" t="s">
        <v>31</v>
      </c>
      <c r="J2072" t="s">
        <v>23</v>
      </c>
      <c r="K2072" t="s">
        <v>19</v>
      </c>
    </row>
    <row r="2073" spans="1:12" x14ac:dyDescent="0.25">
      <c r="A2073" t="s">
        <v>3402</v>
      </c>
      <c r="B2073">
        <v>112</v>
      </c>
      <c r="C2073">
        <v>31973840</v>
      </c>
      <c r="D2073" t="s">
        <v>3403</v>
      </c>
      <c r="E2073" t="s">
        <v>13</v>
      </c>
      <c r="F2073" t="s">
        <v>241</v>
      </c>
      <c r="G2073">
        <v>39751583.5</v>
      </c>
      <c r="H2073">
        <v>7.2</v>
      </c>
      <c r="I2073" t="s">
        <v>15</v>
      </c>
      <c r="J2073" t="s">
        <v>31</v>
      </c>
      <c r="K2073" t="s">
        <v>19</v>
      </c>
    </row>
    <row r="2074" spans="1:12" x14ac:dyDescent="0.25">
      <c r="A2074" t="s">
        <v>3404</v>
      </c>
      <c r="B2074">
        <v>111</v>
      </c>
      <c r="C2074">
        <v>31968347</v>
      </c>
      <c r="D2074" t="s">
        <v>3405</v>
      </c>
      <c r="E2074" t="s">
        <v>13</v>
      </c>
      <c r="F2074" t="s">
        <v>14</v>
      </c>
      <c r="G2074">
        <v>3600000</v>
      </c>
      <c r="H2074">
        <v>7.6</v>
      </c>
      <c r="I2074" t="s">
        <v>31</v>
      </c>
      <c r="J2074" t="s">
        <v>19</v>
      </c>
    </row>
    <row r="2075" spans="1:12" x14ac:dyDescent="0.25">
      <c r="A2075" t="s">
        <v>490</v>
      </c>
      <c r="B2075">
        <v>104</v>
      </c>
      <c r="C2075">
        <v>31899000</v>
      </c>
      <c r="D2075" t="s">
        <v>3406</v>
      </c>
      <c r="E2075" t="s">
        <v>13</v>
      </c>
      <c r="F2075" t="s">
        <v>14</v>
      </c>
      <c r="G2075">
        <v>6500000</v>
      </c>
      <c r="H2075">
        <v>7.1</v>
      </c>
      <c r="I2075" t="s">
        <v>23</v>
      </c>
      <c r="J2075" t="s">
        <v>19</v>
      </c>
      <c r="K2075" t="s">
        <v>24</v>
      </c>
    </row>
    <row r="2076" spans="1:12" x14ac:dyDescent="0.25">
      <c r="A2076" t="s">
        <v>3407</v>
      </c>
      <c r="B2076">
        <v>115</v>
      </c>
      <c r="C2076">
        <v>31874869</v>
      </c>
      <c r="D2076" t="s">
        <v>3408</v>
      </c>
      <c r="E2076" t="s">
        <v>13</v>
      </c>
      <c r="F2076" t="s">
        <v>14</v>
      </c>
      <c r="G2076">
        <v>50000000</v>
      </c>
      <c r="H2076">
        <v>6.1</v>
      </c>
      <c r="I2076" t="s">
        <v>38</v>
      </c>
      <c r="J2076" t="s">
        <v>23</v>
      </c>
      <c r="K2076" t="s">
        <v>24</v>
      </c>
    </row>
    <row r="2077" spans="1:12" x14ac:dyDescent="0.25">
      <c r="A2077" t="s">
        <v>3407</v>
      </c>
      <c r="B2077">
        <v>115</v>
      </c>
      <c r="C2077">
        <v>31874869</v>
      </c>
      <c r="D2077" t="s">
        <v>3408</v>
      </c>
      <c r="E2077" t="s">
        <v>13</v>
      </c>
      <c r="F2077" t="s">
        <v>14</v>
      </c>
      <c r="G2077">
        <v>50000000</v>
      </c>
      <c r="H2077">
        <v>6.1</v>
      </c>
      <c r="I2077" t="s">
        <v>38</v>
      </c>
      <c r="J2077" t="s">
        <v>23</v>
      </c>
      <c r="K2077" t="s">
        <v>24</v>
      </c>
    </row>
    <row r="2078" spans="1:12" x14ac:dyDescent="0.25">
      <c r="A2078" t="s">
        <v>1080</v>
      </c>
      <c r="B2078">
        <v>128</v>
      </c>
      <c r="C2078">
        <v>31838002</v>
      </c>
      <c r="D2078" t="s">
        <v>3409</v>
      </c>
      <c r="E2078" t="s">
        <v>13</v>
      </c>
      <c r="F2078" t="s">
        <v>14</v>
      </c>
      <c r="G2078">
        <v>20000000</v>
      </c>
      <c r="H2078">
        <v>7.6</v>
      </c>
      <c r="I2078" t="s">
        <v>42</v>
      </c>
      <c r="J2078" t="s">
        <v>31</v>
      </c>
      <c r="K2078" t="s">
        <v>64</v>
      </c>
    </row>
    <row r="2079" spans="1:12" x14ac:dyDescent="0.25">
      <c r="A2079" t="s">
        <v>2965</v>
      </c>
      <c r="B2079">
        <v>129</v>
      </c>
      <c r="C2079">
        <v>31836745</v>
      </c>
      <c r="D2079" t="s">
        <v>3410</v>
      </c>
      <c r="E2079" t="s">
        <v>13</v>
      </c>
      <c r="F2079" t="s">
        <v>14</v>
      </c>
      <c r="G2079">
        <v>40000000</v>
      </c>
      <c r="H2079">
        <v>6.9</v>
      </c>
      <c r="I2079" t="s">
        <v>28</v>
      </c>
      <c r="J2079" t="s">
        <v>31</v>
      </c>
      <c r="K2079" t="s">
        <v>23</v>
      </c>
    </row>
    <row r="2080" spans="1:12" x14ac:dyDescent="0.25">
      <c r="A2080" t="s">
        <v>3192</v>
      </c>
      <c r="B2080">
        <v>82</v>
      </c>
      <c r="C2080">
        <v>31768374</v>
      </c>
      <c r="D2080" t="s">
        <v>3411</v>
      </c>
      <c r="E2080" t="s">
        <v>13</v>
      </c>
      <c r="F2080" t="s">
        <v>14</v>
      </c>
      <c r="G2080">
        <v>27000000</v>
      </c>
      <c r="H2080">
        <v>5.6</v>
      </c>
      <c r="I2080" t="s">
        <v>34</v>
      </c>
      <c r="J2080" t="s">
        <v>15</v>
      </c>
      <c r="K2080" t="s">
        <v>22</v>
      </c>
    </row>
    <row r="2081" spans="1:15" x14ac:dyDescent="0.25">
      <c r="A2081" t="s">
        <v>3412</v>
      </c>
      <c r="B2081">
        <v>79</v>
      </c>
      <c r="C2081">
        <v>31743332</v>
      </c>
      <c r="D2081" t="s">
        <v>3413</v>
      </c>
      <c r="E2081" t="s">
        <v>13</v>
      </c>
      <c r="F2081" t="s">
        <v>14</v>
      </c>
      <c r="G2081">
        <v>30000000</v>
      </c>
      <c r="H2081">
        <v>7.1</v>
      </c>
      <c r="I2081" t="s">
        <v>34</v>
      </c>
      <c r="J2081" t="s">
        <v>28</v>
      </c>
      <c r="K2081" t="s">
        <v>46</v>
      </c>
      <c r="L2081" t="s">
        <v>31</v>
      </c>
      <c r="M2081" t="s">
        <v>23</v>
      </c>
      <c r="N2081" t="s">
        <v>37</v>
      </c>
      <c r="O2081" t="s">
        <v>24</v>
      </c>
    </row>
    <row r="2082" spans="1:15" x14ac:dyDescent="0.25">
      <c r="A2082" t="s">
        <v>3312</v>
      </c>
      <c r="B2082">
        <v>89</v>
      </c>
      <c r="C2082">
        <v>31691811</v>
      </c>
      <c r="D2082" t="s">
        <v>3414</v>
      </c>
      <c r="E2082" t="s">
        <v>13</v>
      </c>
      <c r="F2082" t="s">
        <v>14</v>
      </c>
      <c r="G2082">
        <v>12000000</v>
      </c>
      <c r="H2082">
        <v>6</v>
      </c>
      <c r="I2082" t="s">
        <v>22</v>
      </c>
      <c r="J2082" t="s">
        <v>37</v>
      </c>
      <c r="K2082" t="s">
        <v>24</v>
      </c>
    </row>
    <row r="2083" spans="1:15" x14ac:dyDescent="0.25">
      <c r="A2083" t="s">
        <v>1117</v>
      </c>
      <c r="B2083">
        <v>117</v>
      </c>
      <c r="C2083">
        <v>31670931</v>
      </c>
      <c r="D2083" t="s">
        <v>3415</v>
      </c>
      <c r="E2083" t="s">
        <v>13</v>
      </c>
      <c r="F2083" t="s">
        <v>82</v>
      </c>
      <c r="G2083">
        <v>60000000</v>
      </c>
      <c r="H2083">
        <v>6.7</v>
      </c>
      <c r="I2083" t="s">
        <v>42</v>
      </c>
      <c r="J2083" t="s">
        <v>31</v>
      </c>
      <c r="K2083" t="s">
        <v>18</v>
      </c>
    </row>
    <row r="2084" spans="1:15" x14ac:dyDescent="0.25">
      <c r="A2084" t="s">
        <v>3416</v>
      </c>
      <c r="B2084">
        <v>114</v>
      </c>
      <c r="C2084">
        <v>31655091</v>
      </c>
      <c r="D2084" t="s">
        <v>3417</v>
      </c>
      <c r="E2084" t="s">
        <v>13</v>
      </c>
      <c r="F2084" t="s">
        <v>14</v>
      </c>
      <c r="G2084">
        <v>30000000</v>
      </c>
      <c r="H2084">
        <v>7.5</v>
      </c>
      <c r="I2084" t="s">
        <v>31</v>
      </c>
      <c r="J2084" t="s">
        <v>18</v>
      </c>
    </row>
    <row r="2085" spans="1:15" x14ac:dyDescent="0.25">
      <c r="A2085" t="s">
        <v>3418</v>
      </c>
      <c r="B2085">
        <v>101</v>
      </c>
      <c r="C2085">
        <v>31607598</v>
      </c>
      <c r="D2085" t="s">
        <v>3419</v>
      </c>
      <c r="E2085" t="s">
        <v>13</v>
      </c>
      <c r="F2085" t="s">
        <v>98</v>
      </c>
      <c r="G2085">
        <v>6900000</v>
      </c>
      <c r="H2085">
        <v>5.6</v>
      </c>
      <c r="I2085" t="s">
        <v>31</v>
      </c>
      <c r="J2085" t="s">
        <v>22</v>
      </c>
      <c r="K2085" t="s">
        <v>24</v>
      </c>
    </row>
    <row r="2086" spans="1:15" x14ac:dyDescent="0.25">
      <c r="A2086" t="s">
        <v>979</v>
      </c>
      <c r="B2086">
        <v>139</v>
      </c>
      <c r="C2086">
        <v>31600000</v>
      </c>
      <c r="D2086" t="s">
        <v>3420</v>
      </c>
      <c r="E2086" t="s">
        <v>13</v>
      </c>
      <c r="F2086" t="s">
        <v>14</v>
      </c>
      <c r="G2086">
        <v>28000000</v>
      </c>
      <c r="H2086">
        <v>6.9</v>
      </c>
      <c r="I2086" t="s">
        <v>28</v>
      </c>
      <c r="J2086" t="s">
        <v>42</v>
      </c>
    </row>
    <row r="2087" spans="1:15" x14ac:dyDescent="0.25">
      <c r="A2087" t="s">
        <v>214</v>
      </c>
      <c r="B2087">
        <v>122</v>
      </c>
      <c r="C2087">
        <v>31598308</v>
      </c>
      <c r="D2087" t="s">
        <v>3421</v>
      </c>
      <c r="E2087" t="s">
        <v>13</v>
      </c>
      <c r="F2087" t="s">
        <v>14</v>
      </c>
      <c r="G2087">
        <v>35000000</v>
      </c>
      <c r="H2087">
        <v>6.8</v>
      </c>
      <c r="I2087" t="s">
        <v>22</v>
      </c>
      <c r="J2087" t="s">
        <v>23</v>
      </c>
      <c r="K2087" t="s">
        <v>24</v>
      </c>
    </row>
    <row r="2088" spans="1:15" x14ac:dyDescent="0.25">
      <c r="A2088" t="s">
        <v>3422</v>
      </c>
      <c r="B2088">
        <v>96</v>
      </c>
      <c r="C2088">
        <v>31597131</v>
      </c>
      <c r="D2088" t="s">
        <v>3423</v>
      </c>
      <c r="E2088" t="s">
        <v>13</v>
      </c>
      <c r="F2088" t="s">
        <v>14</v>
      </c>
      <c r="G2088">
        <v>12000000</v>
      </c>
      <c r="H2088">
        <v>6.8</v>
      </c>
      <c r="I2088" t="s">
        <v>31</v>
      </c>
      <c r="J2088" t="s">
        <v>24</v>
      </c>
    </row>
    <row r="2089" spans="1:15" x14ac:dyDescent="0.25">
      <c r="A2089" t="s">
        <v>3424</v>
      </c>
      <c r="B2089">
        <v>90</v>
      </c>
      <c r="C2089">
        <v>31585300</v>
      </c>
      <c r="D2089" t="s">
        <v>3425</v>
      </c>
      <c r="E2089" t="s">
        <v>13</v>
      </c>
      <c r="F2089" t="s">
        <v>14</v>
      </c>
      <c r="G2089">
        <v>15000000</v>
      </c>
      <c r="H2089">
        <v>6.1</v>
      </c>
      <c r="I2089" t="s">
        <v>15</v>
      </c>
      <c r="J2089" t="s">
        <v>19</v>
      </c>
    </row>
    <row r="2090" spans="1:15" x14ac:dyDescent="0.25">
      <c r="A2090" t="s">
        <v>3426</v>
      </c>
      <c r="B2090">
        <v>104</v>
      </c>
      <c r="C2090">
        <v>31584722</v>
      </c>
      <c r="D2090" t="s">
        <v>3427</v>
      </c>
      <c r="E2090" t="s">
        <v>13</v>
      </c>
      <c r="F2090" t="s">
        <v>14</v>
      </c>
      <c r="G2090">
        <v>20000000</v>
      </c>
      <c r="H2090">
        <v>6.4</v>
      </c>
      <c r="I2090" t="s">
        <v>15</v>
      </c>
      <c r="J2090" t="s">
        <v>19</v>
      </c>
    </row>
    <row r="2091" spans="1:15" x14ac:dyDescent="0.25">
      <c r="A2091" t="s">
        <v>3428</v>
      </c>
      <c r="B2091">
        <v>120</v>
      </c>
      <c r="C2091">
        <v>31569268</v>
      </c>
      <c r="D2091" t="s">
        <v>3429</v>
      </c>
      <c r="E2091" t="s">
        <v>13</v>
      </c>
      <c r="F2091" t="s">
        <v>14</v>
      </c>
      <c r="G2091">
        <v>49000000</v>
      </c>
      <c r="H2091">
        <v>6.9</v>
      </c>
      <c r="I2091" t="s">
        <v>34</v>
      </c>
      <c r="J2091" t="s">
        <v>38</v>
      </c>
      <c r="K2091" t="s">
        <v>31</v>
      </c>
      <c r="L2091" t="s">
        <v>37</v>
      </c>
      <c r="M2091" t="s">
        <v>24</v>
      </c>
    </row>
    <row r="2092" spans="1:15" x14ac:dyDescent="0.25">
      <c r="A2092" t="s">
        <v>3430</v>
      </c>
      <c r="B2092">
        <v>83</v>
      </c>
      <c r="C2092">
        <v>31537320</v>
      </c>
      <c r="D2092" t="s">
        <v>3431</v>
      </c>
      <c r="E2092" t="s">
        <v>13</v>
      </c>
      <c r="F2092" t="s">
        <v>14</v>
      </c>
      <c r="G2092">
        <v>1000000</v>
      </c>
      <c r="H2092">
        <v>5.7</v>
      </c>
      <c r="I2092" t="s">
        <v>22</v>
      </c>
      <c r="J2092" t="s">
        <v>23</v>
      </c>
      <c r="K2092" t="s">
        <v>24</v>
      </c>
    </row>
    <row r="2093" spans="1:15" x14ac:dyDescent="0.25">
      <c r="A2093" t="s">
        <v>3432</v>
      </c>
      <c r="B2093">
        <v>97</v>
      </c>
      <c r="C2093">
        <v>31526393</v>
      </c>
      <c r="D2093" t="s">
        <v>3433</v>
      </c>
      <c r="E2093" t="s">
        <v>13</v>
      </c>
      <c r="F2093" t="s">
        <v>14</v>
      </c>
      <c r="G2093">
        <v>25000000</v>
      </c>
      <c r="H2093">
        <v>4.5999999999999996</v>
      </c>
      <c r="I2093" t="s">
        <v>34</v>
      </c>
      <c r="J2093" t="s">
        <v>28</v>
      </c>
      <c r="K2093" t="s">
        <v>22</v>
      </c>
      <c r="L2093" t="s">
        <v>24</v>
      </c>
    </row>
    <row r="2094" spans="1:15" x14ac:dyDescent="0.25">
      <c r="A2094" t="s">
        <v>467</v>
      </c>
      <c r="B2094">
        <v>93</v>
      </c>
      <c r="C2094">
        <v>31501218</v>
      </c>
      <c r="D2094" t="s">
        <v>3434</v>
      </c>
      <c r="E2094" t="s">
        <v>13</v>
      </c>
      <c r="F2094" t="s">
        <v>14</v>
      </c>
      <c r="G2094">
        <v>7500000</v>
      </c>
      <c r="H2094">
        <v>7.5</v>
      </c>
      <c r="I2094" t="s">
        <v>42</v>
      </c>
      <c r="J2094" t="s">
        <v>31</v>
      </c>
      <c r="K2094" t="s">
        <v>64</v>
      </c>
    </row>
    <row r="2095" spans="1:15" x14ac:dyDescent="0.25">
      <c r="A2095" t="s">
        <v>3435</v>
      </c>
      <c r="B2095">
        <v>112</v>
      </c>
      <c r="C2095">
        <v>31494270</v>
      </c>
      <c r="D2095" t="s">
        <v>3436</v>
      </c>
      <c r="E2095" t="s">
        <v>13</v>
      </c>
      <c r="F2095" t="s">
        <v>14</v>
      </c>
      <c r="G2095">
        <v>60000000</v>
      </c>
      <c r="H2095">
        <v>7.5</v>
      </c>
      <c r="I2095" t="s">
        <v>34</v>
      </c>
      <c r="J2095" t="s">
        <v>15</v>
      </c>
      <c r="K2095" t="s">
        <v>17</v>
      </c>
      <c r="L2095" t="s">
        <v>19</v>
      </c>
    </row>
    <row r="2096" spans="1:15" x14ac:dyDescent="0.25">
      <c r="A2096" t="s">
        <v>1819</v>
      </c>
      <c r="B2096">
        <v>96</v>
      </c>
      <c r="C2096">
        <v>31493782</v>
      </c>
      <c r="D2096" t="s">
        <v>3437</v>
      </c>
      <c r="E2096" t="s">
        <v>13</v>
      </c>
      <c r="F2096" t="s">
        <v>14</v>
      </c>
      <c r="G2096">
        <v>32000000</v>
      </c>
      <c r="H2096">
        <v>7.5</v>
      </c>
      <c r="I2096" t="s">
        <v>38</v>
      </c>
      <c r="J2096" t="s">
        <v>31</v>
      </c>
      <c r="K2096" t="s">
        <v>24</v>
      </c>
    </row>
    <row r="2097" spans="1:12" x14ac:dyDescent="0.25">
      <c r="A2097" t="s">
        <v>3438</v>
      </c>
      <c r="B2097">
        <v>90</v>
      </c>
      <c r="C2097">
        <v>31487293</v>
      </c>
      <c r="D2097" t="s">
        <v>3439</v>
      </c>
      <c r="E2097" t="s">
        <v>13</v>
      </c>
      <c r="F2097" t="s">
        <v>14</v>
      </c>
      <c r="G2097">
        <v>9000000</v>
      </c>
      <c r="H2097">
        <v>6.7</v>
      </c>
      <c r="I2097" t="s">
        <v>15</v>
      </c>
      <c r="J2097" t="s">
        <v>31</v>
      </c>
      <c r="K2097" t="s">
        <v>18</v>
      </c>
      <c r="L2097" t="s">
        <v>19</v>
      </c>
    </row>
    <row r="2098" spans="1:12" x14ac:dyDescent="0.25">
      <c r="A2098" t="s">
        <v>73</v>
      </c>
      <c r="B2098">
        <v>111</v>
      </c>
      <c r="C2098">
        <v>31471430</v>
      </c>
      <c r="D2098" t="s">
        <v>3440</v>
      </c>
      <c r="E2098" t="s">
        <v>13</v>
      </c>
      <c r="F2098" t="s">
        <v>14</v>
      </c>
      <c r="G2098">
        <v>15000000</v>
      </c>
      <c r="H2098">
        <v>7.6</v>
      </c>
      <c r="I2098" t="s">
        <v>31</v>
      </c>
      <c r="J2098" t="s">
        <v>64</v>
      </c>
      <c r="K2098" t="s">
        <v>24</v>
      </c>
    </row>
    <row r="2099" spans="1:12" x14ac:dyDescent="0.25">
      <c r="A2099" t="s">
        <v>2019</v>
      </c>
      <c r="B2099">
        <v>101</v>
      </c>
      <c r="C2099">
        <v>31452765</v>
      </c>
      <c r="D2099" t="s">
        <v>3441</v>
      </c>
      <c r="E2099" t="s">
        <v>13</v>
      </c>
      <c r="F2099" t="s">
        <v>14</v>
      </c>
      <c r="G2099">
        <v>24000000</v>
      </c>
      <c r="H2099">
        <v>6.6</v>
      </c>
      <c r="I2099" t="s">
        <v>15</v>
      </c>
      <c r="J2099" t="s">
        <v>19</v>
      </c>
    </row>
    <row r="2100" spans="1:12" x14ac:dyDescent="0.25">
      <c r="A2100" t="s">
        <v>3442</v>
      </c>
      <c r="B2100">
        <v>92</v>
      </c>
      <c r="C2100">
        <v>31397498</v>
      </c>
      <c r="D2100" t="s">
        <v>3443</v>
      </c>
      <c r="E2100" t="s">
        <v>13</v>
      </c>
      <c r="F2100" t="s">
        <v>14</v>
      </c>
      <c r="G2100">
        <v>12000000</v>
      </c>
      <c r="H2100">
        <v>5.4</v>
      </c>
      <c r="I2100" t="s">
        <v>22</v>
      </c>
      <c r="J2100" t="s">
        <v>23</v>
      </c>
    </row>
    <row r="2101" spans="1:12" x14ac:dyDescent="0.25">
      <c r="A2101" t="s">
        <v>1084</v>
      </c>
      <c r="B2101">
        <v>112</v>
      </c>
      <c r="C2101">
        <v>31252964</v>
      </c>
      <c r="D2101" t="s">
        <v>3444</v>
      </c>
      <c r="E2101" t="s">
        <v>13</v>
      </c>
      <c r="F2101" t="s">
        <v>14</v>
      </c>
      <c r="G2101">
        <v>4000000</v>
      </c>
      <c r="H2101">
        <v>7.1</v>
      </c>
      <c r="I2101" t="s">
        <v>31</v>
      </c>
      <c r="J2101" t="s">
        <v>19</v>
      </c>
    </row>
    <row r="2102" spans="1:12" x14ac:dyDescent="0.25">
      <c r="A2102" t="s">
        <v>467</v>
      </c>
      <c r="B2102">
        <v>114</v>
      </c>
      <c r="C2102">
        <v>31199215</v>
      </c>
      <c r="D2102" t="s">
        <v>3445</v>
      </c>
      <c r="E2102" t="s">
        <v>13</v>
      </c>
      <c r="F2102" t="s">
        <v>14</v>
      </c>
      <c r="G2102">
        <v>58000000</v>
      </c>
      <c r="H2102">
        <v>6</v>
      </c>
      <c r="I2102" t="s">
        <v>15</v>
      </c>
      <c r="J2102" t="s">
        <v>31</v>
      </c>
      <c r="K2102" t="s">
        <v>19</v>
      </c>
      <c r="L2102" t="s">
        <v>41</v>
      </c>
    </row>
    <row r="2103" spans="1:12" x14ac:dyDescent="0.25">
      <c r="A2103" t="s">
        <v>3446</v>
      </c>
      <c r="B2103">
        <v>97</v>
      </c>
      <c r="C2103">
        <v>31179516</v>
      </c>
      <c r="D2103" t="s">
        <v>3447</v>
      </c>
      <c r="E2103" t="s">
        <v>13</v>
      </c>
      <c r="F2103" t="s">
        <v>14</v>
      </c>
      <c r="G2103">
        <v>12000000</v>
      </c>
      <c r="H2103">
        <v>4.3</v>
      </c>
      <c r="I2103" t="s">
        <v>15</v>
      </c>
    </row>
    <row r="2104" spans="1:12" x14ac:dyDescent="0.25">
      <c r="A2104" t="s">
        <v>2780</v>
      </c>
      <c r="B2104">
        <v>130</v>
      </c>
      <c r="C2104">
        <v>31165421</v>
      </c>
      <c r="D2104" t="s">
        <v>3448</v>
      </c>
      <c r="E2104" t="s">
        <v>13</v>
      </c>
      <c r="F2104" t="s">
        <v>14</v>
      </c>
      <c r="G2104">
        <v>60000000</v>
      </c>
      <c r="H2104">
        <v>6</v>
      </c>
      <c r="I2104" t="s">
        <v>17</v>
      </c>
      <c r="J2104" t="s">
        <v>22</v>
      </c>
      <c r="K2104" t="s">
        <v>23</v>
      </c>
      <c r="L2104" t="s">
        <v>19</v>
      </c>
    </row>
    <row r="2105" spans="1:12" x14ac:dyDescent="0.25">
      <c r="A2105" t="s">
        <v>107</v>
      </c>
      <c r="B2105">
        <v>93</v>
      </c>
      <c r="C2105">
        <v>31155435</v>
      </c>
      <c r="D2105" t="s">
        <v>3449</v>
      </c>
      <c r="E2105" t="s">
        <v>13</v>
      </c>
      <c r="F2105" t="s">
        <v>14</v>
      </c>
      <c r="G2105">
        <v>12000000</v>
      </c>
      <c r="H2105">
        <v>6.2</v>
      </c>
      <c r="I2105" t="s">
        <v>15</v>
      </c>
      <c r="J2105" t="s">
        <v>17</v>
      </c>
    </row>
    <row r="2106" spans="1:12" x14ac:dyDescent="0.25">
      <c r="A2106" t="s">
        <v>177</v>
      </c>
      <c r="B2106">
        <v>113</v>
      </c>
      <c r="C2106">
        <v>31146570</v>
      </c>
      <c r="D2106" t="s">
        <v>3450</v>
      </c>
      <c r="E2106" t="s">
        <v>13</v>
      </c>
      <c r="F2106" t="s">
        <v>14</v>
      </c>
      <c r="G2106">
        <v>20000000</v>
      </c>
      <c r="H2106">
        <v>6.9</v>
      </c>
      <c r="I2106" t="s">
        <v>31</v>
      </c>
      <c r="J2106" t="s">
        <v>24</v>
      </c>
    </row>
    <row r="2107" spans="1:12" x14ac:dyDescent="0.25">
      <c r="A2107" t="s">
        <v>746</v>
      </c>
      <c r="B2107">
        <v>99</v>
      </c>
      <c r="C2107">
        <v>31136950</v>
      </c>
      <c r="D2107" t="s">
        <v>3451</v>
      </c>
      <c r="E2107" t="s">
        <v>13</v>
      </c>
      <c r="F2107" t="s">
        <v>14</v>
      </c>
      <c r="G2107">
        <v>44000000</v>
      </c>
      <c r="H2107">
        <v>6.5</v>
      </c>
      <c r="I2107" t="s">
        <v>31</v>
      </c>
      <c r="J2107" t="s">
        <v>17</v>
      </c>
      <c r="K2107" t="s">
        <v>19</v>
      </c>
    </row>
    <row r="2108" spans="1:12" x14ac:dyDescent="0.25">
      <c r="A2108" t="s">
        <v>307</v>
      </c>
      <c r="B2108">
        <v>135</v>
      </c>
      <c r="C2108">
        <v>31111260</v>
      </c>
      <c r="D2108" t="s">
        <v>3452</v>
      </c>
      <c r="E2108" t="s">
        <v>13</v>
      </c>
      <c r="F2108" t="s">
        <v>14</v>
      </c>
      <c r="G2108">
        <v>60000000</v>
      </c>
      <c r="H2108">
        <v>5.4</v>
      </c>
      <c r="I2108" t="s">
        <v>34</v>
      </c>
      <c r="J2108" t="s">
        <v>28</v>
      </c>
      <c r="K2108" t="s">
        <v>37</v>
      </c>
      <c r="L2108" t="s">
        <v>24</v>
      </c>
    </row>
    <row r="2109" spans="1:12" x14ac:dyDescent="0.25">
      <c r="A2109" t="s">
        <v>312</v>
      </c>
      <c r="B2109">
        <v>133</v>
      </c>
      <c r="C2109">
        <v>31054924</v>
      </c>
      <c r="D2109" t="s">
        <v>3453</v>
      </c>
      <c r="E2109" t="s">
        <v>13</v>
      </c>
      <c r="F2109" t="s">
        <v>14</v>
      </c>
      <c r="G2109">
        <v>64000000</v>
      </c>
      <c r="H2109">
        <v>5.0999999999999996</v>
      </c>
      <c r="I2109" t="s">
        <v>31</v>
      </c>
      <c r="J2109" t="s">
        <v>23</v>
      </c>
      <c r="K2109" t="s">
        <v>19</v>
      </c>
    </row>
    <row r="2110" spans="1:12" x14ac:dyDescent="0.25">
      <c r="A2110" t="s">
        <v>80</v>
      </c>
      <c r="B2110">
        <v>88</v>
      </c>
      <c r="C2110">
        <v>31051126</v>
      </c>
      <c r="D2110" t="s">
        <v>3454</v>
      </c>
      <c r="E2110" t="s">
        <v>13</v>
      </c>
      <c r="F2110" t="s">
        <v>82</v>
      </c>
      <c r="G2110">
        <v>55000000</v>
      </c>
      <c r="H2110">
        <v>6.7</v>
      </c>
      <c r="I2110" t="s">
        <v>28</v>
      </c>
      <c r="J2110" t="s">
        <v>46</v>
      </c>
      <c r="K2110" t="s">
        <v>15</v>
      </c>
      <c r="L2110" t="s">
        <v>16</v>
      </c>
    </row>
    <row r="2111" spans="1:12" x14ac:dyDescent="0.25">
      <c r="A2111" t="s">
        <v>683</v>
      </c>
      <c r="B2111">
        <v>107</v>
      </c>
      <c r="C2111">
        <v>30993544</v>
      </c>
      <c r="D2111" t="s">
        <v>3455</v>
      </c>
      <c r="E2111" t="s">
        <v>13</v>
      </c>
      <c r="F2111" t="s">
        <v>14</v>
      </c>
      <c r="G2111">
        <v>40000000</v>
      </c>
      <c r="H2111">
        <v>6.5</v>
      </c>
      <c r="I2111" t="s">
        <v>15</v>
      </c>
      <c r="J2111" t="s">
        <v>31</v>
      </c>
      <c r="K2111" t="s">
        <v>19</v>
      </c>
    </row>
    <row r="2112" spans="1:12" x14ac:dyDescent="0.25">
      <c r="A2112" t="s">
        <v>3456</v>
      </c>
      <c r="B2112">
        <v>117</v>
      </c>
      <c r="C2112">
        <v>30981850</v>
      </c>
      <c r="D2112" t="s">
        <v>3457</v>
      </c>
      <c r="E2112" t="s">
        <v>13</v>
      </c>
      <c r="F2112" t="s">
        <v>14</v>
      </c>
      <c r="G2112">
        <v>40000000</v>
      </c>
      <c r="H2112">
        <v>5</v>
      </c>
      <c r="I2112" t="s">
        <v>42</v>
      </c>
      <c r="J2112" t="s">
        <v>38</v>
      </c>
      <c r="K2112" t="s">
        <v>31</v>
      </c>
      <c r="L2112" t="s">
        <v>18</v>
      </c>
    </row>
    <row r="2113" spans="1:13" x14ac:dyDescent="0.25">
      <c r="A2113" t="s">
        <v>3458</v>
      </c>
      <c r="B2113">
        <v>118</v>
      </c>
      <c r="C2113">
        <v>30920167</v>
      </c>
      <c r="D2113" t="s">
        <v>3459</v>
      </c>
      <c r="E2113" t="s">
        <v>13</v>
      </c>
      <c r="F2113" t="s">
        <v>14</v>
      </c>
      <c r="G2113">
        <v>25000000</v>
      </c>
      <c r="H2113">
        <v>5.7</v>
      </c>
      <c r="I2113" t="s">
        <v>15</v>
      </c>
      <c r="J2113" t="s">
        <v>18</v>
      </c>
    </row>
    <row r="2114" spans="1:13" x14ac:dyDescent="0.25">
      <c r="A2114" t="s">
        <v>484</v>
      </c>
      <c r="B2114">
        <v>88</v>
      </c>
      <c r="C2114">
        <v>30859000</v>
      </c>
      <c r="D2114" t="s">
        <v>3460</v>
      </c>
      <c r="E2114" t="s">
        <v>13</v>
      </c>
      <c r="F2114" t="s">
        <v>14</v>
      </c>
      <c r="G2114">
        <v>83532</v>
      </c>
      <c r="H2114">
        <v>7.5</v>
      </c>
      <c r="I2114" t="s">
        <v>22</v>
      </c>
      <c r="J2114" t="s">
        <v>24</v>
      </c>
    </row>
    <row r="2115" spans="1:13" x14ac:dyDescent="0.25">
      <c r="A2115" t="s">
        <v>484</v>
      </c>
      <c r="B2115">
        <v>88</v>
      </c>
      <c r="C2115">
        <v>30859000</v>
      </c>
      <c r="D2115" t="s">
        <v>3460</v>
      </c>
      <c r="E2115" t="s">
        <v>13</v>
      </c>
      <c r="F2115" t="s">
        <v>14</v>
      </c>
      <c r="G2115">
        <v>83532</v>
      </c>
      <c r="H2115">
        <v>7.5</v>
      </c>
      <c r="I2115" t="s">
        <v>22</v>
      </c>
      <c r="J2115" t="s">
        <v>24</v>
      </c>
    </row>
    <row r="2116" spans="1:13" x14ac:dyDescent="0.25">
      <c r="A2116" t="s">
        <v>231</v>
      </c>
      <c r="B2116">
        <v>98</v>
      </c>
      <c r="C2116">
        <v>30857814</v>
      </c>
      <c r="D2116" t="s">
        <v>3461</v>
      </c>
      <c r="E2116" t="s">
        <v>13</v>
      </c>
      <c r="F2116" t="s">
        <v>14</v>
      </c>
      <c r="G2116">
        <v>16000000</v>
      </c>
      <c r="H2116">
        <v>8.1</v>
      </c>
      <c r="I2116" t="s">
        <v>28</v>
      </c>
      <c r="J2116" t="s">
        <v>16</v>
      </c>
      <c r="K2116" t="s">
        <v>17</v>
      </c>
      <c r="L2116" t="s">
        <v>19</v>
      </c>
    </row>
    <row r="2117" spans="1:13" x14ac:dyDescent="0.25">
      <c r="A2117" t="s">
        <v>521</v>
      </c>
      <c r="B2117">
        <v>126</v>
      </c>
      <c r="C2117">
        <v>30695227</v>
      </c>
      <c r="D2117" t="s">
        <v>3462</v>
      </c>
      <c r="E2117" t="s">
        <v>13</v>
      </c>
      <c r="F2117" t="s">
        <v>14</v>
      </c>
      <c r="G2117">
        <v>60000000</v>
      </c>
      <c r="H2117">
        <v>6.7</v>
      </c>
      <c r="I2117" t="s">
        <v>31</v>
      </c>
      <c r="J2117" t="s">
        <v>17</v>
      </c>
      <c r="K2117" t="s">
        <v>41</v>
      </c>
    </row>
    <row r="2118" spans="1:13" x14ac:dyDescent="0.25">
      <c r="A2118" t="s">
        <v>2962</v>
      </c>
      <c r="B2118">
        <v>112</v>
      </c>
      <c r="C2118">
        <v>30691439</v>
      </c>
      <c r="D2118" t="s">
        <v>3463</v>
      </c>
      <c r="E2118" t="s">
        <v>13</v>
      </c>
      <c r="F2118" t="s">
        <v>14</v>
      </c>
      <c r="G2118">
        <v>35000000</v>
      </c>
      <c r="H2118">
        <v>6.2</v>
      </c>
      <c r="I2118" t="s">
        <v>22</v>
      </c>
      <c r="J2118" t="s">
        <v>23</v>
      </c>
    </row>
    <row r="2119" spans="1:13" x14ac:dyDescent="0.25">
      <c r="A2119" t="s">
        <v>982</v>
      </c>
      <c r="B2119">
        <v>123</v>
      </c>
      <c r="C2119">
        <v>30688364</v>
      </c>
      <c r="D2119" t="s">
        <v>3464</v>
      </c>
      <c r="E2119" t="s">
        <v>13</v>
      </c>
      <c r="F2119" t="s">
        <v>14</v>
      </c>
      <c r="G2119">
        <v>28000000</v>
      </c>
      <c r="H2119">
        <v>6.2</v>
      </c>
      <c r="I2119" t="s">
        <v>34</v>
      </c>
      <c r="J2119" t="s">
        <v>31</v>
      </c>
      <c r="K2119" t="s">
        <v>24</v>
      </c>
    </row>
    <row r="2120" spans="1:13" x14ac:dyDescent="0.25">
      <c r="A2120" t="s">
        <v>648</v>
      </c>
      <c r="B2120">
        <v>103</v>
      </c>
      <c r="C2120">
        <v>30669413</v>
      </c>
      <c r="D2120" t="s">
        <v>3465</v>
      </c>
      <c r="E2120" t="s">
        <v>13</v>
      </c>
      <c r="F2120" t="s">
        <v>14</v>
      </c>
      <c r="G2120">
        <v>35000000</v>
      </c>
      <c r="H2120">
        <v>6.2</v>
      </c>
      <c r="I2120" t="s">
        <v>34</v>
      </c>
      <c r="J2120" t="s">
        <v>22</v>
      </c>
      <c r="K2120" t="s">
        <v>37</v>
      </c>
    </row>
    <row r="2121" spans="1:13" x14ac:dyDescent="0.25">
      <c r="A2121" t="s">
        <v>3466</v>
      </c>
      <c r="B2121">
        <v>105</v>
      </c>
      <c r="C2121">
        <v>30659817</v>
      </c>
      <c r="D2121" t="s">
        <v>3467</v>
      </c>
      <c r="E2121" t="s">
        <v>13</v>
      </c>
      <c r="F2121" t="s">
        <v>14</v>
      </c>
      <c r="G2121">
        <v>26000000</v>
      </c>
      <c r="H2121">
        <v>6.4</v>
      </c>
      <c r="I2121" t="s">
        <v>15</v>
      </c>
      <c r="J2121" t="s">
        <v>31</v>
      </c>
    </row>
    <row r="2122" spans="1:13" x14ac:dyDescent="0.25">
      <c r="A2122" t="s">
        <v>2019</v>
      </c>
      <c r="B2122">
        <v>130</v>
      </c>
      <c r="C2122">
        <v>30651422</v>
      </c>
      <c r="D2122" t="s">
        <v>3468</v>
      </c>
      <c r="E2122" t="s">
        <v>13</v>
      </c>
      <c r="F2122" t="s">
        <v>14</v>
      </c>
      <c r="G2122">
        <v>10000000</v>
      </c>
      <c r="H2122">
        <v>7.4</v>
      </c>
      <c r="I2122" t="s">
        <v>28</v>
      </c>
      <c r="J2122" t="s">
        <v>15</v>
      </c>
      <c r="K2122" t="s">
        <v>31</v>
      </c>
      <c r="L2122" t="s">
        <v>17</v>
      </c>
    </row>
    <row r="2123" spans="1:13" x14ac:dyDescent="0.25">
      <c r="A2123" t="s">
        <v>3469</v>
      </c>
      <c r="B2123">
        <v>81</v>
      </c>
      <c r="C2123">
        <v>30628981</v>
      </c>
      <c r="D2123" t="s">
        <v>3470</v>
      </c>
      <c r="E2123" t="s">
        <v>13</v>
      </c>
      <c r="F2123" t="s">
        <v>14</v>
      </c>
      <c r="G2123">
        <v>14000000</v>
      </c>
      <c r="H2123">
        <v>5</v>
      </c>
      <c r="I2123" t="s">
        <v>15</v>
      </c>
      <c r="J2123" t="s">
        <v>19</v>
      </c>
    </row>
    <row r="2124" spans="1:13" x14ac:dyDescent="0.25">
      <c r="A2124" t="s">
        <v>310</v>
      </c>
      <c r="B2124">
        <v>87</v>
      </c>
      <c r="C2124">
        <v>30538669</v>
      </c>
      <c r="D2124" t="s">
        <v>3471</v>
      </c>
      <c r="E2124" t="s">
        <v>13</v>
      </c>
      <c r="F2124" t="s">
        <v>14</v>
      </c>
      <c r="G2124">
        <v>39751583.5</v>
      </c>
      <c r="H2124">
        <v>5.7</v>
      </c>
      <c r="I2124" t="s">
        <v>15</v>
      </c>
    </row>
    <row r="2125" spans="1:13" x14ac:dyDescent="0.25">
      <c r="A2125" t="s">
        <v>450</v>
      </c>
      <c r="B2125">
        <v>118</v>
      </c>
      <c r="C2125">
        <v>30523568</v>
      </c>
      <c r="D2125" t="s">
        <v>3472</v>
      </c>
      <c r="E2125" t="s">
        <v>13</v>
      </c>
      <c r="F2125" t="s">
        <v>14</v>
      </c>
      <c r="G2125">
        <v>30000000</v>
      </c>
      <c r="H2125">
        <v>6.2</v>
      </c>
      <c r="I2125" t="s">
        <v>22</v>
      </c>
      <c r="J2125" t="s">
        <v>23</v>
      </c>
      <c r="K2125" t="s">
        <v>24</v>
      </c>
    </row>
    <row r="2126" spans="1:13" x14ac:dyDescent="0.25">
      <c r="A2126" t="s">
        <v>3473</v>
      </c>
      <c r="B2126">
        <v>139</v>
      </c>
      <c r="C2126">
        <v>30513940</v>
      </c>
      <c r="D2126" t="s">
        <v>3474</v>
      </c>
      <c r="E2126" t="s">
        <v>13</v>
      </c>
      <c r="F2126" t="s">
        <v>14</v>
      </c>
      <c r="G2126">
        <v>30000000</v>
      </c>
      <c r="H2126">
        <v>6.9</v>
      </c>
      <c r="I2126" t="s">
        <v>42</v>
      </c>
      <c r="J2126" t="s">
        <v>31</v>
      </c>
      <c r="K2126" t="s">
        <v>18</v>
      </c>
    </row>
    <row r="2127" spans="1:13" x14ac:dyDescent="0.25">
      <c r="A2127" t="s">
        <v>3475</v>
      </c>
      <c r="B2127">
        <v>79</v>
      </c>
      <c r="C2127">
        <v>30500882</v>
      </c>
      <c r="D2127" t="s">
        <v>3476</v>
      </c>
      <c r="E2127" t="s">
        <v>13</v>
      </c>
      <c r="F2127" t="s">
        <v>14</v>
      </c>
      <c r="G2127">
        <v>500000</v>
      </c>
      <c r="H2127">
        <v>5.7</v>
      </c>
      <c r="I2127" t="s">
        <v>28</v>
      </c>
      <c r="J2127" t="s">
        <v>42</v>
      </c>
      <c r="K2127" t="s">
        <v>31</v>
      </c>
      <c r="L2127" t="s">
        <v>22</v>
      </c>
      <c r="M2127" t="s">
        <v>24</v>
      </c>
    </row>
    <row r="2128" spans="1:13" x14ac:dyDescent="0.25">
      <c r="A2128" t="s">
        <v>899</v>
      </c>
      <c r="B2128">
        <v>93</v>
      </c>
      <c r="C2128">
        <v>30400000</v>
      </c>
      <c r="D2128" t="s">
        <v>3477</v>
      </c>
      <c r="E2128" t="s">
        <v>13</v>
      </c>
      <c r="F2128" t="s">
        <v>14</v>
      </c>
      <c r="G2128">
        <v>39000000</v>
      </c>
      <c r="H2128">
        <v>5.7</v>
      </c>
      <c r="I2128" t="s">
        <v>15</v>
      </c>
    </row>
    <row r="2129" spans="1:13" x14ac:dyDescent="0.25">
      <c r="A2129" t="s">
        <v>534</v>
      </c>
      <c r="B2129">
        <v>132</v>
      </c>
      <c r="C2129">
        <v>30400000</v>
      </c>
      <c r="D2129" t="s">
        <v>3478</v>
      </c>
      <c r="E2129" t="s">
        <v>13</v>
      </c>
      <c r="F2129" t="s">
        <v>82</v>
      </c>
      <c r="G2129">
        <v>12000000</v>
      </c>
      <c r="H2129">
        <v>6.6</v>
      </c>
      <c r="I2129" t="s">
        <v>31</v>
      </c>
      <c r="J2129" t="s">
        <v>59</v>
      </c>
      <c r="K2129" t="s">
        <v>19</v>
      </c>
    </row>
    <row r="2130" spans="1:13" x14ac:dyDescent="0.25">
      <c r="A2130" t="s">
        <v>3479</v>
      </c>
      <c r="B2130">
        <v>82</v>
      </c>
      <c r="C2130">
        <v>30324946</v>
      </c>
      <c r="D2130" t="s">
        <v>3480</v>
      </c>
      <c r="E2130" t="s">
        <v>13</v>
      </c>
      <c r="F2130" t="s">
        <v>14</v>
      </c>
      <c r="G2130">
        <v>17000000</v>
      </c>
      <c r="H2130">
        <v>6.2</v>
      </c>
      <c r="I2130" t="s">
        <v>15</v>
      </c>
      <c r="J2130" t="s">
        <v>18</v>
      </c>
      <c r="K2130" t="s">
        <v>19</v>
      </c>
    </row>
    <row r="2131" spans="1:13" x14ac:dyDescent="0.25">
      <c r="A2131" t="s">
        <v>3481</v>
      </c>
      <c r="B2131">
        <v>101</v>
      </c>
      <c r="C2131">
        <v>30307804</v>
      </c>
      <c r="D2131" t="s">
        <v>3482</v>
      </c>
      <c r="E2131" t="s">
        <v>13</v>
      </c>
      <c r="F2131" t="s">
        <v>14</v>
      </c>
      <c r="G2131">
        <v>35000000</v>
      </c>
      <c r="H2131">
        <v>5.2</v>
      </c>
      <c r="I2131" t="s">
        <v>31</v>
      </c>
      <c r="J2131" t="s">
        <v>17</v>
      </c>
      <c r="K2131" t="s">
        <v>22</v>
      </c>
    </row>
    <row r="2132" spans="1:13" x14ac:dyDescent="0.25">
      <c r="A2132" t="s">
        <v>3483</v>
      </c>
      <c r="B2132">
        <v>98</v>
      </c>
      <c r="C2132">
        <v>30306281</v>
      </c>
      <c r="D2132" t="s">
        <v>3484</v>
      </c>
      <c r="E2132" t="s">
        <v>13</v>
      </c>
      <c r="F2132" t="s">
        <v>14</v>
      </c>
      <c r="G2132">
        <v>10000000</v>
      </c>
      <c r="H2132">
        <v>5.6</v>
      </c>
      <c r="I2132" t="s">
        <v>15</v>
      </c>
      <c r="J2132" t="s">
        <v>31</v>
      </c>
    </row>
    <row r="2133" spans="1:13" x14ac:dyDescent="0.25">
      <c r="A2133" t="s">
        <v>495</v>
      </c>
      <c r="B2133">
        <v>132</v>
      </c>
      <c r="C2133">
        <v>30306268</v>
      </c>
      <c r="D2133" t="s">
        <v>3485</v>
      </c>
      <c r="E2133" t="s">
        <v>13</v>
      </c>
      <c r="F2133" t="s">
        <v>295</v>
      </c>
      <c r="G2133">
        <v>50000000</v>
      </c>
      <c r="H2133">
        <v>6.3</v>
      </c>
      <c r="I2133" t="s">
        <v>34</v>
      </c>
      <c r="J2133" t="s">
        <v>38</v>
      </c>
      <c r="K2133" t="s">
        <v>24</v>
      </c>
    </row>
    <row r="2134" spans="1:13" x14ac:dyDescent="0.25">
      <c r="A2134" t="s">
        <v>3486</v>
      </c>
      <c r="B2134">
        <v>94</v>
      </c>
      <c r="C2134">
        <v>30259652</v>
      </c>
      <c r="D2134" t="s">
        <v>3487</v>
      </c>
      <c r="E2134" t="s">
        <v>13</v>
      </c>
      <c r="F2134" t="s">
        <v>14</v>
      </c>
      <c r="G2134">
        <v>15000000</v>
      </c>
      <c r="H2134">
        <v>4.0999999999999996</v>
      </c>
      <c r="I2134" t="s">
        <v>15</v>
      </c>
      <c r="J2134" t="s">
        <v>22</v>
      </c>
      <c r="K2134" t="s">
        <v>24</v>
      </c>
    </row>
    <row r="2135" spans="1:13" x14ac:dyDescent="0.25">
      <c r="A2135" t="s">
        <v>3488</v>
      </c>
      <c r="B2135">
        <v>126</v>
      </c>
      <c r="C2135">
        <v>30226144</v>
      </c>
      <c r="D2135" t="s">
        <v>3489</v>
      </c>
      <c r="E2135" t="s">
        <v>13</v>
      </c>
      <c r="F2135" t="s">
        <v>14</v>
      </c>
      <c r="G2135">
        <v>15000000</v>
      </c>
      <c r="H2135">
        <v>7.6</v>
      </c>
      <c r="I2135" t="s">
        <v>42</v>
      </c>
      <c r="J2135" t="s">
        <v>31</v>
      </c>
    </row>
    <row r="2136" spans="1:13" x14ac:dyDescent="0.25">
      <c r="A2136" t="s">
        <v>3186</v>
      </c>
      <c r="B2136">
        <v>94</v>
      </c>
      <c r="C2136">
        <v>30222640</v>
      </c>
      <c r="D2136" t="s">
        <v>3490</v>
      </c>
      <c r="E2136" t="s">
        <v>13</v>
      </c>
      <c r="F2136" t="s">
        <v>14</v>
      </c>
      <c r="G2136">
        <v>25000000</v>
      </c>
      <c r="H2136">
        <v>5.3</v>
      </c>
      <c r="I2136" t="s">
        <v>31</v>
      </c>
      <c r="J2136" t="s">
        <v>18</v>
      </c>
      <c r="K2136" t="s">
        <v>19</v>
      </c>
    </row>
    <row r="2137" spans="1:13" x14ac:dyDescent="0.25">
      <c r="A2137" t="s">
        <v>3491</v>
      </c>
      <c r="B2137">
        <v>116</v>
      </c>
      <c r="C2137">
        <v>30199105</v>
      </c>
      <c r="D2137" t="s">
        <v>3492</v>
      </c>
      <c r="E2137" t="s">
        <v>13</v>
      </c>
      <c r="F2137" t="s">
        <v>14</v>
      </c>
      <c r="G2137">
        <v>40000000</v>
      </c>
      <c r="H2137">
        <v>5.7</v>
      </c>
      <c r="I2137" t="s">
        <v>34</v>
      </c>
      <c r="J2137" t="s">
        <v>28</v>
      </c>
      <c r="K2137" t="s">
        <v>38</v>
      </c>
      <c r="L2137" t="s">
        <v>24</v>
      </c>
    </row>
    <row r="2138" spans="1:13" x14ac:dyDescent="0.25">
      <c r="A2138" t="s">
        <v>50</v>
      </c>
      <c r="B2138">
        <v>116</v>
      </c>
      <c r="C2138">
        <v>30157016</v>
      </c>
      <c r="D2138" t="s">
        <v>3493</v>
      </c>
      <c r="E2138" t="s">
        <v>13</v>
      </c>
      <c r="F2138" t="s">
        <v>14</v>
      </c>
      <c r="G2138">
        <v>70000000</v>
      </c>
      <c r="H2138">
        <v>5.6</v>
      </c>
      <c r="I2138" t="s">
        <v>34</v>
      </c>
      <c r="J2138" t="s">
        <v>28</v>
      </c>
      <c r="K2138" t="s">
        <v>15</v>
      </c>
      <c r="L2138" t="s">
        <v>24</v>
      </c>
    </row>
    <row r="2139" spans="1:13" x14ac:dyDescent="0.25">
      <c r="A2139" t="s">
        <v>262</v>
      </c>
      <c r="B2139">
        <v>115</v>
      </c>
      <c r="C2139">
        <v>30127963</v>
      </c>
      <c r="D2139" t="s">
        <v>3494</v>
      </c>
      <c r="E2139" t="s">
        <v>13</v>
      </c>
      <c r="F2139" t="s">
        <v>14</v>
      </c>
      <c r="G2139">
        <v>15000000</v>
      </c>
      <c r="H2139">
        <v>6.7</v>
      </c>
      <c r="I2139" t="s">
        <v>31</v>
      </c>
      <c r="J2139" t="s">
        <v>16</v>
      </c>
      <c r="K2139" t="s">
        <v>41</v>
      </c>
    </row>
    <row r="2140" spans="1:13" x14ac:dyDescent="0.25">
      <c r="A2140" t="s">
        <v>3495</v>
      </c>
      <c r="B2140">
        <v>81</v>
      </c>
      <c r="C2140">
        <v>30105968</v>
      </c>
      <c r="D2140" t="s">
        <v>3496</v>
      </c>
      <c r="E2140" t="s">
        <v>13</v>
      </c>
      <c r="F2140" t="s">
        <v>14</v>
      </c>
      <c r="G2140">
        <v>37000000</v>
      </c>
      <c r="H2140">
        <v>4.5</v>
      </c>
      <c r="I2140" t="s">
        <v>28</v>
      </c>
      <c r="J2140" t="s">
        <v>46</v>
      </c>
      <c r="K2140" t="s">
        <v>15</v>
      </c>
      <c r="L2140" t="s">
        <v>16</v>
      </c>
      <c r="M2140" t="s">
        <v>37</v>
      </c>
    </row>
    <row r="2141" spans="1:13" x14ac:dyDescent="0.25">
      <c r="A2141" t="s">
        <v>3497</v>
      </c>
      <c r="B2141">
        <v>110</v>
      </c>
      <c r="C2141">
        <v>30102717</v>
      </c>
      <c r="D2141" t="s">
        <v>3498</v>
      </c>
      <c r="E2141" t="s">
        <v>13</v>
      </c>
      <c r="F2141" t="s">
        <v>14</v>
      </c>
      <c r="G2141">
        <v>15000000</v>
      </c>
      <c r="H2141">
        <v>5.5</v>
      </c>
      <c r="I2141" t="s">
        <v>34</v>
      </c>
      <c r="J2141" t="s">
        <v>38</v>
      </c>
    </row>
    <row r="2142" spans="1:13" x14ac:dyDescent="0.25">
      <c r="A2142" t="s">
        <v>2833</v>
      </c>
      <c r="B2142">
        <v>104</v>
      </c>
      <c r="C2142">
        <v>30093107</v>
      </c>
      <c r="D2142" t="s">
        <v>3499</v>
      </c>
      <c r="E2142" t="s">
        <v>13</v>
      </c>
      <c r="F2142" t="s">
        <v>82</v>
      </c>
      <c r="G2142">
        <v>6000000</v>
      </c>
      <c r="H2142">
        <v>8.3000000000000007</v>
      </c>
      <c r="I2142" t="s">
        <v>15</v>
      </c>
      <c r="J2142" t="s">
        <v>38</v>
      </c>
    </row>
    <row r="2143" spans="1:13" x14ac:dyDescent="0.25">
      <c r="A2143" t="s">
        <v>2957</v>
      </c>
      <c r="B2143">
        <v>91</v>
      </c>
      <c r="C2143">
        <v>30079316</v>
      </c>
      <c r="D2143" t="s">
        <v>3500</v>
      </c>
      <c r="E2143" t="s">
        <v>13</v>
      </c>
      <c r="F2143" t="s">
        <v>14</v>
      </c>
      <c r="G2143">
        <v>35000000</v>
      </c>
      <c r="H2143">
        <v>5.5</v>
      </c>
      <c r="I2143" t="s">
        <v>22</v>
      </c>
    </row>
    <row r="2144" spans="1:13" x14ac:dyDescent="0.25">
      <c r="A2144" t="s">
        <v>576</v>
      </c>
      <c r="B2144">
        <v>104</v>
      </c>
      <c r="C2144">
        <v>30063805</v>
      </c>
      <c r="D2144" t="s">
        <v>3501</v>
      </c>
      <c r="E2144" t="s">
        <v>13</v>
      </c>
      <c r="F2144" t="s">
        <v>14</v>
      </c>
      <c r="G2144">
        <v>60000000</v>
      </c>
      <c r="H2144">
        <v>6.1</v>
      </c>
      <c r="I2144" t="s">
        <v>31</v>
      </c>
      <c r="J2144" t="s">
        <v>17</v>
      </c>
      <c r="K2144" t="s">
        <v>23</v>
      </c>
      <c r="L2144" t="s">
        <v>19</v>
      </c>
      <c r="M2144" t="s">
        <v>24</v>
      </c>
    </row>
    <row r="2145" spans="1:12" x14ac:dyDescent="0.25">
      <c r="A2145" t="s">
        <v>2019</v>
      </c>
      <c r="B2145">
        <v>104</v>
      </c>
      <c r="C2145">
        <v>30059386</v>
      </c>
      <c r="D2145" t="s">
        <v>3502</v>
      </c>
      <c r="E2145" t="s">
        <v>13</v>
      </c>
      <c r="F2145" t="s">
        <v>14</v>
      </c>
      <c r="G2145">
        <v>22000000</v>
      </c>
      <c r="H2145">
        <v>6.9</v>
      </c>
      <c r="I2145" t="s">
        <v>15</v>
      </c>
    </row>
    <row r="2146" spans="1:12" x14ac:dyDescent="0.25">
      <c r="A2146" t="s">
        <v>3503</v>
      </c>
      <c r="B2146">
        <v>114</v>
      </c>
      <c r="C2146">
        <v>30050028</v>
      </c>
      <c r="D2146" t="s">
        <v>3504</v>
      </c>
      <c r="E2146" t="s">
        <v>13</v>
      </c>
      <c r="F2146" t="s">
        <v>14</v>
      </c>
      <c r="G2146">
        <v>17000000</v>
      </c>
      <c r="H2146">
        <v>6.5</v>
      </c>
      <c r="I2146" t="s">
        <v>34</v>
      </c>
      <c r="J2146" t="s">
        <v>24</v>
      </c>
    </row>
    <row r="2147" spans="1:12" x14ac:dyDescent="0.25">
      <c r="A2147" t="s">
        <v>828</v>
      </c>
      <c r="B2147">
        <v>111</v>
      </c>
      <c r="C2147">
        <v>30028592</v>
      </c>
      <c r="D2147" t="s">
        <v>3505</v>
      </c>
      <c r="E2147" t="s">
        <v>13</v>
      </c>
      <c r="F2147" t="s">
        <v>82</v>
      </c>
      <c r="G2147">
        <v>20000000</v>
      </c>
      <c r="H2147">
        <v>7.3</v>
      </c>
      <c r="I2147" t="s">
        <v>38</v>
      </c>
      <c r="J2147" t="s">
        <v>31</v>
      </c>
      <c r="K2147" t="s">
        <v>19</v>
      </c>
      <c r="L2147" t="s">
        <v>24</v>
      </c>
    </row>
    <row r="2148" spans="1:12" x14ac:dyDescent="0.25">
      <c r="A2148" t="s">
        <v>1018</v>
      </c>
      <c r="B2148">
        <v>116</v>
      </c>
      <c r="C2148">
        <v>30013346</v>
      </c>
      <c r="D2148" t="s">
        <v>3506</v>
      </c>
      <c r="E2148" t="s">
        <v>13</v>
      </c>
      <c r="F2148" t="s">
        <v>14</v>
      </c>
      <c r="G2148">
        <v>75000000</v>
      </c>
      <c r="H2148">
        <v>5.3</v>
      </c>
      <c r="I2148" t="s">
        <v>34</v>
      </c>
      <c r="J2148" t="s">
        <v>15</v>
      </c>
      <c r="K2148" t="s">
        <v>38</v>
      </c>
      <c r="L2148" t="s">
        <v>24</v>
      </c>
    </row>
    <row r="2149" spans="1:12" x14ac:dyDescent="0.25">
      <c r="A2149" t="s">
        <v>3507</v>
      </c>
      <c r="B2149">
        <v>124</v>
      </c>
      <c r="C2149">
        <v>30012990</v>
      </c>
      <c r="D2149" t="s">
        <v>3508</v>
      </c>
      <c r="E2149" t="s">
        <v>13</v>
      </c>
      <c r="F2149" t="s">
        <v>82</v>
      </c>
      <c r="G2149">
        <v>25000000</v>
      </c>
      <c r="H2149">
        <v>7.5</v>
      </c>
      <c r="I2149" t="s">
        <v>42</v>
      </c>
      <c r="J2149" t="s">
        <v>31</v>
      </c>
      <c r="K2149" t="s">
        <v>64</v>
      </c>
    </row>
    <row r="2150" spans="1:12" x14ac:dyDescent="0.25">
      <c r="A2150" t="s">
        <v>3509</v>
      </c>
      <c r="B2150">
        <v>87</v>
      </c>
      <c r="C2150">
        <v>30000000</v>
      </c>
      <c r="D2150" t="s">
        <v>3510</v>
      </c>
      <c r="E2150" t="s">
        <v>13</v>
      </c>
      <c r="F2150" t="s">
        <v>14</v>
      </c>
      <c r="G2150">
        <v>2200000</v>
      </c>
      <c r="H2150">
        <v>5.4</v>
      </c>
      <c r="I2150" t="s">
        <v>17</v>
      </c>
      <c r="J2150" t="s">
        <v>22</v>
      </c>
    </row>
    <row r="2151" spans="1:12" x14ac:dyDescent="0.25">
      <c r="A2151" t="s">
        <v>542</v>
      </c>
      <c r="B2151">
        <v>106</v>
      </c>
      <c r="C2151">
        <v>29997095</v>
      </c>
      <c r="D2151" t="s">
        <v>3511</v>
      </c>
      <c r="E2151" t="s">
        <v>13</v>
      </c>
      <c r="F2151" t="s">
        <v>82</v>
      </c>
      <c r="G2151">
        <v>22000000</v>
      </c>
      <c r="H2151">
        <v>6.4</v>
      </c>
      <c r="I2151" t="s">
        <v>15</v>
      </c>
      <c r="J2151" t="s">
        <v>23</v>
      </c>
    </row>
    <row r="2152" spans="1:12" x14ac:dyDescent="0.25">
      <c r="A2152" t="s">
        <v>3512</v>
      </c>
      <c r="B2152">
        <v>98</v>
      </c>
      <c r="C2152">
        <v>29975979</v>
      </c>
      <c r="D2152" t="s">
        <v>3513</v>
      </c>
      <c r="E2152" t="s">
        <v>13</v>
      </c>
      <c r="F2152" t="s">
        <v>45</v>
      </c>
      <c r="G2152">
        <v>20000000</v>
      </c>
      <c r="H2152">
        <v>6.5</v>
      </c>
      <c r="I2152" t="s">
        <v>34</v>
      </c>
      <c r="J2152" t="s">
        <v>22</v>
      </c>
      <c r="K2152" t="s">
        <v>37</v>
      </c>
      <c r="L2152" t="s">
        <v>24</v>
      </c>
    </row>
    <row r="2153" spans="1:12" x14ac:dyDescent="0.25">
      <c r="A2153" t="s">
        <v>3514</v>
      </c>
      <c r="B2153">
        <v>105</v>
      </c>
      <c r="C2153">
        <v>29959436</v>
      </c>
      <c r="D2153" t="s">
        <v>3515</v>
      </c>
      <c r="E2153" t="s">
        <v>13</v>
      </c>
      <c r="F2153" t="s">
        <v>82</v>
      </c>
      <c r="G2153">
        <v>13000000</v>
      </c>
      <c r="H2153">
        <v>6.4</v>
      </c>
      <c r="I2153" t="s">
        <v>42</v>
      </c>
      <c r="J2153" t="s">
        <v>31</v>
      </c>
      <c r="K2153" t="s">
        <v>64</v>
      </c>
    </row>
    <row r="2154" spans="1:12" x14ac:dyDescent="0.25">
      <c r="A2154" t="s">
        <v>1105</v>
      </c>
      <c r="B2154">
        <v>113</v>
      </c>
      <c r="C2154">
        <v>29802761</v>
      </c>
      <c r="D2154" t="s">
        <v>3516</v>
      </c>
      <c r="E2154" t="s">
        <v>13</v>
      </c>
      <c r="F2154" t="s">
        <v>14</v>
      </c>
      <c r="G2154">
        <v>40000000</v>
      </c>
      <c r="H2154">
        <v>6.4</v>
      </c>
      <c r="I2154" t="s">
        <v>15</v>
      </c>
      <c r="J2154" t="s">
        <v>41</v>
      </c>
    </row>
    <row r="2155" spans="1:12" x14ac:dyDescent="0.25">
      <c r="A2155" t="s">
        <v>67</v>
      </c>
      <c r="B2155">
        <v>132</v>
      </c>
      <c r="C2155">
        <v>29781453</v>
      </c>
      <c r="D2155" t="s">
        <v>3517</v>
      </c>
      <c r="E2155" t="s">
        <v>13</v>
      </c>
      <c r="F2155" t="s">
        <v>14</v>
      </c>
      <c r="G2155">
        <v>48000000</v>
      </c>
      <c r="H2155">
        <v>6.4</v>
      </c>
      <c r="I2155" t="s">
        <v>42</v>
      </c>
      <c r="J2155" t="s">
        <v>15</v>
      </c>
      <c r="K2155" t="s">
        <v>31</v>
      </c>
    </row>
    <row r="2156" spans="1:12" x14ac:dyDescent="0.25">
      <c r="A2156" t="s">
        <v>3518</v>
      </c>
      <c r="B2156">
        <v>115</v>
      </c>
      <c r="C2156">
        <v>29753944</v>
      </c>
      <c r="D2156" t="s">
        <v>3519</v>
      </c>
      <c r="E2156" t="s">
        <v>13</v>
      </c>
      <c r="F2156" t="s">
        <v>14</v>
      </c>
      <c r="G2156">
        <v>20000000</v>
      </c>
      <c r="H2156">
        <v>6.5</v>
      </c>
      <c r="I2156" t="s">
        <v>38</v>
      </c>
      <c r="J2156" t="s">
        <v>31</v>
      </c>
      <c r="K2156" t="s">
        <v>23</v>
      </c>
      <c r="L2156" t="s">
        <v>24</v>
      </c>
    </row>
    <row r="2157" spans="1:12" x14ac:dyDescent="0.25">
      <c r="A2157" t="s">
        <v>3520</v>
      </c>
      <c r="B2157">
        <v>121</v>
      </c>
      <c r="C2157">
        <v>29655590</v>
      </c>
      <c r="D2157" t="s">
        <v>3521</v>
      </c>
      <c r="E2157" t="s">
        <v>13</v>
      </c>
      <c r="F2157" t="s">
        <v>14</v>
      </c>
      <c r="G2157">
        <v>65000000</v>
      </c>
      <c r="H2157">
        <v>6</v>
      </c>
      <c r="I2157" t="s">
        <v>34</v>
      </c>
      <c r="J2157" t="s">
        <v>15</v>
      </c>
      <c r="K2157" t="s">
        <v>17</v>
      </c>
      <c r="L2157" t="s">
        <v>37</v>
      </c>
    </row>
    <row r="2158" spans="1:12" x14ac:dyDescent="0.25">
      <c r="A2158" t="s">
        <v>235</v>
      </c>
      <c r="B2158">
        <v>103</v>
      </c>
      <c r="C2158">
        <v>29580087</v>
      </c>
      <c r="D2158" t="s">
        <v>3522</v>
      </c>
      <c r="E2158" t="s">
        <v>13</v>
      </c>
      <c r="F2158" t="s">
        <v>14</v>
      </c>
      <c r="G2158">
        <v>58000000</v>
      </c>
      <c r="H2158">
        <v>4.7</v>
      </c>
      <c r="I2158" t="s">
        <v>15</v>
      </c>
      <c r="J2158" t="s">
        <v>31</v>
      </c>
      <c r="K2158" t="s">
        <v>19</v>
      </c>
    </row>
    <row r="2159" spans="1:12" x14ac:dyDescent="0.25">
      <c r="A2159" t="s">
        <v>1014</v>
      </c>
      <c r="B2159">
        <v>101</v>
      </c>
      <c r="C2159">
        <v>29500000</v>
      </c>
      <c r="D2159" t="s">
        <v>3523</v>
      </c>
      <c r="E2159" t="s">
        <v>13</v>
      </c>
      <c r="F2159" t="s">
        <v>14</v>
      </c>
      <c r="G2159">
        <v>10000000</v>
      </c>
      <c r="H2159">
        <v>6.5</v>
      </c>
      <c r="I2159" t="s">
        <v>17</v>
      </c>
      <c r="J2159" t="s">
        <v>22</v>
      </c>
      <c r="K2159" t="s">
        <v>37</v>
      </c>
    </row>
    <row r="2160" spans="1:12" x14ac:dyDescent="0.25">
      <c r="A2160" t="s">
        <v>598</v>
      </c>
      <c r="B2160">
        <v>100</v>
      </c>
      <c r="C2160">
        <v>29392418</v>
      </c>
      <c r="D2160" t="s">
        <v>3524</v>
      </c>
      <c r="E2160" t="s">
        <v>13</v>
      </c>
      <c r="F2160" t="s">
        <v>14</v>
      </c>
      <c r="G2160">
        <v>10000000</v>
      </c>
      <c r="H2160">
        <v>5.8</v>
      </c>
      <c r="I2160" t="s">
        <v>34</v>
      </c>
      <c r="J2160" t="s">
        <v>15</v>
      </c>
      <c r="K2160" t="s">
        <v>38</v>
      </c>
    </row>
    <row r="2161" spans="1:13" x14ac:dyDescent="0.25">
      <c r="A2161" t="s">
        <v>287</v>
      </c>
      <c r="B2161">
        <v>107</v>
      </c>
      <c r="C2161">
        <v>29374178</v>
      </c>
      <c r="D2161" t="s">
        <v>3525</v>
      </c>
      <c r="E2161" t="s">
        <v>13</v>
      </c>
      <c r="F2161" t="s">
        <v>14</v>
      </c>
      <c r="G2161">
        <v>40000000</v>
      </c>
      <c r="H2161">
        <v>5.0999999999999996</v>
      </c>
      <c r="I2161" t="s">
        <v>38</v>
      </c>
      <c r="J2161" t="s">
        <v>31</v>
      </c>
      <c r="K2161" t="s">
        <v>22</v>
      </c>
      <c r="L2161" t="s">
        <v>24</v>
      </c>
    </row>
    <row r="2162" spans="1:13" x14ac:dyDescent="0.25">
      <c r="A2162" t="s">
        <v>3526</v>
      </c>
      <c r="B2162">
        <v>89</v>
      </c>
      <c r="C2162">
        <v>29302097</v>
      </c>
      <c r="D2162" t="s">
        <v>3527</v>
      </c>
      <c r="E2162" t="s">
        <v>13</v>
      </c>
      <c r="F2162" t="s">
        <v>241</v>
      </c>
      <c r="G2162">
        <v>15000000</v>
      </c>
      <c r="H2162">
        <v>4.5999999999999996</v>
      </c>
      <c r="I2162" t="s">
        <v>15</v>
      </c>
      <c r="J2162" t="s">
        <v>16</v>
      </c>
      <c r="K2162" t="s">
        <v>18</v>
      </c>
      <c r="L2162" t="s">
        <v>19</v>
      </c>
    </row>
    <row r="2163" spans="1:13" x14ac:dyDescent="0.25">
      <c r="A2163" t="s">
        <v>3528</v>
      </c>
      <c r="B2163">
        <v>93</v>
      </c>
      <c r="C2163">
        <v>29247405</v>
      </c>
      <c r="D2163" t="s">
        <v>3529</v>
      </c>
      <c r="E2163" t="s">
        <v>13</v>
      </c>
      <c r="F2163" t="s">
        <v>82</v>
      </c>
      <c r="G2163">
        <v>25000000</v>
      </c>
      <c r="H2163">
        <v>3.3</v>
      </c>
      <c r="I2163" t="s">
        <v>15</v>
      </c>
      <c r="J2163" t="s">
        <v>16</v>
      </c>
      <c r="K2163" t="s">
        <v>18</v>
      </c>
    </row>
    <row r="2164" spans="1:13" x14ac:dyDescent="0.25">
      <c r="A2164" t="s">
        <v>3530</v>
      </c>
      <c r="B2164">
        <v>125</v>
      </c>
      <c r="C2164">
        <v>29200000</v>
      </c>
      <c r="D2164" t="s">
        <v>3531</v>
      </c>
      <c r="E2164" t="s">
        <v>13</v>
      </c>
      <c r="F2164" t="s">
        <v>14</v>
      </c>
      <c r="G2164">
        <v>8500000</v>
      </c>
      <c r="H2164">
        <v>6.9</v>
      </c>
      <c r="I2164" t="s">
        <v>31</v>
      </c>
      <c r="J2164" t="s">
        <v>18</v>
      </c>
      <c r="K2164" t="s">
        <v>19</v>
      </c>
    </row>
    <row r="2165" spans="1:13" x14ac:dyDescent="0.25">
      <c r="A2165" t="s">
        <v>3010</v>
      </c>
      <c r="B2165">
        <v>87</v>
      </c>
      <c r="C2165">
        <v>29136626</v>
      </c>
      <c r="D2165" t="s">
        <v>3532</v>
      </c>
      <c r="E2165" t="s">
        <v>13</v>
      </c>
      <c r="F2165" t="s">
        <v>14</v>
      </c>
      <c r="G2165">
        <v>60000000</v>
      </c>
      <c r="H2165">
        <v>5.7</v>
      </c>
      <c r="I2165" t="s">
        <v>34</v>
      </c>
      <c r="J2165" t="s">
        <v>17</v>
      </c>
      <c r="K2165" t="s">
        <v>22</v>
      </c>
      <c r="L2165" t="s">
        <v>37</v>
      </c>
      <c r="M2165" t="s">
        <v>24</v>
      </c>
    </row>
    <row r="2166" spans="1:13" x14ac:dyDescent="0.25">
      <c r="A2166" t="s">
        <v>158</v>
      </c>
      <c r="B2166">
        <v>93</v>
      </c>
      <c r="C2166">
        <v>29113588</v>
      </c>
      <c r="D2166" t="s">
        <v>3533</v>
      </c>
      <c r="E2166" t="s">
        <v>13</v>
      </c>
      <c r="F2166" t="s">
        <v>14</v>
      </c>
      <c r="G2166">
        <v>40000000</v>
      </c>
      <c r="H2166">
        <v>6.6</v>
      </c>
      <c r="I2166" t="s">
        <v>34</v>
      </c>
      <c r="J2166" t="s">
        <v>38</v>
      </c>
      <c r="K2166" t="s">
        <v>24</v>
      </c>
    </row>
    <row r="2167" spans="1:13" x14ac:dyDescent="0.25">
      <c r="A2167" t="s">
        <v>3534</v>
      </c>
      <c r="B2167">
        <v>111</v>
      </c>
      <c r="C2167">
        <v>29106737</v>
      </c>
      <c r="D2167" t="s">
        <v>3535</v>
      </c>
      <c r="E2167" t="s">
        <v>13</v>
      </c>
      <c r="F2167" t="s">
        <v>14</v>
      </c>
      <c r="G2167">
        <v>15000000</v>
      </c>
      <c r="H2167">
        <v>6</v>
      </c>
      <c r="I2167" t="s">
        <v>15</v>
      </c>
      <c r="J2167" t="s">
        <v>31</v>
      </c>
      <c r="K2167" t="s">
        <v>19</v>
      </c>
    </row>
    <row r="2168" spans="1:13" x14ac:dyDescent="0.25">
      <c r="A2168" t="s">
        <v>264</v>
      </c>
      <c r="B2168">
        <v>135</v>
      </c>
      <c r="C2168">
        <v>29077547</v>
      </c>
      <c r="D2168" t="s">
        <v>3536</v>
      </c>
      <c r="E2168" t="s">
        <v>13</v>
      </c>
      <c r="F2168" t="s">
        <v>14</v>
      </c>
      <c r="G2168">
        <v>40000000</v>
      </c>
      <c r="H2168">
        <v>7</v>
      </c>
      <c r="I2168" t="s">
        <v>31</v>
      </c>
      <c r="J2168" t="s">
        <v>59</v>
      </c>
      <c r="K2168" t="s">
        <v>19</v>
      </c>
    </row>
    <row r="2169" spans="1:13" x14ac:dyDescent="0.25">
      <c r="A2169" t="s">
        <v>2887</v>
      </c>
      <c r="B2169">
        <v>101</v>
      </c>
      <c r="C2169">
        <v>29062561</v>
      </c>
      <c r="D2169" t="s">
        <v>3537</v>
      </c>
      <c r="E2169" t="s">
        <v>13</v>
      </c>
      <c r="F2169" t="s">
        <v>14</v>
      </c>
      <c r="G2169">
        <v>39751583.5</v>
      </c>
      <c r="H2169">
        <v>5.6</v>
      </c>
      <c r="I2169" t="s">
        <v>38</v>
      </c>
      <c r="J2169" t="s">
        <v>24</v>
      </c>
    </row>
    <row r="2170" spans="1:13" x14ac:dyDescent="0.25">
      <c r="A2170" t="s">
        <v>3538</v>
      </c>
      <c r="B2170">
        <v>109</v>
      </c>
      <c r="C2170">
        <v>28995450</v>
      </c>
      <c r="D2170" t="s">
        <v>3539</v>
      </c>
      <c r="E2170" t="s">
        <v>13</v>
      </c>
      <c r="F2170" t="s">
        <v>82</v>
      </c>
      <c r="G2170">
        <v>35000000</v>
      </c>
      <c r="H2170">
        <v>6.1</v>
      </c>
      <c r="I2170" t="s">
        <v>15</v>
      </c>
      <c r="J2170" t="s">
        <v>16</v>
      </c>
      <c r="K2170" t="s">
        <v>17</v>
      </c>
    </row>
    <row r="2171" spans="1:13" x14ac:dyDescent="0.25">
      <c r="A2171" t="s">
        <v>3540</v>
      </c>
      <c r="B2171">
        <v>92</v>
      </c>
      <c r="C2171">
        <v>28972187</v>
      </c>
      <c r="D2171" t="s">
        <v>3541</v>
      </c>
      <c r="E2171" t="s">
        <v>13</v>
      </c>
      <c r="F2171" t="s">
        <v>14</v>
      </c>
      <c r="G2171">
        <v>13000000</v>
      </c>
      <c r="H2171">
        <v>5.9</v>
      </c>
      <c r="I2171" t="s">
        <v>15</v>
      </c>
    </row>
    <row r="2172" spans="1:13" x14ac:dyDescent="0.25">
      <c r="A2172" t="s">
        <v>184</v>
      </c>
      <c r="B2172">
        <v>157</v>
      </c>
      <c r="C2172">
        <v>28965197</v>
      </c>
      <c r="D2172" t="s">
        <v>3542</v>
      </c>
      <c r="E2172" t="s">
        <v>13</v>
      </c>
      <c r="F2172" t="s">
        <v>14</v>
      </c>
      <c r="G2172">
        <v>68000000</v>
      </c>
      <c r="H2172">
        <v>7.9</v>
      </c>
      <c r="I2172" t="s">
        <v>42</v>
      </c>
      <c r="J2172" t="s">
        <v>31</v>
      </c>
      <c r="K2172" t="s">
        <v>24</v>
      </c>
    </row>
    <row r="2173" spans="1:13" x14ac:dyDescent="0.25">
      <c r="A2173" t="s">
        <v>3543</v>
      </c>
      <c r="B2173">
        <v>97</v>
      </c>
      <c r="C2173">
        <v>28927720</v>
      </c>
      <c r="D2173" t="s">
        <v>3544</v>
      </c>
      <c r="E2173" t="s">
        <v>13</v>
      </c>
      <c r="F2173" t="s">
        <v>14</v>
      </c>
      <c r="G2173">
        <v>33000000</v>
      </c>
      <c r="H2173">
        <v>5.3</v>
      </c>
      <c r="I2173" t="s">
        <v>38</v>
      </c>
      <c r="J2173" t="s">
        <v>22</v>
      </c>
      <c r="K2173" t="s">
        <v>23</v>
      </c>
      <c r="L2173" t="s">
        <v>24</v>
      </c>
    </row>
    <row r="2174" spans="1:13" x14ac:dyDescent="0.25">
      <c r="A2174" t="s">
        <v>113</v>
      </c>
      <c r="B2174">
        <v>96</v>
      </c>
      <c r="C2174">
        <v>28876924</v>
      </c>
      <c r="D2174" t="s">
        <v>3545</v>
      </c>
      <c r="E2174" t="s">
        <v>13</v>
      </c>
      <c r="F2174" t="s">
        <v>14</v>
      </c>
      <c r="G2174">
        <v>20000000</v>
      </c>
      <c r="H2174">
        <v>7.1</v>
      </c>
      <c r="I2174" t="s">
        <v>28</v>
      </c>
      <c r="J2174" t="s">
        <v>38</v>
      </c>
      <c r="K2174" t="s">
        <v>23</v>
      </c>
      <c r="L2174" t="s">
        <v>37</v>
      </c>
      <c r="M2174" t="s">
        <v>24</v>
      </c>
    </row>
    <row r="2175" spans="1:13" x14ac:dyDescent="0.25">
      <c r="A2175" t="s">
        <v>3546</v>
      </c>
      <c r="B2175">
        <v>106</v>
      </c>
      <c r="C2175">
        <v>28873374</v>
      </c>
      <c r="D2175" t="s">
        <v>3547</v>
      </c>
      <c r="E2175" t="s">
        <v>13</v>
      </c>
      <c r="F2175" t="s">
        <v>14</v>
      </c>
      <c r="G2175">
        <v>10000000</v>
      </c>
      <c r="H2175">
        <v>4.0999999999999996</v>
      </c>
      <c r="I2175" t="s">
        <v>52</v>
      </c>
      <c r="J2175" t="s">
        <v>18</v>
      </c>
    </row>
    <row r="2176" spans="1:13" x14ac:dyDescent="0.25">
      <c r="A2176" t="s">
        <v>1026</v>
      </c>
      <c r="B2176">
        <v>127</v>
      </c>
      <c r="C2176">
        <v>28871190</v>
      </c>
      <c r="D2176" t="s">
        <v>3548</v>
      </c>
      <c r="E2176" t="s">
        <v>13</v>
      </c>
      <c r="F2176" t="s">
        <v>14</v>
      </c>
      <c r="G2176">
        <v>24000000</v>
      </c>
      <c r="H2176">
        <v>7.3</v>
      </c>
      <c r="I2176" t="s">
        <v>42</v>
      </c>
      <c r="J2176" t="s">
        <v>31</v>
      </c>
    </row>
    <row r="2177" spans="1:12" x14ac:dyDescent="0.25">
      <c r="A2177" t="s">
        <v>822</v>
      </c>
      <c r="B2177">
        <v>102</v>
      </c>
      <c r="C2177">
        <v>28837115</v>
      </c>
      <c r="D2177" t="s">
        <v>3549</v>
      </c>
      <c r="E2177" t="s">
        <v>13</v>
      </c>
      <c r="F2177" t="s">
        <v>14</v>
      </c>
      <c r="G2177">
        <v>50000000</v>
      </c>
      <c r="H2177">
        <v>4.8</v>
      </c>
      <c r="I2177" t="s">
        <v>15</v>
      </c>
    </row>
    <row r="2178" spans="1:12" x14ac:dyDescent="0.25">
      <c r="A2178" t="s">
        <v>250</v>
      </c>
      <c r="B2178">
        <v>110</v>
      </c>
      <c r="C2178">
        <v>28831145</v>
      </c>
      <c r="D2178" t="s">
        <v>3550</v>
      </c>
      <c r="E2178" t="s">
        <v>13</v>
      </c>
      <c r="F2178" t="s">
        <v>14</v>
      </c>
      <c r="G2178">
        <v>25000000</v>
      </c>
      <c r="H2178">
        <v>6.8</v>
      </c>
      <c r="I2178" t="s">
        <v>31</v>
      </c>
      <c r="J2178" t="s">
        <v>41</v>
      </c>
    </row>
    <row r="2179" spans="1:12" x14ac:dyDescent="0.25">
      <c r="A2179" t="s">
        <v>3551</v>
      </c>
      <c r="B2179">
        <v>103</v>
      </c>
      <c r="C2179">
        <v>28751715</v>
      </c>
      <c r="D2179" t="s">
        <v>3552</v>
      </c>
      <c r="E2179" t="s">
        <v>13</v>
      </c>
      <c r="F2179" t="s">
        <v>14</v>
      </c>
      <c r="G2179">
        <v>28000000</v>
      </c>
      <c r="H2179">
        <v>6.6</v>
      </c>
      <c r="I2179" t="s">
        <v>34</v>
      </c>
      <c r="J2179" t="s">
        <v>15</v>
      </c>
      <c r="K2179" t="s">
        <v>38</v>
      </c>
    </row>
    <row r="2180" spans="1:12" x14ac:dyDescent="0.25">
      <c r="A2180" t="s">
        <v>508</v>
      </c>
      <c r="B2180">
        <v>110</v>
      </c>
      <c r="C2180">
        <v>28747570</v>
      </c>
      <c r="D2180" t="s">
        <v>3553</v>
      </c>
      <c r="E2180" t="s">
        <v>13</v>
      </c>
      <c r="F2180" t="s">
        <v>98</v>
      </c>
      <c r="G2180">
        <v>7000000</v>
      </c>
      <c r="H2180">
        <v>7.4</v>
      </c>
      <c r="I2180" t="s">
        <v>42</v>
      </c>
      <c r="J2180" t="s">
        <v>38</v>
      </c>
      <c r="K2180" t="s">
        <v>31</v>
      </c>
    </row>
    <row r="2181" spans="1:12" x14ac:dyDescent="0.25">
      <c r="A2181" t="s">
        <v>539</v>
      </c>
      <c r="B2181">
        <v>130</v>
      </c>
      <c r="C2181">
        <v>28734552</v>
      </c>
      <c r="D2181" t="s">
        <v>3554</v>
      </c>
      <c r="E2181" t="s">
        <v>13</v>
      </c>
      <c r="F2181" t="s">
        <v>14</v>
      </c>
      <c r="G2181">
        <v>16000000</v>
      </c>
      <c r="H2181">
        <v>6.4</v>
      </c>
      <c r="I2181" t="s">
        <v>38</v>
      </c>
      <c r="J2181" t="s">
        <v>31</v>
      </c>
      <c r="K2181" t="s">
        <v>19</v>
      </c>
      <c r="L2181" t="s">
        <v>24</v>
      </c>
    </row>
    <row r="2182" spans="1:12" x14ac:dyDescent="0.25">
      <c r="A2182" t="s">
        <v>2845</v>
      </c>
      <c r="B2182">
        <v>101</v>
      </c>
      <c r="C2182">
        <v>28687835</v>
      </c>
      <c r="D2182" t="s">
        <v>3555</v>
      </c>
      <c r="E2182" t="s">
        <v>13</v>
      </c>
      <c r="F2182" t="s">
        <v>14</v>
      </c>
      <c r="G2182">
        <v>35000000</v>
      </c>
      <c r="H2182">
        <v>6.2</v>
      </c>
      <c r="I2182" t="s">
        <v>38</v>
      </c>
      <c r="J2182" t="s">
        <v>31</v>
      </c>
      <c r="K2182" t="s">
        <v>24</v>
      </c>
    </row>
    <row r="2183" spans="1:12" x14ac:dyDescent="0.25">
      <c r="A2183" t="s">
        <v>771</v>
      </c>
      <c r="B2183">
        <v>131</v>
      </c>
      <c r="C2183">
        <v>28644770</v>
      </c>
      <c r="D2183" t="s">
        <v>3556</v>
      </c>
      <c r="E2183" t="s">
        <v>13</v>
      </c>
      <c r="F2183" t="s">
        <v>14</v>
      </c>
      <c r="G2183">
        <v>30000000</v>
      </c>
      <c r="H2183">
        <v>6.2</v>
      </c>
      <c r="I2183" t="s">
        <v>15</v>
      </c>
      <c r="J2183" t="s">
        <v>19</v>
      </c>
    </row>
    <row r="2184" spans="1:12" x14ac:dyDescent="0.25">
      <c r="A2184" t="s">
        <v>3557</v>
      </c>
      <c r="B2184">
        <v>100</v>
      </c>
      <c r="C2184">
        <v>28637507</v>
      </c>
      <c r="D2184" t="s">
        <v>3558</v>
      </c>
      <c r="E2184" t="s">
        <v>13</v>
      </c>
      <c r="F2184" t="s">
        <v>82</v>
      </c>
      <c r="G2184">
        <v>15000000</v>
      </c>
      <c r="H2184">
        <v>7</v>
      </c>
      <c r="I2184" t="s">
        <v>31</v>
      </c>
      <c r="J2184" t="s">
        <v>22</v>
      </c>
      <c r="K2184" t="s">
        <v>37</v>
      </c>
    </row>
    <row r="2185" spans="1:12" x14ac:dyDescent="0.25">
      <c r="A2185" t="s">
        <v>1109</v>
      </c>
      <c r="B2185">
        <v>85</v>
      </c>
      <c r="C2185">
        <v>28563926</v>
      </c>
      <c r="D2185" t="s">
        <v>3559</v>
      </c>
      <c r="E2185" t="s">
        <v>13</v>
      </c>
      <c r="F2185" t="s">
        <v>14</v>
      </c>
      <c r="G2185">
        <v>8500000</v>
      </c>
      <c r="H2185">
        <v>5</v>
      </c>
      <c r="I2185" t="s">
        <v>31</v>
      </c>
      <c r="J2185" t="s">
        <v>24</v>
      </c>
    </row>
    <row r="2186" spans="1:12" x14ac:dyDescent="0.25">
      <c r="A2186" t="s">
        <v>3560</v>
      </c>
      <c r="B2186">
        <v>117</v>
      </c>
      <c r="C2186">
        <v>28563179</v>
      </c>
      <c r="D2186" t="s">
        <v>3561</v>
      </c>
      <c r="E2186" t="s">
        <v>13</v>
      </c>
      <c r="F2186" t="s">
        <v>14</v>
      </c>
      <c r="G2186">
        <v>21000000</v>
      </c>
      <c r="H2186">
        <v>6.9</v>
      </c>
      <c r="I2186" t="s">
        <v>38</v>
      </c>
      <c r="J2186" t="s">
        <v>31</v>
      </c>
      <c r="K2186" t="s">
        <v>24</v>
      </c>
    </row>
    <row r="2187" spans="1:12" x14ac:dyDescent="0.25">
      <c r="A2187" t="s">
        <v>103</v>
      </c>
      <c r="B2187">
        <v>90</v>
      </c>
      <c r="C2187">
        <v>28535768</v>
      </c>
      <c r="D2187" t="s">
        <v>3562</v>
      </c>
      <c r="E2187" t="s">
        <v>13</v>
      </c>
      <c r="F2187" t="s">
        <v>14</v>
      </c>
      <c r="G2187">
        <v>40000000</v>
      </c>
      <c r="H2187">
        <v>5.3</v>
      </c>
      <c r="I2187" t="s">
        <v>15</v>
      </c>
    </row>
    <row r="2188" spans="1:12" x14ac:dyDescent="0.25">
      <c r="A2188" t="s">
        <v>3456</v>
      </c>
      <c r="B2188">
        <v>105</v>
      </c>
      <c r="C2188">
        <v>28501651</v>
      </c>
      <c r="D2188" t="s">
        <v>3563</v>
      </c>
      <c r="E2188" t="s">
        <v>13</v>
      </c>
      <c r="F2188" t="s">
        <v>14</v>
      </c>
      <c r="G2188">
        <v>26000000</v>
      </c>
      <c r="H2188">
        <v>7.1</v>
      </c>
      <c r="I2188" t="s">
        <v>31</v>
      </c>
      <c r="J2188" t="s">
        <v>24</v>
      </c>
    </row>
    <row r="2189" spans="1:12" x14ac:dyDescent="0.25">
      <c r="A2189" t="s">
        <v>3456</v>
      </c>
      <c r="B2189">
        <v>105</v>
      </c>
      <c r="C2189">
        <v>28501651</v>
      </c>
      <c r="D2189" t="s">
        <v>3563</v>
      </c>
      <c r="E2189" t="s">
        <v>13</v>
      </c>
      <c r="F2189" t="s">
        <v>14</v>
      </c>
      <c r="G2189">
        <v>26000000</v>
      </c>
      <c r="H2189">
        <v>7.1</v>
      </c>
      <c r="I2189" t="s">
        <v>31</v>
      </c>
      <c r="J2189" t="s">
        <v>24</v>
      </c>
    </row>
    <row r="2190" spans="1:12" x14ac:dyDescent="0.25">
      <c r="A2190" t="s">
        <v>3564</v>
      </c>
      <c r="B2190">
        <v>72</v>
      </c>
      <c r="C2190">
        <v>28501605</v>
      </c>
      <c r="D2190" t="s">
        <v>3565</v>
      </c>
      <c r="E2190" t="s">
        <v>13</v>
      </c>
      <c r="F2190" t="s">
        <v>14</v>
      </c>
      <c r="G2190">
        <v>13000000</v>
      </c>
      <c r="H2190">
        <v>5.7</v>
      </c>
      <c r="I2190" t="s">
        <v>17</v>
      </c>
      <c r="J2190" t="s">
        <v>22</v>
      </c>
    </row>
    <row r="2191" spans="1:12" x14ac:dyDescent="0.25">
      <c r="A2191" t="s">
        <v>3566</v>
      </c>
      <c r="B2191">
        <v>103</v>
      </c>
      <c r="C2191">
        <v>28435406</v>
      </c>
      <c r="D2191" t="s">
        <v>3567</v>
      </c>
      <c r="E2191" t="s">
        <v>13</v>
      </c>
      <c r="F2191" t="s">
        <v>14</v>
      </c>
      <c r="G2191">
        <v>12000000</v>
      </c>
      <c r="H2191">
        <v>5.5</v>
      </c>
      <c r="I2191" t="s">
        <v>15</v>
      </c>
      <c r="J2191" t="s">
        <v>19</v>
      </c>
    </row>
    <row r="2192" spans="1:12" x14ac:dyDescent="0.25">
      <c r="A2192" t="s">
        <v>60</v>
      </c>
      <c r="B2192">
        <v>86</v>
      </c>
      <c r="C2192">
        <v>28424210</v>
      </c>
      <c r="D2192" t="s">
        <v>3568</v>
      </c>
      <c r="E2192" t="s">
        <v>13</v>
      </c>
      <c r="F2192" t="s">
        <v>82</v>
      </c>
      <c r="G2192">
        <v>39751583.5</v>
      </c>
      <c r="H2192">
        <v>5</v>
      </c>
      <c r="I2192" t="s">
        <v>46</v>
      </c>
      <c r="J2192" t="s">
        <v>15</v>
      </c>
      <c r="K2192" t="s">
        <v>16</v>
      </c>
      <c r="L2192" t="s">
        <v>17</v>
      </c>
    </row>
    <row r="2193" spans="1:14" x14ac:dyDescent="0.25">
      <c r="A2193" t="s">
        <v>3569</v>
      </c>
      <c r="B2193">
        <v>90</v>
      </c>
      <c r="C2193">
        <v>28399192</v>
      </c>
      <c r="D2193" t="s">
        <v>3570</v>
      </c>
      <c r="E2193" t="s">
        <v>13</v>
      </c>
      <c r="F2193" t="s">
        <v>45</v>
      </c>
      <c r="G2193">
        <v>13000000</v>
      </c>
      <c r="H2193">
        <v>5.4</v>
      </c>
      <c r="I2193" t="s">
        <v>34</v>
      </c>
      <c r="J2193" t="s">
        <v>28</v>
      </c>
      <c r="K2193" t="s">
        <v>15</v>
      </c>
      <c r="L2193" t="s">
        <v>16</v>
      </c>
    </row>
    <row r="2194" spans="1:14" x14ac:dyDescent="0.25">
      <c r="A2194" t="s">
        <v>3571</v>
      </c>
      <c r="B2194">
        <v>142</v>
      </c>
      <c r="C2194">
        <v>28341469</v>
      </c>
      <c r="D2194" t="s">
        <v>3572</v>
      </c>
      <c r="E2194" t="s">
        <v>13</v>
      </c>
      <c r="F2194" t="s">
        <v>14</v>
      </c>
      <c r="G2194">
        <v>25000000</v>
      </c>
      <c r="H2194">
        <v>9.3000000000000007</v>
      </c>
      <c r="I2194" t="s">
        <v>38</v>
      </c>
      <c r="J2194" t="s">
        <v>31</v>
      </c>
    </row>
    <row r="2195" spans="1:14" x14ac:dyDescent="0.25">
      <c r="A2195" t="s">
        <v>239</v>
      </c>
      <c r="B2195">
        <v>97</v>
      </c>
      <c r="C2195">
        <v>28328132</v>
      </c>
      <c r="D2195" t="s">
        <v>3573</v>
      </c>
      <c r="E2195" t="s">
        <v>13</v>
      </c>
      <c r="F2195" t="s">
        <v>14</v>
      </c>
      <c r="G2195">
        <v>58000000</v>
      </c>
      <c r="H2195">
        <v>6.3</v>
      </c>
      <c r="I2195" t="s">
        <v>34</v>
      </c>
      <c r="J2195" t="s">
        <v>15</v>
      </c>
      <c r="K2195" t="s">
        <v>38</v>
      </c>
      <c r="L2195" t="s">
        <v>31</v>
      </c>
    </row>
    <row r="2196" spans="1:14" x14ac:dyDescent="0.25">
      <c r="A2196" t="s">
        <v>3574</v>
      </c>
      <c r="B2196">
        <v>111</v>
      </c>
      <c r="C2196">
        <v>28165882</v>
      </c>
      <c r="D2196" t="s">
        <v>3575</v>
      </c>
      <c r="E2196" t="s">
        <v>13</v>
      </c>
      <c r="F2196" t="s">
        <v>14</v>
      </c>
      <c r="G2196">
        <v>39751583.5</v>
      </c>
      <c r="H2196">
        <v>5.9</v>
      </c>
      <c r="I2196" t="s">
        <v>15</v>
      </c>
      <c r="J2196" t="s">
        <v>16</v>
      </c>
      <c r="K2196" t="s">
        <v>19</v>
      </c>
    </row>
    <row r="2197" spans="1:14" x14ac:dyDescent="0.25">
      <c r="A2197" t="s">
        <v>411</v>
      </c>
      <c r="B2197">
        <v>88</v>
      </c>
      <c r="C2197">
        <v>28133159</v>
      </c>
      <c r="D2197" t="s">
        <v>3576</v>
      </c>
      <c r="E2197" t="s">
        <v>13</v>
      </c>
      <c r="F2197" t="s">
        <v>14</v>
      </c>
      <c r="G2197">
        <v>50000000</v>
      </c>
      <c r="H2197">
        <v>5.9</v>
      </c>
      <c r="I2197" t="s">
        <v>28</v>
      </c>
      <c r="J2197" t="s">
        <v>46</v>
      </c>
      <c r="K2197" t="s">
        <v>15</v>
      </c>
      <c r="L2197" t="s">
        <v>16</v>
      </c>
      <c r="M2197" t="s">
        <v>17</v>
      </c>
    </row>
    <row r="2198" spans="1:14" x14ac:dyDescent="0.25">
      <c r="A2198" t="s">
        <v>539</v>
      </c>
      <c r="B2198">
        <v>106</v>
      </c>
      <c r="C2198">
        <v>28064226</v>
      </c>
      <c r="D2198" t="s">
        <v>3577</v>
      </c>
      <c r="E2198" t="s">
        <v>13</v>
      </c>
      <c r="F2198" t="s">
        <v>14</v>
      </c>
      <c r="G2198">
        <v>35000000</v>
      </c>
      <c r="H2198">
        <v>5</v>
      </c>
      <c r="I2198" t="s">
        <v>34</v>
      </c>
      <c r="J2198" t="s">
        <v>23</v>
      </c>
      <c r="K2198" t="s">
        <v>24</v>
      </c>
    </row>
    <row r="2199" spans="1:14" x14ac:dyDescent="0.25">
      <c r="A2199" t="s">
        <v>3578</v>
      </c>
      <c r="B2199">
        <v>101</v>
      </c>
      <c r="C2199">
        <v>28045540</v>
      </c>
      <c r="D2199" t="s">
        <v>3579</v>
      </c>
      <c r="E2199" t="s">
        <v>13</v>
      </c>
      <c r="F2199" t="s">
        <v>14</v>
      </c>
      <c r="G2199">
        <v>65000000</v>
      </c>
      <c r="H2199">
        <v>6.1</v>
      </c>
      <c r="I2199" t="s">
        <v>34</v>
      </c>
      <c r="J2199" t="s">
        <v>28</v>
      </c>
      <c r="K2199" t="s">
        <v>15</v>
      </c>
      <c r="L2199" t="s">
        <v>16</v>
      </c>
      <c r="M2199" t="s">
        <v>17</v>
      </c>
      <c r="N2199" t="s">
        <v>37</v>
      </c>
    </row>
    <row r="2200" spans="1:14" x14ac:dyDescent="0.25">
      <c r="A2200" t="s">
        <v>946</v>
      </c>
      <c r="B2200">
        <v>113</v>
      </c>
      <c r="C2200">
        <v>28031250</v>
      </c>
      <c r="D2200" t="s">
        <v>3580</v>
      </c>
      <c r="E2200" t="s">
        <v>13</v>
      </c>
      <c r="F2200" t="s">
        <v>82</v>
      </c>
      <c r="G2200">
        <v>60000000</v>
      </c>
      <c r="H2200">
        <v>5.2</v>
      </c>
      <c r="I2200" t="s">
        <v>34</v>
      </c>
      <c r="J2200" t="s">
        <v>28</v>
      </c>
      <c r="K2200" t="s">
        <v>22</v>
      </c>
      <c r="L2200" t="s">
        <v>37</v>
      </c>
    </row>
    <row r="2201" spans="1:14" x14ac:dyDescent="0.25">
      <c r="A2201" t="s">
        <v>3581</v>
      </c>
      <c r="B2201">
        <v>107</v>
      </c>
      <c r="C2201">
        <v>28014536</v>
      </c>
      <c r="D2201" t="s">
        <v>3582</v>
      </c>
      <c r="E2201" t="s">
        <v>13</v>
      </c>
      <c r="F2201" t="s">
        <v>14</v>
      </c>
      <c r="G2201">
        <v>15000000</v>
      </c>
      <c r="H2201">
        <v>7.4</v>
      </c>
      <c r="I2201" t="s">
        <v>34</v>
      </c>
      <c r="J2201" t="s">
        <v>15</v>
      </c>
      <c r="K2201" t="s">
        <v>38</v>
      </c>
      <c r="L2201" t="s">
        <v>19</v>
      </c>
      <c r="M2201" t="s">
        <v>24</v>
      </c>
    </row>
    <row r="2202" spans="1:14" x14ac:dyDescent="0.25">
      <c r="A2202" t="s">
        <v>3583</v>
      </c>
      <c r="B2202">
        <v>84</v>
      </c>
      <c r="C2202">
        <v>27979400</v>
      </c>
      <c r="D2202" t="s">
        <v>3584</v>
      </c>
      <c r="E2202" t="s">
        <v>13</v>
      </c>
      <c r="F2202" t="s">
        <v>14</v>
      </c>
      <c r="G2202">
        <v>8200000</v>
      </c>
      <c r="H2202">
        <v>6.1</v>
      </c>
      <c r="I2202" t="s">
        <v>34</v>
      </c>
      <c r="J2202" t="s">
        <v>15</v>
      </c>
      <c r="K2202" t="s">
        <v>38</v>
      </c>
    </row>
    <row r="2203" spans="1:14" x14ac:dyDescent="0.25">
      <c r="A2203" t="s">
        <v>3585</v>
      </c>
      <c r="B2203">
        <v>87</v>
      </c>
      <c r="C2203">
        <v>27972410</v>
      </c>
      <c r="D2203" t="s">
        <v>3586</v>
      </c>
      <c r="E2203" t="s">
        <v>13</v>
      </c>
      <c r="F2203" t="s">
        <v>82</v>
      </c>
      <c r="G2203">
        <v>35000000</v>
      </c>
      <c r="H2203">
        <v>6.1</v>
      </c>
      <c r="I2203" t="s">
        <v>34</v>
      </c>
      <c r="J2203" t="s">
        <v>28</v>
      </c>
      <c r="K2203" t="s">
        <v>15</v>
      </c>
    </row>
    <row r="2204" spans="1:14" x14ac:dyDescent="0.25">
      <c r="A2204" t="s">
        <v>93</v>
      </c>
      <c r="B2204">
        <v>97</v>
      </c>
      <c r="C2204">
        <v>27900000</v>
      </c>
      <c r="D2204" t="s">
        <v>3587</v>
      </c>
      <c r="E2204" t="s">
        <v>13</v>
      </c>
      <c r="F2204" t="s">
        <v>14</v>
      </c>
      <c r="G2204">
        <v>3500000</v>
      </c>
      <c r="H2204">
        <v>7.3</v>
      </c>
      <c r="I2204" t="s">
        <v>15</v>
      </c>
      <c r="J2204" t="s">
        <v>31</v>
      </c>
    </row>
    <row r="2205" spans="1:14" x14ac:dyDescent="0.25">
      <c r="A2205" t="s">
        <v>214</v>
      </c>
      <c r="B2205">
        <v>97</v>
      </c>
      <c r="C2205">
        <v>27900000</v>
      </c>
      <c r="D2205" t="s">
        <v>3588</v>
      </c>
      <c r="E2205" t="s">
        <v>13</v>
      </c>
      <c r="F2205" t="s">
        <v>14</v>
      </c>
      <c r="G2205">
        <v>3500000</v>
      </c>
      <c r="H2205">
        <v>7.5</v>
      </c>
      <c r="I2205" t="s">
        <v>38</v>
      </c>
      <c r="J2205" t="s">
        <v>31</v>
      </c>
      <c r="K2205" t="s">
        <v>24</v>
      </c>
    </row>
    <row r="2206" spans="1:14" x14ac:dyDescent="0.25">
      <c r="A2206" t="s">
        <v>3589</v>
      </c>
      <c r="B2206">
        <v>86</v>
      </c>
      <c r="C2206">
        <v>27854896</v>
      </c>
      <c r="D2206" t="s">
        <v>3590</v>
      </c>
      <c r="E2206" t="s">
        <v>13</v>
      </c>
      <c r="F2206" t="s">
        <v>14</v>
      </c>
      <c r="G2206">
        <v>17000000</v>
      </c>
      <c r="H2206">
        <v>5.6</v>
      </c>
      <c r="I2206" t="s">
        <v>31</v>
      </c>
      <c r="J2206" t="s">
        <v>17</v>
      </c>
      <c r="K2206" t="s">
        <v>19</v>
      </c>
    </row>
    <row r="2207" spans="1:14" x14ac:dyDescent="0.25">
      <c r="A2207" t="s">
        <v>1078</v>
      </c>
      <c r="B2207">
        <v>93</v>
      </c>
      <c r="C2207">
        <v>27829874</v>
      </c>
      <c r="D2207" t="s">
        <v>3591</v>
      </c>
      <c r="E2207" t="s">
        <v>13</v>
      </c>
      <c r="F2207" t="s">
        <v>14</v>
      </c>
      <c r="G2207">
        <v>12000000</v>
      </c>
      <c r="H2207">
        <v>7</v>
      </c>
      <c r="I2207" t="s">
        <v>34</v>
      </c>
      <c r="J2207" t="s">
        <v>38</v>
      </c>
      <c r="K2207" t="s">
        <v>24</v>
      </c>
    </row>
    <row r="2208" spans="1:14" x14ac:dyDescent="0.25">
      <c r="A2208" t="s">
        <v>3571</v>
      </c>
      <c r="B2208">
        <v>152</v>
      </c>
      <c r="C2208">
        <v>27796042</v>
      </c>
      <c r="D2208" t="s">
        <v>3592</v>
      </c>
      <c r="E2208" t="s">
        <v>13</v>
      </c>
      <c r="F2208" t="s">
        <v>14</v>
      </c>
      <c r="G2208">
        <v>72000000</v>
      </c>
      <c r="H2208">
        <v>6.9</v>
      </c>
      <c r="I2208" t="s">
        <v>31</v>
      </c>
      <c r="J2208" t="s">
        <v>19</v>
      </c>
    </row>
    <row r="2209" spans="1:12" x14ac:dyDescent="0.25">
      <c r="A2209" t="s">
        <v>547</v>
      </c>
      <c r="B2209">
        <v>117</v>
      </c>
      <c r="C2209">
        <v>27779888</v>
      </c>
      <c r="D2209" t="s">
        <v>3593</v>
      </c>
      <c r="E2209" t="s">
        <v>13</v>
      </c>
      <c r="F2209" t="s">
        <v>14</v>
      </c>
      <c r="G2209">
        <v>39751583.5</v>
      </c>
      <c r="H2209">
        <v>6.9</v>
      </c>
      <c r="I2209" t="s">
        <v>34</v>
      </c>
      <c r="J2209" t="s">
        <v>28</v>
      </c>
      <c r="K2209" t="s">
        <v>31</v>
      </c>
      <c r="L2209" t="s">
        <v>24</v>
      </c>
    </row>
    <row r="2210" spans="1:12" x14ac:dyDescent="0.25">
      <c r="A2210" t="s">
        <v>3594</v>
      </c>
      <c r="B2210">
        <v>101</v>
      </c>
      <c r="C2210">
        <v>27758465</v>
      </c>
      <c r="D2210" t="s">
        <v>3595</v>
      </c>
      <c r="E2210" t="s">
        <v>13</v>
      </c>
      <c r="F2210" t="s">
        <v>14</v>
      </c>
      <c r="G2210">
        <v>19000000</v>
      </c>
      <c r="H2210">
        <v>6.1</v>
      </c>
      <c r="I2210" t="s">
        <v>15</v>
      </c>
      <c r="J2210" t="s">
        <v>31</v>
      </c>
      <c r="K2210" t="s">
        <v>19</v>
      </c>
    </row>
    <row r="2211" spans="1:12" x14ac:dyDescent="0.25">
      <c r="A2211" t="s">
        <v>3596</v>
      </c>
      <c r="B2211">
        <v>97</v>
      </c>
      <c r="C2211">
        <v>27736779</v>
      </c>
      <c r="D2211" t="s">
        <v>3597</v>
      </c>
      <c r="E2211" t="s">
        <v>13</v>
      </c>
      <c r="F2211" t="s">
        <v>14</v>
      </c>
      <c r="G2211">
        <v>10000000</v>
      </c>
      <c r="H2211">
        <v>5.2</v>
      </c>
      <c r="I2211" t="s">
        <v>22</v>
      </c>
      <c r="J2211" t="s">
        <v>23</v>
      </c>
      <c r="K2211" t="s">
        <v>24</v>
      </c>
    </row>
    <row r="2212" spans="1:12" x14ac:dyDescent="0.25">
      <c r="A2212" t="s">
        <v>2694</v>
      </c>
      <c r="B2212">
        <v>104</v>
      </c>
      <c r="C2212">
        <v>27689474</v>
      </c>
      <c r="D2212" t="s">
        <v>3598</v>
      </c>
      <c r="E2212" t="s">
        <v>13</v>
      </c>
      <c r="F2212" t="s">
        <v>14</v>
      </c>
      <c r="G2212">
        <v>5000000</v>
      </c>
      <c r="H2212">
        <v>6.5</v>
      </c>
      <c r="I2212" t="s">
        <v>22</v>
      </c>
      <c r="J2212" t="s">
        <v>23</v>
      </c>
    </row>
    <row r="2213" spans="1:12" x14ac:dyDescent="0.25">
      <c r="A2213" t="s">
        <v>2823</v>
      </c>
      <c r="B2213">
        <v>92</v>
      </c>
      <c r="C2213">
        <v>27669413</v>
      </c>
      <c r="D2213" t="s">
        <v>3599</v>
      </c>
      <c r="E2213" t="s">
        <v>13</v>
      </c>
      <c r="F2213" t="s">
        <v>98</v>
      </c>
      <c r="G2213">
        <v>11000000</v>
      </c>
      <c r="H2213">
        <v>6</v>
      </c>
      <c r="I2213" t="s">
        <v>22</v>
      </c>
      <c r="J2213" t="s">
        <v>23</v>
      </c>
    </row>
    <row r="2214" spans="1:12" x14ac:dyDescent="0.25">
      <c r="A2214" t="s">
        <v>3600</v>
      </c>
      <c r="B2214">
        <v>131</v>
      </c>
      <c r="C2214">
        <v>27667947</v>
      </c>
      <c r="D2214" t="s">
        <v>3601</v>
      </c>
      <c r="E2214" t="s">
        <v>13</v>
      </c>
      <c r="F2214" t="s">
        <v>82</v>
      </c>
      <c r="G2214">
        <v>50000000</v>
      </c>
      <c r="H2214">
        <v>6.2</v>
      </c>
      <c r="I2214" t="s">
        <v>38</v>
      </c>
      <c r="J2214" t="s">
        <v>31</v>
      </c>
      <c r="K2214" t="s">
        <v>24</v>
      </c>
    </row>
    <row r="2215" spans="1:12" x14ac:dyDescent="0.25">
      <c r="A2215" t="s">
        <v>1776</v>
      </c>
      <c r="B2215">
        <v>99</v>
      </c>
      <c r="C2215">
        <v>27663982</v>
      </c>
      <c r="D2215" t="s">
        <v>3602</v>
      </c>
      <c r="E2215" t="s">
        <v>13</v>
      </c>
      <c r="F2215" t="s">
        <v>14</v>
      </c>
      <c r="G2215">
        <v>40000000</v>
      </c>
      <c r="H2215">
        <v>4.4000000000000004</v>
      </c>
      <c r="I2215" t="s">
        <v>22</v>
      </c>
      <c r="J2215" t="s">
        <v>37</v>
      </c>
      <c r="K2215" t="s">
        <v>24</v>
      </c>
    </row>
    <row r="2216" spans="1:12" x14ac:dyDescent="0.25">
      <c r="A2216" t="s">
        <v>3182</v>
      </c>
      <c r="B2216">
        <v>117</v>
      </c>
      <c r="C2216">
        <v>27550735</v>
      </c>
      <c r="D2216" t="s">
        <v>3603</v>
      </c>
      <c r="E2216" t="s">
        <v>13</v>
      </c>
      <c r="F2216" t="s">
        <v>14</v>
      </c>
      <c r="G2216">
        <v>39751583.5</v>
      </c>
      <c r="H2216">
        <v>6.8</v>
      </c>
      <c r="I2216" t="s">
        <v>34</v>
      </c>
      <c r="J2216" t="s">
        <v>31</v>
      </c>
      <c r="K2216" t="s">
        <v>64</v>
      </c>
      <c r="L2216" t="s">
        <v>24</v>
      </c>
    </row>
    <row r="2217" spans="1:12" x14ac:dyDescent="0.25">
      <c r="A2217" t="s">
        <v>302</v>
      </c>
      <c r="B2217">
        <v>120</v>
      </c>
      <c r="C2217">
        <v>27545445</v>
      </c>
      <c r="D2217" t="s">
        <v>3604</v>
      </c>
      <c r="E2217" t="s">
        <v>13</v>
      </c>
      <c r="F2217" t="s">
        <v>14</v>
      </c>
      <c r="G2217">
        <v>6500000</v>
      </c>
      <c r="H2217">
        <v>7.9</v>
      </c>
      <c r="I2217" t="s">
        <v>31</v>
      </c>
    </row>
    <row r="2218" spans="1:12" x14ac:dyDescent="0.25">
      <c r="A2218" t="s">
        <v>539</v>
      </c>
      <c r="B2218">
        <v>109</v>
      </c>
      <c r="C2218">
        <v>27515786</v>
      </c>
      <c r="D2218" t="s">
        <v>3605</v>
      </c>
      <c r="E2218" t="s">
        <v>13</v>
      </c>
      <c r="F2218" t="s">
        <v>14</v>
      </c>
      <c r="G2218">
        <v>14000000</v>
      </c>
      <c r="H2218">
        <v>5.9</v>
      </c>
      <c r="I2218" t="s">
        <v>31</v>
      </c>
      <c r="J2218" t="s">
        <v>19</v>
      </c>
    </row>
    <row r="2219" spans="1:12" x14ac:dyDescent="0.25">
      <c r="A2219" t="s">
        <v>3606</v>
      </c>
      <c r="B2219">
        <v>106</v>
      </c>
      <c r="C2219">
        <v>27457409</v>
      </c>
      <c r="D2219" t="s">
        <v>3607</v>
      </c>
      <c r="E2219" t="s">
        <v>13</v>
      </c>
      <c r="F2219" t="s">
        <v>14</v>
      </c>
      <c r="G2219">
        <v>6000000</v>
      </c>
      <c r="H2219">
        <v>6.3</v>
      </c>
      <c r="I2219" t="s">
        <v>15</v>
      </c>
      <c r="J2219" t="s">
        <v>31</v>
      </c>
    </row>
    <row r="2220" spans="1:12" x14ac:dyDescent="0.25">
      <c r="A2220" t="s">
        <v>3115</v>
      </c>
      <c r="B2220">
        <v>124</v>
      </c>
      <c r="C2220">
        <v>27441122</v>
      </c>
      <c r="D2220" t="s">
        <v>3608</v>
      </c>
      <c r="E2220" t="s">
        <v>13</v>
      </c>
      <c r="F2220" t="s">
        <v>14</v>
      </c>
      <c r="G2220">
        <v>15000000</v>
      </c>
      <c r="H2220">
        <v>7.2</v>
      </c>
      <c r="I2220" t="s">
        <v>31</v>
      </c>
      <c r="J2220" t="s">
        <v>19</v>
      </c>
      <c r="K2220" t="s">
        <v>41</v>
      </c>
    </row>
    <row r="2221" spans="1:12" x14ac:dyDescent="0.25">
      <c r="A2221" t="s">
        <v>1984</v>
      </c>
      <c r="B2221">
        <v>177</v>
      </c>
      <c r="C2221">
        <v>27400000</v>
      </c>
      <c r="D2221" t="s">
        <v>3609</v>
      </c>
      <c r="E2221" t="s">
        <v>13</v>
      </c>
      <c r="F2221" t="s">
        <v>14</v>
      </c>
      <c r="G2221">
        <v>40000000</v>
      </c>
      <c r="H2221">
        <v>6.6</v>
      </c>
      <c r="I2221" t="s">
        <v>34</v>
      </c>
      <c r="J2221" t="s">
        <v>28</v>
      </c>
      <c r="K2221" t="s">
        <v>37</v>
      </c>
    </row>
    <row r="2222" spans="1:12" x14ac:dyDescent="0.25">
      <c r="A2222" t="s">
        <v>3610</v>
      </c>
      <c r="B2222">
        <v>109</v>
      </c>
      <c r="C2222">
        <v>27362712</v>
      </c>
      <c r="D2222" t="s">
        <v>3611</v>
      </c>
      <c r="E2222" t="s">
        <v>13</v>
      </c>
      <c r="F2222" t="s">
        <v>14</v>
      </c>
      <c r="G2222">
        <v>8000000</v>
      </c>
      <c r="H2222">
        <v>6.5</v>
      </c>
      <c r="I2222" t="s">
        <v>15</v>
      </c>
      <c r="J2222" t="s">
        <v>31</v>
      </c>
      <c r="K2222" t="s">
        <v>18</v>
      </c>
      <c r="L2222" t="s">
        <v>19</v>
      </c>
    </row>
    <row r="2223" spans="1:12" x14ac:dyDescent="0.25">
      <c r="A2223" t="s">
        <v>3060</v>
      </c>
      <c r="B2223">
        <v>106</v>
      </c>
      <c r="C2223">
        <v>27356090</v>
      </c>
      <c r="D2223" t="s">
        <v>3612</v>
      </c>
      <c r="E2223" t="s">
        <v>13</v>
      </c>
      <c r="F2223" t="s">
        <v>14</v>
      </c>
      <c r="G2223">
        <v>90000000</v>
      </c>
      <c r="H2223">
        <v>6</v>
      </c>
      <c r="I2223" t="s">
        <v>34</v>
      </c>
      <c r="J2223" t="s">
        <v>28</v>
      </c>
      <c r="K2223" t="s">
        <v>17</v>
      </c>
    </row>
    <row r="2224" spans="1:12" x14ac:dyDescent="0.25">
      <c r="A2224" t="s">
        <v>3613</v>
      </c>
      <c r="B2224">
        <v>97</v>
      </c>
      <c r="C2224">
        <v>27338033</v>
      </c>
      <c r="D2224" t="s">
        <v>3614</v>
      </c>
      <c r="E2224" t="s">
        <v>13</v>
      </c>
      <c r="F2224" t="s">
        <v>14</v>
      </c>
      <c r="G2224">
        <v>23000000</v>
      </c>
      <c r="H2224">
        <v>6.1</v>
      </c>
      <c r="I2224" t="s">
        <v>15</v>
      </c>
      <c r="J2224" t="s">
        <v>19</v>
      </c>
    </row>
    <row r="2225" spans="1:13" x14ac:dyDescent="0.25">
      <c r="A2225" t="s">
        <v>3111</v>
      </c>
      <c r="B2225">
        <v>117</v>
      </c>
      <c r="C2225">
        <v>27296514</v>
      </c>
      <c r="D2225" t="s">
        <v>3615</v>
      </c>
      <c r="E2225" t="s">
        <v>13</v>
      </c>
      <c r="F2225" t="s">
        <v>14</v>
      </c>
      <c r="G2225">
        <v>5000000</v>
      </c>
      <c r="H2225">
        <v>8</v>
      </c>
      <c r="I2225" t="s">
        <v>42</v>
      </c>
      <c r="J2225" t="s">
        <v>31</v>
      </c>
    </row>
    <row r="2226" spans="1:13" x14ac:dyDescent="0.25">
      <c r="A2226" t="s">
        <v>3312</v>
      </c>
      <c r="B2226">
        <v>103</v>
      </c>
      <c r="C2226">
        <v>27285953</v>
      </c>
      <c r="D2226" t="s">
        <v>3616</v>
      </c>
      <c r="E2226" t="s">
        <v>13</v>
      </c>
      <c r="F2226" t="s">
        <v>14</v>
      </c>
      <c r="G2226">
        <v>5000000</v>
      </c>
      <c r="H2226">
        <v>6.8</v>
      </c>
      <c r="I2226" t="s">
        <v>34</v>
      </c>
      <c r="J2226" t="s">
        <v>24</v>
      </c>
    </row>
    <row r="2227" spans="1:13" x14ac:dyDescent="0.25">
      <c r="A2227" t="s">
        <v>3617</v>
      </c>
      <c r="B2227">
        <v>89</v>
      </c>
      <c r="C2227">
        <v>27281507</v>
      </c>
      <c r="D2227" t="s">
        <v>3618</v>
      </c>
      <c r="E2227" t="s">
        <v>13</v>
      </c>
      <c r="F2227" t="s">
        <v>14</v>
      </c>
      <c r="G2227">
        <v>12000000</v>
      </c>
      <c r="H2227">
        <v>7.7</v>
      </c>
      <c r="I2227" t="s">
        <v>15</v>
      </c>
      <c r="J2227" t="s">
        <v>31</v>
      </c>
      <c r="K2227" t="s">
        <v>16</v>
      </c>
      <c r="L2227" t="s">
        <v>17</v>
      </c>
      <c r="M2227" t="s">
        <v>59</v>
      </c>
    </row>
    <row r="2228" spans="1:13" x14ac:dyDescent="0.25">
      <c r="A2228" t="s">
        <v>932</v>
      </c>
      <c r="B2228">
        <v>113</v>
      </c>
      <c r="C2228">
        <v>27277055</v>
      </c>
      <c r="D2228" t="s">
        <v>3619</v>
      </c>
      <c r="E2228" t="s">
        <v>13</v>
      </c>
      <c r="F2228" t="s">
        <v>82</v>
      </c>
      <c r="G2228">
        <v>20000000</v>
      </c>
      <c r="H2228">
        <v>7.6</v>
      </c>
      <c r="I2228" t="s">
        <v>15</v>
      </c>
      <c r="J2228" t="s">
        <v>31</v>
      </c>
      <c r="K2228" t="s">
        <v>18</v>
      </c>
      <c r="L2228" t="s">
        <v>19</v>
      </c>
    </row>
    <row r="2229" spans="1:13" x14ac:dyDescent="0.25">
      <c r="A2229" t="s">
        <v>3620</v>
      </c>
      <c r="B2229">
        <v>161</v>
      </c>
      <c r="C2229">
        <v>27200000</v>
      </c>
      <c r="D2229" t="s">
        <v>3621</v>
      </c>
      <c r="E2229" t="s">
        <v>13</v>
      </c>
      <c r="F2229" t="s">
        <v>82</v>
      </c>
      <c r="G2229">
        <v>3000000</v>
      </c>
      <c r="H2229">
        <v>8.1999999999999993</v>
      </c>
      <c r="I2229" t="s">
        <v>28</v>
      </c>
      <c r="J2229" t="s">
        <v>31</v>
      </c>
      <c r="K2229" t="s">
        <v>83</v>
      </c>
    </row>
    <row r="2230" spans="1:13" x14ac:dyDescent="0.25">
      <c r="A2230" t="s">
        <v>147</v>
      </c>
      <c r="B2230">
        <v>132</v>
      </c>
      <c r="C2230">
        <v>27154426</v>
      </c>
      <c r="D2230" t="s">
        <v>3622</v>
      </c>
      <c r="E2230" t="s">
        <v>13</v>
      </c>
      <c r="F2230" t="s">
        <v>14</v>
      </c>
      <c r="G2230">
        <v>17000000</v>
      </c>
      <c r="H2230">
        <v>6.7</v>
      </c>
      <c r="I2230" t="s">
        <v>38</v>
      </c>
      <c r="J2230" t="s">
        <v>31</v>
      </c>
      <c r="K2230" t="s">
        <v>24</v>
      </c>
    </row>
    <row r="2231" spans="1:13" x14ac:dyDescent="0.25">
      <c r="A2231" t="s">
        <v>96</v>
      </c>
      <c r="B2231">
        <v>97</v>
      </c>
      <c r="C2231">
        <v>27141959</v>
      </c>
      <c r="D2231" t="s">
        <v>3623</v>
      </c>
      <c r="E2231" t="s">
        <v>13</v>
      </c>
      <c r="F2231" t="s">
        <v>14</v>
      </c>
      <c r="G2231">
        <v>18000000</v>
      </c>
      <c r="H2231">
        <v>2.5</v>
      </c>
      <c r="I2231" t="s">
        <v>15</v>
      </c>
      <c r="J2231" t="s">
        <v>38</v>
      </c>
      <c r="K2231" t="s">
        <v>16</v>
      </c>
      <c r="L2231" t="s">
        <v>37</v>
      </c>
    </row>
    <row r="2232" spans="1:13" x14ac:dyDescent="0.25">
      <c r="A2232" t="s">
        <v>3205</v>
      </c>
      <c r="B2232">
        <v>91</v>
      </c>
      <c r="C2232">
        <v>27087695</v>
      </c>
      <c r="D2232" t="s">
        <v>3624</v>
      </c>
      <c r="E2232" t="s">
        <v>13</v>
      </c>
      <c r="F2232" t="s">
        <v>14</v>
      </c>
      <c r="G2232">
        <v>17700000</v>
      </c>
      <c r="H2232">
        <v>5.9</v>
      </c>
      <c r="I2232" t="s">
        <v>28</v>
      </c>
      <c r="J2232" t="s">
        <v>15</v>
      </c>
      <c r="K2232" t="s">
        <v>31</v>
      </c>
    </row>
    <row r="2233" spans="1:13" x14ac:dyDescent="0.25">
      <c r="A2233" t="s">
        <v>231</v>
      </c>
      <c r="B2233">
        <v>95</v>
      </c>
      <c r="C2233">
        <v>27067160</v>
      </c>
      <c r="D2233" t="s">
        <v>3625</v>
      </c>
      <c r="E2233" t="s">
        <v>13</v>
      </c>
      <c r="F2233" t="s">
        <v>14</v>
      </c>
      <c r="G2233">
        <v>50000000</v>
      </c>
      <c r="H2233">
        <v>5.9</v>
      </c>
      <c r="I2233" t="s">
        <v>15</v>
      </c>
      <c r="J2233" t="s">
        <v>31</v>
      </c>
      <c r="K2233" t="s">
        <v>19</v>
      </c>
    </row>
    <row r="2234" spans="1:13" x14ac:dyDescent="0.25">
      <c r="A2234" t="s">
        <v>679</v>
      </c>
      <c r="B2234">
        <v>104</v>
      </c>
      <c r="C2234">
        <v>27053815</v>
      </c>
      <c r="D2234" t="s">
        <v>3626</v>
      </c>
      <c r="E2234" t="s">
        <v>13</v>
      </c>
      <c r="F2234" t="s">
        <v>241</v>
      </c>
      <c r="G2234">
        <v>40000000</v>
      </c>
      <c r="H2234">
        <v>4.7</v>
      </c>
      <c r="I2234" t="s">
        <v>34</v>
      </c>
      <c r="J2234" t="s">
        <v>28</v>
      </c>
      <c r="K2234" t="s">
        <v>19</v>
      </c>
    </row>
    <row r="2235" spans="1:13" x14ac:dyDescent="0.25">
      <c r="A2235" t="s">
        <v>3627</v>
      </c>
      <c r="B2235">
        <v>91</v>
      </c>
      <c r="C2235">
        <v>27052167</v>
      </c>
      <c r="D2235" t="s">
        <v>3628</v>
      </c>
      <c r="E2235" t="s">
        <v>13</v>
      </c>
      <c r="F2235" t="s">
        <v>14</v>
      </c>
      <c r="G2235">
        <v>13000000</v>
      </c>
      <c r="H2235">
        <v>6.1</v>
      </c>
      <c r="I2235" t="s">
        <v>34</v>
      </c>
      <c r="J2235" t="s">
        <v>15</v>
      </c>
      <c r="K2235" t="s">
        <v>38</v>
      </c>
      <c r="L2235" t="s">
        <v>24</v>
      </c>
    </row>
    <row r="2236" spans="1:13" x14ac:dyDescent="0.25">
      <c r="A2236" t="s">
        <v>456</v>
      </c>
      <c r="B2236">
        <v>117</v>
      </c>
      <c r="C2236">
        <v>27000000</v>
      </c>
      <c r="D2236" t="s">
        <v>3629</v>
      </c>
      <c r="E2236" t="s">
        <v>13</v>
      </c>
      <c r="F2236" t="s">
        <v>14</v>
      </c>
      <c r="G2236">
        <v>28000000</v>
      </c>
      <c r="H2236">
        <v>8.1999999999999993</v>
      </c>
      <c r="I2236" t="s">
        <v>37</v>
      </c>
      <c r="J2236" t="s">
        <v>24</v>
      </c>
    </row>
    <row r="2237" spans="1:13" x14ac:dyDescent="0.25">
      <c r="A2237" t="s">
        <v>3630</v>
      </c>
      <c r="B2237">
        <v>81</v>
      </c>
      <c r="C2237">
        <v>26906039</v>
      </c>
      <c r="D2237" t="s">
        <v>3631</v>
      </c>
      <c r="E2237" t="s">
        <v>13</v>
      </c>
      <c r="F2237" t="s">
        <v>14</v>
      </c>
      <c r="G2237">
        <v>18000000</v>
      </c>
      <c r="H2237">
        <v>5.3</v>
      </c>
      <c r="I2237" t="s">
        <v>34</v>
      </c>
      <c r="J2237" t="s">
        <v>15</v>
      </c>
    </row>
    <row r="2238" spans="1:13" x14ac:dyDescent="0.25">
      <c r="A2238" t="s">
        <v>638</v>
      </c>
      <c r="B2238">
        <v>123</v>
      </c>
      <c r="C2238">
        <v>26903709</v>
      </c>
      <c r="D2238" t="s">
        <v>3632</v>
      </c>
      <c r="E2238" t="s">
        <v>13</v>
      </c>
      <c r="F2238" t="s">
        <v>82</v>
      </c>
      <c r="G2238">
        <v>38000000</v>
      </c>
      <c r="H2238">
        <v>8.1</v>
      </c>
      <c r="I2238" t="s">
        <v>34</v>
      </c>
      <c r="J2238" t="s">
        <v>42</v>
      </c>
      <c r="K2238" t="s">
        <v>31</v>
      </c>
      <c r="L2238" t="s">
        <v>41</v>
      </c>
    </row>
    <row r="2239" spans="1:13" x14ac:dyDescent="0.25">
      <c r="A2239" t="s">
        <v>3633</v>
      </c>
      <c r="B2239">
        <v>114</v>
      </c>
      <c r="C2239">
        <v>26896744</v>
      </c>
      <c r="D2239" t="s">
        <v>3634</v>
      </c>
      <c r="E2239" t="s">
        <v>13</v>
      </c>
      <c r="F2239" t="s">
        <v>14</v>
      </c>
      <c r="G2239">
        <v>16500000</v>
      </c>
      <c r="H2239">
        <v>4.9000000000000004</v>
      </c>
      <c r="I2239" t="s">
        <v>15</v>
      </c>
      <c r="J2239" t="s">
        <v>31</v>
      </c>
    </row>
    <row r="2240" spans="1:13" x14ac:dyDescent="0.25">
      <c r="A2240" t="s">
        <v>1765</v>
      </c>
      <c r="B2240">
        <v>87</v>
      </c>
      <c r="C2240">
        <v>26876529</v>
      </c>
      <c r="D2240" t="s">
        <v>3635</v>
      </c>
      <c r="E2240" t="s">
        <v>13</v>
      </c>
      <c r="F2240" t="s">
        <v>27</v>
      </c>
      <c r="G2240">
        <v>27000000</v>
      </c>
      <c r="H2240">
        <v>3.9</v>
      </c>
      <c r="I2240" t="s">
        <v>22</v>
      </c>
      <c r="J2240" t="s">
        <v>23</v>
      </c>
    </row>
    <row r="2241" spans="1:13" x14ac:dyDescent="0.25">
      <c r="A2241" t="s">
        <v>3636</v>
      </c>
      <c r="B2241">
        <v>103</v>
      </c>
      <c r="C2241">
        <v>26870825</v>
      </c>
      <c r="D2241" t="s">
        <v>3637</v>
      </c>
      <c r="E2241" t="s">
        <v>13</v>
      </c>
      <c r="F2241" t="s">
        <v>241</v>
      </c>
      <c r="G2241">
        <v>39751583.5</v>
      </c>
      <c r="H2241">
        <v>6.4</v>
      </c>
      <c r="I2241" t="s">
        <v>15</v>
      </c>
      <c r="J2241" t="s">
        <v>31</v>
      </c>
      <c r="K2241" t="s">
        <v>41</v>
      </c>
    </row>
    <row r="2242" spans="1:13" x14ac:dyDescent="0.25">
      <c r="A2242" t="s">
        <v>164</v>
      </c>
      <c r="B2242">
        <v>123</v>
      </c>
      <c r="C2242">
        <v>26838389</v>
      </c>
      <c r="D2242" t="s">
        <v>3638</v>
      </c>
      <c r="E2242" t="s">
        <v>13</v>
      </c>
      <c r="F2242" t="s">
        <v>14</v>
      </c>
      <c r="G2242">
        <v>57000000</v>
      </c>
      <c r="H2242">
        <v>6.4</v>
      </c>
      <c r="I2242" t="s">
        <v>15</v>
      </c>
      <c r="J2242" t="s">
        <v>31</v>
      </c>
      <c r="K2242" t="s">
        <v>19</v>
      </c>
    </row>
    <row r="2243" spans="1:13" x14ac:dyDescent="0.25">
      <c r="A2243" t="s">
        <v>692</v>
      </c>
      <c r="B2243">
        <v>122</v>
      </c>
      <c r="C2243">
        <v>26830000</v>
      </c>
      <c r="D2243" t="s">
        <v>3639</v>
      </c>
      <c r="E2243" t="s">
        <v>13</v>
      </c>
      <c r="F2243" t="s">
        <v>14</v>
      </c>
      <c r="G2243">
        <v>18000000</v>
      </c>
      <c r="H2243">
        <v>7.9</v>
      </c>
      <c r="I2243" t="s">
        <v>31</v>
      </c>
      <c r="J2243" t="s">
        <v>64</v>
      </c>
      <c r="K2243" t="s">
        <v>83</v>
      </c>
    </row>
    <row r="2244" spans="1:13" x14ac:dyDescent="0.25">
      <c r="A2244" t="s">
        <v>692</v>
      </c>
      <c r="B2244">
        <v>122</v>
      </c>
      <c r="C2244">
        <v>26830000</v>
      </c>
      <c r="D2244" t="s">
        <v>3639</v>
      </c>
      <c r="E2244" t="s">
        <v>13</v>
      </c>
      <c r="F2244" t="s">
        <v>14</v>
      </c>
      <c r="G2244">
        <v>18000000</v>
      </c>
      <c r="H2244">
        <v>7.9</v>
      </c>
      <c r="I2244" t="s">
        <v>31</v>
      </c>
      <c r="J2244" t="s">
        <v>64</v>
      </c>
      <c r="K2244" t="s">
        <v>83</v>
      </c>
    </row>
    <row r="2245" spans="1:13" x14ac:dyDescent="0.25">
      <c r="A2245" t="s">
        <v>3640</v>
      </c>
      <c r="B2245">
        <v>115</v>
      </c>
      <c r="C2245">
        <v>26814957</v>
      </c>
      <c r="D2245" t="s">
        <v>3641</v>
      </c>
      <c r="E2245" t="s">
        <v>13</v>
      </c>
      <c r="F2245" t="s">
        <v>82</v>
      </c>
      <c r="G2245">
        <v>35000000</v>
      </c>
      <c r="H2245">
        <v>6.7</v>
      </c>
      <c r="I2245" t="s">
        <v>42</v>
      </c>
      <c r="J2245" t="s">
        <v>31</v>
      </c>
      <c r="K2245" t="s">
        <v>64</v>
      </c>
      <c r="L2245" t="s">
        <v>19</v>
      </c>
    </row>
    <row r="2246" spans="1:13" x14ac:dyDescent="0.25">
      <c r="A2246" t="s">
        <v>3642</v>
      </c>
      <c r="B2246">
        <v>102</v>
      </c>
      <c r="C2246">
        <v>26781723</v>
      </c>
      <c r="D2246" t="s">
        <v>3643</v>
      </c>
      <c r="E2246" t="s">
        <v>13</v>
      </c>
      <c r="F2246" t="s">
        <v>14</v>
      </c>
      <c r="G2246">
        <v>2500000</v>
      </c>
      <c r="H2246">
        <v>7.6</v>
      </c>
      <c r="I2246" t="s">
        <v>15</v>
      </c>
      <c r="J2246" t="s">
        <v>31</v>
      </c>
      <c r="K2246" t="s">
        <v>19</v>
      </c>
    </row>
    <row r="2247" spans="1:13" x14ac:dyDescent="0.25">
      <c r="A2247" t="s">
        <v>3644</v>
      </c>
      <c r="B2247">
        <v>118</v>
      </c>
      <c r="C2247">
        <v>26761283</v>
      </c>
      <c r="D2247" t="s">
        <v>3645</v>
      </c>
      <c r="E2247" t="s">
        <v>13</v>
      </c>
      <c r="F2247" t="s">
        <v>14</v>
      </c>
      <c r="G2247">
        <v>26000000</v>
      </c>
      <c r="H2247">
        <v>6.7</v>
      </c>
      <c r="I2247" t="s">
        <v>31</v>
      </c>
      <c r="J2247" t="s">
        <v>19</v>
      </c>
    </row>
    <row r="2248" spans="1:13" x14ac:dyDescent="0.25">
      <c r="A2248" t="s">
        <v>3646</v>
      </c>
      <c r="B2248">
        <v>63</v>
      </c>
      <c r="C2248">
        <v>26687172</v>
      </c>
      <c r="D2248" t="s">
        <v>3647</v>
      </c>
      <c r="E2248" t="s">
        <v>13</v>
      </c>
      <c r="F2248" t="s">
        <v>14</v>
      </c>
      <c r="G2248">
        <v>30000000</v>
      </c>
      <c r="H2248">
        <v>7.3</v>
      </c>
      <c r="I2248" t="s">
        <v>28</v>
      </c>
      <c r="J2248" t="s">
        <v>46</v>
      </c>
      <c r="K2248" t="s">
        <v>15</v>
      </c>
      <c r="L2248" t="s">
        <v>16</v>
      </c>
      <c r="M2248" t="s">
        <v>59</v>
      </c>
    </row>
    <row r="2249" spans="1:13" x14ac:dyDescent="0.25">
      <c r="A2249" t="s">
        <v>3135</v>
      </c>
      <c r="B2249">
        <v>125</v>
      </c>
      <c r="C2249">
        <v>26616999</v>
      </c>
      <c r="D2249" t="s">
        <v>3648</v>
      </c>
      <c r="E2249" t="s">
        <v>13</v>
      </c>
      <c r="F2249" t="s">
        <v>14</v>
      </c>
      <c r="G2249">
        <v>40000000</v>
      </c>
      <c r="H2249">
        <v>5.9</v>
      </c>
      <c r="I2249" t="s">
        <v>34</v>
      </c>
      <c r="J2249" t="s">
        <v>28</v>
      </c>
      <c r="K2249" t="s">
        <v>19</v>
      </c>
      <c r="L2249" t="s">
        <v>37</v>
      </c>
      <c r="M2249" t="s">
        <v>24</v>
      </c>
    </row>
    <row r="2250" spans="1:13" x14ac:dyDescent="0.25">
      <c r="A2250" t="s">
        <v>417</v>
      </c>
      <c r="B2250">
        <v>130</v>
      </c>
      <c r="C2250">
        <v>26616590</v>
      </c>
      <c r="D2250" t="s">
        <v>3649</v>
      </c>
      <c r="E2250" t="s">
        <v>13</v>
      </c>
      <c r="F2250" t="s">
        <v>82</v>
      </c>
      <c r="G2250">
        <v>60000000</v>
      </c>
      <c r="H2250">
        <v>6.7</v>
      </c>
      <c r="I2250" t="s">
        <v>22</v>
      </c>
      <c r="J2250" t="s">
        <v>37</v>
      </c>
      <c r="K2250" t="s">
        <v>24</v>
      </c>
    </row>
    <row r="2251" spans="1:13" x14ac:dyDescent="0.25">
      <c r="A2251" t="s">
        <v>3650</v>
      </c>
      <c r="B2251">
        <v>105</v>
      </c>
      <c r="C2251">
        <v>26589953</v>
      </c>
      <c r="D2251" t="s">
        <v>3651</v>
      </c>
      <c r="E2251" t="s">
        <v>13</v>
      </c>
      <c r="F2251" t="s">
        <v>14</v>
      </c>
      <c r="G2251">
        <v>10500000</v>
      </c>
      <c r="H2251">
        <v>6.7</v>
      </c>
      <c r="I2251" t="s">
        <v>34</v>
      </c>
      <c r="J2251" t="s">
        <v>38</v>
      </c>
      <c r="K2251" t="s">
        <v>24</v>
      </c>
    </row>
    <row r="2252" spans="1:13" x14ac:dyDescent="0.25">
      <c r="A2252" t="s">
        <v>3652</v>
      </c>
      <c r="B2252">
        <v>93</v>
      </c>
      <c r="C2252">
        <v>26583369</v>
      </c>
      <c r="D2252" t="s">
        <v>3653</v>
      </c>
      <c r="E2252" t="s">
        <v>13</v>
      </c>
      <c r="F2252" t="s">
        <v>14</v>
      </c>
      <c r="G2252">
        <v>10000000</v>
      </c>
      <c r="H2252">
        <v>4.8</v>
      </c>
      <c r="I2252" t="s">
        <v>22</v>
      </c>
      <c r="J2252" t="s">
        <v>23</v>
      </c>
      <c r="K2252" t="s">
        <v>24</v>
      </c>
    </row>
    <row r="2253" spans="1:13" x14ac:dyDescent="0.25">
      <c r="A2253" t="s">
        <v>3654</v>
      </c>
      <c r="B2253">
        <v>100</v>
      </c>
      <c r="C2253">
        <v>26539321</v>
      </c>
      <c r="D2253" t="s">
        <v>3655</v>
      </c>
      <c r="E2253" t="s">
        <v>13</v>
      </c>
      <c r="F2253" t="s">
        <v>14</v>
      </c>
      <c r="G2253">
        <v>13000000</v>
      </c>
      <c r="H2253">
        <v>5.9</v>
      </c>
      <c r="I2253" t="s">
        <v>15</v>
      </c>
      <c r="J2253" t="s">
        <v>31</v>
      </c>
      <c r="K2253" t="s">
        <v>16</v>
      </c>
    </row>
    <row r="2254" spans="1:13" x14ac:dyDescent="0.25">
      <c r="A2254" t="s">
        <v>182</v>
      </c>
      <c r="B2254">
        <v>98</v>
      </c>
      <c r="C2254">
        <v>26536120</v>
      </c>
      <c r="D2254" t="s">
        <v>3656</v>
      </c>
      <c r="E2254" t="s">
        <v>13</v>
      </c>
      <c r="F2254" t="s">
        <v>241</v>
      </c>
      <c r="G2254">
        <v>50000000</v>
      </c>
      <c r="H2254">
        <v>6.5</v>
      </c>
      <c r="I2254" t="s">
        <v>34</v>
      </c>
      <c r="J2254" t="s">
        <v>38</v>
      </c>
      <c r="K2254" t="s">
        <v>31</v>
      </c>
      <c r="L2254" t="s">
        <v>23</v>
      </c>
      <c r="M2254" t="s">
        <v>24</v>
      </c>
    </row>
    <row r="2255" spans="1:13" x14ac:dyDescent="0.25">
      <c r="A2255" t="s">
        <v>1591</v>
      </c>
      <c r="B2255">
        <v>108</v>
      </c>
      <c r="C2255">
        <v>26525834</v>
      </c>
      <c r="D2255" t="s">
        <v>3657</v>
      </c>
      <c r="E2255" t="s">
        <v>13</v>
      </c>
      <c r="F2255" t="s">
        <v>14</v>
      </c>
      <c r="G2255">
        <v>30000000</v>
      </c>
      <c r="H2255">
        <v>6.8</v>
      </c>
      <c r="I2255" t="s">
        <v>15</v>
      </c>
      <c r="J2255" t="s">
        <v>31</v>
      </c>
      <c r="K2255" t="s">
        <v>19</v>
      </c>
    </row>
    <row r="2256" spans="1:13" x14ac:dyDescent="0.25">
      <c r="A2256" t="s">
        <v>121</v>
      </c>
      <c r="B2256">
        <v>101</v>
      </c>
      <c r="C2256">
        <v>26505000</v>
      </c>
      <c r="D2256" t="s">
        <v>3658</v>
      </c>
      <c r="E2256" t="s">
        <v>13</v>
      </c>
      <c r="F2256" t="s">
        <v>14</v>
      </c>
      <c r="G2256">
        <v>1800000</v>
      </c>
      <c r="H2256">
        <v>7.5</v>
      </c>
      <c r="I2256" t="s">
        <v>22</v>
      </c>
    </row>
    <row r="2257" spans="1:15" x14ac:dyDescent="0.25">
      <c r="A2257" t="s">
        <v>121</v>
      </c>
      <c r="B2257">
        <v>101</v>
      </c>
      <c r="C2257">
        <v>26505000</v>
      </c>
      <c r="D2257" t="s">
        <v>3658</v>
      </c>
      <c r="E2257" t="s">
        <v>13</v>
      </c>
      <c r="F2257" t="s">
        <v>14</v>
      </c>
      <c r="G2257">
        <v>1800000</v>
      </c>
      <c r="H2257">
        <v>7.5</v>
      </c>
      <c r="I2257" t="s">
        <v>22</v>
      </c>
    </row>
    <row r="2258" spans="1:15" x14ac:dyDescent="0.25">
      <c r="A2258" t="s">
        <v>99</v>
      </c>
      <c r="B2258">
        <v>112</v>
      </c>
      <c r="C2258">
        <v>26494611</v>
      </c>
      <c r="D2258" t="s">
        <v>3659</v>
      </c>
      <c r="E2258" t="s">
        <v>13</v>
      </c>
      <c r="F2258" t="s">
        <v>14</v>
      </c>
      <c r="G2258">
        <v>35000000</v>
      </c>
      <c r="H2258">
        <v>6.6</v>
      </c>
      <c r="I2258" t="s">
        <v>15</v>
      </c>
      <c r="J2258" t="s">
        <v>31</v>
      </c>
      <c r="K2258" t="s">
        <v>19</v>
      </c>
      <c r="L2258" t="s">
        <v>37</v>
      </c>
    </row>
    <row r="2259" spans="1:15" x14ac:dyDescent="0.25">
      <c r="A2259" t="s">
        <v>254</v>
      </c>
      <c r="B2259">
        <v>114</v>
      </c>
      <c r="C2259">
        <v>26442251</v>
      </c>
      <c r="D2259" t="s">
        <v>3660</v>
      </c>
      <c r="E2259" t="s">
        <v>13</v>
      </c>
      <c r="F2259" t="s">
        <v>14</v>
      </c>
      <c r="G2259">
        <v>50000000</v>
      </c>
      <c r="H2259">
        <v>6.6</v>
      </c>
      <c r="I2259" t="s">
        <v>34</v>
      </c>
      <c r="J2259" t="s">
        <v>38</v>
      </c>
      <c r="K2259" t="s">
        <v>31</v>
      </c>
      <c r="L2259" t="s">
        <v>24</v>
      </c>
    </row>
    <row r="2260" spans="1:15" x14ac:dyDescent="0.25">
      <c r="A2260" t="s">
        <v>3661</v>
      </c>
      <c r="B2260">
        <v>90</v>
      </c>
      <c r="C2260">
        <v>26421314</v>
      </c>
      <c r="D2260" t="s">
        <v>3662</v>
      </c>
      <c r="E2260" t="s">
        <v>13</v>
      </c>
      <c r="F2260" t="s">
        <v>14</v>
      </c>
      <c r="G2260">
        <v>15000000</v>
      </c>
      <c r="H2260">
        <v>4</v>
      </c>
      <c r="I2260" t="s">
        <v>28</v>
      </c>
      <c r="J2260" t="s">
        <v>17</v>
      </c>
      <c r="K2260" t="s">
        <v>22</v>
      </c>
      <c r="L2260" t="s">
        <v>23</v>
      </c>
      <c r="M2260" t="s">
        <v>24</v>
      </c>
    </row>
    <row r="2261" spans="1:15" x14ac:dyDescent="0.25">
      <c r="A2261" t="s">
        <v>325</v>
      </c>
      <c r="B2261">
        <v>109</v>
      </c>
      <c r="C2261">
        <v>26415649</v>
      </c>
      <c r="D2261" t="s">
        <v>3663</v>
      </c>
      <c r="E2261" t="s">
        <v>13</v>
      </c>
      <c r="F2261" t="s">
        <v>14</v>
      </c>
      <c r="G2261">
        <v>20000000</v>
      </c>
      <c r="H2261">
        <v>6.8</v>
      </c>
      <c r="I2261" t="s">
        <v>34</v>
      </c>
      <c r="J2261" t="s">
        <v>38</v>
      </c>
      <c r="K2261" t="s">
        <v>31</v>
      </c>
      <c r="L2261" t="s">
        <v>24</v>
      </c>
    </row>
    <row r="2262" spans="1:15" x14ac:dyDescent="0.25">
      <c r="A2262" t="s">
        <v>769</v>
      </c>
      <c r="B2262">
        <v>91</v>
      </c>
      <c r="C2262">
        <v>26404753</v>
      </c>
      <c r="D2262" t="s">
        <v>3664</v>
      </c>
      <c r="E2262" t="s">
        <v>13</v>
      </c>
      <c r="F2262" t="s">
        <v>14</v>
      </c>
      <c r="G2262">
        <v>40000000</v>
      </c>
      <c r="H2262">
        <v>5.3</v>
      </c>
      <c r="I2262" t="s">
        <v>34</v>
      </c>
      <c r="J2262" t="s">
        <v>15</v>
      </c>
      <c r="K2262" t="s">
        <v>38</v>
      </c>
      <c r="L2262" t="s">
        <v>19</v>
      </c>
      <c r="M2262" t="s">
        <v>24</v>
      </c>
    </row>
    <row r="2263" spans="1:15" x14ac:dyDescent="0.25">
      <c r="A2263" t="s">
        <v>1713</v>
      </c>
      <c r="B2263">
        <v>103</v>
      </c>
      <c r="C2263">
        <v>26400000</v>
      </c>
      <c r="D2263" t="s">
        <v>3665</v>
      </c>
      <c r="E2263" t="s">
        <v>13</v>
      </c>
      <c r="F2263" t="s">
        <v>14</v>
      </c>
      <c r="G2263">
        <v>18000000</v>
      </c>
      <c r="H2263">
        <v>5.8</v>
      </c>
      <c r="I2263" t="s">
        <v>34</v>
      </c>
      <c r="J2263" t="s">
        <v>28</v>
      </c>
      <c r="K2263" t="s">
        <v>17</v>
      </c>
    </row>
    <row r="2264" spans="1:15" x14ac:dyDescent="0.25">
      <c r="A2264" t="s">
        <v>3620</v>
      </c>
      <c r="B2264">
        <v>164</v>
      </c>
      <c r="C2264">
        <v>26400000</v>
      </c>
      <c r="D2264" t="s">
        <v>3666</v>
      </c>
      <c r="E2264" t="s">
        <v>13</v>
      </c>
      <c r="F2264" t="s">
        <v>82</v>
      </c>
      <c r="G2264">
        <v>16000000</v>
      </c>
      <c r="H2264">
        <v>7.4</v>
      </c>
      <c r="I2264" t="s">
        <v>28</v>
      </c>
      <c r="J2264" t="s">
        <v>31</v>
      </c>
      <c r="K2264" t="s">
        <v>64</v>
      </c>
    </row>
    <row r="2265" spans="1:15" x14ac:dyDescent="0.25">
      <c r="A2265" t="s">
        <v>3006</v>
      </c>
      <c r="B2265">
        <v>155</v>
      </c>
      <c r="C2265">
        <v>26384919</v>
      </c>
      <c r="D2265" t="s">
        <v>3667</v>
      </c>
      <c r="E2265" t="s">
        <v>13</v>
      </c>
      <c r="F2265" t="s">
        <v>14</v>
      </c>
      <c r="G2265">
        <v>15000000</v>
      </c>
      <c r="H2265">
        <v>7.9</v>
      </c>
      <c r="I2265" t="s">
        <v>31</v>
      </c>
    </row>
    <row r="2266" spans="1:15" x14ac:dyDescent="0.25">
      <c r="A2266" t="s">
        <v>3668</v>
      </c>
      <c r="B2266">
        <v>85</v>
      </c>
      <c r="C2266">
        <v>26288320</v>
      </c>
      <c r="D2266" t="s">
        <v>3669</v>
      </c>
      <c r="E2266" t="s">
        <v>13</v>
      </c>
      <c r="F2266" t="s">
        <v>14</v>
      </c>
      <c r="G2266">
        <v>60000000</v>
      </c>
      <c r="H2266">
        <v>6.7</v>
      </c>
      <c r="I2266" t="s">
        <v>28</v>
      </c>
      <c r="J2266" t="s">
        <v>46</v>
      </c>
      <c r="K2266" t="s">
        <v>15</v>
      </c>
      <c r="L2266" t="s">
        <v>31</v>
      </c>
      <c r="M2266" t="s">
        <v>16</v>
      </c>
      <c r="N2266" t="s">
        <v>17</v>
      </c>
      <c r="O2266" t="s">
        <v>19</v>
      </c>
    </row>
    <row r="2267" spans="1:15" x14ac:dyDescent="0.25">
      <c r="A2267" t="s">
        <v>3002</v>
      </c>
      <c r="B2267">
        <v>107</v>
      </c>
      <c r="C2267">
        <v>26284475</v>
      </c>
      <c r="D2267" t="s">
        <v>3670</v>
      </c>
      <c r="E2267" t="s">
        <v>13</v>
      </c>
      <c r="F2267" t="s">
        <v>14</v>
      </c>
      <c r="G2267">
        <v>17000000</v>
      </c>
      <c r="H2267">
        <v>5.7</v>
      </c>
      <c r="I2267" t="s">
        <v>15</v>
      </c>
    </row>
    <row r="2268" spans="1:15" x14ac:dyDescent="0.25">
      <c r="A2268" t="s">
        <v>76</v>
      </c>
      <c r="B2268">
        <v>109</v>
      </c>
      <c r="C2268">
        <v>26236603</v>
      </c>
      <c r="D2268" t="s">
        <v>3671</v>
      </c>
      <c r="E2268" t="s">
        <v>13</v>
      </c>
      <c r="F2268" t="s">
        <v>14</v>
      </c>
      <c r="G2268">
        <v>6000000</v>
      </c>
      <c r="H2268">
        <v>7.9</v>
      </c>
      <c r="I2268" t="s">
        <v>31</v>
      </c>
      <c r="J2268" t="s">
        <v>41</v>
      </c>
    </row>
    <row r="2269" spans="1:15" x14ac:dyDescent="0.25">
      <c r="A2269" t="s">
        <v>154</v>
      </c>
      <c r="B2269">
        <v>110</v>
      </c>
      <c r="C2269">
        <v>26199517</v>
      </c>
      <c r="D2269" t="s">
        <v>3672</v>
      </c>
      <c r="E2269" t="s">
        <v>13</v>
      </c>
      <c r="F2269" t="s">
        <v>14</v>
      </c>
      <c r="G2269">
        <v>50000000</v>
      </c>
      <c r="H2269">
        <v>6.4</v>
      </c>
      <c r="I2269" t="s">
        <v>34</v>
      </c>
      <c r="J2269" t="s">
        <v>38</v>
      </c>
      <c r="K2269" t="s">
        <v>31</v>
      </c>
      <c r="L2269" t="s">
        <v>23</v>
      </c>
      <c r="M2269" t="s">
        <v>24</v>
      </c>
    </row>
    <row r="2270" spans="1:15" x14ac:dyDescent="0.25">
      <c r="A2270" t="s">
        <v>93</v>
      </c>
      <c r="B2270">
        <v>109</v>
      </c>
      <c r="C2270">
        <v>26183197</v>
      </c>
      <c r="D2270" t="s">
        <v>3673</v>
      </c>
      <c r="E2270" t="s">
        <v>13</v>
      </c>
      <c r="F2270" t="s">
        <v>14</v>
      </c>
      <c r="G2270">
        <v>36000000</v>
      </c>
      <c r="H2270">
        <v>6.1</v>
      </c>
      <c r="I2270" t="s">
        <v>34</v>
      </c>
      <c r="J2270" t="s">
        <v>38</v>
      </c>
      <c r="K2270" t="s">
        <v>31</v>
      </c>
      <c r="L2270" t="s">
        <v>24</v>
      </c>
    </row>
    <row r="2271" spans="1:15" x14ac:dyDescent="0.25">
      <c r="A2271" t="s">
        <v>3674</v>
      </c>
      <c r="B2271">
        <v>103</v>
      </c>
      <c r="C2271">
        <v>26161406</v>
      </c>
      <c r="D2271" t="s">
        <v>3675</v>
      </c>
      <c r="E2271" t="s">
        <v>13</v>
      </c>
      <c r="F2271" t="s">
        <v>14</v>
      </c>
      <c r="G2271">
        <v>15000000</v>
      </c>
      <c r="H2271">
        <v>6.7</v>
      </c>
      <c r="I2271" t="s">
        <v>28</v>
      </c>
      <c r="J2271" t="s">
        <v>15</v>
      </c>
      <c r="K2271" t="s">
        <v>16</v>
      </c>
      <c r="L2271" t="s">
        <v>17</v>
      </c>
    </row>
    <row r="2272" spans="1:15" x14ac:dyDescent="0.25">
      <c r="A2272" t="s">
        <v>3676</v>
      </c>
      <c r="B2272">
        <v>85</v>
      </c>
      <c r="C2272">
        <v>26096584</v>
      </c>
      <c r="D2272" t="s">
        <v>3677</v>
      </c>
      <c r="E2272" t="s">
        <v>13</v>
      </c>
      <c r="F2272" t="s">
        <v>14</v>
      </c>
      <c r="G2272">
        <v>19000000</v>
      </c>
      <c r="H2272">
        <v>3.4</v>
      </c>
      <c r="I2272" t="s">
        <v>15</v>
      </c>
    </row>
    <row r="2273" spans="1:13" x14ac:dyDescent="0.25">
      <c r="A2273" t="s">
        <v>547</v>
      </c>
      <c r="B2273">
        <v>101</v>
      </c>
      <c r="C2273">
        <v>26082914</v>
      </c>
      <c r="D2273" t="s">
        <v>3678</v>
      </c>
      <c r="E2273" t="s">
        <v>13</v>
      </c>
      <c r="F2273" t="s">
        <v>14</v>
      </c>
      <c r="G2273">
        <v>87000000</v>
      </c>
      <c r="H2273">
        <v>4.3</v>
      </c>
      <c r="I2273" t="s">
        <v>34</v>
      </c>
      <c r="J2273" t="s">
        <v>28</v>
      </c>
      <c r="K2273" t="s">
        <v>38</v>
      </c>
      <c r="L2273" t="s">
        <v>24</v>
      </c>
    </row>
    <row r="2274" spans="1:13" x14ac:dyDescent="0.25">
      <c r="A2274" t="s">
        <v>3679</v>
      </c>
      <c r="B2274">
        <v>94</v>
      </c>
      <c r="C2274">
        <v>26049082</v>
      </c>
      <c r="D2274" t="s">
        <v>3680</v>
      </c>
      <c r="E2274" t="s">
        <v>13</v>
      </c>
      <c r="F2274" t="s">
        <v>14</v>
      </c>
      <c r="G2274">
        <v>8000000</v>
      </c>
      <c r="H2274">
        <v>6.1</v>
      </c>
      <c r="I2274" t="s">
        <v>15</v>
      </c>
      <c r="J2274" t="s">
        <v>19</v>
      </c>
    </row>
    <row r="2275" spans="1:13" x14ac:dyDescent="0.25">
      <c r="A2275" t="s">
        <v>3681</v>
      </c>
      <c r="B2275">
        <v>100</v>
      </c>
      <c r="C2275">
        <v>26005908</v>
      </c>
      <c r="D2275" t="s">
        <v>3682</v>
      </c>
      <c r="E2275" t="s">
        <v>13</v>
      </c>
      <c r="F2275" t="s">
        <v>82</v>
      </c>
      <c r="G2275">
        <v>3500000</v>
      </c>
      <c r="H2275">
        <v>7.2</v>
      </c>
      <c r="I2275" t="s">
        <v>28</v>
      </c>
      <c r="J2275" t="s">
        <v>22</v>
      </c>
      <c r="K2275" t="s">
        <v>24</v>
      </c>
    </row>
    <row r="2276" spans="1:13" x14ac:dyDescent="0.25">
      <c r="A2276" t="s">
        <v>3435</v>
      </c>
      <c r="B2276">
        <v>109</v>
      </c>
      <c r="C2276">
        <v>26003149</v>
      </c>
      <c r="D2276" t="s">
        <v>3683</v>
      </c>
      <c r="E2276" t="s">
        <v>13</v>
      </c>
      <c r="F2276" t="s">
        <v>82</v>
      </c>
      <c r="G2276">
        <v>20000000</v>
      </c>
      <c r="H2276">
        <v>7</v>
      </c>
      <c r="I2276" t="s">
        <v>34</v>
      </c>
      <c r="J2276" t="s">
        <v>15</v>
      </c>
      <c r="K2276" t="s">
        <v>37</v>
      </c>
    </row>
    <row r="2277" spans="1:13" x14ac:dyDescent="0.25">
      <c r="A2277" t="s">
        <v>3684</v>
      </c>
      <c r="B2277">
        <v>92</v>
      </c>
      <c r="C2277">
        <v>26000610</v>
      </c>
      <c r="D2277" t="s">
        <v>3685</v>
      </c>
      <c r="E2277" t="s">
        <v>13</v>
      </c>
      <c r="F2277" t="s">
        <v>14</v>
      </c>
      <c r="G2277">
        <v>76000000</v>
      </c>
      <c r="H2277">
        <v>4.0999999999999996</v>
      </c>
      <c r="I2277" t="s">
        <v>28</v>
      </c>
      <c r="J2277" t="s">
        <v>46</v>
      </c>
      <c r="K2277" t="s">
        <v>15</v>
      </c>
      <c r="L2277" t="s">
        <v>16</v>
      </c>
      <c r="M2277" t="s">
        <v>17</v>
      </c>
    </row>
    <row r="2278" spans="1:13" x14ac:dyDescent="0.25">
      <c r="A2278" t="s">
        <v>3686</v>
      </c>
      <c r="B2278">
        <v>114</v>
      </c>
      <c r="C2278">
        <v>25977365</v>
      </c>
      <c r="D2278" t="s">
        <v>3687</v>
      </c>
      <c r="E2278" t="s">
        <v>13</v>
      </c>
      <c r="F2278" t="s">
        <v>14</v>
      </c>
      <c r="G2278">
        <v>28000000</v>
      </c>
      <c r="H2278">
        <v>6.5</v>
      </c>
      <c r="I2278" t="s">
        <v>38</v>
      </c>
      <c r="J2278" t="s">
        <v>31</v>
      </c>
      <c r="K2278" t="s">
        <v>23</v>
      </c>
      <c r="L2278" t="s">
        <v>24</v>
      </c>
    </row>
    <row r="2279" spans="1:13" x14ac:dyDescent="0.25">
      <c r="A2279" t="s">
        <v>1895</v>
      </c>
      <c r="B2279">
        <v>140</v>
      </c>
      <c r="C2279">
        <v>25967000</v>
      </c>
      <c r="D2279" t="s">
        <v>3688</v>
      </c>
      <c r="E2279" t="s">
        <v>13</v>
      </c>
      <c r="F2279" t="s">
        <v>82</v>
      </c>
      <c r="G2279">
        <v>39751583.5</v>
      </c>
      <c r="H2279">
        <v>7.5</v>
      </c>
      <c r="I2279" t="s">
        <v>31</v>
      </c>
      <c r="J2279" t="s">
        <v>19</v>
      </c>
    </row>
    <row r="2280" spans="1:13" x14ac:dyDescent="0.25">
      <c r="A2280" t="s">
        <v>3689</v>
      </c>
      <c r="B2280">
        <v>90</v>
      </c>
      <c r="C2280">
        <v>25926543</v>
      </c>
      <c r="D2280" t="s">
        <v>3690</v>
      </c>
      <c r="E2280" t="s">
        <v>13</v>
      </c>
      <c r="F2280" t="s">
        <v>14</v>
      </c>
      <c r="G2280">
        <v>8000000</v>
      </c>
      <c r="H2280">
        <v>5.2</v>
      </c>
      <c r="I2280" t="s">
        <v>22</v>
      </c>
      <c r="J2280" t="s">
        <v>23</v>
      </c>
      <c r="K2280" t="s">
        <v>24</v>
      </c>
    </row>
    <row r="2281" spans="1:13" x14ac:dyDescent="0.25">
      <c r="A2281" t="s">
        <v>380</v>
      </c>
      <c r="B2281">
        <v>123</v>
      </c>
      <c r="C2281">
        <v>25900000</v>
      </c>
      <c r="D2281" t="s">
        <v>3691</v>
      </c>
      <c r="E2281" t="s">
        <v>13</v>
      </c>
      <c r="F2281" t="s">
        <v>14</v>
      </c>
      <c r="G2281">
        <v>58000000</v>
      </c>
      <c r="H2281">
        <v>6.5</v>
      </c>
      <c r="I2281" t="s">
        <v>38</v>
      </c>
      <c r="J2281" t="s">
        <v>31</v>
      </c>
      <c r="K2281" t="s">
        <v>18</v>
      </c>
    </row>
    <row r="2282" spans="1:13" x14ac:dyDescent="0.25">
      <c r="A2282" t="s">
        <v>3692</v>
      </c>
      <c r="B2282">
        <v>82</v>
      </c>
      <c r="C2282">
        <v>25871834</v>
      </c>
      <c r="D2282" t="s">
        <v>3693</v>
      </c>
      <c r="E2282" t="s">
        <v>13</v>
      </c>
      <c r="F2282" t="s">
        <v>14</v>
      </c>
      <c r="G2282">
        <v>35000000</v>
      </c>
      <c r="H2282">
        <v>4.5</v>
      </c>
      <c r="I2282" t="s">
        <v>34</v>
      </c>
      <c r="J2282" t="s">
        <v>15</v>
      </c>
      <c r="K2282" t="s">
        <v>37</v>
      </c>
      <c r="L2282" t="s">
        <v>24</v>
      </c>
    </row>
    <row r="2283" spans="1:13" x14ac:dyDescent="0.25">
      <c r="A2283" t="s">
        <v>1100</v>
      </c>
      <c r="B2283">
        <v>101</v>
      </c>
      <c r="C2283">
        <v>25863915</v>
      </c>
      <c r="D2283" t="s">
        <v>3694</v>
      </c>
      <c r="E2283" t="s">
        <v>13</v>
      </c>
      <c r="F2283" t="s">
        <v>14</v>
      </c>
      <c r="G2283">
        <v>35000000</v>
      </c>
      <c r="H2283">
        <v>5.0999999999999996</v>
      </c>
      <c r="I2283" t="s">
        <v>34</v>
      </c>
      <c r="J2283" t="s">
        <v>38</v>
      </c>
      <c r="K2283" t="s">
        <v>23</v>
      </c>
      <c r="L2283" t="s">
        <v>24</v>
      </c>
    </row>
    <row r="2284" spans="1:13" x14ac:dyDescent="0.25">
      <c r="A2284" t="s">
        <v>3695</v>
      </c>
      <c r="B2284">
        <v>93</v>
      </c>
      <c r="C2284">
        <v>25857987</v>
      </c>
      <c r="D2284" t="s">
        <v>3696</v>
      </c>
      <c r="E2284" t="s">
        <v>13</v>
      </c>
      <c r="F2284" t="s">
        <v>14</v>
      </c>
      <c r="G2284">
        <v>62000000</v>
      </c>
      <c r="H2284">
        <v>5.5</v>
      </c>
      <c r="I2284" t="s">
        <v>34</v>
      </c>
      <c r="J2284" t="s">
        <v>37</v>
      </c>
    </row>
    <row r="2285" spans="1:13" x14ac:dyDescent="0.25">
      <c r="A2285" t="s">
        <v>1129</v>
      </c>
      <c r="B2285">
        <v>115</v>
      </c>
      <c r="C2285">
        <v>25842000</v>
      </c>
      <c r="D2285" t="s">
        <v>3697</v>
      </c>
      <c r="E2285" t="s">
        <v>13</v>
      </c>
      <c r="F2285" t="s">
        <v>82</v>
      </c>
      <c r="G2285">
        <v>22000000</v>
      </c>
      <c r="H2285">
        <v>7.4</v>
      </c>
      <c r="I2285" t="s">
        <v>42</v>
      </c>
      <c r="J2285" t="s">
        <v>31</v>
      </c>
      <c r="K2285" t="s">
        <v>19</v>
      </c>
    </row>
    <row r="2286" spans="1:13" x14ac:dyDescent="0.25">
      <c r="A2286" t="s">
        <v>3221</v>
      </c>
      <c r="B2286">
        <v>149</v>
      </c>
      <c r="C2286">
        <v>25809813</v>
      </c>
      <c r="D2286" t="s">
        <v>3698</v>
      </c>
      <c r="E2286" t="s">
        <v>13</v>
      </c>
      <c r="F2286" t="s">
        <v>14</v>
      </c>
      <c r="G2286">
        <v>26000000</v>
      </c>
      <c r="H2286">
        <v>6.9</v>
      </c>
      <c r="I2286" t="s">
        <v>15</v>
      </c>
      <c r="J2286" t="s">
        <v>31</v>
      </c>
      <c r="K2286" t="s">
        <v>18</v>
      </c>
    </row>
    <row r="2287" spans="1:13" x14ac:dyDescent="0.25">
      <c r="A2287" t="s">
        <v>3699</v>
      </c>
      <c r="B2287">
        <v>83</v>
      </c>
      <c r="C2287">
        <v>25799043</v>
      </c>
      <c r="D2287" t="s">
        <v>3700</v>
      </c>
      <c r="E2287" t="s">
        <v>13</v>
      </c>
      <c r="F2287" t="s">
        <v>14</v>
      </c>
      <c r="G2287">
        <v>3300000</v>
      </c>
      <c r="H2287">
        <v>5.2</v>
      </c>
      <c r="I2287" t="s">
        <v>22</v>
      </c>
      <c r="J2287" t="s">
        <v>37</v>
      </c>
      <c r="K2287" t="s">
        <v>24</v>
      </c>
    </row>
    <row r="2288" spans="1:13" x14ac:dyDescent="0.25">
      <c r="A2288" t="s">
        <v>3701</v>
      </c>
      <c r="B2288">
        <v>123</v>
      </c>
      <c r="C2288">
        <v>25776062</v>
      </c>
      <c r="D2288" t="s">
        <v>3702</v>
      </c>
      <c r="E2288" t="s">
        <v>13</v>
      </c>
      <c r="F2288" t="s">
        <v>14</v>
      </c>
      <c r="G2288">
        <v>12000000</v>
      </c>
      <c r="H2288">
        <v>7.4</v>
      </c>
      <c r="I2288" t="s">
        <v>42</v>
      </c>
      <c r="J2288" t="s">
        <v>31</v>
      </c>
      <c r="K2288" t="s">
        <v>19</v>
      </c>
    </row>
    <row r="2289" spans="1:14" x14ac:dyDescent="0.25">
      <c r="A2289" t="s">
        <v>327</v>
      </c>
      <c r="B2289">
        <v>108</v>
      </c>
      <c r="C2289">
        <v>25753840</v>
      </c>
      <c r="D2289" t="s">
        <v>3703</v>
      </c>
      <c r="E2289" t="s">
        <v>13</v>
      </c>
      <c r="F2289" t="s">
        <v>14</v>
      </c>
      <c r="G2289">
        <v>19000000</v>
      </c>
      <c r="H2289">
        <v>7.3</v>
      </c>
      <c r="I2289" t="s">
        <v>38</v>
      </c>
      <c r="J2289" t="s">
        <v>17</v>
      </c>
      <c r="K2289" t="s">
        <v>22</v>
      </c>
    </row>
    <row r="2290" spans="1:14" x14ac:dyDescent="0.25">
      <c r="A2290" t="s">
        <v>270</v>
      </c>
      <c r="B2290">
        <v>105</v>
      </c>
      <c r="C2290">
        <v>25677801</v>
      </c>
      <c r="D2290" t="s">
        <v>3704</v>
      </c>
      <c r="E2290" t="s">
        <v>13</v>
      </c>
      <c r="F2290" t="s">
        <v>14</v>
      </c>
      <c r="G2290">
        <v>20000000</v>
      </c>
      <c r="H2290">
        <v>5.8</v>
      </c>
      <c r="I2290" t="s">
        <v>15</v>
      </c>
      <c r="J2290" t="s">
        <v>16</v>
      </c>
      <c r="K2290" t="s">
        <v>19</v>
      </c>
    </row>
    <row r="2291" spans="1:14" x14ac:dyDescent="0.25">
      <c r="A2291" t="s">
        <v>966</v>
      </c>
      <c r="B2291">
        <v>93</v>
      </c>
      <c r="C2291">
        <v>25675765</v>
      </c>
      <c r="D2291" t="s">
        <v>3705</v>
      </c>
      <c r="E2291" t="s">
        <v>13</v>
      </c>
      <c r="F2291" t="s">
        <v>14</v>
      </c>
      <c r="G2291">
        <v>13000000</v>
      </c>
      <c r="H2291">
        <v>5.9</v>
      </c>
      <c r="I2291" t="s">
        <v>15</v>
      </c>
    </row>
    <row r="2292" spans="1:14" x14ac:dyDescent="0.25">
      <c r="A2292" t="s">
        <v>327</v>
      </c>
      <c r="B2292">
        <v>104</v>
      </c>
      <c r="C2292">
        <v>25625110</v>
      </c>
      <c r="D2292" t="s">
        <v>3706</v>
      </c>
      <c r="E2292" t="s">
        <v>13</v>
      </c>
      <c r="F2292" t="s">
        <v>14</v>
      </c>
      <c r="G2292">
        <v>7000000</v>
      </c>
      <c r="H2292">
        <v>7.2</v>
      </c>
      <c r="I2292" t="s">
        <v>34</v>
      </c>
      <c r="J2292" t="s">
        <v>38</v>
      </c>
      <c r="K2292" t="s">
        <v>24</v>
      </c>
    </row>
    <row r="2293" spans="1:14" x14ac:dyDescent="0.25">
      <c r="A2293" t="s">
        <v>3707</v>
      </c>
      <c r="B2293">
        <v>88</v>
      </c>
      <c r="C2293">
        <v>25615792</v>
      </c>
      <c r="D2293" t="s">
        <v>3708</v>
      </c>
      <c r="E2293" t="s">
        <v>13</v>
      </c>
      <c r="F2293" t="s">
        <v>14</v>
      </c>
      <c r="G2293">
        <v>25000000</v>
      </c>
      <c r="H2293">
        <v>3.5</v>
      </c>
      <c r="I2293" t="s">
        <v>34</v>
      </c>
      <c r="J2293" t="s">
        <v>15</v>
      </c>
      <c r="K2293" t="s">
        <v>18</v>
      </c>
    </row>
    <row r="2294" spans="1:14" x14ac:dyDescent="0.25">
      <c r="A2294" t="s">
        <v>380</v>
      </c>
      <c r="B2294">
        <v>114</v>
      </c>
      <c r="C2294">
        <v>25600000</v>
      </c>
      <c r="D2294" t="s">
        <v>3709</v>
      </c>
      <c r="E2294" t="s">
        <v>13</v>
      </c>
      <c r="F2294" t="s">
        <v>14</v>
      </c>
      <c r="G2294">
        <v>10000000</v>
      </c>
      <c r="H2294">
        <v>7.2</v>
      </c>
      <c r="I2294" t="s">
        <v>38</v>
      </c>
      <c r="J2294" t="s">
        <v>31</v>
      </c>
    </row>
    <row r="2295" spans="1:14" x14ac:dyDescent="0.25">
      <c r="A2295" t="s">
        <v>3571</v>
      </c>
      <c r="B2295">
        <v>126</v>
      </c>
      <c r="C2295">
        <v>25592632</v>
      </c>
      <c r="D2295" t="s">
        <v>3710</v>
      </c>
      <c r="E2295" t="s">
        <v>13</v>
      </c>
      <c r="F2295" t="s">
        <v>14</v>
      </c>
      <c r="G2295">
        <v>18000000</v>
      </c>
      <c r="H2295">
        <v>7.2</v>
      </c>
      <c r="I2295" t="s">
        <v>22</v>
      </c>
    </row>
    <row r="2296" spans="1:14" x14ac:dyDescent="0.25">
      <c r="A2296" t="s">
        <v>3711</v>
      </c>
      <c r="B2296">
        <v>92</v>
      </c>
      <c r="C2296">
        <v>25590119</v>
      </c>
      <c r="D2296" t="s">
        <v>3712</v>
      </c>
      <c r="E2296" t="s">
        <v>13</v>
      </c>
      <c r="F2296" t="s">
        <v>45</v>
      </c>
      <c r="G2296">
        <v>21150000</v>
      </c>
      <c r="H2296">
        <v>4.8</v>
      </c>
      <c r="I2296" t="s">
        <v>28</v>
      </c>
      <c r="J2296" t="s">
        <v>15</v>
      </c>
      <c r="K2296" t="s">
        <v>38</v>
      </c>
    </row>
    <row r="2297" spans="1:14" x14ac:dyDescent="0.25">
      <c r="A2297" t="s">
        <v>3713</v>
      </c>
      <c r="B2297">
        <v>99</v>
      </c>
      <c r="C2297">
        <v>25584685</v>
      </c>
      <c r="D2297" t="s">
        <v>3714</v>
      </c>
      <c r="E2297" t="s">
        <v>13</v>
      </c>
      <c r="F2297" t="s">
        <v>14</v>
      </c>
      <c r="G2297">
        <v>20000000</v>
      </c>
      <c r="H2297">
        <v>5.9</v>
      </c>
      <c r="I2297" t="s">
        <v>15</v>
      </c>
      <c r="J2297" t="s">
        <v>38</v>
      </c>
      <c r="K2297" t="s">
        <v>16</v>
      </c>
      <c r="L2297" t="s">
        <v>23</v>
      </c>
      <c r="M2297" t="s">
        <v>19</v>
      </c>
      <c r="N2297" t="s">
        <v>24</v>
      </c>
    </row>
    <row r="2298" spans="1:14" x14ac:dyDescent="0.25">
      <c r="A2298" t="s">
        <v>3715</v>
      </c>
      <c r="B2298">
        <v>82</v>
      </c>
      <c r="C2298">
        <v>25571351</v>
      </c>
      <c r="D2298" t="s">
        <v>3716</v>
      </c>
      <c r="E2298" t="s">
        <v>13</v>
      </c>
      <c r="F2298" t="s">
        <v>14</v>
      </c>
      <c r="G2298">
        <v>14000000</v>
      </c>
      <c r="H2298">
        <v>6.6</v>
      </c>
      <c r="I2298" t="s">
        <v>28</v>
      </c>
      <c r="J2298" t="s">
        <v>46</v>
      </c>
      <c r="K2298" t="s">
        <v>15</v>
      </c>
      <c r="L2298" t="s">
        <v>31</v>
      </c>
      <c r="M2298" t="s">
        <v>16</v>
      </c>
      <c r="N2298" t="s">
        <v>59</v>
      </c>
    </row>
    <row r="2299" spans="1:14" x14ac:dyDescent="0.25">
      <c r="A2299" t="s">
        <v>3717</v>
      </c>
      <c r="B2299">
        <v>126</v>
      </c>
      <c r="C2299">
        <v>25556065</v>
      </c>
      <c r="D2299" t="s">
        <v>3718</v>
      </c>
      <c r="E2299" t="s">
        <v>13</v>
      </c>
      <c r="F2299" t="s">
        <v>14</v>
      </c>
      <c r="G2299">
        <v>23000000</v>
      </c>
      <c r="H2299">
        <v>8</v>
      </c>
      <c r="I2299" t="s">
        <v>31</v>
      </c>
      <c r="J2299" t="s">
        <v>19</v>
      </c>
      <c r="K2299" t="s">
        <v>37</v>
      </c>
    </row>
    <row r="2300" spans="1:14" x14ac:dyDescent="0.25">
      <c r="A2300" t="s">
        <v>670</v>
      </c>
      <c r="B2300">
        <v>113</v>
      </c>
      <c r="C2300">
        <v>25530884</v>
      </c>
      <c r="D2300" t="s">
        <v>3719</v>
      </c>
      <c r="E2300" t="s">
        <v>13</v>
      </c>
      <c r="F2300" t="s">
        <v>14</v>
      </c>
      <c r="G2300">
        <v>9000000</v>
      </c>
      <c r="H2300">
        <v>8.5</v>
      </c>
      <c r="I2300" t="s">
        <v>23</v>
      </c>
      <c r="J2300" t="s">
        <v>24</v>
      </c>
    </row>
    <row r="2301" spans="1:14" x14ac:dyDescent="0.25">
      <c r="A2301" t="s">
        <v>177</v>
      </c>
      <c r="B2301">
        <v>131</v>
      </c>
      <c r="C2301">
        <v>25528495</v>
      </c>
      <c r="D2301" t="s">
        <v>3720</v>
      </c>
      <c r="E2301" t="s">
        <v>13</v>
      </c>
      <c r="F2301" t="s">
        <v>82</v>
      </c>
      <c r="G2301">
        <v>57000000</v>
      </c>
      <c r="H2301">
        <v>5.9</v>
      </c>
      <c r="I2301" t="s">
        <v>31</v>
      </c>
      <c r="J2301" t="s">
        <v>18</v>
      </c>
      <c r="K2301" t="s">
        <v>19</v>
      </c>
      <c r="L2301" t="s">
        <v>83</v>
      </c>
    </row>
    <row r="2302" spans="1:14" x14ac:dyDescent="0.25">
      <c r="A2302" t="s">
        <v>519</v>
      </c>
      <c r="B2302">
        <v>129</v>
      </c>
      <c r="C2302">
        <v>25517500</v>
      </c>
      <c r="D2302" t="s">
        <v>3721</v>
      </c>
      <c r="E2302" t="s">
        <v>13</v>
      </c>
      <c r="F2302" t="s">
        <v>14</v>
      </c>
      <c r="G2302">
        <v>25100000</v>
      </c>
      <c r="H2302">
        <v>6.4</v>
      </c>
      <c r="I2302" t="s">
        <v>42</v>
      </c>
      <c r="J2302" t="s">
        <v>31</v>
      </c>
      <c r="K2302" t="s">
        <v>64</v>
      </c>
    </row>
    <row r="2303" spans="1:14" x14ac:dyDescent="0.25">
      <c r="A2303" t="s">
        <v>2816</v>
      </c>
      <c r="B2303">
        <v>95</v>
      </c>
      <c r="C2303">
        <v>25482931</v>
      </c>
      <c r="D2303" t="s">
        <v>3722</v>
      </c>
      <c r="E2303" t="s">
        <v>13</v>
      </c>
      <c r="F2303" t="s">
        <v>14</v>
      </c>
      <c r="G2303">
        <v>14000000</v>
      </c>
      <c r="H2303">
        <v>5.7</v>
      </c>
      <c r="I2303" t="s">
        <v>34</v>
      </c>
      <c r="J2303" t="s">
        <v>15</v>
      </c>
      <c r="K2303" t="s">
        <v>38</v>
      </c>
      <c r="L2303" t="s">
        <v>24</v>
      </c>
    </row>
    <row r="2304" spans="1:14" x14ac:dyDescent="0.25">
      <c r="A2304" t="s">
        <v>3723</v>
      </c>
      <c r="B2304">
        <v>103</v>
      </c>
      <c r="C2304">
        <v>25472967</v>
      </c>
      <c r="D2304" t="s">
        <v>3724</v>
      </c>
      <c r="E2304" t="s">
        <v>13</v>
      </c>
      <c r="F2304" t="s">
        <v>14</v>
      </c>
      <c r="G2304">
        <v>30000000</v>
      </c>
      <c r="H2304">
        <v>5.6</v>
      </c>
      <c r="I2304" t="s">
        <v>31</v>
      </c>
      <c r="J2304" t="s">
        <v>22</v>
      </c>
      <c r="K2304" t="s">
        <v>24</v>
      </c>
    </row>
    <row r="2305" spans="1:13" x14ac:dyDescent="0.25">
      <c r="A2305" t="s">
        <v>3725</v>
      </c>
      <c r="B2305">
        <v>98</v>
      </c>
      <c r="C2305">
        <v>25464480</v>
      </c>
      <c r="D2305" t="s">
        <v>3726</v>
      </c>
      <c r="E2305" t="s">
        <v>13</v>
      </c>
      <c r="F2305" t="s">
        <v>14</v>
      </c>
      <c r="G2305">
        <v>10000000</v>
      </c>
      <c r="H2305">
        <v>5.9</v>
      </c>
      <c r="I2305" t="s">
        <v>23</v>
      </c>
      <c r="J2305" t="s">
        <v>37</v>
      </c>
      <c r="K2305" t="s">
        <v>24</v>
      </c>
    </row>
    <row r="2306" spans="1:13" x14ac:dyDescent="0.25">
      <c r="A2306" t="s">
        <v>3727</v>
      </c>
      <c r="B2306">
        <v>118</v>
      </c>
      <c r="C2306">
        <v>25450527</v>
      </c>
      <c r="D2306" t="s">
        <v>3728</v>
      </c>
      <c r="E2306" t="s">
        <v>13</v>
      </c>
      <c r="F2306" t="s">
        <v>14</v>
      </c>
      <c r="G2306">
        <v>50000000</v>
      </c>
      <c r="H2306">
        <v>6.5</v>
      </c>
      <c r="I2306" t="s">
        <v>34</v>
      </c>
      <c r="J2306" t="s">
        <v>38</v>
      </c>
      <c r="K2306" t="s">
        <v>31</v>
      </c>
      <c r="L2306" t="s">
        <v>23</v>
      </c>
      <c r="M2306" t="s">
        <v>24</v>
      </c>
    </row>
    <row r="2307" spans="1:13" x14ac:dyDescent="0.25">
      <c r="A2307" t="s">
        <v>3729</v>
      </c>
      <c r="B2307">
        <v>108</v>
      </c>
      <c r="C2307">
        <v>25440971</v>
      </c>
      <c r="D2307" t="s">
        <v>3730</v>
      </c>
      <c r="E2307" t="s">
        <v>13</v>
      </c>
      <c r="F2307" t="s">
        <v>82</v>
      </c>
      <c r="G2307">
        <v>15000000</v>
      </c>
      <c r="H2307">
        <v>7.7</v>
      </c>
      <c r="I2307" t="s">
        <v>31</v>
      </c>
      <c r="J2307" t="s">
        <v>23</v>
      </c>
      <c r="K2307" t="s">
        <v>37</v>
      </c>
      <c r="L2307" t="s">
        <v>24</v>
      </c>
    </row>
    <row r="2308" spans="1:13" x14ac:dyDescent="0.25">
      <c r="A2308" t="s">
        <v>2789</v>
      </c>
      <c r="B2308">
        <v>101</v>
      </c>
      <c r="C2308">
        <v>25407250</v>
      </c>
      <c r="D2308" t="s">
        <v>3731</v>
      </c>
      <c r="E2308" t="s">
        <v>13</v>
      </c>
      <c r="F2308" t="s">
        <v>14</v>
      </c>
      <c r="G2308">
        <v>50000000</v>
      </c>
      <c r="H2308">
        <v>5.7</v>
      </c>
      <c r="I2308" t="s">
        <v>34</v>
      </c>
      <c r="J2308" t="s">
        <v>28</v>
      </c>
      <c r="K2308" t="s">
        <v>37</v>
      </c>
      <c r="L2308" t="s">
        <v>24</v>
      </c>
    </row>
    <row r="2309" spans="1:13" x14ac:dyDescent="0.25">
      <c r="A2309" t="s">
        <v>403</v>
      </c>
      <c r="B2309">
        <v>165</v>
      </c>
      <c r="C2309">
        <v>25359200</v>
      </c>
      <c r="D2309" t="s">
        <v>3732</v>
      </c>
      <c r="E2309" t="s">
        <v>13</v>
      </c>
      <c r="F2309" t="s">
        <v>14</v>
      </c>
      <c r="G2309">
        <v>4000000</v>
      </c>
      <c r="H2309">
        <v>8</v>
      </c>
      <c r="I2309" t="s">
        <v>31</v>
      </c>
    </row>
    <row r="2310" spans="1:13" x14ac:dyDescent="0.25">
      <c r="A2310" t="s">
        <v>3733</v>
      </c>
      <c r="B2310">
        <v>100</v>
      </c>
      <c r="C2310">
        <v>25339117</v>
      </c>
      <c r="D2310" t="s">
        <v>3734</v>
      </c>
      <c r="E2310" t="s">
        <v>13</v>
      </c>
      <c r="F2310" t="s">
        <v>14</v>
      </c>
      <c r="G2310">
        <v>10000000</v>
      </c>
      <c r="H2310">
        <v>6.5</v>
      </c>
      <c r="I2310" t="s">
        <v>15</v>
      </c>
      <c r="J2310" t="s">
        <v>19</v>
      </c>
    </row>
    <row r="2311" spans="1:13" x14ac:dyDescent="0.25">
      <c r="A2311" t="s">
        <v>3735</v>
      </c>
      <c r="B2311">
        <v>119</v>
      </c>
      <c r="C2311">
        <v>25335935</v>
      </c>
      <c r="D2311" t="s">
        <v>3736</v>
      </c>
      <c r="E2311" t="s">
        <v>13</v>
      </c>
      <c r="F2311" t="s">
        <v>14</v>
      </c>
      <c r="G2311">
        <v>40000000</v>
      </c>
      <c r="H2311">
        <v>8</v>
      </c>
      <c r="I2311" t="s">
        <v>34</v>
      </c>
      <c r="J2311" t="s">
        <v>28</v>
      </c>
      <c r="K2311" t="s">
        <v>37</v>
      </c>
      <c r="L2311" t="s">
        <v>24</v>
      </c>
    </row>
    <row r="2312" spans="1:13" x14ac:dyDescent="0.25">
      <c r="A2312" t="s">
        <v>2909</v>
      </c>
      <c r="B2312">
        <v>92</v>
      </c>
      <c r="C2312">
        <v>25296447</v>
      </c>
      <c r="D2312" t="s">
        <v>3737</v>
      </c>
      <c r="E2312" t="s">
        <v>13</v>
      </c>
      <c r="F2312" t="s">
        <v>295</v>
      </c>
      <c r="G2312">
        <v>21000000</v>
      </c>
      <c r="H2312">
        <v>6.8</v>
      </c>
      <c r="I2312" t="s">
        <v>34</v>
      </c>
      <c r="J2312" t="s">
        <v>38</v>
      </c>
      <c r="K2312" t="s">
        <v>24</v>
      </c>
    </row>
    <row r="2313" spans="1:13" x14ac:dyDescent="0.25">
      <c r="A2313" t="s">
        <v>3113</v>
      </c>
      <c r="B2313">
        <v>102</v>
      </c>
      <c r="C2313">
        <v>25277561</v>
      </c>
      <c r="D2313" t="s">
        <v>3738</v>
      </c>
      <c r="E2313" t="s">
        <v>13</v>
      </c>
      <c r="F2313" t="s">
        <v>14</v>
      </c>
      <c r="G2313">
        <v>12000000</v>
      </c>
      <c r="H2313">
        <v>6.5</v>
      </c>
      <c r="I2313" t="s">
        <v>15</v>
      </c>
      <c r="J2313" t="s">
        <v>19</v>
      </c>
    </row>
    <row r="2314" spans="1:13" x14ac:dyDescent="0.25">
      <c r="A2314" t="s">
        <v>2019</v>
      </c>
      <c r="B2314">
        <v>102</v>
      </c>
      <c r="C2314">
        <v>25266129</v>
      </c>
      <c r="D2314" t="s">
        <v>3739</v>
      </c>
      <c r="E2314" t="s">
        <v>13</v>
      </c>
      <c r="F2314" t="s">
        <v>14</v>
      </c>
      <c r="G2314">
        <v>35000000</v>
      </c>
      <c r="H2314">
        <v>6.2</v>
      </c>
      <c r="I2314" t="s">
        <v>15</v>
      </c>
      <c r="J2314" t="s">
        <v>31</v>
      </c>
      <c r="K2314" t="s">
        <v>19</v>
      </c>
    </row>
    <row r="2315" spans="1:13" x14ac:dyDescent="0.25">
      <c r="A2315" t="s">
        <v>2789</v>
      </c>
      <c r="B2315">
        <v>106</v>
      </c>
      <c r="C2315">
        <v>25244700</v>
      </c>
      <c r="D2315" t="s">
        <v>3740</v>
      </c>
      <c r="E2315" t="s">
        <v>13</v>
      </c>
      <c r="F2315" t="s">
        <v>82</v>
      </c>
      <c r="G2315">
        <v>6000000</v>
      </c>
      <c r="H2315">
        <v>7.2</v>
      </c>
      <c r="I2315" t="s">
        <v>34</v>
      </c>
      <c r="J2315" t="s">
        <v>37</v>
      </c>
    </row>
    <row r="2316" spans="1:13" x14ac:dyDescent="0.25">
      <c r="A2316" t="s">
        <v>3741</v>
      </c>
      <c r="B2316">
        <v>93</v>
      </c>
      <c r="C2316">
        <v>25240988</v>
      </c>
      <c r="D2316" t="s">
        <v>3742</v>
      </c>
      <c r="E2316" t="s">
        <v>13</v>
      </c>
      <c r="F2316" t="s">
        <v>14</v>
      </c>
      <c r="G2316">
        <v>12000000</v>
      </c>
      <c r="H2316">
        <v>5.9</v>
      </c>
      <c r="I2316" t="s">
        <v>52</v>
      </c>
      <c r="J2316" t="s">
        <v>18</v>
      </c>
    </row>
    <row r="2317" spans="1:13" x14ac:dyDescent="0.25">
      <c r="A2317" t="s">
        <v>1094</v>
      </c>
      <c r="B2317">
        <v>86</v>
      </c>
      <c r="C2317">
        <v>25200412</v>
      </c>
      <c r="D2317" t="s">
        <v>3743</v>
      </c>
      <c r="E2317" t="s">
        <v>13</v>
      </c>
      <c r="F2317" t="s">
        <v>14</v>
      </c>
      <c r="G2317">
        <v>45000000</v>
      </c>
      <c r="H2317">
        <v>5.4</v>
      </c>
      <c r="I2317" t="s">
        <v>28</v>
      </c>
      <c r="J2317" t="s">
        <v>15</v>
      </c>
      <c r="K2317" t="s">
        <v>16</v>
      </c>
      <c r="L2317" t="s">
        <v>17</v>
      </c>
      <c r="M2317" t="s">
        <v>37</v>
      </c>
    </row>
    <row r="2318" spans="1:13" x14ac:dyDescent="0.25">
      <c r="A2318" t="s">
        <v>3744</v>
      </c>
      <c r="B2318">
        <v>119</v>
      </c>
      <c r="C2318">
        <v>25178165</v>
      </c>
      <c r="D2318" t="s">
        <v>3745</v>
      </c>
      <c r="E2318" t="s">
        <v>13</v>
      </c>
      <c r="F2318" t="s">
        <v>14</v>
      </c>
      <c r="G2318">
        <v>40000000</v>
      </c>
      <c r="H2318">
        <v>6.7</v>
      </c>
      <c r="I2318" t="s">
        <v>31</v>
      </c>
      <c r="J2318" t="s">
        <v>19</v>
      </c>
    </row>
    <row r="2319" spans="1:13" x14ac:dyDescent="0.25">
      <c r="A2319" t="s">
        <v>3052</v>
      </c>
      <c r="B2319">
        <v>110</v>
      </c>
      <c r="C2319">
        <v>25167270</v>
      </c>
      <c r="D2319" t="s">
        <v>3746</v>
      </c>
      <c r="E2319" t="s">
        <v>13</v>
      </c>
      <c r="F2319" t="s">
        <v>241</v>
      </c>
      <c r="G2319">
        <v>24000000</v>
      </c>
      <c r="H2319">
        <v>6.3</v>
      </c>
      <c r="I2319" t="s">
        <v>15</v>
      </c>
      <c r="J2319" t="s">
        <v>38</v>
      </c>
      <c r="K2319" t="s">
        <v>31</v>
      </c>
    </row>
    <row r="2320" spans="1:13" x14ac:dyDescent="0.25">
      <c r="A2320" t="s">
        <v>3747</v>
      </c>
      <c r="B2320">
        <v>92</v>
      </c>
      <c r="C2320">
        <v>25138292</v>
      </c>
      <c r="D2320" t="s">
        <v>3748</v>
      </c>
      <c r="E2320" t="s">
        <v>13</v>
      </c>
      <c r="F2320" t="s">
        <v>14</v>
      </c>
      <c r="G2320">
        <v>3500000</v>
      </c>
      <c r="H2320">
        <v>6.8</v>
      </c>
      <c r="I2320" t="s">
        <v>22</v>
      </c>
      <c r="J2320" t="s">
        <v>23</v>
      </c>
    </row>
    <row r="2321" spans="1:13" x14ac:dyDescent="0.25">
      <c r="A2321" t="s">
        <v>582</v>
      </c>
      <c r="B2321">
        <v>115</v>
      </c>
      <c r="C2321">
        <v>25121291</v>
      </c>
      <c r="D2321" t="s">
        <v>3749</v>
      </c>
      <c r="E2321" t="s">
        <v>13</v>
      </c>
      <c r="F2321" t="s">
        <v>14</v>
      </c>
      <c r="G2321">
        <v>50000000</v>
      </c>
      <c r="H2321">
        <v>6.7</v>
      </c>
      <c r="I2321" t="s">
        <v>34</v>
      </c>
      <c r="J2321" t="s">
        <v>38</v>
      </c>
      <c r="K2321" t="s">
        <v>23</v>
      </c>
      <c r="L2321" t="s">
        <v>37</v>
      </c>
      <c r="M2321" t="s">
        <v>24</v>
      </c>
    </row>
    <row r="2322" spans="1:13" x14ac:dyDescent="0.25">
      <c r="A2322" t="s">
        <v>648</v>
      </c>
      <c r="B2322">
        <v>99</v>
      </c>
      <c r="C2322">
        <v>25117498</v>
      </c>
      <c r="D2322" t="s">
        <v>3750</v>
      </c>
      <c r="E2322" t="s">
        <v>13</v>
      </c>
      <c r="F2322" t="s">
        <v>14</v>
      </c>
      <c r="G2322">
        <v>40000000</v>
      </c>
      <c r="H2322">
        <v>5.7</v>
      </c>
      <c r="I2322" t="s">
        <v>22</v>
      </c>
      <c r="J2322" t="s">
        <v>24</v>
      </c>
    </row>
    <row r="2323" spans="1:13" x14ac:dyDescent="0.25">
      <c r="A2323" t="s">
        <v>3751</v>
      </c>
      <c r="B2323">
        <v>116</v>
      </c>
      <c r="C2323">
        <v>25093607</v>
      </c>
      <c r="D2323" t="s">
        <v>3752</v>
      </c>
      <c r="E2323" t="s">
        <v>13</v>
      </c>
      <c r="F2323" t="s">
        <v>82</v>
      </c>
      <c r="G2323">
        <v>35000000</v>
      </c>
      <c r="H2323">
        <v>6.5</v>
      </c>
      <c r="I2323" t="s">
        <v>34</v>
      </c>
      <c r="J2323" t="s">
        <v>38</v>
      </c>
      <c r="K2323" t="s">
        <v>24</v>
      </c>
    </row>
    <row r="2324" spans="1:13" x14ac:dyDescent="0.25">
      <c r="A2324" t="s">
        <v>154</v>
      </c>
      <c r="B2324">
        <v>155</v>
      </c>
      <c r="C2324">
        <v>25078937</v>
      </c>
      <c r="D2324" t="s">
        <v>3753</v>
      </c>
      <c r="E2324" t="s">
        <v>13</v>
      </c>
      <c r="F2324" t="s">
        <v>14</v>
      </c>
      <c r="G2324">
        <v>30000000</v>
      </c>
      <c r="H2324">
        <v>6.6</v>
      </c>
      <c r="I2324" t="s">
        <v>38</v>
      </c>
      <c r="J2324" t="s">
        <v>31</v>
      </c>
      <c r="K2324" t="s">
        <v>23</v>
      </c>
      <c r="L2324" t="s">
        <v>24</v>
      </c>
    </row>
    <row r="2325" spans="1:13" x14ac:dyDescent="0.25">
      <c r="A2325" t="s">
        <v>3754</v>
      </c>
      <c r="B2325">
        <v>90</v>
      </c>
      <c r="C2325">
        <v>25077977</v>
      </c>
      <c r="D2325" t="s">
        <v>3755</v>
      </c>
      <c r="E2325" t="s">
        <v>13</v>
      </c>
      <c r="F2325" t="s">
        <v>14</v>
      </c>
      <c r="G2325">
        <v>20000000</v>
      </c>
      <c r="H2325">
        <v>5.3</v>
      </c>
      <c r="I2325" t="s">
        <v>28</v>
      </c>
      <c r="J2325" t="s">
        <v>46</v>
      </c>
      <c r="K2325" t="s">
        <v>15</v>
      </c>
      <c r="L2325" t="s">
        <v>16</v>
      </c>
      <c r="M2325" t="s">
        <v>19</v>
      </c>
    </row>
    <row r="2326" spans="1:13" x14ac:dyDescent="0.25">
      <c r="A2326" t="s">
        <v>3305</v>
      </c>
      <c r="B2326">
        <v>212</v>
      </c>
      <c r="C2326">
        <v>25052000</v>
      </c>
      <c r="D2326" t="s">
        <v>3756</v>
      </c>
      <c r="E2326" t="s">
        <v>13</v>
      </c>
      <c r="F2326" t="s">
        <v>14</v>
      </c>
      <c r="G2326">
        <v>63000000</v>
      </c>
      <c r="H2326">
        <v>6.6</v>
      </c>
      <c r="I2326" t="s">
        <v>28</v>
      </c>
      <c r="J2326" t="s">
        <v>42</v>
      </c>
      <c r="K2326" t="s">
        <v>38</v>
      </c>
      <c r="L2326" t="s">
        <v>31</v>
      </c>
      <c r="M2326" t="s">
        <v>69</v>
      </c>
    </row>
    <row r="2327" spans="1:13" x14ac:dyDescent="0.25">
      <c r="A2327" t="s">
        <v>3610</v>
      </c>
      <c r="B2327">
        <v>106</v>
      </c>
      <c r="C2327">
        <v>25047631</v>
      </c>
      <c r="D2327" t="s">
        <v>3757</v>
      </c>
      <c r="E2327" t="s">
        <v>13</v>
      </c>
      <c r="F2327" t="s">
        <v>14</v>
      </c>
      <c r="G2327">
        <v>6000000</v>
      </c>
      <c r="H2327">
        <v>6.9</v>
      </c>
      <c r="I2327" t="s">
        <v>15</v>
      </c>
      <c r="J2327" t="s">
        <v>31</v>
      </c>
      <c r="K2327" t="s">
        <v>19</v>
      </c>
    </row>
    <row r="2328" spans="1:13" x14ac:dyDescent="0.25">
      <c r="A2328" t="s">
        <v>499</v>
      </c>
      <c r="B2328">
        <v>104</v>
      </c>
      <c r="C2328">
        <v>25040293</v>
      </c>
      <c r="D2328" t="s">
        <v>3758</v>
      </c>
      <c r="E2328" t="s">
        <v>13</v>
      </c>
      <c r="F2328" t="s">
        <v>14</v>
      </c>
      <c r="G2328">
        <v>55000000</v>
      </c>
      <c r="H2328">
        <v>6.6</v>
      </c>
      <c r="I2328" t="s">
        <v>34</v>
      </c>
      <c r="J2328" t="s">
        <v>28</v>
      </c>
      <c r="K2328" t="s">
        <v>17</v>
      </c>
    </row>
    <row r="2329" spans="1:13" x14ac:dyDescent="0.25">
      <c r="A2329" t="s">
        <v>327</v>
      </c>
      <c r="B2329">
        <v>189</v>
      </c>
      <c r="C2329">
        <v>25031037</v>
      </c>
      <c r="D2329" t="s">
        <v>3759</v>
      </c>
      <c r="E2329" t="s">
        <v>13</v>
      </c>
      <c r="F2329" t="s">
        <v>14</v>
      </c>
      <c r="G2329">
        <v>53000000</v>
      </c>
      <c r="H2329">
        <v>7.6</v>
      </c>
      <c r="I2329" t="s">
        <v>34</v>
      </c>
      <c r="J2329" t="s">
        <v>22</v>
      </c>
      <c r="K2329" t="s">
        <v>24</v>
      </c>
    </row>
    <row r="2330" spans="1:13" x14ac:dyDescent="0.25">
      <c r="A2330" t="s">
        <v>2962</v>
      </c>
      <c r="B2330">
        <v>88</v>
      </c>
      <c r="C2330">
        <v>25003072</v>
      </c>
      <c r="D2330" t="s">
        <v>3760</v>
      </c>
      <c r="E2330" t="s">
        <v>13</v>
      </c>
      <c r="F2330" t="s">
        <v>14</v>
      </c>
      <c r="G2330">
        <v>24000000</v>
      </c>
      <c r="H2330">
        <v>5.5</v>
      </c>
      <c r="I2330" t="s">
        <v>15</v>
      </c>
      <c r="J2330" t="s">
        <v>22</v>
      </c>
    </row>
    <row r="2331" spans="1:13" x14ac:dyDescent="0.25">
      <c r="A2331" t="s">
        <v>3761</v>
      </c>
      <c r="B2331">
        <v>119</v>
      </c>
      <c r="C2331">
        <v>25000000</v>
      </c>
      <c r="D2331" t="s">
        <v>3762</v>
      </c>
      <c r="E2331" t="s">
        <v>13</v>
      </c>
      <c r="F2331" t="s">
        <v>14</v>
      </c>
      <c r="G2331">
        <v>9000000</v>
      </c>
      <c r="H2331">
        <v>6.8</v>
      </c>
      <c r="I2331" t="s">
        <v>34</v>
      </c>
      <c r="J2331" t="s">
        <v>28</v>
      </c>
      <c r="K2331" t="s">
        <v>37</v>
      </c>
    </row>
    <row r="2332" spans="1:13" x14ac:dyDescent="0.25">
      <c r="A2332" t="s">
        <v>2060</v>
      </c>
      <c r="B2332">
        <v>120</v>
      </c>
      <c r="C2332">
        <v>25000000</v>
      </c>
      <c r="D2332" t="s">
        <v>3763</v>
      </c>
      <c r="E2332" t="s">
        <v>13</v>
      </c>
      <c r="F2332" t="s">
        <v>14</v>
      </c>
      <c r="G2332">
        <v>2883848</v>
      </c>
      <c r="H2332">
        <v>8.3000000000000007</v>
      </c>
      <c r="I2332" t="s">
        <v>15</v>
      </c>
      <c r="J2332" t="s">
        <v>18</v>
      </c>
      <c r="K2332" t="s">
        <v>19</v>
      </c>
    </row>
    <row r="2333" spans="1:13" x14ac:dyDescent="0.25">
      <c r="A2333" t="s">
        <v>828</v>
      </c>
      <c r="B2333">
        <v>108</v>
      </c>
      <c r="C2333">
        <v>24984868</v>
      </c>
      <c r="D2333" t="s">
        <v>3764</v>
      </c>
      <c r="E2333" t="s">
        <v>13</v>
      </c>
      <c r="F2333" t="s">
        <v>14</v>
      </c>
      <c r="G2333">
        <v>15000000</v>
      </c>
      <c r="H2333">
        <v>6.3</v>
      </c>
      <c r="I2333" t="s">
        <v>34</v>
      </c>
      <c r="J2333" t="s">
        <v>38</v>
      </c>
      <c r="K2333" t="s">
        <v>24</v>
      </c>
    </row>
    <row r="2334" spans="1:13" x14ac:dyDescent="0.25">
      <c r="A2334" t="s">
        <v>272</v>
      </c>
      <c r="B2334">
        <v>117</v>
      </c>
      <c r="C2334">
        <v>24944213</v>
      </c>
      <c r="D2334" t="s">
        <v>3765</v>
      </c>
      <c r="E2334" t="s">
        <v>13</v>
      </c>
      <c r="F2334" t="s">
        <v>14</v>
      </c>
      <c r="G2334">
        <v>27000000</v>
      </c>
      <c r="H2334">
        <v>6.9</v>
      </c>
      <c r="I2334" t="s">
        <v>15</v>
      </c>
      <c r="J2334" t="s">
        <v>41</v>
      </c>
    </row>
    <row r="2335" spans="1:13" x14ac:dyDescent="0.25">
      <c r="A2335" t="s">
        <v>3713</v>
      </c>
      <c r="B2335">
        <v>101</v>
      </c>
      <c r="C2335">
        <v>24881000</v>
      </c>
      <c r="D2335" t="s">
        <v>3766</v>
      </c>
      <c r="E2335" t="s">
        <v>13</v>
      </c>
      <c r="F2335" t="s">
        <v>14</v>
      </c>
      <c r="G2335">
        <v>15000000</v>
      </c>
      <c r="H2335">
        <v>6.2</v>
      </c>
      <c r="I2335" t="s">
        <v>31</v>
      </c>
      <c r="J2335" t="s">
        <v>17</v>
      </c>
      <c r="K2335" t="s">
        <v>22</v>
      </c>
      <c r="L2335" t="s">
        <v>24</v>
      </c>
    </row>
    <row r="2336" spans="1:13" x14ac:dyDescent="0.25">
      <c r="A2336" t="s">
        <v>3551</v>
      </c>
      <c r="B2336">
        <v>110</v>
      </c>
      <c r="C2336">
        <v>24848292</v>
      </c>
      <c r="D2336" t="s">
        <v>3767</v>
      </c>
      <c r="E2336" t="s">
        <v>13</v>
      </c>
      <c r="F2336" t="s">
        <v>14</v>
      </c>
      <c r="G2336">
        <v>20000000</v>
      </c>
      <c r="H2336">
        <v>6.6</v>
      </c>
      <c r="I2336" t="s">
        <v>34</v>
      </c>
      <c r="J2336" t="s">
        <v>31</v>
      </c>
      <c r="K2336" t="s">
        <v>41</v>
      </c>
    </row>
    <row r="2337" spans="1:12" x14ac:dyDescent="0.25">
      <c r="A2337" t="s">
        <v>3768</v>
      </c>
      <c r="B2337">
        <v>90</v>
      </c>
      <c r="C2337">
        <v>24809547</v>
      </c>
      <c r="D2337" t="s">
        <v>3769</v>
      </c>
      <c r="E2337" t="s">
        <v>13</v>
      </c>
      <c r="F2337" t="s">
        <v>14</v>
      </c>
      <c r="G2337">
        <v>5000000</v>
      </c>
      <c r="H2337">
        <v>6.4</v>
      </c>
      <c r="I2337" t="s">
        <v>15</v>
      </c>
      <c r="J2337" t="s">
        <v>31</v>
      </c>
    </row>
    <row r="2338" spans="1:12" x14ac:dyDescent="0.25">
      <c r="A2338" t="s">
        <v>754</v>
      </c>
      <c r="B2338">
        <v>115</v>
      </c>
      <c r="C2338">
        <v>24800000</v>
      </c>
      <c r="D2338" t="s">
        <v>3770</v>
      </c>
      <c r="E2338" t="s">
        <v>13</v>
      </c>
      <c r="F2338" t="s">
        <v>82</v>
      </c>
      <c r="G2338">
        <v>2000000</v>
      </c>
      <c r="H2338">
        <v>7.5</v>
      </c>
      <c r="I2338" t="s">
        <v>34</v>
      </c>
      <c r="J2338" t="s">
        <v>28</v>
      </c>
      <c r="K2338" t="s">
        <v>24</v>
      </c>
    </row>
    <row r="2339" spans="1:12" x14ac:dyDescent="0.25">
      <c r="A2339" t="s">
        <v>354</v>
      </c>
      <c r="B2339">
        <v>92</v>
      </c>
      <c r="C2339">
        <v>24792061</v>
      </c>
      <c r="D2339" t="s">
        <v>3771</v>
      </c>
      <c r="E2339" t="s">
        <v>13</v>
      </c>
      <c r="F2339" t="s">
        <v>14</v>
      </c>
      <c r="G2339">
        <v>6500000</v>
      </c>
      <c r="H2339">
        <v>7.6</v>
      </c>
      <c r="I2339" t="s">
        <v>15</v>
      </c>
      <c r="J2339" t="s">
        <v>31</v>
      </c>
    </row>
    <row r="2340" spans="1:12" x14ac:dyDescent="0.25">
      <c r="A2340" t="s">
        <v>847</v>
      </c>
      <c r="B2340">
        <v>91</v>
      </c>
      <c r="C2340">
        <v>24788807</v>
      </c>
      <c r="D2340" t="s">
        <v>3772</v>
      </c>
      <c r="E2340" t="s">
        <v>13</v>
      </c>
      <c r="F2340" t="s">
        <v>82</v>
      </c>
      <c r="G2340">
        <v>3000000</v>
      </c>
      <c r="H2340">
        <v>7.4</v>
      </c>
      <c r="I2340" t="s">
        <v>15</v>
      </c>
    </row>
    <row r="2341" spans="1:12" x14ac:dyDescent="0.25">
      <c r="A2341" t="s">
        <v>505</v>
      </c>
      <c r="B2341">
        <v>100</v>
      </c>
      <c r="C2341">
        <v>24741700</v>
      </c>
      <c r="D2341" t="s">
        <v>3773</v>
      </c>
      <c r="E2341" t="s">
        <v>13</v>
      </c>
      <c r="F2341" t="s">
        <v>14</v>
      </c>
      <c r="G2341">
        <v>1200000</v>
      </c>
      <c r="H2341">
        <v>7.2</v>
      </c>
      <c r="I2341" t="s">
        <v>31</v>
      </c>
    </row>
    <row r="2342" spans="1:12" x14ac:dyDescent="0.25">
      <c r="A2342" t="s">
        <v>3774</v>
      </c>
      <c r="B2342">
        <v>99</v>
      </c>
      <c r="C2342">
        <v>24708699</v>
      </c>
      <c r="D2342" t="s">
        <v>3775</v>
      </c>
      <c r="E2342" t="s">
        <v>13</v>
      </c>
      <c r="F2342" t="s">
        <v>14</v>
      </c>
      <c r="G2342">
        <v>39751583.5</v>
      </c>
      <c r="H2342">
        <v>4.9000000000000004</v>
      </c>
      <c r="I2342" t="s">
        <v>15</v>
      </c>
    </row>
    <row r="2343" spans="1:12" x14ac:dyDescent="0.25">
      <c r="A2343" t="s">
        <v>570</v>
      </c>
      <c r="B2343">
        <v>98</v>
      </c>
      <c r="C2343">
        <v>24629916</v>
      </c>
      <c r="D2343" t="s">
        <v>3776</v>
      </c>
      <c r="E2343" t="s">
        <v>13</v>
      </c>
      <c r="F2343" t="s">
        <v>14</v>
      </c>
      <c r="G2343">
        <v>3000000</v>
      </c>
      <c r="H2343">
        <v>5.0999999999999996</v>
      </c>
      <c r="I2343" t="s">
        <v>15</v>
      </c>
      <c r="J2343" t="s">
        <v>31</v>
      </c>
      <c r="K2343" t="s">
        <v>16</v>
      </c>
      <c r="L2343" t="s">
        <v>41</v>
      </c>
    </row>
    <row r="2344" spans="1:12" x14ac:dyDescent="0.25">
      <c r="A2344" t="s">
        <v>2282</v>
      </c>
      <c r="B2344">
        <v>123</v>
      </c>
      <c r="C2344">
        <v>24530513</v>
      </c>
      <c r="D2344" t="s">
        <v>3777</v>
      </c>
      <c r="E2344" t="s">
        <v>13</v>
      </c>
      <c r="F2344" t="s">
        <v>14</v>
      </c>
      <c r="G2344">
        <v>9000000</v>
      </c>
      <c r="H2344">
        <v>8</v>
      </c>
      <c r="I2344" t="s">
        <v>52</v>
      </c>
      <c r="J2344" t="s">
        <v>31</v>
      </c>
    </row>
    <row r="2345" spans="1:12" x14ac:dyDescent="0.25">
      <c r="A2345" t="s">
        <v>2909</v>
      </c>
      <c r="B2345">
        <v>103</v>
      </c>
      <c r="C2345">
        <v>24520892</v>
      </c>
      <c r="D2345" t="s">
        <v>3778</v>
      </c>
      <c r="E2345" t="s">
        <v>13</v>
      </c>
      <c r="F2345" t="s">
        <v>295</v>
      </c>
      <c r="G2345">
        <v>45000000</v>
      </c>
      <c r="H2345">
        <v>7</v>
      </c>
      <c r="I2345" t="s">
        <v>34</v>
      </c>
      <c r="J2345" t="s">
        <v>38</v>
      </c>
      <c r="K2345" t="s">
        <v>31</v>
      </c>
      <c r="L2345" t="s">
        <v>24</v>
      </c>
    </row>
    <row r="2346" spans="1:12" x14ac:dyDescent="0.25">
      <c r="A2346" t="s">
        <v>3779</v>
      </c>
      <c r="B2346">
        <v>148</v>
      </c>
      <c r="C2346">
        <v>24475416</v>
      </c>
      <c r="D2346" t="s">
        <v>3780</v>
      </c>
      <c r="E2346" t="s">
        <v>13</v>
      </c>
      <c r="F2346" t="s">
        <v>14</v>
      </c>
      <c r="G2346">
        <v>890000</v>
      </c>
      <c r="H2346">
        <v>8</v>
      </c>
      <c r="I2346" t="s">
        <v>31</v>
      </c>
    </row>
    <row r="2347" spans="1:12" x14ac:dyDescent="0.25">
      <c r="A2347" t="s">
        <v>3781</v>
      </c>
      <c r="B2347">
        <v>90</v>
      </c>
      <c r="C2347">
        <v>24475193</v>
      </c>
      <c r="D2347" t="s">
        <v>3782</v>
      </c>
      <c r="E2347" t="s">
        <v>13</v>
      </c>
      <c r="F2347" t="s">
        <v>14</v>
      </c>
      <c r="G2347">
        <v>3000000</v>
      </c>
      <c r="H2347">
        <v>6.6</v>
      </c>
      <c r="I2347" t="s">
        <v>15</v>
      </c>
      <c r="J2347" t="s">
        <v>31</v>
      </c>
      <c r="K2347" t="s">
        <v>19</v>
      </c>
    </row>
    <row r="2348" spans="1:12" x14ac:dyDescent="0.25">
      <c r="A2348" t="s">
        <v>3089</v>
      </c>
      <c r="B2348">
        <v>90</v>
      </c>
      <c r="C2348">
        <v>24430272</v>
      </c>
      <c r="D2348" t="s">
        <v>3783</v>
      </c>
      <c r="E2348" t="s">
        <v>13</v>
      </c>
      <c r="F2348" t="s">
        <v>14</v>
      </c>
      <c r="G2348">
        <v>43000000</v>
      </c>
      <c r="H2348">
        <v>5.0999999999999996</v>
      </c>
      <c r="I2348" t="s">
        <v>15</v>
      </c>
      <c r="J2348" t="s">
        <v>19</v>
      </c>
    </row>
    <row r="2349" spans="1:12" x14ac:dyDescent="0.25">
      <c r="A2349" t="s">
        <v>352</v>
      </c>
      <c r="B2349">
        <v>100</v>
      </c>
      <c r="C2349">
        <v>24407944</v>
      </c>
      <c r="D2349" t="s">
        <v>3784</v>
      </c>
      <c r="E2349" t="s">
        <v>13</v>
      </c>
      <c r="F2349" t="s">
        <v>98</v>
      </c>
      <c r="G2349">
        <v>43000000</v>
      </c>
      <c r="H2349">
        <v>4.8</v>
      </c>
      <c r="I2349" t="s">
        <v>34</v>
      </c>
      <c r="J2349" t="s">
        <v>38</v>
      </c>
      <c r="K2349" t="s">
        <v>17</v>
      </c>
      <c r="L2349" t="s">
        <v>24</v>
      </c>
    </row>
    <row r="2350" spans="1:12" x14ac:dyDescent="0.25">
      <c r="A2350" t="s">
        <v>3152</v>
      </c>
      <c r="B2350">
        <v>116</v>
      </c>
      <c r="C2350">
        <v>24397469</v>
      </c>
      <c r="D2350" t="s">
        <v>3785</v>
      </c>
      <c r="E2350" t="s">
        <v>13</v>
      </c>
      <c r="F2350" t="s">
        <v>14</v>
      </c>
      <c r="G2350">
        <v>17000000</v>
      </c>
      <c r="H2350">
        <v>5.7</v>
      </c>
      <c r="I2350" t="s">
        <v>31</v>
      </c>
      <c r="J2350" t="s">
        <v>18</v>
      </c>
    </row>
    <row r="2351" spans="1:12" x14ac:dyDescent="0.25">
      <c r="A2351" t="s">
        <v>3786</v>
      </c>
      <c r="B2351">
        <v>98</v>
      </c>
      <c r="C2351">
        <v>24381334</v>
      </c>
      <c r="D2351" t="s">
        <v>3787</v>
      </c>
      <c r="E2351" t="s">
        <v>13</v>
      </c>
      <c r="F2351" t="s">
        <v>14</v>
      </c>
      <c r="G2351">
        <v>39751583.5</v>
      </c>
      <c r="H2351">
        <v>6</v>
      </c>
      <c r="I2351" t="s">
        <v>15</v>
      </c>
      <c r="J2351" t="s">
        <v>31</v>
      </c>
      <c r="K2351" t="s">
        <v>16</v>
      </c>
      <c r="L2351" t="s">
        <v>41</v>
      </c>
    </row>
    <row r="2352" spans="1:12" x14ac:dyDescent="0.25">
      <c r="A2352" t="s">
        <v>1666</v>
      </c>
      <c r="B2352">
        <v>120</v>
      </c>
      <c r="C2352">
        <v>24375436</v>
      </c>
      <c r="D2352" t="s">
        <v>3788</v>
      </c>
      <c r="E2352" t="s">
        <v>13</v>
      </c>
      <c r="F2352" t="s">
        <v>14</v>
      </c>
      <c r="G2352">
        <v>42000000</v>
      </c>
      <c r="H2352">
        <v>6.1</v>
      </c>
      <c r="I2352" t="s">
        <v>34</v>
      </c>
      <c r="J2352" t="s">
        <v>38</v>
      </c>
      <c r="K2352" t="s">
        <v>31</v>
      </c>
      <c r="L2352" t="s">
        <v>24</v>
      </c>
    </row>
    <row r="2353" spans="1:12" x14ac:dyDescent="0.25">
      <c r="A2353" t="s">
        <v>3237</v>
      </c>
      <c r="B2353">
        <v>117</v>
      </c>
      <c r="C2353">
        <v>24362501</v>
      </c>
      <c r="D2353" t="s">
        <v>3789</v>
      </c>
      <c r="E2353" t="s">
        <v>13</v>
      </c>
      <c r="F2353" t="s">
        <v>14</v>
      </c>
      <c r="G2353">
        <v>21500000</v>
      </c>
      <c r="H2353">
        <v>7.2</v>
      </c>
      <c r="I2353" t="s">
        <v>38</v>
      </c>
      <c r="J2353" t="s">
        <v>31</v>
      </c>
      <c r="K2353" t="s">
        <v>24</v>
      </c>
    </row>
    <row r="2354" spans="1:12" x14ac:dyDescent="0.25">
      <c r="A2354" t="s">
        <v>3701</v>
      </c>
      <c r="B2354">
        <v>133</v>
      </c>
      <c r="C2354">
        <v>24343673</v>
      </c>
      <c r="D2354" t="s">
        <v>3790</v>
      </c>
      <c r="E2354" t="s">
        <v>13</v>
      </c>
      <c r="F2354" t="s">
        <v>14</v>
      </c>
      <c r="G2354">
        <v>45000000</v>
      </c>
      <c r="H2354">
        <v>7.4</v>
      </c>
      <c r="I2354" t="s">
        <v>31</v>
      </c>
      <c r="J2354" t="s">
        <v>17</v>
      </c>
      <c r="K2354" t="s">
        <v>59</v>
      </c>
      <c r="L2354" t="s">
        <v>19</v>
      </c>
    </row>
    <row r="2355" spans="1:12" x14ac:dyDescent="0.25">
      <c r="A2355" t="s">
        <v>3701</v>
      </c>
      <c r="B2355">
        <v>133</v>
      </c>
      <c r="C2355">
        <v>24343673</v>
      </c>
      <c r="D2355" t="s">
        <v>3790</v>
      </c>
      <c r="E2355" t="s">
        <v>13</v>
      </c>
      <c r="F2355" t="s">
        <v>14</v>
      </c>
      <c r="G2355">
        <v>45000000</v>
      </c>
      <c r="H2355">
        <v>7.4</v>
      </c>
      <c r="I2355" t="s">
        <v>31</v>
      </c>
      <c r="J2355" t="s">
        <v>17</v>
      </c>
      <c r="K2355" t="s">
        <v>59</v>
      </c>
      <c r="L2355" t="s">
        <v>19</v>
      </c>
    </row>
    <row r="2356" spans="1:12" x14ac:dyDescent="0.25">
      <c r="A2356" t="s">
        <v>67</v>
      </c>
      <c r="B2356">
        <v>128</v>
      </c>
      <c r="C2356">
        <v>24332324</v>
      </c>
      <c r="D2356" t="s">
        <v>3791</v>
      </c>
      <c r="E2356" t="s">
        <v>13</v>
      </c>
      <c r="F2356" t="s">
        <v>14</v>
      </c>
      <c r="G2356">
        <v>40000000</v>
      </c>
      <c r="H2356">
        <v>6.1</v>
      </c>
      <c r="I2356" t="s">
        <v>15</v>
      </c>
      <c r="J2356" t="s">
        <v>31</v>
      </c>
    </row>
    <row r="2357" spans="1:12" x14ac:dyDescent="0.25">
      <c r="A2357" t="s">
        <v>3792</v>
      </c>
      <c r="B2357">
        <v>140</v>
      </c>
      <c r="C2357">
        <v>24276500</v>
      </c>
      <c r="D2357" t="s">
        <v>3793</v>
      </c>
      <c r="E2357" t="s">
        <v>13</v>
      </c>
      <c r="F2357" t="s">
        <v>14</v>
      </c>
      <c r="G2357">
        <v>35000000</v>
      </c>
      <c r="H2357">
        <v>6.6</v>
      </c>
      <c r="I2357" t="s">
        <v>42</v>
      </c>
      <c r="J2357" t="s">
        <v>38</v>
      </c>
      <c r="K2357" t="s">
        <v>31</v>
      </c>
    </row>
    <row r="2358" spans="1:12" x14ac:dyDescent="0.25">
      <c r="A2358" t="s">
        <v>386</v>
      </c>
      <c r="B2358">
        <v>94</v>
      </c>
      <c r="C2358">
        <v>24268828</v>
      </c>
      <c r="D2358" t="s">
        <v>3794</v>
      </c>
      <c r="E2358" t="s">
        <v>13</v>
      </c>
      <c r="F2358" t="s">
        <v>14</v>
      </c>
      <c r="G2358">
        <v>28000000</v>
      </c>
      <c r="H2358">
        <v>5.4</v>
      </c>
      <c r="I2358" t="s">
        <v>34</v>
      </c>
      <c r="J2358" t="s">
        <v>15</v>
      </c>
      <c r="K2358" t="s">
        <v>16</v>
      </c>
    </row>
    <row r="2359" spans="1:12" x14ac:dyDescent="0.25">
      <c r="A2359" t="s">
        <v>815</v>
      </c>
      <c r="B2359">
        <v>101</v>
      </c>
      <c r="C2359">
        <v>24185781</v>
      </c>
      <c r="D2359" t="s">
        <v>3795</v>
      </c>
      <c r="E2359" t="s">
        <v>13</v>
      </c>
      <c r="F2359" t="s">
        <v>14</v>
      </c>
      <c r="G2359">
        <v>31000000</v>
      </c>
      <c r="H2359">
        <v>6.9</v>
      </c>
      <c r="I2359" t="s">
        <v>31</v>
      </c>
      <c r="J2359" t="s">
        <v>23</v>
      </c>
    </row>
    <row r="2360" spans="1:12" x14ac:dyDescent="0.25">
      <c r="A2360" t="s">
        <v>2019</v>
      </c>
      <c r="B2360">
        <v>97</v>
      </c>
      <c r="C2360">
        <v>24138847</v>
      </c>
      <c r="D2360" t="s">
        <v>3796</v>
      </c>
      <c r="E2360" t="s">
        <v>13</v>
      </c>
      <c r="F2360" t="s">
        <v>14</v>
      </c>
      <c r="G2360">
        <v>5000000</v>
      </c>
      <c r="H2360">
        <v>7.4</v>
      </c>
      <c r="I2360" t="s">
        <v>15</v>
      </c>
    </row>
    <row r="2361" spans="1:12" x14ac:dyDescent="0.25">
      <c r="A2361" t="s">
        <v>3135</v>
      </c>
      <c r="B2361">
        <v>122</v>
      </c>
      <c r="C2361">
        <v>24127895</v>
      </c>
      <c r="D2361" t="s">
        <v>3797</v>
      </c>
      <c r="E2361" t="s">
        <v>13</v>
      </c>
      <c r="F2361" t="s">
        <v>14</v>
      </c>
      <c r="G2361">
        <v>50000000</v>
      </c>
      <c r="H2361">
        <v>7.6</v>
      </c>
      <c r="I2361" t="s">
        <v>38</v>
      </c>
      <c r="J2361" t="s">
        <v>31</v>
      </c>
      <c r="K2361" t="s">
        <v>24</v>
      </c>
    </row>
    <row r="2362" spans="1:12" x14ac:dyDescent="0.25">
      <c r="A2362" t="s">
        <v>3798</v>
      </c>
      <c r="B2362">
        <v>127</v>
      </c>
      <c r="C2362">
        <v>24104113</v>
      </c>
      <c r="D2362" t="s">
        <v>3799</v>
      </c>
      <c r="E2362" t="s">
        <v>13</v>
      </c>
      <c r="F2362" t="s">
        <v>295</v>
      </c>
      <c r="G2362">
        <v>20000000</v>
      </c>
      <c r="H2362">
        <v>7.1</v>
      </c>
      <c r="I2362" t="s">
        <v>31</v>
      </c>
      <c r="J2362" t="s">
        <v>23</v>
      </c>
      <c r="K2362" t="s">
        <v>24</v>
      </c>
    </row>
    <row r="2363" spans="1:12" x14ac:dyDescent="0.25">
      <c r="A2363" t="s">
        <v>3800</v>
      </c>
      <c r="B2363">
        <v>108</v>
      </c>
      <c r="C2363">
        <v>24103594</v>
      </c>
      <c r="D2363" t="s">
        <v>3801</v>
      </c>
      <c r="E2363" t="s">
        <v>13</v>
      </c>
      <c r="F2363" t="s">
        <v>14</v>
      </c>
      <c r="G2363">
        <v>6500000</v>
      </c>
      <c r="H2363">
        <v>6.2</v>
      </c>
      <c r="I2363" t="s">
        <v>28</v>
      </c>
      <c r="J2363" t="s">
        <v>15</v>
      </c>
      <c r="K2363" t="s">
        <v>31</v>
      </c>
      <c r="L2363" t="s">
        <v>16</v>
      </c>
    </row>
    <row r="2364" spans="1:12" x14ac:dyDescent="0.25">
      <c r="A2364" t="s">
        <v>3390</v>
      </c>
      <c r="B2364">
        <v>106</v>
      </c>
      <c r="C2364">
        <v>24048000</v>
      </c>
      <c r="D2364" t="s">
        <v>3802</v>
      </c>
      <c r="E2364" t="s">
        <v>13</v>
      </c>
      <c r="F2364" t="s">
        <v>14</v>
      </c>
      <c r="G2364">
        <v>30000000</v>
      </c>
      <c r="H2364">
        <v>5.5</v>
      </c>
      <c r="I2364" t="s">
        <v>34</v>
      </c>
      <c r="J2364" t="s">
        <v>38</v>
      </c>
      <c r="K2364" t="s">
        <v>37</v>
      </c>
      <c r="L2364" t="s">
        <v>24</v>
      </c>
    </row>
    <row r="2365" spans="1:12" x14ac:dyDescent="0.25">
      <c r="A2365" t="s">
        <v>1044</v>
      </c>
      <c r="B2365">
        <v>102</v>
      </c>
      <c r="C2365">
        <v>24044532</v>
      </c>
      <c r="D2365" t="s">
        <v>3803</v>
      </c>
      <c r="E2365" t="s">
        <v>13</v>
      </c>
      <c r="F2365" t="s">
        <v>14</v>
      </c>
      <c r="G2365">
        <v>38000000</v>
      </c>
      <c r="H2365">
        <v>5.6</v>
      </c>
      <c r="I2365" t="s">
        <v>31</v>
      </c>
      <c r="J2365" t="s">
        <v>19</v>
      </c>
    </row>
    <row r="2366" spans="1:12" x14ac:dyDescent="0.25">
      <c r="A2366" t="s">
        <v>3804</v>
      </c>
      <c r="B2366">
        <v>99</v>
      </c>
      <c r="C2366">
        <v>24042490</v>
      </c>
      <c r="D2366" t="s">
        <v>3805</v>
      </c>
      <c r="E2366" t="s">
        <v>13</v>
      </c>
      <c r="F2366" t="s">
        <v>14</v>
      </c>
      <c r="G2366">
        <v>25000000</v>
      </c>
      <c r="H2366">
        <v>5.6</v>
      </c>
      <c r="I2366" t="s">
        <v>17</v>
      </c>
      <c r="J2366" t="s">
        <v>22</v>
      </c>
      <c r="K2366" t="s">
        <v>24</v>
      </c>
    </row>
    <row r="2367" spans="1:12" x14ac:dyDescent="0.25">
      <c r="A2367" t="s">
        <v>852</v>
      </c>
      <c r="B2367">
        <v>119</v>
      </c>
      <c r="C2367">
        <v>24006726</v>
      </c>
      <c r="D2367" t="s">
        <v>3806</v>
      </c>
      <c r="E2367" t="s">
        <v>13</v>
      </c>
      <c r="F2367" t="s">
        <v>14</v>
      </c>
      <c r="G2367">
        <v>50000000</v>
      </c>
      <c r="H2367">
        <v>7.3</v>
      </c>
      <c r="I2367" t="s">
        <v>28</v>
      </c>
      <c r="J2367" t="s">
        <v>15</v>
      </c>
      <c r="K2367" t="s">
        <v>31</v>
      </c>
    </row>
    <row r="2368" spans="1:12" x14ac:dyDescent="0.25">
      <c r="A2368" t="s">
        <v>3807</v>
      </c>
      <c r="B2368">
        <v>86</v>
      </c>
      <c r="C2368">
        <v>23993605</v>
      </c>
      <c r="D2368" t="s">
        <v>3808</v>
      </c>
      <c r="E2368" t="s">
        <v>13</v>
      </c>
      <c r="F2368" t="s">
        <v>14</v>
      </c>
      <c r="G2368">
        <v>18000000</v>
      </c>
      <c r="H2368">
        <v>5.8</v>
      </c>
      <c r="I2368" t="s">
        <v>15</v>
      </c>
      <c r="J2368" t="s">
        <v>38</v>
      </c>
      <c r="K2368" t="s">
        <v>31</v>
      </c>
    </row>
    <row r="2369" spans="1:15" x14ac:dyDescent="0.25">
      <c r="A2369" t="s">
        <v>3809</v>
      </c>
      <c r="B2369">
        <v>86</v>
      </c>
      <c r="C2369">
        <v>23978402</v>
      </c>
      <c r="D2369" t="s">
        <v>3810</v>
      </c>
      <c r="E2369" t="s">
        <v>13</v>
      </c>
      <c r="F2369" t="s">
        <v>14</v>
      </c>
      <c r="G2369">
        <v>11000000</v>
      </c>
      <c r="H2369">
        <v>4.5999999999999996</v>
      </c>
      <c r="I2369" t="s">
        <v>15</v>
      </c>
      <c r="J2369" t="s">
        <v>38</v>
      </c>
    </row>
    <row r="2370" spans="1:15" x14ac:dyDescent="0.25">
      <c r="A2370" t="s">
        <v>3811</v>
      </c>
      <c r="B2370">
        <v>96</v>
      </c>
      <c r="C2370">
        <v>23808111</v>
      </c>
      <c r="D2370" t="s">
        <v>3812</v>
      </c>
      <c r="E2370" t="s">
        <v>13</v>
      </c>
      <c r="F2370" t="s">
        <v>14</v>
      </c>
      <c r="G2370">
        <v>39751583.5</v>
      </c>
      <c r="H2370">
        <v>7.5</v>
      </c>
      <c r="I2370" t="s">
        <v>52</v>
      </c>
    </row>
    <row r="2371" spans="1:15" x14ac:dyDescent="0.25">
      <c r="A2371" t="s">
        <v>3813</v>
      </c>
      <c r="B2371">
        <v>172</v>
      </c>
      <c r="C2371">
        <v>23650000</v>
      </c>
      <c r="D2371" t="s">
        <v>3814</v>
      </c>
      <c r="E2371" t="s">
        <v>13</v>
      </c>
      <c r="F2371" t="s">
        <v>14</v>
      </c>
      <c r="G2371">
        <v>2100000</v>
      </c>
      <c r="H2371">
        <v>8.1</v>
      </c>
      <c r="I2371" t="s">
        <v>31</v>
      </c>
      <c r="J2371" t="s">
        <v>19</v>
      </c>
      <c r="K2371" t="s">
        <v>83</v>
      </c>
    </row>
    <row r="2372" spans="1:15" x14ac:dyDescent="0.25">
      <c r="A2372" t="s">
        <v>3435</v>
      </c>
      <c r="B2372">
        <v>121</v>
      </c>
      <c r="C2372">
        <v>23618786</v>
      </c>
      <c r="D2372" t="s">
        <v>3815</v>
      </c>
      <c r="E2372" t="s">
        <v>13</v>
      </c>
      <c r="F2372" t="s">
        <v>82</v>
      </c>
      <c r="G2372">
        <v>8000000</v>
      </c>
      <c r="H2372">
        <v>7.9</v>
      </c>
      <c r="I2372" t="s">
        <v>34</v>
      </c>
      <c r="J2372" t="s">
        <v>15</v>
      </c>
      <c r="K2372" t="s">
        <v>23</v>
      </c>
    </row>
    <row r="2373" spans="1:15" x14ac:dyDescent="0.25">
      <c r="A2373" t="s">
        <v>795</v>
      </c>
      <c r="B2373">
        <v>97</v>
      </c>
      <c r="C2373">
        <v>23527955</v>
      </c>
      <c r="D2373" t="s">
        <v>3816</v>
      </c>
      <c r="E2373" t="s">
        <v>13</v>
      </c>
      <c r="F2373" t="s">
        <v>14</v>
      </c>
      <c r="G2373">
        <v>25000000</v>
      </c>
      <c r="H2373">
        <v>6.4</v>
      </c>
      <c r="I2373" t="s">
        <v>34</v>
      </c>
      <c r="J2373" t="s">
        <v>38</v>
      </c>
      <c r="K2373" t="s">
        <v>31</v>
      </c>
      <c r="L2373" t="s">
        <v>23</v>
      </c>
      <c r="M2373" t="s">
        <v>24</v>
      </c>
    </row>
    <row r="2374" spans="1:15" x14ac:dyDescent="0.25">
      <c r="A2374" t="s">
        <v>3817</v>
      </c>
      <c r="B2374">
        <v>121</v>
      </c>
      <c r="C2374">
        <v>23472900</v>
      </c>
      <c r="D2374" t="s">
        <v>3818</v>
      </c>
      <c r="E2374" t="s">
        <v>13</v>
      </c>
      <c r="F2374" t="s">
        <v>82</v>
      </c>
      <c r="G2374">
        <v>17500000</v>
      </c>
      <c r="H2374">
        <v>8.1</v>
      </c>
      <c r="I2374" t="s">
        <v>31</v>
      </c>
      <c r="J2374" t="s">
        <v>64</v>
      </c>
      <c r="K2374" t="s">
        <v>83</v>
      </c>
    </row>
    <row r="2375" spans="1:15" x14ac:dyDescent="0.25">
      <c r="A2375" t="s">
        <v>3819</v>
      </c>
      <c r="B2375">
        <v>104</v>
      </c>
      <c r="C2375">
        <v>23393765</v>
      </c>
      <c r="D2375" t="s">
        <v>3820</v>
      </c>
      <c r="E2375" t="s">
        <v>13</v>
      </c>
      <c r="F2375" t="s">
        <v>14</v>
      </c>
      <c r="G2375">
        <v>20000000</v>
      </c>
      <c r="H2375">
        <v>6.3</v>
      </c>
      <c r="I2375" t="s">
        <v>31</v>
      </c>
      <c r="J2375" t="s">
        <v>19</v>
      </c>
    </row>
    <row r="2376" spans="1:15" x14ac:dyDescent="0.25">
      <c r="A2376" t="s">
        <v>1776</v>
      </c>
      <c r="B2376">
        <v>124</v>
      </c>
      <c r="C2376">
        <v>23360779</v>
      </c>
      <c r="D2376" t="s">
        <v>3821</v>
      </c>
      <c r="E2376" t="s">
        <v>13</v>
      </c>
      <c r="F2376" t="s">
        <v>14</v>
      </c>
      <c r="G2376">
        <v>34000000</v>
      </c>
      <c r="H2376">
        <v>5.7</v>
      </c>
      <c r="I2376" t="s">
        <v>34</v>
      </c>
      <c r="J2376" t="s">
        <v>28</v>
      </c>
      <c r="K2376" t="s">
        <v>38</v>
      </c>
      <c r="L2376" t="s">
        <v>31</v>
      </c>
      <c r="M2376" t="s">
        <v>16</v>
      </c>
      <c r="N2376" t="s">
        <v>17</v>
      </c>
      <c r="O2376" t="s">
        <v>19</v>
      </c>
    </row>
    <row r="2377" spans="1:15" x14ac:dyDescent="0.25">
      <c r="A2377" t="s">
        <v>3822</v>
      </c>
      <c r="B2377">
        <v>92</v>
      </c>
      <c r="C2377">
        <v>23324666</v>
      </c>
      <c r="D2377" t="s">
        <v>3823</v>
      </c>
      <c r="E2377" t="s">
        <v>13</v>
      </c>
      <c r="F2377" t="s">
        <v>295</v>
      </c>
      <c r="G2377">
        <v>52000000</v>
      </c>
      <c r="H2377">
        <v>6.5</v>
      </c>
      <c r="I2377" t="s">
        <v>34</v>
      </c>
      <c r="J2377" t="s">
        <v>24</v>
      </c>
    </row>
    <row r="2378" spans="1:15" x14ac:dyDescent="0.25">
      <c r="A2378" t="s">
        <v>348</v>
      </c>
      <c r="B2378">
        <v>97</v>
      </c>
      <c r="C2378">
        <v>23292105</v>
      </c>
      <c r="D2378" t="s">
        <v>3824</v>
      </c>
      <c r="E2378" t="s">
        <v>13</v>
      </c>
      <c r="F2378" t="s">
        <v>14</v>
      </c>
      <c r="G2378">
        <v>20000000</v>
      </c>
      <c r="H2378">
        <v>5.3</v>
      </c>
      <c r="I2378" t="s">
        <v>34</v>
      </c>
      <c r="J2378" t="s">
        <v>17</v>
      </c>
      <c r="K2378" t="s">
        <v>22</v>
      </c>
      <c r="L2378" t="s">
        <v>24</v>
      </c>
    </row>
    <row r="2379" spans="1:15" x14ac:dyDescent="0.25">
      <c r="A2379" t="s">
        <v>367</v>
      </c>
      <c r="B2379">
        <v>106</v>
      </c>
      <c r="C2379">
        <v>23272306</v>
      </c>
      <c r="D2379" t="s">
        <v>3825</v>
      </c>
      <c r="E2379" t="s">
        <v>13</v>
      </c>
      <c r="F2379" t="s">
        <v>14</v>
      </c>
      <c r="G2379">
        <v>6000000</v>
      </c>
      <c r="H2379">
        <v>8.6</v>
      </c>
      <c r="I2379" t="s">
        <v>38</v>
      </c>
      <c r="J2379" t="s">
        <v>31</v>
      </c>
      <c r="K2379" t="s">
        <v>23</v>
      </c>
      <c r="L2379" t="s">
        <v>24</v>
      </c>
    </row>
    <row r="2380" spans="1:15" x14ac:dyDescent="0.25">
      <c r="A2380" t="s">
        <v>1190</v>
      </c>
      <c r="B2380">
        <v>98</v>
      </c>
      <c r="C2380">
        <v>23225911</v>
      </c>
      <c r="D2380" t="s">
        <v>3826</v>
      </c>
      <c r="E2380" t="s">
        <v>13</v>
      </c>
      <c r="F2380" t="s">
        <v>14</v>
      </c>
      <c r="G2380">
        <v>24000000</v>
      </c>
      <c r="H2380">
        <v>6.5</v>
      </c>
      <c r="I2380" t="s">
        <v>34</v>
      </c>
      <c r="J2380" t="s">
        <v>38</v>
      </c>
      <c r="K2380" t="s">
        <v>31</v>
      </c>
      <c r="L2380" t="s">
        <v>24</v>
      </c>
    </row>
    <row r="2381" spans="1:15" x14ac:dyDescent="0.25">
      <c r="A2381" t="s">
        <v>3827</v>
      </c>
      <c r="B2381">
        <v>100</v>
      </c>
      <c r="C2381">
        <v>23222861</v>
      </c>
      <c r="D2381" t="s">
        <v>3828</v>
      </c>
      <c r="E2381" t="s">
        <v>13</v>
      </c>
      <c r="F2381" t="s">
        <v>14</v>
      </c>
      <c r="G2381">
        <v>26000000</v>
      </c>
      <c r="H2381">
        <v>4.5</v>
      </c>
      <c r="I2381" t="s">
        <v>34</v>
      </c>
      <c r="J2381" t="s">
        <v>28</v>
      </c>
      <c r="K2381" t="s">
        <v>15</v>
      </c>
      <c r="L2381" t="s">
        <v>16</v>
      </c>
      <c r="M2381" t="s">
        <v>19</v>
      </c>
      <c r="N2381" t="s">
        <v>37</v>
      </c>
    </row>
    <row r="2382" spans="1:15" x14ac:dyDescent="0.25">
      <c r="A2382" t="s">
        <v>417</v>
      </c>
      <c r="B2382">
        <v>105</v>
      </c>
      <c r="C2382">
        <v>23219748</v>
      </c>
      <c r="D2382" t="s">
        <v>3829</v>
      </c>
      <c r="E2382" t="s">
        <v>13</v>
      </c>
      <c r="F2382" t="s">
        <v>98</v>
      </c>
      <c r="G2382">
        <v>80000000</v>
      </c>
      <c r="H2382">
        <v>5.6</v>
      </c>
      <c r="I2382" t="s">
        <v>34</v>
      </c>
      <c r="J2382" t="s">
        <v>28</v>
      </c>
      <c r="K2382" t="s">
        <v>31</v>
      </c>
      <c r="L2382" t="s">
        <v>64</v>
      </c>
      <c r="M2382" t="s">
        <v>19</v>
      </c>
    </row>
    <row r="2383" spans="1:15" x14ac:dyDescent="0.25">
      <c r="A2383" t="s">
        <v>908</v>
      </c>
      <c r="B2383">
        <v>96</v>
      </c>
      <c r="C2383">
        <v>23213577</v>
      </c>
      <c r="D2383" t="s">
        <v>3830</v>
      </c>
      <c r="E2383" t="s">
        <v>13</v>
      </c>
      <c r="F2383" t="s">
        <v>910</v>
      </c>
      <c r="G2383">
        <v>15500000</v>
      </c>
      <c r="H2383">
        <v>7.2</v>
      </c>
      <c r="I2383" t="s">
        <v>31</v>
      </c>
      <c r="J2383" t="s">
        <v>19</v>
      </c>
    </row>
    <row r="2384" spans="1:15" x14ac:dyDescent="0.25">
      <c r="A2384" t="s">
        <v>2968</v>
      </c>
      <c r="B2384">
        <v>127</v>
      </c>
      <c r="C2384">
        <v>23209440</v>
      </c>
      <c r="D2384" t="s">
        <v>3831</v>
      </c>
      <c r="E2384" t="s">
        <v>13</v>
      </c>
      <c r="F2384" t="s">
        <v>14</v>
      </c>
      <c r="G2384">
        <v>30000000</v>
      </c>
      <c r="H2384">
        <v>7</v>
      </c>
      <c r="I2384" t="s">
        <v>31</v>
      </c>
    </row>
    <row r="2385" spans="1:15" x14ac:dyDescent="0.25">
      <c r="A2385" t="s">
        <v>3832</v>
      </c>
      <c r="B2385">
        <v>109</v>
      </c>
      <c r="C2385">
        <v>23179303</v>
      </c>
      <c r="D2385" t="s">
        <v>3833</v>
      </c>
      <c r="E2385" t="s">
        <v>13</v>
      </c>
      <c r="F2385" t="s">
        <v>3834</v>
      </c>
      <c r="G2385">
        <v>20000000</v>
      </c>
      <c r="H2385">
        <v>5.8</v>
      </c>
      <c r="I2385" t="s">
        <v>28</v>
      </c>
      <c r="J2385" t="s">
        <v>15</v>
      </c>
      <c r="K2385" t="s">
        <v>16</v>
      </c>
      <c r="L2385" t="s">
        <v>19</v>
      </c>
    </row>
    <row r="2386" spans="1:15" x14ac:dyDescent="0.25">
      <c r="A2386" t="s">
        <v>3835</v>
      </c>
      <c r="B2386">
        <v>90</v>
      </c>
      <c r="C2386">
        <v>23159305</v>
      </c>
      <c r="D2386" t="s">
        <v>3836</v>
      </c>
      <c r="E2386" t="s">
        <v>13</v>
      </c>
      <c r="F2386" t="s">
        <v>14</v>
      </c>
      <c r="G2386">
        <v>70000000</v>
      </c>
      <c r="H2386">
        <v>8</v>
      </c>
      <c r="I2386" t="s">
        <v>34</v>
      </c>
      <c r="J2386" t="s">
        <v>28</v>
      </c>
      <c r="K2386" t="s">
        <v>46</v>
      </c>
      <c r="L2386" t="s">
        <v>15</v>
      </c>
      <c r="M2386" t="s">
        <v>31</v>
      </c>
      <c r="N2386" t="s">
        <v>16</v>
      </c>
      <c r="O2386" t="s">
        <v>37</v>
      </c>
    </row>
    <row r="2387" spans="1:15" x14ac:dyDescent="0.25">
      <c r="A2387" t="s">
        <v>908</v>
      </c>
      <c r="B2387">
        <v>119</v>
      </c>
      <c r="C2387">
        <v>23089926</v>
      </c>
      <c r="D2387" t="s">
        <v>3837</v>
      </c>
      <c r="E2387" t="s">
        <v>13</v>
      </c>
      <c r="F2387" t="s">
        <v>82</v>
      </c>
      <c r="G2387">
        <v>15000000</v>
      </c>
      <c r="H2387">
        <v>7.7</v>
      </c>
      <c r="I2387" t="s">
        <v>31</v>
      </c>
      <c r="J2387" t="s">
        <v>19</v>
      </c>
      <c r="K2387" t="s">
        <v>24</v>
      </c>
    </row>
    <row r="2388" spans="1:15" x14ac:dyDescent="0.25">
      <c r="A2388" t="s">
        <v>1031</v>
      </c>
      <c r="B2388">
        <v>75</v>
      </c>
      <c r="C2388">
        <v>23078294</v>
      </c>
      <c r="D2388" t="s">
        <v>3838</v>
      </c>
      <c r="E2388" t="s">
        <v>13</v>
      </c>
      <c r="F2388" t="s">
        <v>14</v>
      </c>
      <c r="G2388">
        <v>9000000</v>
      </c>
      <c r="H2388">
        <v>5.0999999999999996</v>
      </c>
      <c r="I2388" t="s">
        <v>22</v>
      </c>
      <c r="J2388" t="s">
        <v>24</v>
      </c>
    </row>
    <row r="2389" spans="1:15" x14ac:dyDescent="0.25">
      <c r="A2389" t="s">
        <v>3839</v>
      </c>
      <c r="B2389">
        <v>108</v>
      </c>
      <c r="C2389">
        <v>23070045</v>
      </c>
      <c r="D2389" t="s">
        <v>3840</v>
      </c>
      <c r="E2389" t="s">
        <v>13</v>
      </c>
      <c r="F2389" t="s">
        <v>14</v>
      </c>
      <c r="G2389">
        <v>30000000</v>
      </c>
      <c r="H2389">
        <v>5.9</v>
      </c>
      <c r="I2389" t="s">
        <v>28</v>
      </c>
      <c r="J2389" t="s">
        <v>31</v>
      </c>
      <c r="K2389" t="s">
        <v>24</v>
      </c>
    </row>
    <row r="2390" spans="1:15" x14ac:dyDescent="0.25">
      <c r="A2390" t="s">
        <v>3841</v>
      </c>
      <c r="B2390">
        <v>104</v>
      </c>
      <c r="C2390">
        <v>23031390</v>
      </c>
      <c r="D2390" t="s">
        <v>3842</v>
      </c>
      <c r="E2390" t="s">
        <v>13</v>
      </c>
      <c r="F2390" t="s">
        <v>14</v>
      </c>
      <c r="G2390">
        <v>4500000</v>
      </c>
      <c r="H2390">
        <v>5.6</v>
      </c>
      <c r="I2390" t="s">
        <v>15</v>
      </c>
      <c r="J2390" t="s">
        <v>31</v>
      </c>
    </row>
    <row r="2391" spans="1:15" x14ac:dyDescent="0.25">
      <c r="A2391" t="s">
        <v>3843</v>
      </c>
      <c r="B2391">
        <v>104</v>
      </c>
      <c r="C2391">
        <v>23020488</v>
      </c>
      <c r="D2391" t="s">
        <v>3844</v>
      </c>
      <c r="E2391" t="s">
        <v>13</v>
      </c>
      <c r="F2391" t="s">
        <v>14</v>
      </c>
      <c r="G2391">
        <v>52000000</v>
      </c>
      <c r="H2391">
        <v>5.5</v>
      </c>
      <c r="I2391" t="s">
        <v>34</v>
      </c>
      <c r="J2391" t="s">
        <v>15</v>
      </c>
      <c r="K2391" t="s">
        <v>17</v>
      </c>
    </row>
    <row r="2392" spans="1:15" x14ac:dyDescent="0.25">
      <c r="A2392" t="s">
        <v>1895</v>
      </c>
      <c r="B2392">
        <v>134</v>
      </c>
      <c r="C2392">
        <v>22954968</v>
      </c>
      <c r="D2392" t="s">
        <v>3845</v>
      </c>
      <c r="E2392" t="s">
        <v>13</v>
      </c>
      <c r="F2392" t="s">
        <v>82</v>
      </c>
      <c r="G2392">
        <v>11500000</v>
      </c>
      <c r="H2392">
        <v>7.9</v>
      </c>
      <c r="I2392" t="s">
        <v>31</v>
      </c>
      <c r="J2392" t="s">
        <v>19</v>
      </c>
    </row>
    <row r="2393" spans="1:15" x14ac:dyDescent="0.25">
      <c r="A2393" t="s">
        <v>3846</v>
      </c>
      <c r="B2393">
        <v>109</v>
      </c>
      <c r="C2393">
        <v>22927390</v>
      </c>
      <c r="D2393" t="s">
        <v>3847</v>
      </c>
      <c r="E2393" t="s">
        <v>13</v>
      </c>
      <c r="F2393" t="s">
        <v>14</v>
      </c>
      <c r="G2393">
        <v>18000000</v>
      </c>
      <c r="H2393">
        <v>5.6</v>
      </c>
      <c r="I2393" t="s">
        <v>31</v>
      </c>
      <c r="J2393" t="s">
        <v>19</v>
      </c>
    </row>
    <row r="2394" spans="1:15" x14ac:dyDescent="0.25">
      <c r="A2394" t="s">
        <v>3848</v>
      </c>
      <c r="B2394">
        <v>96</v>
      </c>
      <c r="C2394">
        <v>22913677</v>
      </c>
      <c r="D2394" t="s">
        <v>3849</v>
      </c>
      <c r="E2394" t="s">
        <v>13</v>
      </c>
      <c r="F2394" t="s">
        <v>14</v>
      </c>
      <c r="G2394">
        <v>35000000</v>
      </c>
      <c r="H2394">
        <v>6.3</v>
      </c>
      <c r="I2394" t="s">
        <v>15</v>
      </c>
      <c r="J2394" t="s">
        <v>16</v>
      </c>
      <c r="K2394" t="s">
        <v>17</v>
      </c>
      <c r="L2394" t="s">
        <v>19</v>
      </c>
    </row>
    <row r="2395" spans="1:15" x14ac:dyDescent="0.25">
      <c r="A2395" t="s">
        <v>3850</v>
      </c>
      <c r="B2395">
        <v>121</v>
      </c>
      <c r="C2395">
        <v>22905674</v>
      </c>
      <c r="D2395" t="s">
        <v>3851</v>
      </c>
      <c r="E2395" t="s">
        <v>13</v>
      </c>
      <c r="F2395" t="s">
        <v>14</v>
      </c>
      <c r="G2395">
        <v>12000000</v>
      </c>
      <c r="H2395">
        <v>7.4</v>
      </c>
      <c r="I2395" t="s">
        <v>38</v>
      </c>
      <c r="J2395" t="s">
        <v>31</v>
      </c>
    </row>
    <row r="2396" spans="1:15" x14ac:dyDescent="0.25">
      <c r="A2396" t="s">
        <v>111</v>
      </c>
      <c r="B2396">
        <v>119</v>
      </c>
      <c r="C2396">
        <v>22877808</v>
      </c>
      <c r="D2396" t="s">
        <v>3852</v>
      </c>
      <c r="E2396" t="s">
        <v>13</v>
      </c>
      <c r="F2396" t="s">
        <v>14</v>
      </c>
      <c r="G2396">
        <v>35000000</v>
      </c>
      <c r="H2396">
        <v>7.3</v>
      </c>
      <c r="I2396" t="s">
        <v>31</v>
      </c>
      <c r="J2396" t="s">
        <v>19</v>
      </c>
    </row>
    <row r="2397" spans="1:15" x14ac:dyDescent="0.25">
      <c r="A2397" t="s">
        <v>3717</v>
      </c>
      <c r="B2397">
        <v>112</v>
      </c>
      <c r="C2397">
        <v>22858926</v>
      </c>
      <c r="D2397" t="s">
        <v>3853</v>
      </c>
      <c r="E2397" t="s">
        <v>13</v>
      </c>
      <c r="F2397" t="s">
        <v>14</v>
      </c>
      <c r="G2397">
        <v>13000000</v>
      </c>
      <c r="H2397">
        <v>7.8</v>
      </c>
      <c r="I2397" t="s">
        <v>15</v>
      </c>
      <c r="J2397" t="s">
        <v>31</v>
      </c>
      <c r="K2397" t="s">
        <v>17</v>
      </c>
    </row>
    <row r="2398" spans="1:15" x14ac:dyDescent="0.25">
      <c r="A2398" t="s">
        <v>474</v>
      </c>
      <c r="B2398">
        <v>172</v>
      </c>
      <c r="C2398">
        <v>22843047</v>
      </c>
      <c r="D2398" t="s">
        <v>3854</v>
      </c>
      <c r="E2398" t="s">
        <v>13</v>
      </c>
      <c r="F2398" t="s">
        <v>14</v>
      </c>
      <c r="G2398">
        <v>55000000</v>
      </c>
      <c r="H2398">
        <v>5.9</v>
      </c>
      <c r="I2398" t="s">
        <v>31</v>
      </c>
      <c r="J2398" t="s">
        <v>64</v>
      </c>
      <c r="K2398" t="s">
        <v>22</v>
      </c>
    </row>
    <row r="2399" spans="1:15" x14ac:dyDescent="0.25">
      <c r="A2399" t="s">
        <v>3855</v>
      </c>
      <c r="B2399">
        <v>142</v>
      </c>
      <c r="C2399">
        <v>22800000</v>
      </c>
      <c r="D2399" t="s">
        <v>3856</v>
      </c>
      <c r="E2399" t="s">
        <v>13</v>
      </c>
      <c r="F2399" t="s">
        <v>82</v>
      </c>
      <c r="G2399">
        <v>7000000</v>
      </c>
      <c r="H2399">
        <v>6.8</v>
      </c>
      <c r="I2399" t="s">
        <v>34</v>
      </c>
      <c r="J2399" t="s">
        <v>28</v>
      </c>
      <c r="K2399" t="s">
        <v>24</v>
      </c>
    </row>
    <row r="2400" spans="1:15" x14ac:dyDescent="0.25">
      <c r="A2400" t="s">
        <v>1197</v>
      </c>
      <c r="B2400">
        <v>98</v>
      </c>
      <c r="C2400">
        <v>22770864</v>
      </c>
      <c r="D2400" t="s">
        <v>3857</v>
      </c>
      <c r="E2400" t="s">
        <v>13</v>
      </c>
      <c r="F2400" t="s">
        <v>14</v>
      </c>
      <c r="G2400">
        <v>38000000</v>
      </c>
      <c r="H2400">
        <v>5.5</v>
      </c>
      <c r="I2400" t="s">
        <v>15</v>
      </c>
      <c r="J2400" t="s">
        <v>31</v>
      </c>
    </row>
    <row r="2401" spans="1:15" x14ac:dyDescent="0.25">
      <c r="A2401" t="s">
        <v>3858</v>
      </c>
      <c r="B2401">
        <v>81</v>
      </c>
      <c r="C2401">
        <v>22757819</v>
      </c>
      <c r="D2401" t="s">
        <v>3859</v>
      </c>
      <c r="E2401" t="s">
        <v>13</v>
      </c>
      <c r="F2401" t="s">
        <v>14</v>
      </c>
      <c r="G2401">
        <v>100000</v>
      </c>
      <c r="H2401">
        <v>4.2</v>
      </c>
      <c r="I2401" t="s">
        <v>22</v>
      </c>
      <c r="J2401" t="s">
        <v>24</v>
      </c>
    </row>
    <row r="2402" spans="1:15" x14ac:dyDescent="0.25">
      <c r="A2402" t="s">
        <v>875</v>
      </c>
      <c r="B2402">
        <v>94</v>
      </c>
      <c r="C2402">
        <v>22751979</v>
      </c>
      <c r="D2402" t="s">
        <v>3860</v>
      </c>
      <c r="E2402" t="s">
        <v>13</v>
      </c>
      <c r="F2402" t="s">
        <v>14</v>
      </c>
      <c r="G2402">
        <v>75000000</v>
      </c>
      <c r="H2402">
        <v>6.6</v>
      </c>
      <c r="I2402" t="s">
        <v>34</v>
      </c>
      <c r="J2402" t="s">
        <v>28</v>
      </c>
      <c r="K2402" t="s">
        <v>46</v>
      </c>
      <c r="L2402" t="s">
        <v>16</v>
      </c>
      <c r="M2402" t="s">
        <v>37</v>
      </c>
    </row>
    <row r="2403" spans="1:15" x14ac:dyDescent="0.25">
      <c r="A2403" t="s">
        <v>103</v>
      </c>
      <c r="B2403">
        <v>98</v>
      </c>
      <c r="C2403">
        <v>22734486</v>
      </c>
      <c r="D2403" t="s">
        <v>3861</v>
      </c>
      <c r="E2403" t="s">
        <v>13</v>
      </c>
      <c r="F2403" t="s">
        <v>14</v>
      </c>
      <c r="G2403">
        <v>17000000</v>
      </c>
      <c r="H2403">
        <v>5.6</v>
      </c>
      <c r="I2403" t="s">
        <v>15</v>
      </c>
    </row>
    <row r="2404" spans="1:15" x14ac:dyDescent="0.25">
      <c r="A2404" t="s">
        <v>1180</v>
      </c>
      <c r="B2404">
        <v>86</v>
      </c>
      <c r="C2404">
        <v>22717758</v>
      </c>
      <c r="D2404" t="s">
        <v>3862</v>
      </c>
      <c r="E2404" t="s">
        <v>13</v>
      </c>
      <c r="F2404" t="s">
        <v>14</v>
      </c>
      <c r="G2404">
        <v>40000000</v>
      </c>
      <c r="H2404">
        <v>6.2</v>
      </c>
      <c r="I2404" t="s">
        <v>28</v>
      </c>
      <c r="J2404" t="s">
        <v>46</v>
      </c>
      <c r="K2404" t="s">
        <v>15</v>
      </c>
      <c r="L2404" t="s">
        <v>31</v>
      </c>
      <c r="M2404" t="s">
        <v>16</v>
      </c>
      <c r="N2404" t="s">
        <v>17</v>
      </c>
      <c r="O2404" t="s">
        <v>59</v>
      </c>
    </row>
    <row r="2405" spans="1:15" x14ac:dyDescent="0.25">
      <c r="A2405" t="s">
        <v>1144</v>
      </c>
      <c r="B2405">
        <v>111</v>
      </c>
      <c r="C2405">
        <v>22551000</v>
      </c>
      <c r="D2405" t="s">
        <v>3863</v>
      </c>
      <c r="E2405" t="s">
        <v>13</v>
      </c>
      <c r="F2405" t="s">
        <v>82</v>
      </c>
      <c r="G2405">
        <v>8000000</v>
      </c>
      <c r="H2405">
        <v>7.4</v>
      </c>
      <c r="I2405" t="s">
        <v>15</v>
      </c>
      <c r="J2405" t="s">
        <v>31</v>
      </c>
      <c r="K2405" t="s">
        <v>19</v>
      </c>
    </row>
    <row r="2406" spans="1:15" x14ac:dyDescent="0.25">
      <c r="A2406" t="s">
        <v>845</v>
      </c>
      <c r="B2406">
        <v>101</v>
      </c>
      <c r="C2406">
        <v>22531698</v>
      </c>
      <c r="D2406" t="s">
        <v>3864</v>
      </c>
      <c r="E2406" t="s">
        <v>13</v>
      </c>
      <c r="F2406" t="s">
        <v>295</v>
      </c>
      <c r="G2406">
        <v>70000000</v>
      </c>
      <c r="H2406">
        <v>5.6</v>
      </c>
      <c r="I2406" t="s">
        <v>34</v>
      </c>
      <c r="J2406" t="s">
        <v>28</v>
      </c>
      <c r="K2406" t="s">
        <v>37</v>
      </c>
      <c r="L2406" t="s">
        <v>24</v>
      </c>
    </row>
    <row r="2407" spans="1:15" x14ac:dyDescent="0.25">
      <c r="A2407" t="s">
        <v>250</v>
      </c>
      <c r="B2407">
        <v>95</v>
      </c>
      <c r="C2407">
        <v>22526144</v>
      </c>
      <c r="D2407" t="s">
        <v>3865</v>
      </c>
      <c r="E2407" t="s">
        <v>13</v>
      </c>
      <c r="F2407" t="s">
        <v>14</v>
      </c>
      <c r="G2407">
        <v>30000000</v>
      </c>
      <c r="H2407">
        <v>5.0999999999999996</v>
      </c>
      <c r="I2407" t="s">
        <v>15</v>
      </c>
      <c r="J2407" t="s">
        <v>19</v>
      </c>
      <c r="K2407" t="s">
        <v>37</v>
      </c>
    </row>
    <row r="2408" spans="1:15" x14ac:dyDescent="0.25">
      <c r="A2408" t="s">
        <v>3866</v>
      </c>
      <c r="B2408">
        <v>100</v>
      </c>
      <c r="C2408">
        <v>22525921</v>
      </c>
      <c r="D2408" t="s">
        <v>3867</v>
      </c>
      <c r="E2408" t="s">
        <v>13</v>
      </c>
      <c r="F2408" t="s">
        <v>14</v>
      </c>
      <c r="G2408">
        <v>30000000</v>
      </c>
      <c r="H2408">
        <v>5.9</v>
      </c>
      <c r="I2408" t="s">
        <v>15</v>
      </c>
    </row>
    <row r="2409" spans="1:15" x14ac:dyDescent="0.25">
      <c r="A2409" t="s">
        <v>490</v>
      </c>
      <c r="B2409">
        <v>121</v>
      </c>
      <c r="C2409">
        <v>22518325</v>
      </c>
      <c r="D2409" t="s">
        <v>3868</v>
      </c>
      <c r="E2409" t="s">
        <v>13</v>
      </c>
      <c r="F2409" t="s">
        <v>241</v>
      </c>
      <c r="G2409">
        <v>50000000</v>
      </c>
      <c r="H2409">
        <v>5.6</v>
      </c>
      <c r="I2409" t="s">
        <v>38</v>
      </c>
      <c r="J2409" t="s">
        <v>31</v>
      </c>
      <c r="K2409" t="s">
        <v>23</v>
      </c>
      <c r="L2409" t="s">
        <v>24</v>
      </c>
    </row>
    <row r="2410" spans="1:15" x14ac:dyDescent="0.25">
      <c r="A2410" t="s">
        <v>3869</v>
      </c>
      <c r="B2410">
        <v>110</v>
      </c>
      <c r="C2410">
        <v>22494487</v>
      </c>
      <c r="D2410" t="s">
        <v>3870</v>
      </c>
      <c r="E2410" t="s">
        <v>13</v>
      </c>
      <c r="F2410" t="s">
        <v>241</v>
      </c>
      <c r="G2410">
        <v>27000000</v>
      </c>
      <c r="H2410">
        <v>7.8</v>
      </c>
      <c r="I2410" t="s">
        <v>38</v>
      </c>
      <c r="J2410" t="s">
        <v>31</v>
      </c>
      <c r="K2410" t="s">
        <v>23</v>
      </c>
      <c r="L2410" t="s">
        <v>24</v>
      </c>
    </row>
    <row r="2411" spans="1:15" x14ac:dyDescent="0.25">
      <c r="A2411" t="s">
        <v>3869</v>
      </c>
      <c r="B2411">
        <v>110</v>
      </c>
      <c r="C2411">
        <v>22494487</v>
      </c>
      <c r="D2411" t="s">
        <v>3870</v>
      </c>
      <c r="E2411" t="s">
        <v>13</v>
      </c>
      <c r="F2411" t="s">
        <v>241</v>
      </c>
      <c r="G2411">
        <v>27000000</v>
      </c>
      <c r="H2411">
        <v>7.8</v>
      </c>
      <c r="I2411" t="s">
        <v>38</v>
      </c>
      <c r="J2411" t="s">
        <v>31</v>
      </c>
      <c r="K2411" t="s">
        <v>23</v>
      </c>
      <c r="L2411" t="s">
        <v>24</v>
      </c>
    </row>
    <row r="2412" spans="1:15" x14ac:dyDescent="0.25">
      <c r="A2412" t="s">
        <v>3871</v>
      </c>
      <c r="B2412">
        <v>103</v>
      </c>
      <c r="C2412">
        <v>22466994</v>
      </c>
      <c r="D2412" t="s">
        <v>3872</v>
      </c>
      <c r="E2412" t="s">
        <v>13</v>
      </c>
      <c r="F2412" t="s">
        <v>14</v>
      </c>
      <c r="G2412">
        <v>25000000</v>
      </c>
      <c r="H2412">
        <v>6.3</v>
      </c>
      <c r="I2412" t="s">
        <v>34</v>
      </c>
      <c r="J2412" t="s">
        <v>38</v>
      </c>
      <c r="K2412" t="s">
        <v>24</v>
      </c>
    </row>
    <row r="2413" spans="1:15" x14ac:dyDescent="0.25">
      <c r="A2413" t="s">
        <v>3873</v>
      </c>
      <c r="B2413">
        <v>123</v>
      </c>
      <c r="C2413">
        <v>22452209</v>
      </c>
      <c r="D2413" t="s">
        <v>3874</v>
      </c>
      <c r="E2413" t="s">
        <v>13</v>
      </c>
      <c r="F2413" t="s">
        <v>14</v>
      </c>
      <c r="G2413">
        <v>18000000</v>
      </c>
      <c r="H2413">
        <v>5</v>
      </c>
      <c r="I2413" t="s">
        <v>15</v>
      </c>
      <c r="J2413" t="s">
        <v>31</v>
      </c>
      <c r="K2413" t="s">
        <v>59</v>
      </c>
      <c r="L2413" t="s">
        <v>19</v>
      </c>
    </row>
    <row r="2414" spans="1:15" x14ac:dyDescent="0.25">
      <c r="A2414" t="s">
        <v>3006</v>
      </c>
      <c r="B2414">
        <v>188</v>
      </c>
      <c r="C2414">
        <v>22450975</v>
      </c>
      <c r="D2414" t="s">
        <v>3875</v>
      </c>
      <c r="E2414" t="s">
        <v>13</v>
      </c>
      <c r="F2414" t="s">
        <v>14</v>
      </c>
      <c r="G2414">
        <v>37000000</v>
      </c>
      <c r="H2414">
        <v>8</v>
      </c>
      <c r="I2414" t="s">
        <v>31</v>
      </c>
    </row>
    <row r="2415" spans="1:15" x14ac:dyDescent="0.25">
      <c r="A2415" t="s">
        <v>979</v>
      </c>
      <c r="B2415">
        <v>108</v>
      </c>
      <c r="C2415">
        <v>22433915</v>
      </c>
      <c r="D2415" t="s">
        <v>3876</v>
      </c>
      <c r="E2415" t="s">
        <v>13</v>
      </c>
      <c r="F2415" t="s">
        <v>14</v>
      </c>
      <c r="G2415">
        <v>60000000</v>
      </c>
      <c r="H2415">
        <v>6.2</v>
      </c>
      <c r="I2415" t="s">
        <v>38</v>
      </c>
      <c r="J2415" t="s">
        <v>31</v>
      </c>
      <c r="K2415" t="s">
        <v>23</v>
      </c>
      <c r="L2415" t="s">
        <v>24</v>
      </c>
    </row>
    <row r="2416" spans="1:15" x14ac:dyDescent="0.25">
      <c r="A2416" t="s">
        <v>638</v>
      </c>
      <c r="B2416">
        <v>122</v>
      </c>
      <c r="C2416">
        <v>22362500</v>
      </c>
      <c r="D2416" t="s">
        <v>3877</v>
      </c>
      <c r="E2416" t="s">
        <v>13</v>
      </c>
      <c r="F2416" t="s">
        <v>14</v>
      </c>
      <c r="G2416">
        <v>55000000</v>
      </c>
      <c r="H2416">
        <v>6.1</v>
      </c>
      <c r="I2416" t="s">
        <v>15</v>
      </c>
      <c r="J2416" t="s">
        <v>31</v>
      </c>
    </row>
    <row r="2417" spans="1:13" x14ac:dyDescent="0.25">
      <c r="A2417" t="s">
        <v>523</v>
      </c>
      <c r="B2417">
        <v>89</v>
      </c>
      <c r="C2417">
        <v>22359293</v>
      </c>
      <c r="D2417" t="s">
        <v>3878</v>
      </c>
      <c r="E2417" t="s">
        <v>13</v>
      </c>
      <c r="F2417" t="s">
        <v>82</v>
      </c>
      <c r="G2417">
        <v>29000000</v>
      </c>
      <c r="H2417">
        <v>5.8</v>
      </c>
      <c r="I2417" t="s">
        <v>28</v>
      </c>
      <c r="J2417" t="s">
        <v>15</v>
      </c>
      <c r="K2417" t="s">
        <v>16</v>
      </c>
      <c r="L2417" t="s">
        <v>17</v>
      </c>
    </row>
    <row r="2418" spans="1:13" x14ac:dyDescent="0.25">
      <c r="A2418" t="s">
        <v>3879</v>
      </c>
      <c r="B2418">
        <v>106</v>
      </c>
      <c r="C2418">
        <v>22331028</v>
      </c>
      <c r="D2418" t="s">
        <v>3880</v>
      </c>
      <c r="E2418" t="s">
        <v>13</v>
      </c>
      <c r="F2418" t="s">
        <v>14</v>
      </c>
      <c r="G2418">
        <v>12000000</v>
      </c>
      <c r="H2418">
        <v>6.4</v>
      </c>
      <c r="I2418" t="s">
        <v>37</v>
      </c>
      <c r="J2418" t="s">
        <v>24</v>
      </c>
    </row>
    <row r="2419" spans="1:13" x14ac:dyDescent="0.25">
      <c r="A2419" t="s">
        <v>1134</v>
      </c>
      <c r="B2419">
        <v>128</v>
      </c>
      <c r="C2419">
        <v>22326247</v>
      </c>
      <c r="D2419" t="s">
        <v>3881</v>
      </c>
      <c r="E2419" t="s">
        <v>13</v>
      </c>
      <c r="F2419" t="s">
        <v>14</v>
      </c>
      <c r="G2419">
        <v>60000000</v>
      </c>
      <c r="H2419">
        <v>5.9</v>
      </c>
      <c r="I2419" t="s">
        <v>31</v>
      </c>
      <c r="J2419" t="s">
        <v>19</v>
      </c>
    </row>
    <row r="2420" spans="1:13" x14ac:dyDescent="0.25">
      <c r="A2420" t="s">
        <v>1105</v>
      </c>
      <c r="B2420">
        <v>101</v>
      </c>
      <c r="C2420">
        <v>22294341</v>
      </c>
      <c r="D2420" t="s">
        <v>3882</v>
      </c>
      <c r="E2420" t="s">
        <v>13</v>
      </c>
      <c r="F2420" t="s">
        <v>14</v>
      </c>
      <c r="G2420">
        <v>21500000</v>
      </c>
      <c r="H2420">
        <v>6.5</v>
      </c>
      <c r="I2420" t="s">
        <v>28</v>
      </c>
      <c r="J2420" t="s">
        <v>15</v>
      </c>
    </row>
    <row r="2421" spans="1:13" x14ac:dyDescent="0.25">
      <c r="A2421" t="s">
        <v>3883</v>
      </c>
      <c r="B2421">
        <v>83</v>
      </c>
      <c r="C2421">
        <v>22264487</v>
      </c>
      <c r="D2421" t="s">
        <v>3884</v>
      </c>
      <c r="E2421" t="s">
        <v>13</v>
      </c>
      <c r="F2421" t="s">
        <v>14</v>
      </c>
      <c r="G2421">
        <v>22000000</v>
      </c>
      <c r="H2421">
        <v>4.5999999999999996</v>
      </c>
      <c r="I2421" t="s">
        <v>15</v>
      </c>
    </row>
    <row r="2422" spans="1:13" x14ac:dyDescent="0.25">
      <c r="A2422" t="s">
        <v>3717</v>
      </c>
      <c r="B2422">
        <v>81</v>
      </c>
      <c r="C2422">
        <v>22245861</v>
      </c>
      <c r="D2422" t="s">
        <v>3885</v>
      </c>
      <c r="E2422" t="s">
        <v>13</v>
      </c>
      <c r="F2422" t="s">
        <v>14</v>
      </c>
      <c r="G2422">
        <v>19000000</v>
      </c>
      <c r="H2422">
        <v>7.7</v>
      </c>
      <c r="I2422" t="s">
        <v>15</v>
      </c>
      <c r="J2422" t="s">
        <v>31</v>
      </c>
    </row>
    <row r="2423" spans="1:13" x14ac:dyDescent="0.25">
      <c r="A2423" t="s">
        <v>3886</v>
      </c>
      <c r="B2423">
        <v>90</v>
      </c>
      <c r="C2423">
        <v>22235901</v>
      </c>
      <c r="D2423" t="s">
        <v>3887</v>
      </c>
      <c r="E2423" t="s">
        <v>13</v>
      </c>
      <c r="F2423" t="s">
        <v>14</v>
      </c>
      <c r="G2423">
        <v>6000000</v>
      </c>
      <c r="H2423">
        <v>6.1</v>
      </c>
      <c r="I2423" t="s">
        <v>15</v>
      </c>
      <c r="J2423" t="s">
        <v>19</v>
      </c>
    </row>
    <row r="2424" spans="1:13" x14ac:dyDescent="0.25">
      <c r="A2424" t="s">
        <v>2201</v>
      </c>
      <c r="B2424">
        <v>102</v>
      </c>
      <c r="C2424">
        <v>22202612</v>
      </c>
      <c r="D2424" t="s">
        <v>3888</v>
      </c>
      <c r="E2424" t="s">
        <v>13</v>
      </c>
      <c r="F2424" t="s">
        <v>14</v>
      </c>
      <c r="G2424">
        <v>2800000</v>
      </c>
      <c r="H2424">
        <v>8.1</v>
      </c>
      <c r="I2424" t="s">
        <v>28</v>
      </c>
      <c r="J2424" t="s">
        <v>16</v>
      </c>
      <c r="K2424" t="s">
        <v>17</v>
      </c>
      <c r="L2424" t="s">
        <v>59</v>
      </c>
    </row>
    <row r="2425" spans="1:13" x14ac:dyDescent="0.25">
      <c r="A2425" t="s">
        <v>3889</v>
      </c>
      <c r="B2425">
        <v>116</v>
      </c>
      <c r="C2425">
        <v>22201636</v>
      </c>
      <c r="D2425" t="s">
        <v>3890</v>
      </c>
      <c r="E2425" t="s">
        <v>13</v>
      </c>
      <c r="F2425" t="s">
        <v>14</v>
      </c>
      <c r="G2425">
        <v>8000000</v>
      </c>
      <c r="H2425">
        <v>7.4</v>
      </c>
      <c r="I2425" t="s">
        <v>38</v>
      </c>
      <c r="J2425" t="s">
        <v>31</v>
      </c>
      <c r="K2425" t="s">
        <v>18</v>
      </c>
    </row>
    <row r="2426" spans="1:13" x14ac:dyDescent="0.25">
      <c r="A2426" t="s">
        <v>3891</v>
      </c>
      <c r="B2426">
        <v>97</v>
      </c>
      <c r="C2426">
        <v>22200000</v>
      </c>
      <c r="D2426" t="s">
        <v>3892</v>
      </c>
      <c r="E2426" t="s">
        <v>13</v>
      </c>
      <c r="F2426" t="s">
        <v>14</v>
      </c>
      <c r="G2426">
        <v>25000000</v>
      </c>
      <c r="H2426">
        <v>6.8</v>
      </c>
      <c r="I2426" t="s">
        <v>15</v>
      </c>
      <c r="J2426" t="s">
        <v>31</v>
      </c>
      <c r="K2426" t="s">
        <v>19</v>
      </c>
    </row>
    <row r="2427" spans="1:13" x14ac:dyDescent="0.25">
      <c r="A2427" t="s">
        <v>3893</v>
      </c>
      <c r="B2427">
        <v>94</v>
      </c>
      <c r="C2427">
        <v>22189039</v>
      </c>
      <c r="D2427" t="s">
        <v>3894</v>
      </c>
      <c r="E2427" t="s">
        <v>13</v>
      </c>
      <c r="F2427" t="s">
        <v>14</v>
      </c>
      <c r="G2427">
        <v>15000000</v>
      </c>
      <c r="H2427">
        <v>5.5</v>
      </c>
      <c r="I2427" t="s">
        <v>34</v>
      </c>
      <c r="J2427" t="s">
        <v>38</v>
      </c>
      <c r="K2427" t="s">
        <v>31</v>
      </c>
      <c r="L2427" t="s">
        <v>19</v>
      </c>
      <c r="M2427" t="s">
        <v>24</v>
      </c>
    </row>
    <row r="2428" spans="1:13" x14ac:dyDescent="0.25">
      <c r="A2428" t="s">
        <v>648</v>
      </c>
      <c r="B2428">
        <v>89</v>
      </c>
      <c r="C2428">
        <v>22168359</v>
      </c>
      <c r="D2428" t="s">
        <v>3895</v>
      </c>
      <c r="E2428" t="s">
        <v>13</v>
      </c>
      <c r="F2428" t="s">
        <v>14</v>
      </c>
      <c r="G2428">
        <v>8000000</v>
      </c>
      <c r="H2428">
        <v>5.0999999999999996</v>
      </c>
      <c r="I2428" t="s">
        <v>17</v>
      </c>
      <c r="J2428" t="s">
        <v>22</v>
      </c>
      <c r="K2428" t="s">
        <v>19</v>
      </c>
      <c r="L2428" t="s">
        <v>24</v>
      </c>
    </row>
    <row r="2429" spans="1:13" x14ac:dyDescent="0.25">
      <c r="A2429" t="s">
        <v>2005</v>
      </c>
      <c r="B2429">
        <v>103</v>
      </c>
      <c r="C2429">
        <v>22160085</v>
      </c>
      <c r="D2429" t="s">
        <v>3896</v>
      </c>
      <c r="E2429" t="s">
        <v>13</v>
      </c>
      <c r="F2429" t="s">
        <v>14</v>
      </c>
      <c r="G2429">
        <v>10600000</v>
      </c>
      <c r="H2429">
        <v>5.4</v>
      </c>
      <c r="I2429" t="s">
        <v>22</v>
      </c>
    </row>
    <row r="2430" spans="1:13" x14ac:dyDescent="0.25">
      <c r="A2430" t="s">
        <v>3897</v>
      </c>
      <c r="B2430">
        <v>108</v>
      </c>
      <c r="C2430">
        <v>22108977</v>
      </c>
      <c r="D2430" t="s">
        <v>3898</v>
      </c>
      <c r="E2430" t="s">
        <v>13</v>
      </c>
      <c r="F2430" t="s">
        <v>1007</v>
      </c>
      <c r="G2430">
        <v>41000000</v>
      </c>
      <c r="H2430">
        <v>5.2</v>
      </c>
      <c r="I2430" t="s">
        <v>34</v>
      </c>
      <c r="J2430" t="s">
        <v>15</v>
      </c>
      <c r="K2430" t="s">
        <v>17</v>
      </c>
    </row>
    <row r="2431" spans="1:13" x14ac:dyDescent="0.25">
      <c r="A2431" t="s">
        <v>2965</v>
      </c>
      <c r="B2431">
        <v>110</v>
      </c>
      <c r="C2431">
        <v>21994911</v>
      </c>
      <c r="D2431" t="s">
        <v>3899</v>
      </c>
      <c r="E2431" t="s">
        <v>13</v>
      </c>
      <c r="F2431" t="s">
        <v>82</v>
      </c>
      <c r="G2431">
        <v>5000000</v>
      </c>
      <c r="H2431">
        <v>7.7</v>
      </c>
      <c r="I2431" t="s">
        <v>31</v>
      </c>
      <c r="J2431" t="s">
        <v>18</v>
      </c>
    </row>
    <row r="2432" spans="1:13" x14ac:dyDescent="0.25">
      <c r="A2432" t="s">
        <v>3850</v>
      </c>
      <c r="B2432">
        <v>97</v>
      </c>
      <c r="C2432">
        <v>21973182</v>
      </c>
      <c r="D2432" t="s">
        <v>3900</v>
      </c>
      <c r="E2432" t="s">
        <v>13</v>
      </c>
      <c r="F2432" t="s">
        <v>14</v>
      </c>
      <c r="G2432">
        <v>23000000</v>
      </c>
      <c r="H2432">
        <v>6.6</v>
      </c>
      <c r="I2432" t="s">
        <v>23</v>
      </c>
      <c r="J2432" t="s">
        <v>24</v>
      </c>
    </row>
    <row r="2433" spans="1:14" x14ac:dyDescent="0.25">
      <c r="A2433" t="s">
        <v>3901</v>
      </c>
      <c r="B2433">
        <v>107</v>
      </c>
      <c r="C2433">
        <v>21835784</v>
      </c>
      <c r="D2433" t="s">
        <v>3902</v>
      </c>
      <c r="E2433" t="s">
        <v>13</v>
      </c>
      <c r="F2433" t="s">
        <v>14</v>
      </c>
      <c r="G2433">
        <v>30000000</v>
      </c>
      <c r="H2433">
        <v>6.6</v>
      </c>
      <c r="I2433" t="s">
        <v>15</v>
      </c>
      <c r="J2433" t="s">
        <v>31</v>
      </c>
      <c r="K2433" t="s">
        <v>19</v>
      </c>
    </row>
    <row r="2434" spans="1:14" x14ac:dyDescent="0.25">
      <c r="A2434" t="s">
        <v>934</v>
      </c>
      <c r="B2434">
        <v>104</v>
      </c>
      <c r="C2434">
        <v>21800302</v>
      </c>
      <c r="D2434" t="s">
        <v>3903</v>
      </c>
      <c r="E2434" t="s">
        <v>13</v>
      </c>
      <c r="F2434" t="s">
        <v>14</v>
      </c>
      <c r="G2434">
        <v>30000000</v>
      </c>
      <c r="H2434">
        <v>5.5</v>
      </c>
      <c r="I2434" t="s">
        <v>15</v>
      </c>
      <c r="J2434" t="s">
        <v>31</v>
      </c>
      <c r="K2434" t="s">
        <v>19</v>
      </c>
      <c r="L2434" t="s">
        <v>41</v>
      </c>
    </row>
    <row r="2435" spans="1:14" x14ac:dyDescent="0.25">
      <c r="A2435" t="s">
        <v>3904</v>
      </c>
      <c r="B2435">
        <v>89</v>
      </c>
      <c r="C2435">
        <v>21784432</v>
      </c>
      <c r="D2435" t="s">
        <v>3905</v>
      </c>
      <c r="E2435" t="s">
        <v>13</v>
      </c>
      <c r="F2435" t="s">
        <v>14</v>
      </c>
      <c r="G2435">
        <v>35000000</v>
      </c>
      <c r="H2435">
        <v>5.6</v>
      </c>
      <c r="I2435" t="s">
        <v>15</v>
      </c>
    </row>
    <row r="2436" spans="1:14" x14ac:dyDescent="0.25">
      <c r="A2436" t="s">
        <v>3906</v>
      </c>
      <c r="B2436">
        <v>130</v>
      </c>
      <c r="C2436">
        <v>21589307</v>
      </c>
      <c r="D2436" t="s">
        <v>3907</v>
      </c>
      <c r="E2436" t="s">
        <v>13</v>
      </c>
      <c r="F2436" t="s">
        <v>14</v>
      </c>
      <c r="G2436">
        <v>10000000</v>
      </c>
      <c r="H2436">
        <v>7.4</v>
      </c>
      <c r="I2436" t="s">
        <v>31</v>
      </c>
    </row>
    <row r="2437" spans="1:14" x14ac:dyDescent="0.25">
      <c r="A2437" t="s">
        <v>3908</v>
      </c>
      <c r="B2437">
        <v>121</v>
      </c>
      <c r="C2437">
        <v>21569041</v>
      </c>
      <c r="D2437" t="s">
        <v>3909</v>
      </c>
      <c r="E2437" t="s">
        <v>13</v>
      </c>
      <c r="F2437" t="s">
        <v>14</v>
      </c>
      <c r="G2437">
        <v>9000000</v>
      </c>
      <c r="H2437">
        <v>6.6</v>
      </c>
      <c r="I2437" t="s">
        <v>31</v>
      </c>
    </row>
    <row r="2438" spans="1:14" x14ac:dyDescent="0.25">
      <c r="A2438" t="s">
        <v>3910</v>
      </c>
      <c r="B2438">
        <v>96</v>
      </c>
      <c r="C2438">
        <v>21564616</v>
      </c>
      <c r="D2438" t="s">
        <v>3911</v>
      </c>
      <c r="E2438" t="s">
        <v>13</v>
      </c>
      <c r="F2438" t="s">
        <v>14</v>
      </c>
      <c r="G2438">
        <v>8500000</v>
      </c>
      <c r="H2438">
        <v>5</v>
      </c>
      <c r="I2438" t="s">
        <v>15</v>
      </c>
    </row>
    <row r="2439" spans="1:14" x14ac:dyDescent="0.25">
      <c r="A2439" t="s">
        <v>310</v>
      </c>
      <c r="B2439">
        <v>102</v>
      </c>
      <c r="C2439">
        <v>21557240</v>
      </c>
      <c r="D2439" t="s">
        <v>3912</v>
      </c>
      <c r="E2439" t="s">
        <v>13</v>
      </c>
      <c r="F2439" t="s">
        <v>14</v>
      </c>
      <c r="G2439">
        <v>49900000</v>
      </c>
      <c r="H2439">
        <v>5.6</v>
      </c>
      <c r="I2439" t="s">
        <v>28</v>
      </c>
      <c r="J2439" t="s">
        <v>15</v>
      </c>
      <c r="K2439" t="s">
        <v>17</v>
      </c>
    </row>
    <row r="2440" spans="1:14" x14ac:dyDescent="0.25">
      <c r="A2440" t="s">
        <v>302</v>
      </c>
      <c r="B2440">
        <v>136</v>
      </c>
      <c r="C2440">
        <v>21554585</v>
      </c>
      <c r="D2440" t="s">
        <v>3913</v>
      </c>
      <c r="E2440" t="s">
        <v>13</v>
      </c>
      <c r="F2440" t="s">
        <v>14</v>
      </c>
      <c r="G2440">
        <v>25000000</v>
      </c>
      <c r="H2440">
        <v>6.9</v>
      </c>
      <c r="I2440" t="s">
        <v>31</v>
      </c>
      <c r="J2440" t="s">
        <v>41</v>
      </c>
    </row>
    <row r="2441" spans="1:14" x14ac:dyDescent="0.25">
      <c r="A2441" t="s">
        <v>2876</v>
      </c>
      <c r="B2441">
        <v>100</v>
      </c>
      <c r="C2441">
        <v>21520719</v>
      </c>
      <c r="D2441" t="s">
        <v>3914</v>
      </c>
      <c r="E2441" t="s">
        <v>13</v>
      </c>
      <c r="F2441" t="s">
        <v>14</v>
      </c>
      <c r="G2441">
        <v>39751583.5</v>
      </c>
      <c r="H2441">
        <v>5.8</v>
      </c>
      <c r="I2441" t="s">
        <v>15</v>
      </c>
      <c r="J2441" t="s">
        <v>19</v>
      </c>
      <c r="K2441" t="s">
        <v>41</v>
      </c>
    </row>
    <row r="2442" spans="1:14" x14ac:dyDescent="0.25">
      <c r="A2442" t="s">
        <v>3915</v>
      </c>
      <c r="B2442">
        <v>103</v>
      </c>
      <c r="C2442">
        <v>21501098</v>
      </c>
      <c r="D2442" t="s">
        <v>3916</v>
      </c>
      <c r="E2442" t="s">
        <v>13</v>
      </c>
      <c r="F2442" t="s">
        <v>14</v>
      </c>
      <c r="G2442">
        <v>5000000</v>
      </c>
      <c r="H2442">
        <v>7.4</v>
      </c>
      <c r="I2442" t="s">
        <v>15</v>
      </c>
      <c r="J2442" t="s">
        <v>31</v>
      </c>
    </row>
    <row r="2443" spans="1:14" x14ac:dyDescent="0.25">
      <c r="A2443" t="s">
        <v>3917</v>
      </c>
      <c r="B2443">
        <v>193</v>
      </c>
      <c r="C2443">
        <v>21500000</v>
      </c>
      <c r="D2443" t="s">
        <v>3918</v>
      </c>
      <c r="E2443" t="s">
        <v>13</v>
      </c>
      <c r="F2443" t="s">
        <v>14</v>
      </c>
      <c r="G2443">
        <v>27000000</v>
      </c>
      <c r="H2443">
        <v>7.9</v>
      </c>
      <c r="I2443" t="s">
        <v>28</v>
      </c>
      <c r="J2443" t="s">
        <v>31</v>
      </c>
      <c r="K2443" t="s">
        <v>64</v>
      </c>
    </row>
    <row r="2444" spans="1:14" x14ac:dyDescent="0.25">
      <c r="A2444" t="s">
        <v>3919</v>
      </c>
      <c r="B2444">
        <v>131</v>
      </c>
      <c r="C2444">
        <v>21483154</v>
      </c>
      <c r="D2444" t="s">
        <v>3920</v>
      </c>
      <c r="E2444" t="s">
        <v>13</v>
      </c>
      <c r="F2444" t="s">
        <v>14</v>
      </c>
      <c r="G2444">
        <v>19000000</v>
      </c>
      <c r="H2444">
        <v>7.6</v>
      </c>
      <c r="I2444" t="s">
        <v>31</v>
      </c>
      <c r="J2444" t="s">
        <v>83</v>
      </c>
    </row>
    <row r="2445" spans="1:14" x14ac:dyDescent="0.25">
      <c r="A2445" t="s">
        <v>3921</v>
      </c>
      <c r="B2445">
        <v>119</v>
      </c>
      <c r="C2445">
        <v>21471685</v>
      </c>
      <c r="D2445" t="s">
        <v>3922</v>
      </c>
      <c r="E2445" t="s">
        <v>13</v>
      </c>
      <c r="F2445" t="s">
        <v>14</v>
      </c>
      <c r="G2445">
        <v>44000000</v>
      </c>
      <c r="H2445">
        <v>2.4</v>
      </c>
      <c r="I2445" t="s">
        <v>34</v>
      </c>
      <c r="J2445" t="s">
        <v>28</v>
      </c>
      <c r="K2445" t="s">
        <v>37</v>
      </c>
    </row>
    <row r="2446" spans="1:14" x14ac:dyDescent="0.25">
      <c r="A2446" t="s">
        <v>3923</v>
      </c>
      <c r="B2446">
        <v>97</v>
      </c>
      <c r="C2446">
        <v>21468807</v>
      </c>
      <c r="D2446" t="s">
        <v>3924</v>
      </c>
      <c r="E2446" t="s">
        <v>13</v>
      </c>
      <c r="F2446" t="s">
        <v>14</v>
      </c>
      <c r="G2446">
        <v>14000000</v>
      </c>
      <c r="H2446">
        <v>4.0999999999999996</v>
      </c>
      <c r="I2446" t="s">
        <v>22</v>
      </c>
      <c r="J2446" t="s">
        <v>23</v>
      </c>
      <c r="K2446" t="s">
        <v>24</v>
      </c>
    </row>
    <row r="2447" spans="1:14" x14ac:dyDescent="0.25">
      <c r="A2447" t="s">
        <v>3925</v>
      </c>
      <c r="B2447">
        <v>89</v>
      </c>
      <c r="C2447">
        <v>21426805</v>
      </c>
      <c r="D2447" t="s">
        <v>3926</v>
      </c>
      <c r="E2447" t="s">
        <v>13</v>
      </c>
      <c r="F2447" t="s">
        <v>14</v>
      </c>
      <c r="G2447">
        <v>30000000</v>
      </c>
      <c r="H2447">
        <v>4.9000000000000004</v>
      </c>
      <c r="I2447" t="s">
        <v>34</v>
      </c>
      <c r="J2447" t="s">
        <v>28</v>
      </c>
      <c r="K2447" t="s">
        <v>22</v>
      </c>
      <c r="L2447" t="s">
        <v>37</v>
      </c>
      <c r="M2447" t="s">
        <v>24</v>
      </c>
    </row>
    <row r="2448" spans="1:14" x14ac:dyDescent="0.25">
      <c r="A2448" t="s">
        <v>348</v>
      </c>
      <c r="B2448">
        <v>104</v>
      </c>
      <c r="C2448">
        <v>21413502</v>
      </c>
      <c r="D2448" t="s">
        <v>3927</v>
      </c>
      <c r="E2448" t="s">
        <v>13</v>
      </c>
      <c r="F2448" t="s">
        <v>14</v>
      </c>
      <c r="G2448">
        <v>40000000</v>
      </c>
      <c r="H2448">
        <v>6.3</v>
      </c>
      <c r="I2448" t="s">
        <v>34</v>
      </c>
      <c r="J2448" t="s">
        <v>28</v>
      </c>
      <c r="K2448" t="s">
        <v>15</v>
      </c>
      <c r="L2448" t="s">
        <v>38</v>
      </c>
      <c r="M2448" t="s">
        <v>18</v>
      </c>
      <c r="N2448" t="s">
        <v>23</v>
      </c>
    </row>
    <row r="2449" spans="1:13" x14ac:dyDescent="0.25">
      <c r="A2449" t="s">
        <v>3711</v>
      </c>
      <c r="B2449">
        <v>119</v>
      </c>
      <c r="C2449">
        <v>21413105</v>
      </c>
      <c r="D2449" t="s">
        <v>3928</v>
      </c>
      <c r="E2449" t="s">
        <v>13</v>
      </c>
      <c r="F2449" t="s">
        <v>45</v>
      </c>
      <c r="G2449">
        <v>20000000</v>
      </c>
      <c r="H2449">
        <v>6.8</v>
      </c>
      <c r="I2449" t="s">
        <v>34</v>
      </c>
      <c r="J2449" t="s">
        <v>28</v>
      </c>
      <c r="K2449" t="s">
        <v>31</v>
      </c>
      <c r="L2449" t="s">
        <v>19</v>
      </c>
      <c r="M2449" t="s">
        <v>69</v>
      </c>
    </row>
    <row r="2450" spans="1:13" x14ac:dyDescent="0.25">
      <c r="A2450" t="s">
        <v>3929</v>
      </c>
      <c r="B2450">
        <v>140</v>
      </c>
      <c r="C2450">
        <v>21383298</v>
      </c>
      <c r="D2450" t="s">
        <v>3930</v>
      </c>
      <c r="E2450" t="s">
        <v>13</v>
      </c>
      <c r="F2450" t="s">
        <v>14</v>
      </c>
      <c r="G2450">
        <v>15000000</v>
      </c>
      <c r="H2450">
        <v>7.3</v>
      </c>
      <c r="I2450" t="s">
        <v>38</v>
      </c>
      <c r="J2450" t="s">
        <v>31</v>
      </c>
      <c r="K2450" t="s">
        <v>24</v>
      </c>
    </row>
    <row r="2451" spans="1:13" x14ac:dyDescent="0.25">
      <c r="A2451" t="s">
        <v>2789</v>
      </c>
      <c r="B2451">
        <v>89</v>
      </c>
      <c r="C2451">
        <v>21378000</v>
      </c>
      <c r="D2451" t="s">
        <v>3931</v>
      </c>
      <c r="E2451" t="s">
        <v>13</v>
      </c>
      <c r="F2451" t="s">
        <v>14</v>
      </c>
      <c r="G2451">
        <v>1000000</v>
      </c>
      <c r="H2451">
        <v>6.8</v>
      </c>
      <c r="I2451" t="s">
        <v>17</v>
      </c>
      <c r="J2451" t="s">
        <v>22</v>
      </c>
    </row>
    <row r="2452" spans="1:13" x14ac:dyDescent="0.25">
      <c r="A2452" t="s">
        <v>2789</v>
      </c>
      <c r="B2452">
        <v>89</v>
      </c>
      <c r="C2452">
        <v>21378000</v>
      </c>
      <c r="D2452" t="s">
        <v>3931</v>
      </c>
      <c r="E2452" t="s">
        <v>13</v>
      </c>
      <c r="F2452" t="s">
        <v>14</v>
      </c>
      <c r="G2452">
        <v>1000000</v>
      </c>
      <c r="H2452">
        <v>6.8</v>
      </c>
      <c r="I2452" t="s">
        <v>17</v>
      </c>
      <c r="J2452" t="s">
        <v>22</v>
      </c>
    </row>
    <row r="2453" spans="1:13" x14ac:dyDescent="0.25">
      <c r="A2453" t="s">
        <v>2960</v>
      </c>
      <c r="B2453">
        <v>97</v>
      </c>
      <c r="C2453">
        <v>21371425</v>
      </c>
      <c r="D2453" t="s">
        <v>3932</v>
      </c>
      <c r="E2453" t="s">
        <v>13</v>
      </c>
      <c r="F2453" t="s">
        <v>14</v>
      </c>
      <c r="G2453">
        <v>10000000</v>
      </c>
      <c r="H2453">
        <v>4.4000000000000004</v>
      </c>
      <c r="I2453" t="s">
        <v>34</v>
      </c>
      <c r="J2453" t="s">
        <v>37</v>
      </c>
      <c r="K2453" t="s">
        <v>24</v>
      </c>
    </row>
    <row r="2454" spans="1:13" x14ac:dyDescent="0.25">
      <c r="A2454" t="s">
        <v>490</v>
      </c>
      <c r="B2454">
        <v>91</v>
      </c>
      <c r="C2454">
        <v>21370057</v>
      </c>
      <c r="D2454" t="s">
        <v>3933</v>
      </c>
      <c r="E2454" t="s">
        <v>13</v>
      </c>
      <c r="F2454" t="s">
        <v>14</v>
      </c>
      <c r="G2454">
        <v>12000000</v>
      </c>
      <c r="H2454">
        <v>6</v>
      </c>
      <c r="I2454" t="s">
        <v>38</v>
      </c>
      <c r="J2454" t="s">
        <v>31</v>
      </c>
      <c r="K2454" t="s">
        <v>24</v>
      </c>
    </row>
    <row r="2455" spans="1:13" x14ac:dyDescent="0.25">
      <c r="A2455" t="s">
        <v>3934</v>
      </c>
      <c r="B2455">
        <v>92</v>
      </c>
      <c r="C2455">
        <v>21300000</v>
      </c>
      <c r="D2455" t="s">
        <v>3935</v>
      </c>
      <c r="E2455" t="s">
        <v>13</v>
      </c>
      <c r="F2455" t="s">
        <v>14</v>
      </c>
      <c r="G2455">
        <v>2200000</v>
      </c>
      <c r="H2455">
        <v>4.7</v>
      </c>
      <c r="I2455" t="s">
        <v>22</v>
      </c>
      <c r="J2455" t="s">
        <v>23</v>
      </c>
      <c r="K2455" t="s">
        <v>24</v>
      </c>
    </row>
    <row r="2456" spans="1:13" x14ac:dyDescent="0.25">
      <c r="A2456" t="s">
        <v>3456</v>
      </c>
      <c r="B2456">
        <v>84</v>
      </c>
      <c r="C2456">
        <v>21283440</v>
      </c>
      <c r="D2456" t="s">
        <v>3936</v>
      </c>
      <c r="E2456" t="s">
        <v>13</v>
      </c>
      <c r="F2456" t="s">
        <v>14</v>
      </c>
      <c r="G2456">
        <v>55000000</v>
      </c>
      <c r="H2456">
        <v>6</v>
      </c>
      <c r="I2456" t="s">
        <v>31</v>
      </c>
      <c r="J2456" t="s">
        <v>23</v>
      </c>
      <c r="K2456" t="s">
        <v>24</v>
      </c>
    </row>
    <row r="2457" spans="1:13" x14ac:dyDescent="0.25">
      <c r="A2457" t="s">
        <v>2282</v>
      </c>
      <c r="B2457">
        <v>120</v>
      </c>
      <c r="C2457">
        <v>21244913</v>
      </c>
      <c r="D2457" t="s">
        <v>3937</v>
      </c>
      <c r="E2457" t="s">
        <v>13</v>
      </c>
      <c r="F2457" t="s">
        <v>241</v>
      </c>
      <c r="G2457">
        <v>4000000</v>
      </c>
      <c r="H2457">
        <v>8</v>
      </c>
      <c r="I2457" t="s">
        <v>38</v>
      </c>
      <c r="J2457" t="s">
        <v>52</v>
      </c>
      <c r="K2457" t="s">
        <v>31</v>
      </c>
    </row>
    <row r="2458" spans="1:13" x14ac:dyDescent="0.25">
      <c r="A2458" t="s">
        <v>1080</v>
      </c>
      <c r="B2458">
        <v>106</v>
      </c>
      <c r="C2458">
        <v>21200000</v>
      </c>
      <c r="D2458" t="s">
        <v>3938</v>
      </c>
      <c r="E2458" t="s">
        <v>13</v>
      </c>
      <c r="F2458" t="s">
        <v>14</v>
      </c>
      <c r="G2458">
        <v>20000000</v>
      </c>
      <c r="H2458">
        <v>6.8</v>
      </c>
      <c r="I2458" t="s">
        <v>15</v>
      </c>
      <c r="J2458" t="s">
        <v>38</v>
      </c>
      <c r="K2458" t="s">
        <v>31</v>
      </c>
    </row>
    <row r="2459" spans="1:13" x14ac:dyDescent="0.25">
      <c r="A2459" t="s">
        <v>3312</v>
      </c>
      <c r="B2459">
        <v>93</v>
      </c>
      <c r="C2459">
        <v>21197315</v>
      </c>
      <c r="D2459" t="s">
        <v>3939</v>
      </c>
      <c r="E2459" t="s">
        <v>13</v>
      </c>
      <c r="F2459" t="s">
        <v>14</v>
      </c>
      <c r="G2459">
        <v>5000000</v>
      </c>
      <c r="H2459">
        <v>6.1</v>
      </c>
      <c r="I2459" t="s">
        <v>22</v>
      </c>
      <c r="J2459" t="s">
        <v>23</v>
      </c>
      <c r="K2459" t="s">
        <v>24</v>
      </c>
    </row>
    <row r="2460" spans="1:13" x14ac:dyDescent="0.25">
      <c r="A2460" t="s">
        <v>1857</v>
      </c>
      <c r="B2460">
        <v>84</v>
      </c>
      <c r="C2460">
        <v>21176322</v>
      </c>
      <c r="D2460" t="s">
        <v>3940</v>
      </c>
      <c r="E2460" t="s">
        <v>13</v>
      </c>
      <c r="F2460" t="s">
        <v>14</v>
      </c>
      <c r="G2460">
        <v>40000000</v>
      </c>
      <c r="H2460">
        <v>4</v>
      </c>
      <c r="I2460" t="s">
        <v>34</v>
      </c>
      <c r="J2460" t="s">
        <v>15</v>
      </c>
      <c r="K2460" t="s">
        <v>38</v>
      </c>
    </row>
    <row r="2461" spans="1:13" x14ac:dyDescent="0.25">
      <c r="A2461" t="s">
        <v>3941</v>
      </c>
      <c r="B2461">
        <v>105</v>
      </c>
      <c r="C2461">
        <v>21160089</v>
      </c>
      <c r="D2461" t="s">
        <v>3942</v>
      </c>
      <c r="E2461" t="s">
        <v>13</v>
      </c>
      <c r="F2461" t="s">
        <v>14</v>
      </c>
      <c r="G2461">
        <v>39751583.5</v>
      </c>
      <c r="H2461">
        <v>6</v>
      </c>
      <c r="I2461" t="s">
        <v>15</v>
      </c>
      <c r="J2461" t="s">
        <v>38</v>
      </c>
      <c r="K2461" t="s">
        <v>31</v>
      </c>
      <c r="L2461" t="s">
        <v>18</v>
      </c>
      <c r="M2461" t="s">
        <v>19</v>
      </c>
    </row>
    <row r="2462" spans="1:13" x14ac:dyDescent="0.25">
      <c r="A2462" t="s">
        <v>2765</v>
      </c>
      <c r="B2462">
        <v>99</v>
      </c>
      <c r="C2462">
        <v>21133087</v>
      </c>
      <c r="D2462" t="s">
        <v>3943</v>
      </c>
      <c r="E2462" t="s">
        <v>13</v>
      </c>
      <c r="F2462" t="s">
        <v>14</v>
      </c>
      <c r="G2462">
        <v>12000000</v>
      </c>
      <c r="H2462">
        <v>7</v>
      </c>
      <c r="I2462" t="s">
        <v>22</v>
      </c>
      <c r="J2462" t="s">
        <v>23</v>
      </c>
      <c r="K2462" t="s">
        <v>24</v>
      </c>
    </row>
    <row r="2463" spans="1:13" x14ac:dyDescent="0.25">
      <c r="A2463" t="s">
        <v>988</v>
      </c>
      <c r="B2463">
        <v>133</v>
      </c>
      <c r="C2463">
        <v>21129348</v>
      </c>
      <c r="D2463" t="s">
        <v>3944</v>
      </c>
      <c r="E2463" t="s">
        <v>13</v>
      </c>
      <c r="F2463" t="s">
        <v>14</v>
      </c>
      <c r="G2463">
        <v>35000000</v>
      </c>
      <c r="H2463">
        <v>7.4</v>
      </c>
      <c r="I2463" t="s">
        <v>38</v>
      </c>
      <c r="J2463" t="s">
        <v>31</v>
      </c>
      <c r="K2463" t="s">
        <v>19</v>
      </c>
      <c r="L2463" t="s">
        <v>24</v>
      </c>
    </row>
    <row r="2464" spans="1:13" x14ac:dyDescent="0.25">
      <c r="A2464" t="s">
        <v>3945</v>
      </c>
      <c r="B2464">
        <v>92</v>
      </c>
      <c r="C2464">
        <v>21088568</v>
      </c>
      <c r="D2464" t="s">
        <v>3946</v>
      </c>
      <c r="E2464" t="s">
        <v>13</v>
      </c>
      <c r="F2464" t="s">
        <v>14</v>
      </c>
      <c r="G2464">
        <v>13000000</v>
      </c>
      <c r="H2464">
        <v>6.7</v>
      </c>
      <c r="I2464" t="s">
        <v>34</v>
      </c>
      <c r="J2464" t="s">
        <v>17</v>
      </c>
      <c r="K2464" t="s">
        <v>22</v>
      </c>
      <c r="L2464" t="s">
        <v>24</v>
      </c>
    </row>
    <row r="2465" spans="1:14" x14ac:dyDescent="0.25">
      <c r="A2465" t="s">
        <v>3488</v>
      </c>
      <c r="B2465">
        <v>117</v>
      </c>
      <c r="C2465">
        <v>21078145</v>
      </c>
      <c r="D2465" t="s">
        <v>3947</v>
      </c>
      <c r="E2465" t="s">
        <v>13</v>
      </c>
      <c r="F2465" t="s">
        <v>14</v>
      </c>
      <c r="G2465">
        <v>12500000</v>
      </c>
      <c r="H2465">
        <v>7.3</v>
      </c>
      <c r="I2465" t="s">
        <v>42</v>
      </c>
      <c r="J2465" t="s">
        <v>31</v>
      </c>
    </row>
    <row r="2466" spans="1:14" x14ac:dyDescent="0.25">
      <c r="A2466" t="s">
        <v>854</v>
      </c>
      <c r="B2466">
        <v>113</v>
      </c>
      <c r="C2466">
        <v>21009180</v>
      </c>
      <c r="D2466" t="s">
        <v>3948</v>
      </c>
      <c r="E2466" t="s">
        <v>13</v>
      </c>
      <c r="F2466" t="s">
        <v>14</v>
      </c>
      <c r="G2466">
        <v>45000000</v>
      </c>
      <c r="H2466">
        <v>6.1</v>
      </c>
      <c r="I2466" t="s">
        <v>34</v>
      </c>
      <c r="J2466" t="s">
        <v>28</v>
      </c>
      <c r="K2466" t="s">
        <v>31</v>
      </c>
      <c r="L2466" t="s">
        <v>24</v>
      </c>
    </row>
    <row r="2467" spans="1:14" x14ac:dyDescent="0.25">
      <c r="A2467" t="s">
        <v>323</v>
      </c>
      <c r="B2467">
        <v>94</v>
      </c>
      <c r="C2467">
        <v>21005329</v>
      </c>
      <c r="D2467" t="s">
        <v>3949</v>
      </c>
      <c r="E2467" t="s">
        <v>13</v>
      </c>
      <c r="F2467" t="s">
        <v>241</v>
      </c>
      <c r="G2467">
        <v>6000000</v>
      </c>
      <c r="H2467">
        <v>6.4</v>
      </c>
      <c r="I2467" t="s">
        <v>15</v>
      </c>
      <c r="J2467" t="s">
        <v>19</v>
      </c>
    </row>
    <row r="2468" spans="1:14" x14ac:dyDescent="0.25">
      <c r="A2468" t="s">
        <v>1107</v>
      </c>
      <c r="B2468">
        <v>125</v>
      </c>
      <c r="C2468">
        <v>21000000</v>
      </c>
      <c r="D2468" t="s">
        <v>3950</v>
      </c>
      <c r="E2468" t="s">
        <v>13</v>
      </c>
      <c r="F2468" t="s">
        <v>82</v>
      </c>
      <c r="G2468">
        <v>13000000</v>
      </c>
      <c r="H2468">
        <v>6.8</v>
      </c>
      <c r="I2468" t="s">
        <v>34</v>
      </c>
      <c r="J2468" t="s">
        <v>28</v>
      </c>
      <c r="K2468" t="s">
        <v>24</v>
      </c>
    </row>
    <row r="2469" spans="1:14" x14ac:dyDescent="0.25">
      <c r="A2469" t="s">
        <v>852</v>
      </c>
      <c r="B2469">
        <v>87</v>
      </c>
      <c r="C2469">
        <v>20999103</v>
      </c>
      <c r="D2469" t="s">
        <v>3951</v>
      </c>
      <c r="E2469" t="s">
        <v>13</v>
      </c>
      <c r="F2469" t="s">
        <v>14</v>
      </c>
      <c r="G2469">
        <v>40000000</v>
      </c>
      <c r="H2469">
        <v>7.8</v>
      </c>
      <c r="I2469" t="s">
        <v>28</v>
      </c>
      <c r="J2469" t="s">
        <v>46</v>
      </c>
      <c r="K2469" t="s">
        <v>15</v>
      </c>
      <c r="L2469" t="s">
        <v>38</v>
      </c>
      <c r="M2469" t="s">
        <v>16</v>
      </c>
    </row>
    <row r="2470" spans="1:14" x14ac:dyDescent="0.25">
      <c r="A2470" t="s">
        <v>3952</v>
      </c>
      <c r="B2470">
        <v>95</v>
      </c>
      <c r="C2470">
        <v>20998709</v>
      </c>
      <c r="D2470" t="s">
        <v>3953</v>
      </c>
      <c r="E2470" t="s">
        <v>13</v>
      </c>
      <c r="F2470" t="s">
        <v>14</v>
      </c>
      <c r="G2470">
        <v>15000000</v>
      </c>
      <c r="H2470">
        <v>6.2</v>
      </c>
      <c r="I2470" t="s">
        <v>28</v>
      </c>
      <c r="J2470" t="s">
        <v>31</v>
      </c>
      <c r="K2470" t="s">
        <v>16</v>
      </c>
    </row>
    <row r="2471" spans="1:14" x14ac:dyDescent="0.25">
      <c r="A2471" t="s">
        <v>164</v>
      </c>
      <c r="B2471">
        <v>105</v>
      </c>
      <c r="C2471">
        <v>20991497</v>
      </c>
      <c r="D2471" t="s">
        <v>3954</v>
      </c>
      <c r="E2471" t="s">
        <v>13</v>
      </c>
      <c r="F2471" t="s">
        <v>14</v>
      </c>
      <c r="G2471">
        <v>37000000</v>
      </c>
      <c r="H2471">
        <v>5.4</v>
      </c>
      <c r="I2471" t="s">
        <v>15</v>
      </c>
      <c r="J2471" t="s">
        <v>31</v>
      </c>
      <c r="K2471" t="s">
        <v>19</v>
      </c>
    </row>
    <row r="2472" spans="1:14" x14ac:dyDescent="0.25">
      <c r="A2472" t="s">
        <v>164</v>
      </c>
      <c r="B2472">
        <v>105</v>
      </c>
      <c r="C2472">
        <v>20991497</v>
      </c>
      <c r="D2472" t="s">
        <v>3954</v>
      </c>
      <c r="E2472" t="s">
        <v>13</v>
      </c>
      <c r="F2472" t="s">
        <v>14</v>
      </c>
      <c r="G2472">
        <v>37000000</v>
      </c>
      <c r="H2472">
        <v>5.4</v>
      </c>
      <c r="I2472" t="s">
        <v>15</v>
      </c>
      <c r="J2472" t="s">
        <v>31</v>
      </c>
      <c r="K2472" t="s">
        <v>19</v>
      </c>
    </row>
    <row r="2473" spans="1:14" x14ac:dyDescent="0.25">
      <c r="A2473" t="s">
        <v>3955</v>
      </c>
      <c r="B2473">
        <v>108</v>
      </c>
      <c r="C2473">
        <v>20981633</v>
      </c>
      <c r="D2473" t="s">
        <v>3956</v>
      </c>
      <c r="E2473" t="s">
        <v>13</v>
      </c>
      <c r="F2473" t="s">
        <v>14</v>
      </c>
      <c r="G2473">
        <v>30000000</v>
      </c>
      <c r="H2473">
        <v>5.9</v>
      </c>
      <c r="I2473" t="s">
        <v>31</v>
      </c>
      <c r="J2473" t="s">
        <v>23</v>
      </c>
      <c r="K2473" t="s">
        <v>37</v>
      </c>
      <c r="L2473" t="s">
        <v>24</v>
      </c>
    </row>
    <row r="2474" spans="1:14" x14ac:dyDescent="0.25">
      <c r="A2474" t="s">
        <v>1895</v>
      </c>
      <c r="B2474">
        <v>117</v>
      </c>
      <c r="C2474">
        <v>20966644</v>
      </c>
      <c r="D2474" t="s">
        <v>3957</v>
      </c>
      <c r="E2474" t="s">
        <v>13</v>
      </c>
      <c r="F2474" t="s">
        <v>82</v>
      </c>
      <c r="G2474">
        <v>3000000</v>
      </c>
      <c r="H2474">
        <v>7.4</v>
      </c>
      <c r="I2474" t="s">
        <v>31</v>
      </c>
      <c r="J2474" t="s">
        <v>19</v>
      </c>
    </row>
    <row r="2475" spans="1:14" x14ac:dyDescent="0.25">
      <c r="A2475" t="s">
        <v>1014</v>
      </c>
      <c r="B2475">
        <v>91</v>
      </c>
      <c r="C2475">
        <v>20950820</v>
      </c>
      <c r="D2475" t="s">
        <v>3958</v>
      </c>
      <c r="E2475" t="s">
        <v>13</v>
      </c>
      <c r="F2475" t="s">
        <v>241</v>
      </c>
      <c r="G2475">
        <v>80000000</v>
      </c>
      <c r="H2475">
        <v>5.7</v>
      </c>
      <c r="I2475" t="s">
        <v>28</v>
      </c>
      <c r="J2475" t="s">
        <v>46</v>
      </c>
      <c r="K2475" t="s">
        <v>15</v>
      </c>
      <c r="L2475" t="s">
        <v>16</v>
      </c>
      <c r="M2475" t="s">
        <v>17</v>
      </c>
      <c r="N2475" t="s">
        <v>37</v>
      </c>
    </row>
    <row r="2476" spans="1:14" x14ac:dyDescent="0.25">
      <c r="A2476" t="s">
        <v>327</v>
      </c>
      <c r="B2476">
        <v>89</v>
      </c>
      <c r="C2476">
        <v>20916309</v>
      </c>
      <c r="D2476" t="s">
        <v>3959</v>
      </c>
      <c r="E2476" t="s">
        <v>13</v>
      </c>
      <c r="F2476" t="s">
        <v>14</v>
      </c>
      <c r="G2476">
        <v>40000000</v>
      </c>
      <c r="H2476">
        <v>4.9000000000000004</v>
      </c>
      <c r="I2476" t="s">
        <v>15</v>
      </c>
      <c r="J2476" t="s">
        <v>16</v>
      </c>
      <c r="K2476" t="s">
        <v>17</v>
      </c>
    </row>
    <row r="2477" spans="1:14" x14ac:dyDescent="0.25">
      <c r="A2477" t="s">
        <v>3960</v>
      </c>
      <c r="B2477">
        <v>104</v>
      </c>
      <c r="C2477">
        <v>20915465</v>
      </c>
      <c r="D2477" t="s">
        <v>3961</v>
      </c>
      <c r="E2477" t="s">
        <v>13</v>
      </c>
      <c r="F2477" t="s">
        <v>82</v>
      </c>
      <c r="G2477">
        <v>42000000</v>
      </c>
      <c r="H2477">
        <v>4</v>
      </c>
      <c r="I2477" t="s">
        <v>28</v>
      </c>
      <c r="J2477" t="s">
        <v>15</v>
      </c>
      <c r="K2477" t="s">
        <v>16</v>
      </c>
      <c r="L2477" t="s">
        <v>17</v>
      </c>
      <c r="M2477" t="s">
        <v>37</v>
      </c>
    </row>
    <row r="2478" spans="1:14" x14ac:dyDescent="0.25">
      <c r="A2478" t="s">
        <v>109</v>
      </c>
      <c r="B2478">
        <v>91</v>
      </c>
      <c r="C2478">
        <v>20819129</v>
      </c>
      <c r="D2478" t="s">
        <v>3962</v>
      </c>
      <c r="E2478" t="s">
        <v>13</v>
      </c>
      <c r="F2478" t="s">
        <v>14</v>
      </c>
      <c r="G2478">
        <v>26000000</v>
      </c>
      <c r="H2478">
        <v>5.2</v>
      </c>
      <c r="I2478" t="s">
        <v>34</v>
      </c>
      <c r="J2478" t="s">
        <v>15</v>
      </c>
      <c r="K2478" t="s">
        <v>38</v>
      </c>
    </row>
    <row r="2479" spans="1:14" x14ac:dyDescent="0.25">
      <c r="A2479" t="s">
        <v>3963</v>
      </c>
      <c r="B2479">
        <v>106</v>
      </c>
      <c r="C2479">
        <v>20803237</v>
      </c>
      <c r="D2479" t="s">
        <v>3964</v>
      </c>
      <c r="E2479" t="s">
        <v>13</v>
      </c>
      <c r="F2479" t="s">
        <v>14</v>
      </c>
      <c r="G2479">
        <v>3500000</v>
      </c>
      <c r="H2479">
        <v>7.1</v>
      </c>
      <c r="I2479" t="s">
        <v>15</v>
      </c>
      <c r="J2479" t="s">
        <v>31</v>
      </c>
    </row>
    <row r="2480" spans="1:14" x14ac:dyDescent="0.25">
      <c r="A2480" t="s">
        <v>3965</v>
      </c>
      <c r="B2480">
        <v>89</v>
      </c>
      <c r="C2480">
        <v>20801344</v>
      </c>
      <c r="D2480" t="s">
        <v>3966</v>
      </c>
      <c r="E2480" t="s">
        <v>13</v>
      </c>
      <c r="F2480" t="s">
        <v>14</v>
      </c>
      <c r="G2480">
        <v>15000000</v>
      </c>
      <c r="H2480">
        <v>5.0999999999999996</v>
      </c>
      <c r="I2480" t="s">
        <v>22</v>
      </c>
    </row>
    <row r="2481" spans="1:13" x14ac:dyDescent="0.25">
      <c r="A2481" t="s">
        <v>3967</v>
      </c>
      <c r="B2481">
        <v>120</v>
      </c>
      <c r="C2481">
        <v>20773070</v>
      </c>
      <c r="D2481" t="s">
        <v>3968</v>
      </c>
      <c r="E2481" t="s">
        <v>13</v>
      </c>
      <c r="F2481" t="s">
        <v>14</v>
      </c>
      <c r="G2481">
        <v>5000000</v>
      </c>
      <c r="H2481">
        <v>3.4</v>
      </c>
      <c r="I2481" t="s">
        <v>31</v>
      </c>
    </row>
    <row r="2482" spans="1:13" x14ac:dyDescent="0.25">
      <c r="A2482" t="s">
        <v>2866</v>
      </c>
      <c r="B2482">
        <v>101</v>
      </c>
      <c r="C2482">
        <v>20772796</v>
      </c>
      <c r="D2482" t="s">
        <v>3969</v>
      </c>
      <c r="E2482" t="s">
        <v>13</v>
      </c>
      <c r="F2482" t="s">
        <v>1472</v>
      </c>
      <c r="G2482">
        <v>6000000</v>
      </c>
      <c r="H2482">
        <v>7.6</v>
      </c>
      <c r="I2482" t="s">
        <v>31</v>
      </c>
      <c r="J2482" t="s">
        <v>16</v>
      </c>
    </row>
    <row r="2483" spans="1:13" x14ac:dyDescent="0.25">
      <c r="A2483" t="s">
        <v>3970</v>
      </c>
      <c r="B2483">
        <v>92</v>
      </c>
      <c r="C2483">
        <v>20763013</v>
      </c>
      <c r="D2483" t="s">
        <v>3971</v>
      </c>
      <c r="E2483" t="s">
        <v>13</v>
      </c>
      <c r="F2483" t="s">
        <v>14</v>
      </c>
      <c r="G2483">
        <v>23000000</v>
      </c>
      <c r="H2483">
        <v>2.8</v>
      </c>
      <c r="I2483" t="s">
        <v>28</v>
      </c>
      <c r="J2483" t="s">
        <v>22</v>
      </c>
      <c r="K2483" t="s">
        <v>24</v>
      </c>
    </row>
    <row r="2484" spans="1:13" x14ac:dyDescent="0.25">
      <c r="A2484" t="s">
        <v>3972</v>
      </c>
      <c r="B2484">
        <v>134</v>
      </c>
      <c r="C2484">
        <v>20733485</v>
      </c>
      <c r="D2484" t="s">
        <v>3973</v>
      </c>
      <c r="E2484" t="s">
        <v>13</v>
      </c>
      <c r="F2484" t="s">
        <v>14</v>
      </c>
      <c r="G2484">
        <v>5000000</v>
      </c>
      <c r="H2484">
        <v>7.2</v>
      </c>
      <c r="I2484" t="s">
        <v>31</v>
      </c>
    </row>
    <row r="2485" spans="1:13" x14ac:dyDescent="0.25">
      <c r="A2485" t="s">
        <v>644</v>
      </c>
      <c r="B2485">
        <v>104</v>
      </c>
      <c r="C2485">
        <v>20668843</v>
      </c>
      <c r="D2485" t="s">
        <v>3974</v>
      </c>
      <c r="E2485" t="s">
        <v>13</v>
      </c>
      <c r="F2485" t="s">
        <v>14</v>
      </c>
      <c r="G2485">
        <v>22000000</v>
      </c>
      <c r="H2485">
        <v>5.8</v>
      </c>
      <c r="I2485" t="s">
        <v>15</v>
      </c>
      <c r="J2485" t="s">
        <v>38</v>
      </c>
      <c r="K2485" t="s">
        <v>24</v>
      </c>
    </row>
    <row r="2486" spans="1:13" x14ac:dyDescent="0.25">
      <c r="A2486" t="s">
        <v>761</v>
      </c>
      <c r="B2486">
        <v>94</v>
      </c>
      <c r="C2486">
        <v>20627372</v>
      </c>
      <c r="D2486" t="s">
        <v>3975</v>
      </c>
      <c r="E2486" t="s">
        <v>13</v>
      </c>
      <c r="F2486" t="s">
        <v>14</v>
      </c>
      <c r="G2486">
        <v>16000000</v>
      </c>
      <c r="H2486">
        <v>5.3</v>
      </c>
      <c r="I2486" t="s">
        <v>15</v>
      </c>
      <c r="J2486" t="s">
        <v>31</v>
      </c>
      <c r="K2486" t="s">
        <v>19</v>
      </c>
    </row>
    <row r="2487" spans="1:13" x14ac:dyDescent="0.25">
      <c r="A2487" t="s">
        <v>3976</v>
      </c>
      <c r="B2487">
        <v>100</v>
      </c>
      <c r="C2487">
        <v>20566327</v>
      </c>
      <c r="D2487" t="s">
        <v>3977</v>
      </c>
      <c r="E2487" t="s">
        <v>13</v>
      </c>
      <c r="F2487" t="s">
        <v>14</v>
      </c>
      <c r="G2487">
        <v>15000000</v>
      </c>
      <c r="H2487">
        <v>6.4</v>
      </c>
      <c r="I2487" t="s">
        <v>34</v>
      </c>
      <c r="J2487" t="s">
        <v>15</v>
      </c>
    </row>
    <row r="2488" spans="1:13" x14ac:dyDescent="0.25">
      <c r="A2488" t="s">
        <v>666</v>
      </c>
      <c r="B2488">
        <v>107</v>
      </c>
      <c r="C2488">
        <v>20550712</v>
      </c>
      <c r="D2488" t="s">
        <v>3978</v>
      </c>
      <c r="E2488" t="s">
        <v>13</v>
      </c>
      <c r="F2488" t="s">
        <v>14</v>
      </c>
      <c r="G2488">
        <v>50000000</v>
      </c>
      <c r="H2488">
        <v>5.6</v>
      </c>
      <c r="I2488" t="s">
        <v>34</v>
      </c>
      <c r="J2488" t="s">
        <v>31</v>
      </c>
      <c r="K2488" t="s">
        <v>37</v>
      </c>
      <c r="L2488" t="s">
        <v>24</v>
      </c>
    </row>
    <row r="2489" spans="1:13" x14ac:dyDescent="0.25">
      <c r="A2489" t="s">
        <v>1078</v>
      </c>
      <c r="B2489">
        <v>95</v>
      </c>
      <c r="C2489">
        <v>20488579</v>
      </c>
      <c r="D2489" t="s">
        <v>3979</v>
      </c>
      <c r="E2489" t="s">
        <v>13</v>
      </c>
      <c r="F2489" t="s">
        <v>14</v>
      </c>
      <c r="G2489">
        <v>50000000</v>
      </c>
      <c r="H2489">
        <v>5.8</v>
      </c>
      <c r="I2489" t="s">
        <v>34</v>
      </c>
      <c r="J2489" t="s">
        <v>37</v>
      </c>
      <c r="K2489" t="s">
        <v>24</v>
      </c>
    </row>
    <row r="2490" spans="1:13" x14ac:dyDescent="0.25">
      <c r="A2490" t="s">
        <v>1897</v>
      </c>
      <c r="B2490">
        <v>97</v>
      </c>
      <c r="C2490">
        <v>20433940</v>
      </c>
      <c r="D2490" t="s">
        <v>3980</v>
      </c>
      <c r="E2490" t="s">
        <v>13</v>
      </c>
      <c r="F2490" t="s">
        <v>98</v>
      </c>
      <c r="G2490">
        <v>15000000</v>
      </c>
      <c r="H2490">
        <v>6.2</v>
      </c>
      <c r="I2490" t="s">
        <v>22</v>
      </c>
    </row>
    <row r="2491" spans="1:13" x14ac:dyDescent="0.25">
      <c r="A2491" t="s">
        <v>3981</v>
      </c>
      <c r="B2491">
        <v>105</v>
      </c>
      <c r="C2491">
        <v>20422207</v>
      </c>
      <c r="D2491" t="s">
        <v>3982</v>
      </c>
      <c r="E2491" t="s">
        <v>13</v>
      </c>
      <c r="F2491" t="s">
        <v>14</v>
      </c>
      <c r="G2491">
        <v>35000000</v>
      </c>
      <c r="H2491">
        <v>5.2</v>
      </c>
      <c r="I2491" t="s">
        <v>15</v>
      </c>
      <c r="J2491" t="s">
        <v>31</v>
      </c>
      <c r="K2491" t="s">
        <v>19</v>
      </c>
    </row>
    <row r="2492" spans="1:13" x14ac:dyDescent="0.25">
      <c r="A2492" t="s">
        <v>3983</v>
      </c>
      <c r="B2492">
        <v>91</v>
      </c>
      <c r="C2492">
        <v>20400913</v>
      </c>
      <c r="D2492" t="s">
        <v>3984</v>
      </c>
      <c r="E2492" t="s">
        <v>13</v>
      </c>
      <c r="F2492" t="s">
        <v>14</v>
      </c>
      <c r="G2492">
        <v>45000000</v>
      </c>
      <c r="H2492">
        <v>5.3</v>
      </c>
      <c r="I2492" t="s">
        <v>34</v>
      </c>
      <c r="J2492" t="s">
        <v>15</v>
      </c>
      <c r="K2492" t="s">
        <v>38</v>
      </c>
      <c r="L2492" t="s">
        <v>31</v>
      </c>
      <c r="M2492" t="s">
        <v>24</v>
      </c>
    </row>
    <row r="2493" spans="1:13" x14ac:dyDescent="0.25">
      <c r="A2493" t="s">
        <v>1992</v>
      </c>
      <c r="B2493">
        <v>144</v>
      </c>
      <c r="C2493">
        <v>20400000</v>
      </c>
      <c r="D2493" t="s">
        <v>3985</v>
      </c>
      <c r="E2493" t="s">
        <v>13</v>
      </c>
      <c r="F2493" t="s">
        <v>14</v>
      </c>
      <c r="G2493">
        <v>8000000</v>
      </c>
      <c r="H2493">
        <v>6.9</v>
      </c>
      <c r="I2493" t="s">
        <v>31</v>
      </c>
      <c r="J2493" t="s">
        <v>19</v>
      </c>
      <c r="K2493" t="s">
        <v>69</v>
      </c>
    </row>
    <row r="2494" spans="1:13" x14ac:dyDescent="0.25">
      <c r="A2494" t="s">
        <v>3986</v>
      </c>
      <c r="B2494">
        <v>139</v>
      </c>
      <c r="C2494">
        <v>20389967</v>
      </c>
      <c r="D2494" t="s">
        <v>3987</v>
      </c>
      <c r="E2494" t="s">
        <v>13</v>
      </c>
      <c r="F2494" t="s">
        <v>14</v>
      </c>
      <c r="G2494">
        <v>50000000</v>
      </c>
      <c r="H2494">
        <v>6.7</v>
      </c>
      <c r="I2494" t="s">
        <v>34</v>
      </c>
      <c r="J2494" t="s">
        <v>42</v>
      </c>
      <c r="K2494" t="s">
        <v>31</v>
      </c>
      <c r="L2494" t="s">
        <v>64</v>
      </c>
      <c r="M2494" t="s">
        <v>83</v>
      </c>
    </row>
    <row r="2495" spans="1:13" x14ac:dyDescent="0.25">
      <c r="A2495" t="s">
        <v>3101</v>
      </c>
      <c r="B2495">
        <v>96</v>
      </c>
      <c r="C2495">
        <v>20384136</v>
      </c>
      <c r="D2495" t="s">
        <v>3988</v>
      </c>
      <c r="E2495" t="s">
        <v>13</v>
      </c>
      <c r="F2495" t="s">
        <v>14</v>
      </c>
      <c r="G2495">
        <v>10000000</v>
      </c>
      <c r="H2495">
        <v>4.7</v>
      </c>
      <c r="I2495" t="s">
        <v>22</v>
      </c>
      <c r="J2495" t="s">
        <v>23</v>
      </c>
      <c r="K2495" t="s">
        <v>24</v>
      </c>
    </row>
    <row r="2496" spans="1:13" x14ac:dyDescent="0.25">
      <c r="A2496" t="s">
        <v>3989</v>
      </c>
      <c r="B2496">
        <v>84</v>
      </c>
      <c r="C2496">
        <v>20339754</v>
      </c>
      <c r="D2496" t="s">
        <v>3990</v>
      </c>
      <c r="E2496" t="s">
        <v>13</v>
      </c>
      <c r="F2496" t="s">
        <v>14</v>
      </c>
      <c r="G2496">
        <v>10000000</v>
      </c>
      <c r="H2496">
        <v>5.9</v>
      </c>
      <c r="I2496" t="s">
        <v>15</v>
      </c>
      <c r="J2496" t="s">
        <v>38</v>
      </c>
    </row>
    <row r="2497" spans="1:12" x14ac:dyDescent="0.25">
      <c r="A2497" t="s">
        <v>2976</v>
      </c>
      <c r="B2497">
        <v>105</v>
      </c>
      <c r="C2497">
        <v>20338609</v>
      </c>
      <c r="D2497" t="s">
        <v>3991</v>
      </c>
      <c r="E2497" t="s">
        <v>13</v>
      </c>
      <c r="F2497" t="s">
        <v>14</v>
      </c>
      <c r="G2497">
        <v>10000000</v>
      </c>
      <c r="H2497">
        <v>6.8</v>
      </c>
      <c r="I2497" t="s">
        <v>15</v>
      </c>
      <c r="J2497" t="s">
        <v>31</v>
      </c>
      <c r="K2497" t="s">
        <v>18</v>
      </c>
    </row>
    <row r="2498" spans="1:12" x14ac:dyDescent="0.25">
      <c r="A2498" t="s">
        <v>417</v>
      </c>
      <c r="B2498">
        <v>110</v>
      </c>
      <c r="C2498">
        <v>20315324</v>
      </c>
      <c r="D2498" t="s">
        <v>3992</v>
      </c>
      <c r="E2498" t="s">
        <v>13</v>
      </c>
      <c r="F2498" t="s">
        <v>241</v>
      </c>
      <c r="G2498">
        <v>75000000</v>
      </c>
      <c r="H2498">
        <v>5.8</v>
      </c>
      <c r="I2498" t="s">
        <v>34</v>
      </c>
      <c r="J2498" t="s">
        <v>28</v>
      </c>
      <c r="K2498" t="s">
        <v>19</v>
      </c>
    </row>
    <row r="2499" spans="1:12" x14ac:dyDescent="0.25">
      <c r="A2499" t="s">
        <v>3993</v>
      </c>
      <c r="B2499">
        <v>131</v>
      </c>
      <c r="C2499">
        <v>20302961</v>
      </c>
      <c r="D2499" t="s">
        <v>3994</v>
      </c>
      <c r="E2499" t="s">
        <v>13</v>
      </c>
      <c r="F2499" t="s">
        <v>295</v>
      </c>
      <c r="G2499">
        <v>45000000</v>
      </c>
      <c r="H2499">
        <v>4.5999999999999996</v>
      </c>
      <c r="I2499" t="s">
        <v>31</v>
      </c>
    </row>
    <row r="2500" spans="1:12" x14ac:dyDescent="0.25">
      <c r="A2500" t="s">
        <v>867</v>
      </c>
      <c r="B2500">
        <v>111</v>
      </c>
      <c r="C2500">
        <v>20300000</v>
      </c>
      <c r="D2500" t="s">
        <v>3995</v>
      </c>
      <c r="E2500" t="s">
        <v>13</v>
      </c>
      <c r="F2500" t="s">
        <v>14</v>
      </c>
      <c r="G2500">
        <v>40000000</v>
      </c>
      <c r="H2500">
        <v>6.2</v>
      </c>
      <c r="I2500" t="s">
        <v>31</v>
      </c>
      <c r="J2500" t="s">
        <v>24</v>
      </c>
    </row>
    <row r="2501" spans="1:12" x14ac:dyDescent="0.25">
      <c r="A2501" t="s">
        <v>3996</v>
      </c>
      <c r="B2501">
        <v>100</v>
      </c>
      <c r="C2501">
        <v>20285518</v>
      </c>
      <c r="D2501" t="s">
        <v>3997</v>
      </c>
      <c r="E2501" t="s">
        <v>13</v>
      </c>
      <c r="F2501" t="s">
        <v>295</v>
      </c>
      <c r="G2501">
        <v>28000000</v>
      </c>
      <c r="H2501">
        <v>5.7</v>
      </c>
      <c r="I2501" t="s">
        <v>34</v>
      </c>
      <c r="J2501" t="s">
        <v>38</v>
      </c>
      <c r="K2501" t="s">
        <v>31</v>
      </c>
      <c r="L2501" t="s">
        <v>24</v>
      </c>
    </row>
    <row r="2502" spans="1:12" x14ac:dyDescent="0.25">
      <c r="A2502" t="s">
        <v>2765</v>
      </c>
      <c r="B2502">
        <v>91</v>
      </c>
      <c r="C2502">
        <v>20275446</v>
      </c>
      <c r="D2502" t="s">
        <v>3998</v>
      </c>
      <c r="E2502" t="s">
        <v>13</v>
      </c>
      <c r="F2502" t="s">
        <v>14</v>
      </c>
      <c r="G2502">
        <v>35000000</v>
      </c>
      <c r="H2502">
        <v>6.5</v>
      </c>
      <c r="I2502" t="s">
        <v>34</v>
      </c>
      <c r="J2502" t="s">
        <v>38</v>
      </c>
      <c r="K2502" t="s">
        <v>24</v>
      </c>
    </row>
    <row r="2503" spans="1:12" x14ac:dyDescent="0.25">
      <c r="A2503" t="s">
        <v>3999</v>
      </c>
      <c r="B2503">
        <v>90</v>
      </c>
      <c r="C2503">
        <v>20259297</v>
      </c>
      <c r="D2503" t="s">
        <v>4000</v>
      </c>
      <c r="E2503" t="s">
        <v>13</v>
      </c>
      <c r="F2503" t="s">
        <v>14</v>
      </c>
      <c r="G2503">
        <v>20000000</v>
      </c>
      <c r="H2503">
        <v>4.7</v>
      </c>
      <c r="I2503" t="s">
        <v>31</v>
      </c>
      <c r="J2503" t="s">
        <v>22</v>
      </c>
      <c r="K2503" t="s">
        <v>37</v>
      </c>
      <c r="L2503" t="s">
        <v>24</v>
      </c>
    </row>
    <row r="2504" spans="1:12" x14ac:dyDescent="0.25">
      <c r="A2504" t="s">
        <v>4001</v>
      </c>
      <c r="B2504">
        <v>96</v>
      </c>
      <c r="C2504">
        <v>20257000</v>
      </c>
      <c r="D2504" t="s">
        <v>4002</v>
      </c>
      <c r="E2504" t="s">
        <v>13</v>
      </c>
      <c r="F2504" t="s">
        <v>14</v>
      </c>
      <c r="G2504">
        <v>7000000</v>
      </c>
      <c r="H2504">
        <v>5.2</v>
      </c>
      <c r="I2504" t="s">
        <v>34</v>
      </c>
      <c r="J2504" t="s">
        <v>15</v>
      </c>
      <c r="K2504" t="s">
        <v>38</v>
      </c>
      <c r="L2504" t="s">
        <v>24</v>
      </c>
    </row>
    <row r="2505" spans="1:12" x14ac:dyDescent="0.25">
      <c r="A2505" t="s">
        <v>3610</v>
      </c>
      <c r="B2505">
        <v>103</v>
      </c>
      <c r="C2505">
        <v>20246959</v>
      </c>
      <c r="D2505" t="s">
        <v>4003</v>
      </c>
      <c r="E2505" t="s">
        <v>13</v>
      </c>
      <c r="F2505" t="s">
        <v>14</v>
      </c>
      <c r="G2505">
        <v>14000000</v>
      </c>
      <c r="H2505">
        <v>4.9000000000000004</v>
      </c>
      <c r="I2505" t="s">
        <v>15</v>
      </c>
      <c r="J2505" t="s">
        <v>19</v>
      </c>
    </row>
    <row r="2506" spans="1:12" x14ac:dyDescent="0.25">
      <c r="A2506" t="s">
        <v>2789</v>
      </c>
      <c r="B2506">
        <v>104</v>
      </c>
      <c r="C2506">
        <v>20241395</v>
      </c>
      <c r="D2506" t="s">
        <v>4004</v>
      </c>
      <c r="E2506" t="s">
        <v>13</v>
      </c>
      <c r="F2506" t="s">
        <v>14</v>
      </c>
      <c r="G2506">
        <v>20000000</v>
      </c>
      <c r="H2506">
        <v>6.1</v>
      </c>
      <c r="I2506" t="s">
        <v>34</v>
      </c>
      <c r="J2506" t="s">
        <v>22</v>
      </c>
      <c r="K2506" t="s">
        <v>24</v>
      </c>
    </row>
    <row r="2507" spans="1:12" x14ac:dyDescent="0.25">
      <c r="A2507" t="s">
        <v>3819</v>
      </c>
      <c r="B2507">
        <v>117</v>
      </c>
      <c r="C2507">
        <v>20218921</v>
      </c>
      <c r="D2507" t="s">
        <v>4005</v>
      </c>
      <c r="E2507" t="s">
        <v>13</v>
      </c>
      <c r="F2507" t="s">
        <v>4006</v>
      </c>
      <c r="G2507">
        <v>15000000</v>
      </c>
      <c r="H2507">
        <v>6.3</v>
      </c>
      <c r="I2507" t="s">
        <v>31</v>
      </c>
      <c r="J2507" t="s">
        <v>18</v>
      </c>
    </row>
    <row r="2508" spans="1:12" x14ac:dyDescent="0.25">
      <c r="A2508" t="s">
        <v>4007</v>
      </c>
      <c r="B2508">
        <v>115</v>
      </c>
      <c r="C2508">
        <v>20207003</v>
      </c>
      <c r="D2508" t="s">
        <v>4008</v>
      </c>
      <c r="E2508" t="s">
        <v>13</v>
      </c>
      <c r="F2508" t="s">
        <v>14</v>
      </c>
      <c r="G2508">
        <v>39751583.5</v>
      </c>
      <c r="H2508">
        <v>6.8</v>
      </c>
      <c r="I2508" t="s">
        <v>38</v>
      </c>
      <c r="J2508" t="s">
        <v>31</v>
      </c>
      <c r="K2508" t="s">
        <v>69</v>
      </c>
    </row>
    <row r="2509" spans="1:12" x14ac:dyDescent="0.25">
      <c r="A2509" t="s">
        <v>1664</v>
      </c>
      <c r="B2509">
        <v>129</v>
      </c>
      <c r="C2509">
        <v>20167424</v>
      </c>
      <c r="D2509" t="s">
        <v>4009</v>
      </c>
      <c r="E2509" t="s">
        <v>1498</v>
      </c>
      <c r="F2509" t="s">
        <v>2497</v>
      </c>
      <c r="G2509">
        <v>2000000</v>
      </c>
      <c r="H2509">
        <v>8.1999999999999993</v>
      </c>
      <c r="I2509" t="s">
        <v>31</v>
      </c>
      <c r="J2509" t="s">
        <v>23</v>
      </c>
      <c r="K2509" t="s">
        <v>24</v>
      </c>
    </row>
    <row r="2510" spans="1:12" x14ac:dyDescent="0.25">
      <c r="A2510" t="s">
        <v>221</v>
      </c>
      <c r="B2510">
        <v>107</v>
      </c>
      <c r="C2510">
        <v>20113965</v>
      </c>
      <c r="D2510" t="s">
        <v>4010</v>
      </c>
      <c r="E2510" t="s">
        <v>13</v>
      </c>
      <c r="F2510" t="s">
        <v>14</v>
      </c>
      <c r="G2510">
        <v>40000000</v>
      </c>
      <c r="H2510">
        <v>6.5</v>
      </c>
      <c r="I2510" t="s">
        <v>42</v>
      </c>
      <c r="J2510" t="s">
        <v>31</v>
      </c>
      <c r="K2510" t="s">
        <v>19</v>
      </c>
    </row>
    <row r="2511" spans="1:12" x14ac:dyDescent="0.25">
      <c r="A2511" t="s">
        <v>84</v>
      </c>
      <c r="B2511">
        <v>117</v>
      </c>
      <c r="C2511">
        <v>20101861</v>
      </c>
      <c r="D2511" t="s">
        <v>4011</v>
      </c>
      <c r="E2511" t="s">
        <v>13</v>
      </c>
      <c r="F2511" t="s">
        <v>14</v>
      </c>
      <c r="G2511">
        <v>45000000</v>
      </c>
      <c r="H2511">
        <v>6</v>
      </c>
      <c r="I2511" t="s">
        <v>15</v>
      </c>
      <c r="J2511" t="s">
        <v>19</v>
      </c>
      <c r="K2511" t="s">
        <v>37</v>
      </c>
    </row>
    <row r="2512" spans="1:12" x14ac:dyDescent="0.25">
      <c r="A2512" t="s">
        <v>4012</v>
      </c>
      <c r="B2512">
        <v>95</v>
      </c>
      <c r="C2512">
        <v>20047715</v>
      </c>
      <c r="D2512" t="s">
        <v>4013</v>
      </c>
      <c r="E2512" t="s">
        <v>13</v>
      </c>
      <c r="F2512" t="s">
        <v>14</v>
      </c>
      <c r="G2512">
        <v>25530000</v>
      </c>
      <c r="H2512">
        <v>5.2</v>
      </c>
      <c r="I2512" t="s">
        <v>28</v>
      </c>
      <c r="J2512" t="s">
        <v>16</v>
      </c>
    </row>
    <row r="2513" spans="1:13" x14ac:dyDescent="0.25">
      <c r="A2513" t="s">
        <v>4014</v>
      </c>
      <c r="B2513">
        <v>91</v>
      </c>
      <c r="C2513">
        <v>20035310</v>
      </c>
      <c r="D2513" t="s">
        <v>4015</v>
      </c>
      <c r="E2513" t="s">
        <v>13</v>
      </c>
      <c r="F2513" t="s">
        <v>14</v>
      </c>
      <c r="G2513">
        <v>9000000</v>
      </c>
      <c r="H2513">
        <v>4.9000000000000004</v>
      </c>
      <c r="I2513" t="s">
        <v>15</v>
      </c>
      <c r="J2513" t="s">
        <v>31</v>
      </c>
      <c r="K2513" t="s">
        <v>19</v>
      </c>
    </row>
    <row r="2514" spans="1:13" x14ac:dyDescent="0.25">
      <c r="A2514" t="s">
        <v>4016</v>
      </c>
      <c r="B2514">
        <v>109</v>
      </c>
      <c r="C2514">
        <v>19976073</v>
      </c>
      <c r="D2514" t="s">
        <v>4017</v>
      </c>
      <c r="E2514" t="s">
        <v>13</v>
      </c>
      <c r="F2514" t="s">
        <v>14</v>
      </c>
      <c r="G2514">
        <v>20000000</v>
      </c>
      <c r="H2514">
        <v>6.3</v>
      </c>
      <c r="I2514" t="s">
        <v>34</v>
      </c>
      <c r="J2514" t="s">
        <v>38</v>
      </c>
      <c r="K2514" t="s">
        <v>31</v>
      </c>
      <c r="L2514" t="s">
        <v>24</v>
      </c>
    </row>
    <row r="2515" spans="1:13" x14ac:dyDescent="0.25">
      <c r="A2515" t="s">
        <v>121</v>
      </c>
      <c r="B2515">
        <v>100</v>
      </c>
      <c r="C2515">
        <v>19900000</v>
      </c>
      <c r="D2515" t="s">
        <v>4018</v>
      </c>
      <c r="E2515" t="s">
        <v>13</v>
      </c>
      <c r="F2515" t="s">
        <v>14</v>
      </c>
      <c r="G2515">
        <v>20000000</v>
      </c>
      <c r="H2515">
        <v>4.5</v>
      </c>
      <c r="I2515" t="s">
        <v>15</v>
      </c>
      <c r="J2515" t="s">
        <v>17</v>
      </c>
      <c r="K2515" t="s">
        <v>22</v>
      </c>
      <c r="L2515" t="s">
        <v>19</v>
      </c>
    </row>
    <row r="2516" spans="1:13" x14ac:dyDescent="0.25">
      <c r="A2516" t="s">
        <v>4019</v>
      </c>
      <c r="B2516">
        <v>97</v>
      </c>
      <c r="C2516">
        <v>19819494</v>
      </c>
      <c r="D2516" t="s">
        <v>4020</v>
      </c>
      <c r="E2516" t="s">
        <v>13</v>
      </c>
      <c r="F2516" t="s">
        <v>14</v>
      </c>
      <c r="G2516">
        <v>70000000</v>
      </c>
      <c r="H2516">
        <v>5.8</v>
      </c>
      <c r="I2516" t="s">
        <v>34</v>
      </c>
      <c r="J2516" t="s">
        <v>38</v>
      </c>
      <c r="K2516" t="s">
        <v>31</v>
      </c>
      <c r="L2516" t="s">
        <v>24</v>
      </c>
    </row>
    <row r="2517" spans="1:13" x14ac:dyDescent="0.25">
      <c r="A2517" t="s">
        <v>811</v>
      </c>
      <c r="B2517">
        <v>100</v>
      </c>
      <c r="C2517">
        <v>19783777</v>
      </c>
      <c r="D2517" t="s">
        <v>4021</v>
      </c>
      <c r="E2517" t="s">
        <v>13</v>
      </c>
      <c r="F2517" t="s">
        <v>14</v>
      </c>
      <c r="G2517">
        <v>22000000</v>
      </c>
      <c r="H2517">
        <v>6.5</v>
      </c>
      <c r="I2517" t="s">
        <v>34</v>
      </c>
      <c r="J2517" t="s">
        <v>38</v>
      </c>
      <c r="K2517" t="s">
        <v>31</v>
      </c>
      <c r="L2517" t="s">
        <v>24</v>
      </c>
    </row>
    <row r="2518" spans="1:13" x14ac:dyDescent="0.25">
      <c r="A2518" t="s">
        <v>545</v>
      </c>
      <c r="B2518">
        <v>103</v>
      </c>
      <c r="C2518">
        <v>19781879</v>
      </c>
      <c r="D2518" t="s">
        <v>4022</v>
      </c>
      <c r="E2518" t="s">
        <v>13</v>
      </c>
      <c r="F2518" t="s">
        <v>14</v>
      </c>
      <c r="G2518">
        <v>60000000</v>
      </c>
      <c r="H2518">
        <v>4.8</v>
      </c>
      <c r="I2518" t="s">
        <v>34</v>
      </c>
      <c r="J2518" t="s">
        <v>38</v>
      </c>
      <c r="K2518" t="s">
        <v>17</v>
      </c>
      <c r="L2518" t="s">
        <v>24</v>
      </c>
    </row>
    <row r="2519" spans="1:13" x14ac:dyDescent="0.25">
      <c r="A2519" t="s">
        <v>4023</v>
      </c>
      <c r="B2519">
        <v>124</v>
      </c>
      <c r="C2519">
        <v>19719930</v>
      </c>
      <c r="D2519" t="s">
        <v>4024</v>
      </c>
      <c r="E2519" t="s">
        <v>13</v>
      </c>
      <c r="F2519" t="s">
        <v>14</v>
      </c>
      <c r="G2519">
        <v>45000000</v>
      </c>
      <c r="H2519">
        <v>6.8</v>
      </c>
      <c r="I2519" t="s">
        <v>38</v>
      </c>
      <c r="J2519" t="s">
        <v>31</v>
      </c>
      <c r="K2519" t="s">
        <v>23</v>
      </c>
      <c r="L2519" t="s">
        <v>24</v>
      </c>
    </row>
    <row r="2520" spans="1:13" x14ac:dyDescent="0.25">
      <c r="A2520" t="s">
        <v>1063</v>
      </c>
      <c r="B2520">
        <v>108</v>
      </c>
      <c r="C2520">
        <v>19693891</v>
      </c>
      <c r="D2520" t="s">
        <v>4025</v>
      </c>
      <c r="E2520" t="s">
        <v>13</v>
      </c>
      <c r="F2520" t="s">
        <v>14</v>
      </c>
      <c r="G2520">
        <v>34000000</v>
      </c>
      <c r="H2520">
        <v>4.9000000000000004</v>
      </c>
      <c r="I2520" t="s">
        <v>15</v>
      </c>
      <c r="J2520" t="s">
        <v>31</v>
      </c>
      <c r="K2520" t="s">
        <v>19</v>
      </c>
      <c r="L2520" t="s">
        <v>41</v>
      </c>
    </row>
    <row r="2521" spans="1:13" x14ac:dyDescent="0.25">
      <c r="A2521" t="s">
        <v>4026</v>
      </c>
      <c r="B2521">
        <v>109</v>
      </c>
      <c r="C2521">
        <v>19692608</v>
      </c>
      <c r="D2521" t="s">
        <v>4027</v>
      </c>
      <c r="E2521" t="s">
        <v>13</v>
      </c>
      <c r="F2521" t="s">
        <v>14</v>
      </c>
      <c r="G2521">
        <v>35000000</v>
      </c>
      <c r="H2521">
        <v>6.2</v>
      </c>
      <c r="I2521" t="s">
        <v>38</v>
      </c>
      <c r="J2521" t="s">
        <v>31</v>
      </c>
      <c r="K2521" t="s">
        <v>24</v>
      </c>
    </row>
    <row r="2522" spans="1:13" x14ac:dyDescent="0.25">
      <c r="A2522" t="s">
        <v>904</v>
      </c>
      <c r="B2522">
        <v>118</v>
      </c>
      <c r="C2522">
        <v>19673424</v>
      </c>
      <c r="D2522" t="s">
        <v>4028</v>
      </c>
      <c r="E2522" t="s">
        <v>13</v>
      </c>
      <c r="F2522" t="s">
        <v>14</v>
      </c>
      <c r="G2522">
        <v>80000000</v>
      </c>
      <c r="H2522">
        <v>5.8</v>
      </c>
      <c r="I2522" t="s">
        <v>31</v>
      </c>
      <c r="J2522" t="s">
        <v>59</v>
      </c>
      <c r="K2522" t="s">
        <v>19</v>
      </c>
    </row>
    <row r="2523" spans="1:13" x14ac:dyDescent="0.25">
      <c r="A2523" t="s">
        <v>3908</v>
      </c>
      <c r="B2523">
        <v>124</v>
      </c>
      <c r="C2523">
        <v>19661987</v>
      </c>
      <c r="D2523" t="s">
        <v>4029</v>
      </c>
      <c r="E2523" t="s">
        <v>13</v>
      </c>
      <c r="F2523" t="s">
        <v>14</v>
      </c>
      <c r="G2523">
        <v>20000000</v>
      </c>
      <c r="H2523">
        <v>7.5</v>
      </c>
      <c r="I2523" t="s">
        <v>31</v>
      </c>
    </row>
    <row r="2524" spans="1:13" x14ac:dyDescent="0.25">
      <c r="A2524" t="s">
        <v>1169</v>
      </c>
      <c r="B2524">
        <v>130</v>
      </c>
      <c r="C2524">
        <v>19593740</v>
      </c>
      <c r="D2524" t="s">
        <v>4030</v>
      </c>
      <c r="E2524" t="s">
        <v>13</v>
      </c>
      <c r="F2524" t="s">
        <v>14</v>
      </c>
      <c r="G2524">
        <v>50000000</v>
      </c>
      <c r="H2524">
        <v>7.5</v>
      </c>
      <c r="I2524" t="s">
        <v>38</v>
      </c>
      <c r="J2524" t="s">
        <v>31</v>
      </c>
      <c r="K2524" t="s">
        <v>24</v>
      </c>
    </row>
    <row r="2525" spans="1:13" x14ac:dyDescent="0.25">
      <c r="A2525" t="s">
        <v>1048</v>
      </c>
      <c r="B2525">
        <v>94</v>
      </c>
      <c r="C2525">
        <v>19548064</v>
      </c>
      <c r="D2525" t="s">
        <v>4031</v>
      </c>
      <c r="E2525" t="s">
        <v>13</v>
      </c>
      <c r="F2525" t="s">
        <v>1007</v>
      </c>
      <c r="G2525">
        <v>65000000</v>
      </c>
      <c r="H2525">
        <v>6.3</v>
      </c>
      <c r="I2525" t="s">
        <v>34</v>
      </c>
      <c r="J2525" t="s">
        <v>46</v>
      </c>
      <c r="K2525" t="s">
        <v>15</v>
      </c>
      <c r="L2525" t="s">
        <v>16</v>
      </c>
      <c r="M2525" t="s">
        <v>37</v>
      </c>
    </row>
    <row r="2526" spans="1:13" x14ac:dyDescent="0.25">
      <c r="A2526" t="s">
        <v>495</v>
      </c>
      <c r="B2526">
        <v>116</v>
      </c>
      <c r="C2526">
        <v>19480739</v>
      </c>
      <c r="D2526" t="s">
        <v>4032</v>
      </c>
      <c r="E2526" t="s">
        <v>13</v>
      </c>
      <c r="F2526" t="s">
        <v>14</v>
      </c>
      <c r="G2526">
        <v>80000000</v>
      </c>
      <c r="H2526">
        <v>5.6</v>
      </c>
      <c r="I2526" t="s">
        <v>34</v>
      </c>
      <c r="J2526" t="s">
        <v>28</v>
      </c>
      <c r="K2526" t="s">
        <v>37</v>
      </c>
    </row>
    <row r="2527" spans="1:13" x14ac:dyDescent="0.25">
      <c r="A2527" t="s">
        <v>4033</v>
      </c>
      <c r="B2527">
        <v>86</v>
      </c>
      <c r="C2527">
        <v>19472057</v>
      </c>
      <c r="D2527" t="s">
        <v>4034</v>
      </c>
      <c r="E2527" t="s">
        <v>13</v>
      </c>
      <c r="F2527" t="s">
        <v>14</v>
      </c>
      <c r="G2527">
        <v>3000000</v>
      </c>
      <c r="H2527">
        <v>5.9</v>
      </c>
      <c r="I2527" t="s">
        <v>22</v>
      </c>
      <c r="J2527" t="s">
        <v>24</v>
      </c>
    </row>
    <row r="2528" spans="1:13" x14ac:dyDescent="0.25">
      <c r="A2528" t="s">
        <v>4035</v>
      </c>
      <c r="B2528">
        <v>76</v>
      </c>
      <c r="C2528">
        <v>19447478</v>
      </c>
      <c r="D2528" t="s">
        <v>4036</v>
      </c>
      <c r="E2528" t="s">
        <v>13</v>
      </c>
      <c r="F2528" t="s">
        <v>82</v>
      </c>
      <c r="G2528">
        <v>35000000</v>
      </c>
      <c r="H2528">
        <v>5.6</v>
      </c>
      <c r="I2528" t="s">
        <v>28</v>
      </c>
      <c r="J2528" t="s">
        <v>46</v>
      </c>
      <c r="K2528" t="s">
        <v>15</v>
      </c>
      <c r="L2528" t="s">
        <v>16</v>
      </c>
      <c r="M2528" t="s">
        <v>83</v>
      </c>
    </row>
    <row r="2529" spans="1:12" x14ac:dyDescent="0.25">
      <c r="A2529" t="s">
        <v>1024</v>
      </c>
      <c r="B2529">
        <v>124</v>
      </c>
      <c r="C2529">
        <v>19445217</v>
      </c>
      <c r="D2529" t="s">
        <v>4037</v>
      </c>
      <c r="E2529" t="s">
        <v>13</v>
      </c>
      <c r="F2529" t="s">
        <v>14</v>
      </c>
      <c r="G2529">
        <v>60000000</v>
      </c>
      <c r="H2529">
        <v>6.2</v>
      </c>
      <c r="I2529" t="s">
        <v>31</v>
      </c>
      <c r="J2529" t="s">
        <v>17</v>
      </c>
      <c r="K2529" t="s">
        <v>19</v>
      </c>
    </row>
    <row r="2530" spans="1:12" x14ac:dyDescent="0.25">
      <c r="A2530" t="s">
        <v>4038</v>
      </c>
      <c r="B2530">
        <v>77</v>
      </c>
      <c r="C2530">
        <v>19421271</v>
      </c>
      <c r="D2530" t="s">
        <v>4039</v>
      </c>
      <c r="E2530" t="s">
        <v>13</v>
      </c>
      <c r="F2530" t="s">
        <v>14</v>
      </c>
      <c r="G2530">
        <v>5000000</v>
      </c>
      <c r="H2530">
        <v>5</v>
      </c>
      <c r="I2530" t="s">
        <v>46</v>
      </c>
      <c r="J2530" t="s">
        <v>15</v>
      </c>
      <c r="K2530" t="s">
        <v>16</v>
      </c>
    </row>
    <row r="2531" spans="1:12" x14ac:dyDescent="0.25">
      <c r="A2531" t="s">
        <v>4040</v>
      </c>
      <c r="B2531">
        <v>104</v>
      </c>
      <c r="C2531">
        <v>19406406</v>
      </c>
      <c r="D2531" t="s">
        <v>4041</v>
      </c>
      <c r="E2531" t="s">
        <v>473</v>
      </c>
      <c r="F2531" t="s">
        <v>295</v>
      </c>
      <c r="G2531">
        <v>40000000</v>
      </c>
      <c r="H2531">
        <v>7.8</v>
      </c>
      <c r="I2531" t="s">
        <v>52</v>
      </c>
      <c r="J2531" t="s">
        <v>31</v>
      </c>
    </row>
    <row r="2532" spans="1:12" x14ac:dyDescent="0.25">
      <c r="A2532" t="s">
        <v>731</v>
      </c>
      <c r="B2532">
        <v>107</v>
      </c>
      <c r="C2532">
        <v>19389454</v>
      </c>
      <c r="D2532" t="s">
        <v>4042</v>
      </c>
      <c r="E2532" t="s">
        <v>13</v>
      </c>
      <c r="F2532" t="s">
        <v>14</v>
      </c>
      <c r="G2532">
        <v>55000000</v>
      </c>
      <c r="H2532">
        <v>7.4</v>
      </c>
      <c r="I2532" t="s">
        <v>15</v>
      </c>
      <c r="J2532" t="s">
        <v>31</v>
      </c>
    </row>
    <row r="2533" spans="1:12" x14ac:dyDescent="0.25">
      <c r="A2533" t="s">
        <v>4043</v>
      </c>
      <c r="B2533">
        <v>134</v>
      </c>
      <c r="C2533">
        <v>19377727</v>
      </c>
      <c r="D2533" t="s">
        <v>4044</v>
      </c>
      <c r="E2533" t="s">
        <v>13</v>
      </c>
      <c r="F2533" t="s">
        <v>14</v>
      </c>
      <c r="G2533">
        <v>45000000</v>
      </c>
      <c r="H2533">
        <v>6.4</v>
      </c>
      <c r="I2533" t="s">
        <v>15</v>
      </c>
      <c r="J2533" t="s">
        <v>59</v>
      </c>
    </row>
    <row r="2534" spans="1:12" x14ac:dyDescent="0.25">
      <c r="A2534" t="s">
        <v>119</v>
      </c>
      <c r="B2534">
        <v>96</v>
      </c>
      <c r="C2534">
        <v>19351569</v>
      </c>
      <c r="D2534" t="s">
        <v>4045</v>
      </c>
      <c r="E2534" t="s">
        <v>13</v>
      </c>
      <c r="F2534" t="s">
        <v>14</v>
      </c>
      <c r="G2534">
        <v>22000000</v>
      </c>
      <c r="H2534">
        <v>5.9</v>
      </c>
      <c r="I2534" t="s">
        <v>15</v>
      </c>
      <c r="J2534" t="s">
        <v>38</v>
      </c>
      <c r="K2534" t="s">
        <v>19</v>
      </c>
    </row>
    <row r="2535" spans="1:12" x14ac:dyDescent="0.25">
      <c r="A2535" t="s">
        <v>882</v>
      </c>
      <c r="B2535">
        <v>88</v>
      </c>
      <c r="C2535">
        <v>19316646</v>
      </c>
      <c r="D2535" t="s">
        <v>4046</v>
      </c>
      <c r="E2535" t="s">
        <v>13</v>
      </c>
      <c r="F2535" t="s">
        <v>14</v>
      </c>
      <c r="G2535">
        <v>30000000</v>
      </c>
      <c r="H2535">
        <v>5.6</v>
      </c>
      <c r="I2535" t="s">
        <v>38</v>
      </c>
      <c r="J2535" t="s">
        <v>24</v>
      </c>
    </row>
    <row r="2536" spans="1:12" x14ac:dyDescent="0.25">
      <c r="A2536" t="s">
        <v>121</v>
      </c>
      <c r="B2536">
        <v>99</v>
      </c>
      <c r="C2536">
        <v>19294901</v>
      </c>
      <c r="D2536" t="s">
        <v>4047</v>
      </c>
      <c r="E2536" t="s">
        <v>13</v>
      </c>
      <c r="F2536" t="s">
        <v>14</v>
      </c>
      <c r="G2536">
        <v>35000000</v>
      </c>
      <c r="H2536">
        <v>5</v>
      </c>
      <c r="I2536" t="s">
        <v>15</v>
      </c>
      <c r="J2536" t="s">
        <v>22</v>
      </c>
    </row>
    <row r="2537" spans="1:12" x14ac:dyDescent="0.25">
      <c r="A2537" t="s">
        <v>302</v>
      </c>
      <c r="B2537">
        <v>142</v>
      </c>
      <c r="C2537">
        <v>19283782</v>
      </c>
      <c r="D2537" t="s">
        <v>4048</v>
      </c>
      <c r="E2537" t="s">
        <v>13</v>
      </c>
      <c r="F2537" t="s">
        <v>14</v>
      </c>
      <c r="G2537">
        <v>22000000</v>
      </c>
      <c r="H2537">
        <v>6.6</v>
      </c>
      <c r="I2537" t="s">
        <v>38</v>
      </c>
      <c r="J2537" t="s">
        <v>31</v>
      </c>
      <c r="K2537" t="s">
        <v>19</v>
      </c>
      <c r="L2537" t="s">
        <v>24</v>
      </c>
    </row>
    <row r="2538" spans="1:12" x14ac:dyDescent="0.25">
      <c r="A2538" t="s">
        <v>4049</v>
      </c>
      <c r="B2538">
        <v>94</v>
      </c>
      <c r="C2538">
        <v>19281235</v>
      </c>
      <c r="D2538" t="s">
        <v>4050</v>
      </c>
      <c r="E2538" t="s">
        <v>13</v>
      </c>
      <c r="F2538" t="s">
        <v>14</v>
      </c>
      <c r="G2538">
        <v>5000000</v>
      </c>
      <c r="H2538">
        <v>5.0999999999999996</v>
      </c>
      <c r="I2538" t="s">
        <v>15</v>
      </c>
      <c r="J2538" t="s">
        <v>31</v>
      </c>
      <c r="K2538" t="s">
        <v>18</v>
      </c>
      <c r="L2538" t="s">
        <v>19</v>
      </c>
    </row>
    <row r="2539" spans="1:12" x14ac:dyDescent="0.25">
      <c r="A2539" t="s">
        <v>4051</v>
      </c>
      <c r="B2539">
        <v>113</v>
      </c>
      <c r="C2539">
        <v>19184015</v>
      </c>
      <c r="D2539" t="s">
        <v>4052</v>
      </c>
      <c r="E2539" t="s">
        <v>13</v>
      </c>
      <c r="F2539" t="s">
        <v>14</v>
      </c>
      <c r="G2539">
        <v>3000000</v>
      </c>
      <c r="H2539">
        <v>5.4</v>
      </c>
      <c r="I2539" t="s">
        <v>42</v>
      </c>
      <c r="J2539" t="s">
        <v>15</v>
      </c>
      <c r="K2539" t="s">
        <v>52</v>
      </c>
    </row>
    <row r="2540" spans="1:12" x14ac:dyDescent="0.25">
      <c r="A2540" t="s">
        <v>421</v>
      </c>
      <c r="B2540">
        <v>110</v>
      </c>
      <c r="C2540">
        <v>19179969</v>
      </c>
      <c r="D2540" t="s">
        <v>4053</v>
      </c>
      <c r="E2540" t="s">
        <v>13</v>
      </c>
      <c r="F2540" t="s">
        <v>14</v>
      </c>
      <c r="G2540">
        <v>17500000</v>
      </c>
      <c r="H2540">
        <v>6.3</v>
      </c>
      <c r="I2540" t="s">
        <v>15</v>
      </c>
    </row>
    <row r="2541" spans="1:12" x14ac:dyDescent="0.25">
      <c r="A2541" t="s">
        <v>4054</v>
      </c>
      <c r="B2541">
        <v>88</v>
      </c>
      <c r="C2541">
        <v>19170001</v>
      </c>
      <c r="D2541" t="s">
        <v>4055</v>
      </c>
      <c r="E2541" t="s">
        <v>13</v>
      </c>
      <c r="F2541" t="s">
        <v>14</v>
      </c>
      <c r="G2541">
        <v>2800000</v>
      </c>
      <c r="H2541">
        <v>5.3</v>
      </c>
      <c r="I2541" t="s">
        <v>22</v>
      </c>
    </row>
    <row r="2542" spans="1:12" x14ac:dyDescent="0.25">
      <c r="A2542" t="s">
        <v>537</v>
      </c>
      <c r="B2542">
        <v>90</v>
      </c>
      <c r="C2542">
        <v>19158074</v>
      </c>
      <c r="D2542" t="s">
        <v>4056</v>
      </c>
      <c r="E2542" t="s">
        <v>13</v>
      </c>
      <c r="F2542" t="s">
        <v>14</v>
      </c>
      <c r="G2542">
        <v>15000000</v>
      </c>
      <c r="H2542">
        <v>6.7</v>
      </c>
      <c r="I2542" t="s">
        <v>31</v>
      </c>
      <c r="J2542" t="s">
        <v>16</v>
      </c>
      <c r="K2542" t="s">
        <v>17</v>
      </c>
      <c r="L2542" t="s">
        <v>19</v>
      </c>
    </row>
    <row r="2543" spans="1:12" x14ac:dyDescent="0.25">
      <c r="A2543" t="s">
        <v>2852</v>
      </c>
      <c r="B2543">
        <v>112</v>
      </c>
      <c r="C2543">
        <v>19151864</v>
      </c>
      <c r="D2543" t="s">
        <v>4057</v>
      </c>
      <c r="E2543" t="s">
        <v>13</v>
      </c>
      <c r="F2543" t="s">
        <v>14</v>
      </c>
      <c r="G2543">
        <v>40000000</v>
      </c>
      <c r="H2543">
        <v>5.9</v>
      </c>
      <c r="I2543" t="s">
        <v>15</v>
      </c>
      <c r="J2543" t="s">
        <v>19</v>
      </c>
    </row>
    <row r="2544" spans="1:12" x14ac:dyDescent="0.25">
      <c r="A2544" t="s">
        <v>378</v>
      </c>
      <c r="B2544">
        <v>100</v>
      </c>
      <c r="C2544">
        <v>19118247</v>
      </c>
      <c r="D2544" t="s">
        <v>4058</v>
      </c>
      <c r="E2544" t="s">
        <v>13</v>
      </c>
      <c r="F2544" t="s">
        <v>14</v>
      </c>
      <c r="G2544">
        <v>40000000</v>
      </c>
      <c r="H2544">
        <v>5.4</v>
      </c>
      <c r="I2544" t="s">
        <v>34</v>
      </c>
      <c r="J2544" t="s">
        <v>15</v>
      </c>
    </row>
    <row r="2545" spans="1:12" x14ac:dyDescent="0.25">
      <c r="A2545" t="s">
        <v>3192</v>
      </c>
      <c r="B2545">
        <v>87</v>
      </c>
      <c r="C2545">
        <v>19100000</v>
      </c>
      <c r="D2545" t="s">
        <v>4059</v>
      </c>
      <c r="E2545" t="s">
        <v>13</v>
      </c>
      <c r="F2545" t="s">
        <v>14</v>
      </c>
      <c r="G2545">
        <v>1250000</v>
      </c>
      <c r="H2545">
        <v>6.1</v>
      </c>
      <c r="I2545" t="s">
        <v>22</v>
      </c>
      <c r="J2545" t="s">
        <v>23</v>
      </c>
      <c r="K2545" t="s">
        <v>24</v>
      </c>
    </row>
    <row r="2546" spans="1:12" x14ac:dyDescent="0.25">
      <c r="A2546" t="s">
        <v>648</v>
      </c>
      <c r="B2546">
        <v>134</v>
      </c>
      <c r="C2546">
        <v>19097994</v>
      </c>
      <c r="D2546" t="s">
        <v>4060</v>
      </c>
      <c r="E2546" t="s">
        <v>13</v>
      </c>
      <c r="F2546" t="s">
        <v>98</v>
      </c>
      <c r="G2546">
        <v>39751583.5</v>
      </c>
      <c r="H2546">
        <v>7.1</v>
      </c>
      <c r="I2546" t="s">
        <v>42</v>
      </c>
      <c r="J2546" t="s">
        <v>31</v>
      </c>
      <c r="K2546" t="s">
        <v>41</v>
      </c>
    </row>
    <row r="2547" spans="1:12" x14ac:dyDescent="0.25">
      <c r="A2547" t="s">
        <v>2845</v>
      </c>
      <c r="B2547">
        <v>125</v>
      </c>
      <c r="C2547">
        <v>19076815</v>
      </c>
      <c r="D2547" t="s">
        <v>4061</v>
      </c>
      <c r="E2547" t="s">
        <v>13</v>
      </c>
      <c r="F2547" t="s">
        <v>14</v>
      </c>
      <c r="G2547">
        <v>60000000</v>
      </c>
      <c r="H2547">
        <v>6.3</v>
      </c>
      <c r="I2547" t="s">
        <v>31</v>
      </c>
      <c r="J2547" t="s">
        <v>83</v>
      </c>
    </row>
    <row r="2548" spans="1:12" x14ac:dyDescent="0.25">
      <c r="A2548" t="s">
        <v>4062</v>
      </c>
      <c r="B2548">
        <v>108</v>
      </c>
      <c r="C2548">
        <v>19067631</v>
      </c>
      <c r="D2548" t="s">
        <v>4063</v>
      </c>
      <c r="E2548" t="s">
        <v>13</v>
      </c>
      <c r="F2548" t="s">
        <v>14</v>
      </c>
      <c r="G2548">
        <v>2000000</v>
      </c>
      <c r="H2548">
        <v>7.1</v>
      </c>
      <c r="I2548" t="s">
        <v>15</v>
      </c>
      <c r="J2548" t="s">
        <v>31</v>
      </c>
      <c r="K2548" t="s">
        <v>19</v>
      </c>
    </row>
    <row r="2549" spans="1:12" x14ac:dyDescent="0.25">
      <c r="A2549" t="s">
        <v>4064</v>
      </c>
      <c r="B2549">
        <v>92</v>
      </c>
      <c r="C2549">
        <v>19059018</v>
      </c>
      <c r="D2549" t="s">
        <v>4065</v>
      </c>
      <c r="E2549" t="s">
        <v>13</v>
      </c>
      <c r="F2549" t="s">
        <v>45</v>
      </c>
      <c r="G2549">
        <v>65000000</v>
      </c>
      <c r="H2549">
        <v>5.0999999999999996</v>
      </c>
      <c r="I2549" t="s">
        <v>34</v>
      </c>
      <c r="J2549" t="s">
        <v>17</v>
      </c>
      <c r="K2549" t="s">
        <v>37</v>
      </c>
      <c r="L2549" t="s">
        <v>24</v>
      </c>
    </row>
    <row r="2550" spans="1:12" x14ac:dyDescent="0.25">
      <c r="A2550" t="s">
        <v>4066</v>
      </c>
      <c r="B2550">
        <v>113</v>
      </c>
      <c r="C2550">
        <v>19057024</v>
      </c>
      <c r="D2550" t="s">
        <v>4067</v>
      </c>
      <c r="E2550" t="s">
        <v>13</v>
      </c>
      <c r="F2550" t="s">
        <v>14</v>
      </c>
      <c r="G2550">
        <v>16000000</v>
      </c>
      <c r="H2550">
        <v>7.2</v>
      </c>
      <c r="I2550" t="s">
        <v>31</v>
      </c>
      <c r="J2550" t="s">
        <v>19</v>
      </c>
    </row>
    <row r="2551" spans="1:12" x14ac:dyDescent="0.25">
      <c r="A2551" t="s">
        <v>4068</v>
      </c>
      <c r="B2551">
        <v>114</v>
      </c>
      <c r="C2551">
        <v>18996755</v>
      </c>
      <c r="D2551" t="s">
        <v>4069</v>
      </c>
      <c r="E2551" t="s">
        <v>13</v>
      </c>
      <c r="F2551" t="s">
        <v>910</v>
      </c>
      <c r="G2551">
        <v>45000000</v>
      </c>
      <c r="H2551">
        <v>7.6</v>
      </c>
      <c r="I2551" t="s">
        <v>31</v>
      </c>
      <c r="J2551" t="s">
        <v>24</v>
      </c>
    </row>
    <row r="2552" spans="1:12" x14ac:dyDescent="0.25">
      <c r="A2552" t="s">
        <v>182</v>
      </c>
      <c r="B2552">
        <v>98</v>
      </c>
      <c r="C2552">
        <v>18990542</v>
      </c>
      <c r="D2552" t="s">
        <v>4070</v>
      </c>
      <c r="E2552" t="s">
        <v>13</v>
      </c>
      <c r="F2552" t="s">
        <v>14</v>
      </c>
      <c r="G2552">
        <v>70000000</v>
      </c>
      <c r="H2552">
        <v>3</v>
      </c>
      <c r="I2552" t="s">
        <v>34</v>
      </c>
      <c r="J2552" t="s">
        <v>37</v>
      </c>
      <c r="K2552" t="s">
        <v>41</v>
      </c>
    </row>
    <row r="2553" spans="1:12" x14ac:dyDescent="0.25">
      <c r="A2553" t="s">
        <v>147</v>
      </c>
      <c r="B2553">
        <v>96</v>
      </c>
      <c r="C2553">
        <v>18967571</v>
      </c>
      <c r="D2553" t="s">
        <v>4071</v>
      </c>
      <c r="E2553" t="s">
        <v>13</v>
      </c>
      <c r="F2553" t="s">
        <v>14</v>
      </c>
      <c r="G2553">
        <v>30000000</v>
      </c>
      <c r="H2553">
        <v>6.1</v>
      </c>
      <c r="I2553" t="s">
        <v>34</v>
      </c>
      <c r="J2553" t="s">
        <v>38</v>
      </c>
      <c r="K2553" t="s">
        <v>24</v>
      </c>
    </row>
    <row r="2554" spans="1:12" x14ac:dyDescent="0.25">
      <c r="A2554" t="s">
        <v>1098</v>
      </c>
      <c r="B2554">
        <v>109</v>
      </c>
      <c r="C2554">
        <v>18947630</v>
      </c>
      <c r="D2554" t="s">
        <v>4072</v>
      </c>
      <c r="E2554" t="s">
        <v>13</v>
      </c>
      <c r="F2554" t="s">
        <v>295</v>
      </c>
      <c r="G2554">
        <v>59660000</v>
      </c>
      <c r="H2554">
        <v>7.1</v>
      </c>
      <c r="I2554" t="s">
        <v>28</v>
      </c>
      <c r="J2554" t="s">
        <v>31</v>
      </c>
      <c r="K2554" t="s">
        <v>16</v>
      </c>
    </row>
    <row r="2555" spans="1:12" x14ac:dyDescent="0.25">
      <c r="A2555" t="s">
        <v>505</v>
      </c>
      <c r="B2555">
        <v>93</v>
      </c>
      <c r="C2555">
        <v>18934858</v>
      </c>
      <c r="D2555" t="s">
        <v>4073</v>
      </c>
      <c r="E2555" t="s">
        <v>13</v>
      </c>
      <c r="F2555" t="s">
        <v>1465</v>
      </c>
      <c r="G2555">
        <v>23000000</v>
      </c>
      <c r="H2555">
        <v>5.8</v>
      </c>
      <c r="I2555" t="s">
        <v>34</v>
      </c>
      <c r="J2555" t="s">
        <v>24</v>
      </c>
    </row>
    <row r="2556" spans="1:12" x14ac:dyDescent="0.25">
      <c r="A2556" t="s">
        <v>55</v>
      </c>
      <c r="B2556">
        <v>113</v>
      </c>
      <c r="C2556">
        <v>18882880</v>
      </c>
      <c r="D2556" t="s">
        <v>4074</v>
      </c>
      <c r="E2556" t="s">
        <v>13</v>
      </c>
      <c r="F2556" t="s">
        <v>14</v>
      </c>
      <c r="G2556">
        <v>20000000</v>
      </c>
      <c r="H2556">
        <v>5.9</v>
      </c>
      <c r="I2556" t="s">
        <v>15</v>
      </c>
      <c r="J2556" t="s">
        <v>31</v>
      </c>
    </row>
    <row r="2557" spans="1:12" x14ac:dyDescent="0.25">
      <c r="A2557" t="s">
        <v>698</v>
      </c>
      <c r="B2557">
        <v>90</v>
      </c>
      <c r="C2557">
        <v>18860403</v>
      </c>
      <c r="D2557" t="s">
        <v>4075</v>
      </c>
      <c r="E2557" t="s">
        <v>13</v>
      </c>
      <c r="F2557" t="s">
        <v>14</v>
      </c>
      <c r="G2557">
        <v>25000000</v>
      </c>
      <c r="H2557">
        <v>4</v>
      </c>
      <c r="I2557" t="s">
        <v>22</v>
      </c>
      <c r="J2557" t="s">
        <v>24</v>
      </c>
    </row>
    <row r="2558" spans="1:12" x14ac:dyDescent="0.25">
      <c r="A2558" t="s">
        <v>4076</v>
      </c>
      <c r="B2558">
        <v>92</v>
      </c>
      <c r="C2558">
        <v>18843314</v>
      </c>
      <c r="D2558" t="s">
        <v>4077</v>
      </c>
      <c r="E2558" t="s">
        <v>13</v>
      </c>
      <c r="F2558" t="s">
        <v>14</v>
      </c>
      <c r="G2558">
        <v>20000000</v>
      </c>
      <c r="H2558">
        <v>4.7</v>
      </c>
      <c r="I2558" t="s">
        <v>34</v>
      </c>
      <c r="J2558" t="s">
        <v>31</v>
      </c>
      <c r="K2558" t="s">
        <v>24</v>
      </c>
    </row>
    <row r="2559" spans="1:12" x14ac:dyDescent="0.25">
      <c r="A2559" t="s">
        <v>348</v>
      </c>
      <c r="B2559">
        <v>99</v>
      </c>
      <c r="C2559">
        <v>18821279</v>
      </c>
      <c r="D2559" t="s">
        <v>4078</v>
      </c>
      <c r="E2559" t="s">
        <v>13</v>
      </c>
      <c r="F2559" t="s">
        <v>14</v>
      </c>
      <c r="G2559">
        <v>70000000</v>
      </c>
      <c r="H2559">
        <v>4.2</v>
      </c>
      <c r="I2559" t="s">
        <v>34</v>
      </c>
      <c r="J2559" t="s">
        <v>28</v>
      </c>
      <c r="K2559" t="s">
        <v>17</v>
      </c>
    </row>
    <row r="2560" spans="1:12" x14ac:dyDescent="0.25">
      <c r="A2560" t="s">
        <v>4079</v>
      </c>
      <c r="B2560">
        <v>112</v>
      </c>
      <c r="C2560">
        <v>18811135</v>
      </c>
      <c r="D2560" t="s">
        <v>4080</v>
      </c>
      <c r="E2560" t="s">
        <v>13</v>
      </c>
      <c r="F2560" t="s">
        <v>14</v>
      </c>
      <c r="G2560">
        <v>39751583.5</v>
      </c>
      <c r="H2560">
        <v>7.5</v>
      </c>
      <c r="I2560" t="s">
        <v>31</v>
      </c>
    </row>
    <row r="2561" spans="1:12" x14ac:dyDescent="0.25">
      <c r="A2561" t="s">
        <v>3908</v>
      </c>
      <c r="B2561">
        <v>118</v>
      </c>
      <c r="C2561">
        <v>18761993</v>
      </c>
      <c r="D2561" t="s">
        <v>4081</v>
      </c>
      <c r="E2561" t="s">
        <v>13</v>
      </c>
      <c r="F2561" t="s">
        <v>14</v>
      </c>
      <c r="G2561">
        <v>9000000</v>
      </c>
      <c r="H2561">
        <v>6.9</v>
      </c>
      <c r="I2561" t="s">
        <v>15</v>
      </c>
      <c r="J2561" t="s">
        <v>31</v>
      </c>
    </row>
    <row r="2562" spans="1:12" x14ac:dyDescent="0.25">
      <c r="A2562" t="s">
        <v>1355</v>
      </c>
      <c r="B2562">
        <v>120</v>
      </c>
      <c r="C2562">
        <v>18663911</v>
      </c>
      <c r="D2562" t="s">
        <v>4082</v>
      </c>
      <c r="E2562" t="s">
        <v>13</v>
      </c>
      <c r="F2562" t="s">
        <v>82</v>
      </c>
      <c r="G2562">
        <v>16500000</v>
      </c>
      <c r="H2562">
        <v>7.1</v>
      </c>
      <c r="I2562" t="s">
        <v>42</v>
      </c>
      <c r="J2562" t="s">
        <v>31</v>
      </c>
      <c r="K2562" t="s">
        <v>19</v>
      </c>
    </row>
    <row r="2563" spans="1:12" x14ac:dyDescent="0.25">
      <c r="A2563" t="s">
        <v>4083</v>
      </c>
      <c r="B2563">
        <v>101</v>
      </c>
      <c r="C2563">
        <v>18656400</v>
      </c>
      <c r="D2563" t="s">
        <v>4084</v>
      </c>
      <c r="E2563" t="s">
        <v>13</v>
      </c>
      <c r="F2563" t="s">
        <v>14</v>
      </c>
      <c r="G2563">
        <v>5000000</v>
      </c>
      <c r="H2563">
        <v>7.5</v>
      </c>
      <c r="I2563" t="s">
        <v>31</v>
      </c>
    </row>
    <row r="2564" spans="1:12" x14ac:dyDescent="0.25">
      <c r="A2564" t="s">
        <v>1639</v>
      </c>
      <c r="B2564">
        <v>133</v>
      </c>
      <c r="C2564">
        <v>18653746</v>
      </c>
      <c r="D2564" t="s">
        <v>4085</v>
      </c>
      <c r="E2564" t="s">
        <v>13</v>
      </c>
      <c r="F2564" t="s">
        <v>910</v>
      </c>
      <c r="G2564">
        <v>38000000</v>
      </c>
      <c r="H2564">
        <v>6.7</v>
      </c>
      <c r="I2564" t="s">
        <v>23</v>
      </c>
      <c r="J2564" t="s">
        <v>24</v>
      </c>
    </row>
    <row r="2565" spans="1:12" x14ac:dyDescent="0.25">
      <c r="A2565" t="s">
        <v>223</v>
      </c>
      <c r="B2565">
        <v>114</v>
      </c>
      <c r="C2565">
        <v>18653615</v>
      </c>
      <c r="D2565" t="s">
        <v>4086</v>
      </c>
      <c r="E2565" t="s">
        <v>13</v>
      </c>
      <c r="F2565" t="s">
        <v>14</v>
      </c>
      <c r="G2565">
        <v>23000000</v>
      </c>
      <c r="H2565">
        <v>6.1</v>
      </c>
      <c r="I2565" t="s">
        <v>15</v>
      </c>
      <c r="J2565" t="s">
        <v>31</v>
      </c>
    </row>
    <row r="2566" spans="1:12" x14ac:dyDescent="0.25">
      <c r="A2566" t="s">
        <v>4087</v>
      </c>
      <c r="B2566">
        <v>46</v>
      </c>
      <c r="C2566">
        <v>18642318</v>
      </c>
      <c r="D2566" t="s">
        <v>4088</v>
      </c>
      <c r="E2566" t="s">
        <v>13</v>
      </c>
      <c r="F2566" t="s">
        <v>14</v>
      </c>
      <c r="G2566">
        <v>39751583.5</v>
      </c>
      <c r="H2566">
        <v>7.5</v>
      </c>
      <c r="I2566" t="s">
        <v>52</v>
      </c>
      <c r="J2566" t="s">
        <v>41</v>
      </c>
    </row>
    <row r="2567" spans="1:12" x14ac:dyDescent="0.25">
      <c r="A2567" t="s">
        <v>2577</v>
      </c>
      <c r="B2567">
        <v>107</v>
      </c>
      <c r="C2567">
        <v>18636537</v>
      </c>
      <c r="D2567" t="s">
        <v>4089</v>
      </c>
      <c r="E2567" t="s">
        <v>13</v>
      </c>
      <c r="F2567" t="s">
        <v>27</v>
      </c>
      <c r="G2567">
        <v>32000000</v>
      </c>
      <c r="H2567">
        <v>6.4</v>
      </c>
      <c r="I2567" t="s">
        <v>34</v>
      </c>
      <c r="J2567" t="s">
        <v>24</v>
      </c>
      <c r="K2567" t="s">
        <v>69</v>
      </c>
    </row>
    <row r="2568" spans="1:12" x14ac:dyDescent="0.25">
      <c r="A2568" t="s">
        <v>4090</v>
      </c>
      <c r="B2568">
        <v>90</v>
      </c>
      <c r="C2568">
        <v>18621249</v>
      </c>
      <c r="D2568" t="s">
        <v>4091</v>
      </c>
      <c r="E2568" t="s">
        <v>13</v>
      </c>
      <c r="F2568" t="s">
        <v>14</v>
      </c>
      <c r="G2568">
        <v>6000000</v>
      </c>
      <c r="H2568">
        <v>7.5</v>
      </c>
      <c r="I2568" t="s">
        <v>15</v>
      </c>
    </row>
    <row r="2569" spans="1:12" x14ac:dyDescent="0.25">
      <c r="A2569" t="s">
        <v>4092</v>
      </c>
      <c r="B2569">
        <v>102</v>
      </c>
      <c r="C2569">
        <v>18600911</v>
      </c>
      <c r="D2569" t="s">
        <v>4093</v>
      </c>
      <c r="E2569" t="s">
        <v>13</v>
      </c>
      <c r="F2569" t="s">
        <v>14</v>
      </c>
      <c r="G2569">
        <v>42000000</v>
      </c>
      <c r="H2569">
        <v>6.6</v>
      </c>
      <c r="I2569" t="s">
        <v>34</v>
      </c>
      <c r="J2569" t="s">
        <v>38</v>
      </c>
      <c r="K2569" t="s">
        <v>24</v>
      </c>
    </row>
    <row r="2570" spans="1:12" x14ac:dyDescent="0.25">
      <c r="A2570" t="s">
        <v>3674</v>
      </c>
      <c r="B2570">
        <v>104</v>
      </c>
      <c r="C2570">
        <v>18595716</v>
      </c>
      <c r="D2570" t="s">
        <v>4094</v>
      </c>
      <c r="E2570" t="s">
        <v>13</v>
      </c>
      <c r="F2570" t="s">
        <v>14</v>
      </c>
      <c r="G2570">
        <v>12000000</v>
      </c>
      <c r="H2570">
        <v>5.3</v>
      </c>
      <c r="I2570" t="s">
        <v>15</v>
      </c>
      <c r="J2570" t="s">
        <v>16</v>
      </c>
      <c r="K2570" t="s">
        <v>17</v>
      </c>
      <c r="L2570" t="s">
        <v>19</v>
      </c>
    </row>
    <row r="2571" spans="1:12" x14ac:dyDescent="0.25">
      <c r="A2571" t="s">
        <v>638</v>
      </c>
      <c r="B2571">
        <v>122</v>
      </c>
      <c r="C2571">
        <v>18593156</v>
      </c>
      <c r="D2571" t="s">
        <v>4095</v>
      </c>
      <c r="E2571" t="s">
        <v>13</v>
      </c>
      <c r="F2571" t="s">
        <v>14</v>
      </c>
      <c r="G2571">
        <v>35000000</v>
      </c>
      <c r="H2571">
        <v>7.7</v>
      </c>
      <c r="I2571" t="s">
        <v>31</v>
      </c>
    </row>
    <row r="2572" spans="1:12" x14ac:dyDescent="0.25">
      <c r="A2572" t="s">
        <v>256</v>
      </c>
      <c r="B2572">
        <v>116</v>
      </c>
      <c r="C2572">
        <v>18573791</v>
      </c>
      <c r="D2572" t="s">
        <v>4096</v>
      </c>
      <c r="E2572" t="s">
        <v>13</v>
      </c>
      <c r="F2572" t="s">
        <v>14</v>
      </c>
      <c r="G2572">
        <v>55000000</v>
      </c>
      <c r="H2572">
        <v>5.8</v>
      </c>
      <c r="I2572" t="s">
        <v>34</v>
      </c>
      <c r="J2572" t="s">
        <v>31</v>
      </c>
      <c r="K2572" t="s">
        <v>41</v>
      </c>
      <c r="L2572" t="s">
        <v>24</v>
      </c>
    </row>
    <row r="2573" spans="1:12" x14ac:dyDescent="0.25">
      <c r="A2573" t="s">
        <v>1763</v>
      </c>
      <c r="B2573">
        <v>97</v>
      </c>
      <c r="C2573">
        <v>18535191</v>
      </c>
      <c r="D2573" t="s">
        <v>4097</v>
      </c>
      <c r="E2573" t="s">
        <v>13</v>
      </c>
      <c r="F2573" t="s">
        <v>82</v>
      </c>
      <c r="G2573">
        <v>14000000</v>
      </c>
      <c r="H2573">
        <v>6.9</v>
      </c>
      <c r="I2573" t="s">
        <v>15</v>
      </c>
      <c r="J2573" t="s">
        <v>19</v>
      </c>
    </row>
    <row r="2574" spans="1:12" x14ac:dyDescent="0.25">
      <c r="A2574" t="s">
        <v>4098</v>
      </c>
      <c r="B2574">
        <v>94</v>
      </c>
      <c r="C2574">
        <v>18500966</v>
      </c>
      <c r="D2574" t="s">
        <v>4099</v>
      </c>
      <c r="E2574" t="s">
        <v>13</v>
      </c>
      <c r="F2574" t="s">
        <v>14</v>
      </c>
      <c r="G2574">
        <v>30000000</v>
      </c>
      <c r="H2574">
        <v>4.4000000000000004</v>
      </c>
      <c r="I2574" t="s">
        <v>34</v>
      </c>
      <c r="J2574" t="s">
        <v>22</v>
      </c>
      <c r="K2574" t="s">
        <v>37</v>
      </c>
      <c r="L2574" t="s">
        <v>24</v>
      </c>
    </row>
    <row r="2575" spans="1:12" x14ac:dyDescent="0.25">
      <c r="A2575" t="s">
        <v>421</v>
      </c>
      <c r="B2575">
        <v>100</v>
      </c>
      <c r="C2575">
        <v>18488314</v>
      </c>
      <c r="D2575" t="s">
        <v>4100</v>
      </c>
      <c r="E2575" t="s">
        <v>13</v>
      </c>
      <c r="F2575" t="s">
        <v>14</v>
      </c>
      <c r="G2575">
        <v>1200000</v>
      </c>
      <c r="H2575">
        <v>7.1</v>
      </c>
      <c r="I2575" t="s">
        <v>15</v>
      </c>
      <c r="J2575" t="s">
        <v>38</v>
      </c>
      <c r="K2575" t="s">
        <v>23</v>
      </c>
    </row>
    <row r="2576" spans="1:12" x14ac:dyDescent="0.25">
      <c r="A2576" t="s">
        <v>1722</v>
      </c>
      <c r="B2576">
        <v>110</v>
      </c>
      <c r="C2576">
        <v>18472363</v>
      </c>
      <c r="D2576" t="s">
        <v>4101</v>
      </c>
      <c r="E2576" t="s">
        <v>13</v>
      </c>
      <c r="F2576" t="s">
        <v>14</v>
      </c>
      <c r="G2576">
        <v>50000000</v>
      </c>
      <c r="H2576">
        <v>5.8</v>
      </c>
      <c r="I2576" t="s">
        <v>34</v>
      </c>
      <c r="J2576" t="s">
        <v>28</v>
      </c>
      <c r="K2576" t="s">
        <v>38</v>
      </c>
      <c r="L2576" t="s">
        <v>24</v>
      </c>
    </row>
    <row r="2577" spans="1:13" x14ac:dyDescent="0.25">
      <c r="A2577" t="s">
        <v>4102</v>
      </c>
      <c r="B2577">
        <v>100</v>
      </c>
      <c r="C2577">
        <v>18439082</v>
      </c>
      <c r="D2577" t="s">
        <v>4103</v>
      </c>
      <c r="E2577" t="s">
        <v>13</v>
      </c>
      <c r="F2577" t="s">
        <v>14</v>
      </c>
      <c r="G2577">
        <v>18500000</v>
      </c>
      <c r="H2577">
        <v>6.4</v>
      </c>
      <c r="I2577" t="s">
        <v>15</v>
      </c>
      <c r="J2577" t="s">
        <v>17</v>
      </c>
      <c r="K2577" t="s">
        <v>19</v>
      </c>
    </row>
    <row r="2578" spans="1:13" x14ac:dyDescent="0.25">
      <c r="A2578" t="s">
        <v>799</v>
      </c>
      <c r="B2578">
        <v>91</v>
      </c>
      <c r="C2578">
        <v>18438149</v>
      </c>
      <c r="D2578" t="s">
        <v>4104</v>
      </c>
      <c r="E2578" t="s">
        <v>13</v>
      </c>
      <c r="F2578" t="s">
        <v>14</v>
      </c>
      <c r="G2578">
        <v>40000000</v>
      </c>
      <c r="H2578">
        <v>5.9</v>
      </c>
      <c r="I2578" t="s">
        <v>15</v>
      </c>
      <c r="J2578" t="s">
        <v>31</v>
      </c>
    </row>
    <row r="2579" spans="1:13" x14ac:dyDescent="0.25">
      <c r="A2579" t="s">
        <v>4105</v>
      </c>
      <c r="B2579">
        <v>98</v>
      </c>
      <c r="C2579">
        <v>18381787</v>
      </c>
      <c r="D2579" t="s">
        <v>4106</v>
      </c>
      <c r="E2579" t="s">
        <v>13</v>
      </c>
      <c r="F2579" t="s">
        <v>82</v>
      </c>
      <c r="G2579">
        <v>11000000</v>
      </c>
      <c r="H2579">
        <v>6.8</v>
      </c>
      <c r="I2579" t="s">
        <v>15</v>
      </c>
      <c r="J2579" t="s">
        <v>31</v>
      </c>
    </row>
    <row r="2580" spans="1:13" x14ac:dyDescent="0.25">
      <c r="A2580" t="s">
        <v>4023</v>
      </c>
      <c r="B2580">
        <v>148</v>
      </c>
      <c r="C2580">
        <v>18352454</v>
      </c>
      <c r="D2580" t="s">
        <v>4107</v>
      </c>
      <c r="E2580" t="s">
        <v>13</v>
      </c>
      <c r="F2580" t="s">
        <v>14</v>
      </c>
      <c r="G2580">
        <v>15000000</v>
      </c>
      <c r="H2580">
        <v>8.1999999999999993</v>
      </c>
      <c r="I2580" t="s">
        <v>28</v>
      </c>
      <c r="J2580" t="s">
        <v>42</v>
      </c>
      <c r="K2580" t="s">
        <v>31</v>
      </c>
    </row>
    <row r="2581" spans="1:13" x14ac:dyDescent="0.25">
      <c r="A2581" t="s">
        <v>2840</v>
      </c>
      <c r="B2581">
        <v>94</v>
      </c>
      <c r="C2581">
        <v>18329466</v>
      </c>
      <c r="D2581" t="s">
        <v>4108</v>
      </c>
      <c r="E2581" t="s">
        <v>13</v>
      </c>
      <c r="F2581" t="s">
        <v>14</v>
      </c>
      <c r="G2581">
        <v>18000000</v>
      </c>
      <c r="H2581">
        <v>7.6</v>
      </c>
      <c r="I2581" t="s">
        <v>28</v>
      </c>
      <c r="J2581" t="s">
        <v>42</v>
      </c>
      <c r="K2581" t="s">
        <v>31</v>
      </c>
      <c r="L2581" t="s">
        <v>24</v>
      </c>
    </row>
    <row r="2582" spans="1:13" x14ac:dyDescent="0.25">
      <c r="A2582" t="s">
        <v>2866</v>
      </c>
      <c r="B2582">
        <v>126</v>
      </c>
      <c r="C2582">
        <v>18324242</v>
      </c>
      <c r="D2582" t="s">
        <v>4109</v>
      </c>
      <c r="E2582" t="s">
        <v>13</v>
      </c>
      <c r="F2582" t="s">
        <v>14</v>
      </c>
      <c r="G2582">
        <v>35000000</v>
      </c>
      <c r="H2582">
        <v>7.3</v>
      </c>
      <c r="I2582" t="s">
        <v>31</v>
      </c>
    </row>
    <row r="2583" spans="1:13" x14ac:dyDescent="0.25">
      <c r="A2583" t="s">
        <v>2099</v>
      </c>
      <c r="B2583">
        <v>97</v>
      </c>
      <c r="C2583">
        <v>18318000</v>
      </c>
      <c r="D2583" t="s">
        <v>4110</v>
      </c>
      <c r="E2583" t="s">
        <v>13</v>
      </c>
      <c r="F2583" t="s">
        <v>45</v>
      </c>
      <c r="G2583">
        <v>80000000</v>
      </c>
      <c r="H2583">
        <v>5.8</v>
      </c>
      <c r="I2583" t="s">
        <v>28</v>
      </c>
      <c r="J2583" t="s">
        <v>15</v>
      </c>
      <c r="K2583" t="s">
        <v>31</v>
      </c>
      <c r="L2583" t="s">
        <v>16</v>
      </c>
      <c r="M2583" t="s">
        <v>17</v>
      </c>
    </row>
    <row r="2584" spans="1:13" x14ac:dyDescent="0.25">
      <c r="A2584" t="s">
        <v>175</v>
      </c>
      <c r="B2584">
        <v>120</v>
      </c>
      <c r="C2584">
        <v>18317151</v>
      </c>
      <c r="D2584" t="s">
        <v>4111</v>
      </c>
      <c r="E2584" t="s">
        <v>13</v>
      </c>
      <c r="F2584" t="s">
        <v>14</v>
      </c>
      <c r="G2584">
        <v>35000000</v>
      </c>
      <c r="H2584">
        <v>6.7</v>
      </c>
      <c r="I2584" t="s">
        <v>15</v>
      </c>
      <c r="J2584" t="s">
        <v>18</v>
      </c>
    </row>
    <row r="2585" spans="1:13" x14ac:dyDescent="0.25">
      <c r="A2585" t="s">
        <v>3507</v>
      </c>
      <c r="B2585">
        <v>125</v>
      </c>
      <c r="C2585">
        <v>18306166</v>
      </c>
      <c r="D2585" t="s">
        <v>4112</v>
      </c>
      <c r="E2585" t="s">
        <v>13</v>
      </c>
      <c r="F2585" t="s">
        <v>82</v>
      </c>
      <c r="G2585">
        <v>35000000</v>
      </c>
      <c r="H2585">
        <v>6.5</v>
      </c>
      <c r="I2585" t="s">
        <v>28</v>
      </c>
      <c r="J2585" t="s">
        <v>31</v>
      </c>
      <c r="K2585" t="s">
        <v>19</v>
      </c>
      <c r="L2585" t="s">
        <v>83</v>
      </c>
    </row>
    <row r="2586" spans="1:13" x14ac:dyDescent="0.25">
      <c r="A2586" t="s">
        <v>3182</v>
      </c>
      <c r="B2586">
        <v>106</v>
      </c>
      <c r="C2586">
        <v>18298649</v>
      </c>
      <c r="D2586" t="s">
        <v>4113</v>
      </c>
      <c r="E2586" t="s">
        <v>13</v>
      </c>
      <c r="F2586" t="s">
        <v>14</v>
      </c>
      <c r="G2586">
        <v>30000000</v>
      </c>
      <c r="H2586">
        <v>6.4</v>
      </c>
      <c r="I2586" t="s">
        <v>15</v>
      </c>
      <c r="J2586" t="s">
        <v>22</v>
      </c>
    </row>
    <row r="2587" spans="1:13" x14ac:dyDescent="0.25">
      <c r="A2587" t="s">
        <v>4114</v>
      </c>
      <c r="B2587">
        <v>123</v>
      </c>
      <c r="C2587">
        <v>18272447</v>
      </c>
      <c r="D2587" t="s">
        <v>4115</v>
      </c>
      <c r="E2587" t="s">
        <v>13</v>
      </c>
      <c r="F2587" t="s">
        <v>14</v>
      </c>
      <c r="G2587">
        <v>10000000</v>
      </c>
      <c r="H2587">
        <v>5.9</v>
      </c>
      <c r="I2587" t="s">
        <v>31</v>
      </c>
      <c r="J2587" t="s">
        <v>24</v>
      </c>
    </row>
    <row r="2588" spans="1:13" x14ac:dyDescent="0.25">
      <c r="A2588" t="s">
        <v>4116</v>
      </c>
      <c r="B2588">
        <v>114</v>
      </c>
      <c r="C2588">
        <v>18252684</v>
      </c>
      <c r="D2588" t="s">
        <v>4117</v>
      </c>
      <c r="E2588" t="s">
        <v>13</v>
      </c>
      <c r="F2588" t="s">
        <v>14</v>
      </c>
      <c r="G2588">
        <v>30000000</v>
      </c>
      <c r="H2588">
        <v>6.9</v>
      </c>
      <c r="I2588" t="s">
        <v>15</v>
      </c>
      <c r="J2588" t="s">
        <v>31</v>
      </c>
      <c r="K2588" t="s">
        <v>16</v>
      </c>
    </row>
    <row r="2589" spans="1:13" x14ac:dyDescent="0.25">
      <c r="A2589" t="s">
        <v>2800</v>
      </c>
      <c r="B2589">
        <v>88</v>
      </c>
      <c r="C2589">
        <v>18225165</v>
      </c>
      <c r="D2589" t="s">
        <v>4118</v>
      </c>
      <c r="E2589" t="s">
        <v>13</v>
      </c>
      <c r="F2589" t="s">
        <v>14</v>
      </c>
      <c r="G2589">
        <v>9000000</v>
      </c>
      <c r="H2589">
        <v>7.1</v>
      </c>
      <c r="I2589" t="s">
        <v>28</v>
      </c>
      <c r="J2589" t="s">
        <v>15</v>
      </c>
    </row>
    <row r="2590" spans="1:13" x14ac:dyDescent="0.25">
      <c r="A2590" t="s">
        <v>4119</v>
      </c>
      <c r="B2590">
        <v>131</v>
      </c>
      <c r="C2590">
        <v>18208078</v>
      </c>
      <c r="D2590" t="s">
        <v>4120</v>
      </c>
      <c r="E2590" t="s">
        <v>13</v>
      </c>
      <c r="F2590" t="s">
        <v>14</v>
      </c>
      <c r="G2590">
        <v>60000000</v>
      </c>
      <c r="H2590">
        <v>6.9</v>
      </c>
      <c r="I2590" t="s">
        <v>34</v>
      </c>
      <c r="J2590" t="s">
        <v>31</v>
      </c>
      <c r="K2590" t="s">
        <v>24</v>
      </c>
    </row>
    <row r="2591" spans="1:13" x14ac:dyDescent="0.25">
      <c r="A2591" t="s">
        <v>4121</v>
      </c>
      <c r="B2591">
        <v>86</v>
      </c>
      <c r="C2591">
        <v>18112929</v>
      </c>
      <c r="D2591" t="s">
        <v>4122</v>
      </c>
      <c r="E2591" t="s">
        <v>13</v>
      </c>
      <c r="F2591" t="s">
        <v>14</v>
      </c>
      <c r="G2591">
        <v>1000000</v>
      </c>
      <c r="H2591">
        <v>5</v>
      </c>
      <c r="I2591" t="s">
        <v>22</v>
      </c>
      <c r="J2591" t="s">
        <v>23</v>
      </c>
      <c r="K2591" t="s">
        <v>37</v>
      </c>
      <c r="L2591" t="s">
        <v>24</v>
      </c>
    </row>
    <row r="2592" spans="1:13" x14ac:dyDescent="0.25">
      <c r="A2592" t="s">
        <v>121</v>
      </c>
      <c r="B2592">
        <v>107</v>
      </c>
      <c r="C2592">
        <v>18090181</v>
      </c>
      <c r="D2592" t="s">
        <v>4123</v>
      </c>
      <c r="E2592" t="s">
        <v>13</v>
      </c>
      <c r="F2592" t="s">
        <v>14</v>
      </c>
      <c r="G2592">
        <v>8000000</v>
      </c>
      <c r="H2592">
        <v>6.4</v>
      </c>
      <c r="I2592" t="s">
        <v>17</v>
      </c>
      <c r="J2592" t="s">
        <v>22</v>
      </c>
      <c r="K2592" t="s">
        <v>23</v>
      </c>
      <c r="L2592" t="s">
        <v>24</v>
      </c>
    </row>
    <row r="2593" spans="1:12" x14ac:dyDescent="0.25">
      <c r="A2593" t="s">
        <v>4124</v>
      </c>
      <c r="B2593">
        <v>68</v>
      </c>
      <c r="C2593">
        <v>18081626</v>
      </c>
      <c r="D2593" t="s">
        <v>4125</v>
      </c>
      <c r="E2593" t="s">
        <v>13</v>
      </c>
      <c r="F2593" t="s">
        <v>14</v>
      </c>
      <c r="G2593">
        <v>20000000</v>
      </c>
      <c r="H2593">
        <v>6.4</v>
      </c>
      <c r="I2593" t="s">
        <v>46</v>
      </c>
      <c r="J2593" t="s">
        <v>16</v>
      </c>
      <c r="K2593" t="s">
        <v>17</v>
      </c>
      <c r="L2593" t="s">
        <v>23</v>
      </c>
    </row>
    <row r="2594" spans="1:12" x14ac:dyDescent="0.25">
      <c r="A2594" t="s">
        <v>141</v>
      </c>
      <c r="B2594">
        <v>107</v>
      </c>
      <c r="C2594">
        <v>18004225</v>
      </c>
      <c r="D2594" t="s">
        <v>4126</v>
      </c>
      <c r="E2594" t="s">
        <v>13</v>
      </c>
      <c r="F2594" t="s">
        <v>14</v>
      </c>
      <c r="G2594">
        <v>13000000</v>
      </c>
      <c r="H2594">
        <v>5.7</v>
      </c>
      <c r="I2594" t="s">
        <v>15</v>
      </c>
      <c r="J2594" t="s">
        <v>31</v>
      </c>
      <c r="K2594" t="s">
        <v>19</v>
      </c>
    </row>
    <row r="2595" spans="1:12" x14ac:dyDescent="0.25">
      <c r="A2595" t="s">
        <v>1014</v>
      </c>
      <c r="B2595">
        <v>91</v>
      </c>
      <c r="C2595">
        <v>17986000</v>
      </c>
      <c r="D2595" t="s">
        <v>4127</v>
      </c>
      <c r="E2595" t="s">
        <v>13</v>
      </c>
      <c r="F2595" t="s">
        <v>14</v>
      </c>
      <c r="G2595">
        <v>1000000</v>
      </c>
      <c r="H2595">
        <v>6.6</v>
      </c>
      <c r="I2595" t="s">
        <v>22</v>
      </c>
    </row>
    <row r="2596" spans="1:12" x14ac:dyDescent="0.25">
      <c r="A2596" t="s">
        <v>4128</v>
      </c>
      <c r="B2596">
        <v>106</v>
      </c>
      <c r="C2596">
        <v>17951431</v>
      </c>
      <c r="D2596" t="s">
        <v>4129</v>
      </c>
      <c r="E2596" t="s">
        <v>13</v>
      </c>
      <c r="F2596" t="s">
        <v>14</v>
      </c>
      <c r="G2596">
        <v>30000000</v>
      </c>
      <c r="H2596">
        <v>5.8</v>
      </c>
      <c r="I2596" t="s">
        <v>38</v>
      </c>
      <c r="J2596" t="s">
        <v>31</v>
      </c>
      <c r="K2596" t="s">
        <v>23</v>
      </c>
      <c r="L2596" t="s">
        <v>24</v>
      </c>
    </row>
    <row r="2597" spans="1:12" x14ac:dyDescent="0.25">
      <c r="A2597" t="s">
        <v>3585</v>
      </c>
      <c r="B2597">
        <v>90</v>
      </c>
      <c r="C2597">
        <v>17848322</v>
      </c>
      <c r="D2597" t="s">
        <v>4130</v>
      </c>
      <c r="E2597" t="s">
        <v>13</v>
      </c>
      <c r="F2597" t="s">
        <v>1465</v>
      </c>
      <c r="G2597">
        <v>28000000</v>
      </c>
      <c r="H2597">
        <v>5.9</v>
      </c>
      <c r="I2597" t="s">
        <v>15</v>
      </c>
      <c r="J2597" t="s">
        <v>19</v>
      </c>
    </row>
    <row r="2598" spans="1:12" x14ac:dyDescent="0.25">
      <c r="A2598" t="s">
        <v>1094</v>
      </c>
      <c r="B2598">
        <v>91</v>
      </c>
      <c r="C2598">
        <v>17843379</v>
      </c>
      <c r="D2598" t="s">
        <v>4131</v>
      </c>
      <c r="E2598" t="s">
        <v>13</v>
      </c>
      <c r="F2598" t="s">
        <v>14</v>
      </c>
      <c r="G2598">
        <v>8000000</v>
      </c>
      <c r="H2598">
        <v>5.7</v>
      </c>
      <c r="I2598" t="s">
        <v>15</v>
      </c>
      <c r="J2598" t="s">
        <v>31</v>
      </c>
      <c r="K2598" t="s">
        <v>19</v>
      </c>
    </row>
    <row r="2599" spans="1:12" x14ac:dyDescent="0.25">
      <c r="A2599" t="s">
        <v>4119</v>
      </c>
      <c r="B2599">
        <v>126</v>
      </c>
      <c r="C2599">
        <v>17804273</v>
      </c>
      <c r="D2599" t="s">
        <v>4132</v>
      </c>
      <c r="E2599" t="s">
        <v>13</v>
      </c>
      <c r="F2599" t="s">
        <v>14</v>
      </c>
      <c r="G2599">
        <v>20000000</v>
      </c>
      <c r="H2599">
        <v>7</v>
      </c>
      <c r="I2599" t="s">
        <v>31</v>
      </c>
      <c r="J2599" t="s">
        <v>24</v>
      </c>
    </row>
    <row r="2600" spans="1:12" x14ac:dyDescent="0.25">
      <c r="A2600" t="s">
        <v>170</v>
      </c>
      <c r="B2600">
        <v>108</v>
      </c>
      <c r="C2600">
        <v>17803796</v>
      </c>
      <c r="D2600" t="s">
        <v>4133</v>
      </c>
      <c r="E2600" t="s">
        <v>13</v>
      </c>
      <c r="F2600" t="s">
        <v>14</v>
      </c>
      <c r="G2600">
        <v>20000000</v>
      </c>
      <c r="H2600">
        <v>5.9</v>
      </c>
      <c r="I2600" t="s">
        <v>15</v>
      </c>
    </row>
    <row r="2601" spans="1:12" x14ac:dyDescent="0.25">
      <c r="A2601" t="s">
        <v>4134</v>
      </c>
      <c r="B2601">
        <v>102</v>
      </c>
      <c r="C2601">
        <v>17797316</v>
      </c>
      <c r="D2601" t="s">
        <v>4135</v>
      </c>
      <c r="E2601" t="s">
        <v>13</v>
      </c>
      <c r="F2601" t="s">
        <v>14</v>
      </c>
      <c r="G2601">
        <v>32000000</v>
      </c>
      <c r="H2601">
        <v>6.3</v>
      </c>
      <c r="I2601" t="s">
        <v>15</v>
      </c>
      <c r="J2601" t="s">
        <v>19</v>
      </c>
    </row>
    <row r="2602" spans="1:12" x14ac:dyDescent="0.25">
      <c r="A2602" t="s">
        <v>3006</v>
      </c>
      <c r="B2602">
        <v>95</v>
      </c>
      <c r="C2602">
        <v>17791031</v>
      </c>
      <c r="D2602" t="s">
        <v>4136</v>
      </c>
      <c r="E2602" t="s">
        <v>13</v>
      </c>
      <c r="F2602" t="s">
        <v>14</v>
      </c>
      <c r="G2602">
        <v>25000000</v>
      </c>
      <c r="H2602">
        <v>7.3</v>
      </c>
      <c r="I2602" t="s">
        <v>15</v>
      </c>
      <c r="J2602" t="s">
        <v>31</v>
      </c>
      <c r="K2602" t="s">
        <v>19</v>
      </c>
      <c r="L2602" t="s">
        <v>24</v>
      </c>
    </row>
    <row r="2603" spans="1:12" x14ac:dyDescent="0.25">
      <c r="A2603" t="s">
        <v>3432</v>
      </c>
      <c r="B2603">
        <v>88</v>
      </c>
      <c r="C2603">
        <v>17768000</v>
      </c>
      <c r="D2603" t="s">
        <v>4137</v>
      </c>
      <c r="E2603" t="s">
        <v>13</v>
      </c>
      <c r="F2603" t="s">
        <v>14</v>
      </c>
      <c r="G2603">
        <v>5000000</v>
      </c>
      <c r="H2603">
        <v>5.9</v>
      </c>
      <c r="I2603" t="s">
        <v>22</v>
      </c>
      <c r="J2603" t="s">
        <v>24</v>
      </c>
    </row>
    <row r="2604" spans="1:12" x14ac:dyDescent="0.25">
      <c r="A2604" t="s">
        <v>4138</v>
      </c>
      <c r="B2604">
        <v>104</v>
      </c>
      <c r="C2604">
        <v>17757087</v>
      </c>
      <c r="D2604" t="s">
        <v>4139</v>
      </c>
      <c r="E2604" t="s">
        <v>13</v>
      </c>
      <c r="F2604" t="s">
        <v>14</v>
      </c>
      <c r="G2604">
        <v>21000000</v>
      </c>
      <c r="H2604">
        <v>4.5999999999999996</v>
      </c>
      <c r="I2604" t="s">
        <v>22</v>
      </c>
      <c r="J2604" t="s">
        <v>37</v>
      </c>
      <c r="K2604" t="s">
        <v>24</v>
      </c>
    </row>
    <row r="2605" spans="1:12" x14ac:dyDescent="0.25">
      <c r="A2605" t="s">
        <v>2840</v>
      </c>
      <c r="B2605">
        <v>122</v>
      </c>
      <c r="C2605">
        <v>17750583</v>
      </c>
      <c r="D2605" t="s">
        <v>4140</v>
      </c>
      <c r="E2605" t="s">
        <v>13</v>
      </c>
      <c r="F2605" t="s">
        <v>82</v>
      </c>
      <c r="G2605">
        <v>30000000</v>
      </c>
      <c r="H2605">
        <v>7.2</v>
      </c>
      <c r="I2605" t="s">
        <v>42</v>
      </c>
      <c r="J2605" t="s">
        <v>31</v>
      </c>
    </row>
    <row r="2606" spans="1:12" x14ac:dyDescent="0.25">
      <c r="A2606" t="s">
        <v>4141</v>
      </c>
      <c r="B2606">
        <v>102</v>
      </c>
      <c r="C2606">
        <v>17738570</v>
      </c>
      <c r="D2606" t="s">
        <v>4142</v>
      </c>
      <c r="E2606" t="s">
        <v>13</v>
      </c>
      <c r="F2606" t="s">
        <v>14</v>
      </c>
      <c r="G2606">
        <v>13000000</v>
      </c>
      <c r="H2606">
        <v>8</v>
      </c>
      <c r="I2606" t="s">
        <v>31</v>
      </c>
      <c r="J2606" t="s">
        <v>19</v>
      </c>
    </row>
    <row r="2607" spans="1:12" x14ac:dyDescent="0.25">
      <c r="A2607" t="s">
        <v>4143</v>
      </c>
      <c r="B2607">
        <v>93</v>
      </c>
      <c r="C2607">
        <v>17718223</v>
      </c>
      <c r="D2607" t="s">
        <v>4144</v>
      </c>
      <c r="E2607" t="s">
        <v>13</v>
      </c>
      <c r="F2607" t="s">
        <v>14</v>
      </c>
      <c r="G2607">
        <v>25000000</v>
      </c>
      <c r="H2607">
        <v>6.6</v>
      </c>
      <c r="I2607" t="s">
        <v>15</v>
      </c>
    </row>
    <row r="2608" spans="1:12" x14ac:dyDescent="0.25">
      <c r="A2608" t="s">
        <v>4145</v>
      </c>
      <c r="B2608">
        <v>86</v>
      </c>
      <c r="C2608">
        <v>17683670</v>
      </c>
      <c r="D2608" t="s">
        <v>4146</v>
      </c>
      <c r="E2608" t="s">
        <v>13</v>
      </c>
      <c r="F2608" t="s">
        <v>14</v>
      </c>
      <c r="G2608">
        <v>5000000</v>
      </c>
      <c r="H2608">
        <v>5.2</v>
      </c>
      <c r="I2608" t="s">
        <v>22</v>
      </c>
      <c r="J2608" t="s">
        <v>23</v>
      </c>
      <c r="K2608" t="s">
        <v>37</v>
      </c>
      <c r="L2608" t="s">
        <v>24</v>
      </c>
    </row>
    <row r="2609" spans="1:13" x14ac:dyDescent="0.25">
      <c r="A2609" t="s">
        <v>4147</v>
      </c>
      <c r="B2609">
        <v>101</v>
      </c>
      <c r="C2609">
        <v>17655201</v>
      </c>
      <c r="D2609" t="s">
        <v>4148</v>
      </c>
      <c r="E2609" t="s">
        <v>13</v>
      </c>
      <c r="F2609" t="s">
        <v>14</v>
      </c>
      <c r="G2609">
        <v>10000000</v>
      </c>
      <c r="H2609">
        <v>6.7</v>
      </c>
      <c r="I2609" t="s">
        <v>31</v>
      </c>
      <c r="J2609" t="s">
        <v>16</v>
      </c>
    </row>
    <row r="2610" spans="1:13" x14ac:dyDescent="0.25">
      <c r="A2610" t="s">
        <v>375</v>
      </c>
      <c r="B2610">
        <v>115</v>
      </c>
      <c r="C2610">
        <v>17613460</v>
      </c>
      <c r="D2610" t="s">
        <v>4149</v>
      </c>
      <c r="E2610" t="s">
        <v>13</v>
      </c>
      <c r="F2610" t="s">
        <v>14</v>
      </c>
      <c r="G2610">
        <v>12000000</v>
      </c>
      <c r="H2610">
        <v>7.8</v>
      </c>
      <c r="I2610" t="s">
        <v>28</v>
      </c>
      <c r="J2610" t="s">
        <v>15</v>
      </c>
      <c r="K2610" t="s">
        <v>31</v>
      </c>
    </row>
    <row r="2611" spans="1:13" x14ac:dyDescent="0.25">
      <c r="A2611" t="s">
        <v>525</v>
      </c>
      <c r="B2611">
        <v>118</v>
      </c>
      <c r="C2611">
        <v>17609982</v>
      </c>
      <c r="D2611" t="s">
        <v>4150</v>
      </c>
      <c r="E2611" t="s">
        <v>13</v>
      </c>
      <c r="F2611" t="s">
        <v>14</v>
      </c>
      <c r="G2611">
        <v>35000000</v>
      </c>
      <c r="H2611">
        <v>6.2</v>
      </c>
      <c r="I2611" t="s">
        <v>34</v>
      </c>
      <c r="J2611" t="s">
        <v>38</v>
      </c>
      <c r="K2611" t="s">
        <v>19</v>
      </c>
      <c r="L2611" t="s">
        <v>24</v>
      </c>
    </row>
    <row r="2612" spans="1:13" x14ac:dyDescent="0.25">
      <c r="A2612" t="s">
        <v>3166</v>
      </c>
      <c r="B2612">
        <v>121</v>
      </c>
      <c r="C2612">
        <v>17605861</v>
      </c>
      <c r="D2612" t="s">
        <v>4151</v>
      </c>
      <c r="E2612" t="s">
        <v>13</v>
      </c>
      <c r="F2612" t="s">
        <v>82</v>
      </c>
      <c r="G2612">
        <v>6000000</v>
      </c>
      <c r="H2612">
        <v>7.7</v>
      </c>
      <c r="I2612" t="s">
        <v>42</v>
      </c>
      <c r="J2612" t="s">
        <v>31</v>
      </c>
      <c r="K2612" t="s">
        <v>64</v>
      </c>
      <c r="L2612" t="s">
        <v>24</v>
      </c>
    </row>
    <row r="2613" spans="1:13" x14ac:dyDescent="0.25">
      <c r="A2613" t="s">
        <v>3089</v>
      </c>
      <c r="B2613">
        <v>92</v>
      </c>
      <c r="C2613">
        <v>17596256</v>
      </c>
      <c r="D2613" t="s">
        <v>4152</v>
      </c>
      <c r="E2613" t="s">
        <v>13</v>
      </c>
      <c r="F2613" t="s">
        <v>14</v>
      </c>
      <c r="G2613">
        <v>35000000</v>
      </c>
      <c r="H2613">
        <v>3.8</v>
      </c>
      <c r="I2613" t="s">
        <v>15</v>
      </c>
      <c r="J2613" t="s">
        <v>16</v>
      </c>
    </row>
    <row r="2614" spans="1:13" x14ac:dyDescent="0.25">
      <c r="A2614" t="s">
        <v>873</v>
      </c>
      <c r="B2614">
        <v>177</v>
      </c>
      <c r="C2614">
        <v>17593391</v>
      </c>
      <c r="D2614" t="s">
        <v>4153</v>
      </c>
      <c r="E2614" t="s">
        <v>13</v>
      </c>
      <c r="F2614" t="s">
        <v>14</v>
      </c>
      <c r="G2614">
        <v>80000000</v>
      </c>
      <c r="H2614">
        <v>6</v>
      </c>
      <c r="I2614" t="s">
        <v>34</v>
      </c>
      <c r="J2614" t="s">
        <v>28</v>
      </c>
      <c r="K2614" t="s">
        <v>31</v>
      </c>
      <c r="L2614" t="s">
        <v>37</v>
      </c>
    </row>
    <row r="2615" spans="1:13" x14ac:dyDescent="0.25">
      <c r="A2615" t="s">
        <v>2782</v>
      </c>
      <c r="B2615">
        <v>94</v>
      </c>
      <c r="C2615">
        <v>17544812</v>
      </c>
      <c r="D2615" t="s">
        <v>4154</v>
      </c>
      <c r="E2615" t="s">
        <v>13</v>
      </c>
      <c r="F2615" t="s">
        <v>14</v>
      </c>
      <c r="G2615">
        <v>10000000</v>
      </c>
      <c r="H2615">
        <v>5.4</v>
      </c>
      <c r="I2615" t="s">
        <v>22</v>
      </c>
    </row>
    <row r="2616" spans="1:13" x14ac:dyDescent="0.25">
      <c r="A2616" t="s">
        <v>4155</v>
      </c>
      <c r="B2616">
        <v>93</v>
      </c>
      <c r="C2616">
        <v>17536788</v>
      </c>
      <c r="D2616" t="s">
        <v>4156</v>
      </c>
      <c r="E2616" t="s">
        <v>13</v>
      </c>
      <c r="F2616" t="s">
        <v>14</v>
      </c>
      <c r="G2616">
        <v>8000000</v>
      </c>
      <c r="H2616">
        <v>7.1</v>
      </c>
      <c r="I2616" t="s">
        <v>15</v>
      </c>
      <c r="J2616" t="s">
        <v>31</v>
      </c>
      <c r="K2616" t="s">
        <v>19</v>
      </c>
    </row>
    <row r="2617" spans="1:13" x14ac:dyDescent="0.25">
      <c r="A2617" t="s">
        <v>4157</v>
      </c>
      <c r="B2617">
        <v>95</v>
      </c>
      <c r="C2617">
        <v>17529157</v>
      </c>
      <c r="D2617" t="s">
        <v>4158</v>
      </c>
      <c r="E2617" t="s">
        <v>13</v>
      </c>
      <c r="F2617" t="s">
        <v>295</v>
      </c>
      <c r="G2617">
        <v>20000000</v>
      </c>
      <c r="H2617">
        <v>5</v>
      </c>
      <c r="I2617" t="s">
        <v>28</v>
      </c>
      <c r="J2617" t="s">
        <v>31</v>
      </c>
      <c r="K2617" t="s">
        <v>22</v>
      </c>
      <c r="L2617" t="s">
        <v>23</v>
      </c>
      <c r="M2617" t="s">
        <v>24</v>
      </c>
    </row>
    <row r="2618" spans="1:13" x14ac:dyDescent="0.25">
      <c r="A2618" t="s">
        <v>2984</v>
      </c>
      <c r="B2618">
        <v>103</v>
      </c>
      <c r="C2618">
        <v>17518220</v>
      </c>
      <c r="D2618" t="s">
        <v>4159</v>
      </c>
      <c r="E2618" t="s">
        <v>13</v>
      </c>
      <c r="F2618" t="s">
        <v>14</v>
      </c>
      <c r="G2618">
        <v>20000000</v>
      </c>
      <c r="H2618">
        <v>6.6</v>
      </c>
      <c r="I2618" t="s">
        <v>15</v>
      </c>
      <c r="J2618" t="s">
        <v>31</v>
      </c>
      <c r="K2618" t="s">
        <v>19</v>
      </c>
    </row>
    <row r="2619" spans="1:13" x14ac:dyDescent="0.25">
      <c r="A2619" t="s">
        <v>4090</v>
      </c>
      <c r="B2619">
        <v>91</v>
      </c>
      <c r="C2619">
        <v>17508936</v>
      </c>
      <c r="D2619" t="s">
        <v>4160</v>
      </c>
      <c r="E2619" t="s">
        <v>13</v>
      </c>
      <c r="F2619" t="s">
        <v>14</v>
      </c>
      <c r="G2619">
        <v>39751583.5</v>
      </c>
      <c r="H2619">
        <v>7.3</v>
      </c>
      <c r="I2619" t="s">
        <v>15</v>
      </c>
      <c r="J2619" t="s">
        <v>18</v>
      </c>
    </row>
    <row r="2620" spans="1:13" x14ac:dyDescent="0.25">
      <c r="A2620" t="s">
        <v>4161</v>
      </c>
      <c r="B2620">
        <v>92</v>
      </c>
      <c r="C2620">
        <v>17508670</v>
      </c>
      <c r="D2620" t="s">
        <v>4162</v>
      </c>
      <c r="E2620" t="s">
        <v>13</v>
      </c>
      <c r="F2620" t="s">
        <v>82</v>
      </c>
      <c r="G2620">
        <v>15000000</v>
      </c>
      <c r="H2620">
        <v>7.4</v>
      </c>
      <c r="I2620" t="s">
        <v>38</v>
      </c>
      <c r="J2620" t="s">
        <v>31</v>
      </c>
      <c r="K2620" t="s">
        <v>19</v>
      </c>
      <c r="L2620" t="s">
        <v>24</v>
      </c>
    </row>
    <row r="2621" spans="1:13" x14ac:dyDescent="0.25">
      <c r="A2621" t="s">
        <v>3610</v>
      </c>
      <c r="B2621">
        <v>103</v>
      </c>
      <c r="C2621">
        <v>17474107</v>
      </c>
      <c r="D2621" t="s">
        <v>4163</v>
      </c>
      <c r="E2621" t="s">
        <v>13</v>
      </c>
      <c r="F2621" t="s">
        <v>14</v>
      </c>
      <c r="G2621">
        <v>7000000</v>
      </c>
      <c r="H2621">
        <v>7.3</v>
      </c>
      <c r="I2621" t="s">
        <v>15</v>
      </c>
      <c r="J2621" t="s">
        <v>38</v>
      </c>
      <c r="K2621" t="s">
        <v>31</v>
      </c>
    </row>
    <row r="2622" spans="1:13" x14ac:dyDescent="0.25">
      <c r="A2622" t="s">
        <v>4164</v>
      </c>
      <c r="B2622">
        <v>106</v>
      </c>
      <c r="C2622">
        <v>17473245</v>
      </c>
      <c r="D2622" t="s">
        <v>4165</v>
      </c>
      <c r="E2622" t="s">
        <v>13</v>
      </c>
      <c r="F2622" t="s">
        <v>14</v>
      </c>
      <c r="G2622">
        <v>70000000</v>
      </c>
      <c r="H2622">
        <v>5.7</v>
      </c>
      <c r="I2622" t="s">
        <v>34</v>
      </c>
      <c r="J2622" t="s">
        <v>37</v>
      </c>
      <c r="K2622" t="s">
        <v>24</v>
      </c>
    </row>
    <row r="2623" spans="1:13" x14ac:dyDescent="0.25">
      <c r="A2623" t="s">
        <v>2829</v>
      </c>
      <c r="B2623">
        <v>117</v>
      </c>
      <c r="C2623">
        <v>17439163</v>
      </c>
      <c r="D2623" t="s">
        <v>4166</v>
      </c>
      <c r="E2623" t="s">
        <v>13</v>
      </c>
      <c r="F2623" t="s">
        <v>14</v>
      </c>
      <c r="G2623">
        <v>15000000</v>
      </c>
      <c r="H2623">
        <v>8.1999999999999993</v>
      </c>
      <c r="I2623" t="s">
        <v>15</v>
      </c>
      <c r="J2623" t="s">
        <v>38</v>
      </c>
    </row>
    <row r="2624" spans="1:13" x14ac:dyDescent="0.25">
      <c r="A2624" t="s">
        <v>4167</v>
      </c>
      <c r="B2624">
        <v>93</v>
      </c>
      <c r="C2624">
        <v>17427926</v>
      </c>
      <c r="D2624" t="s">
        <v>4168</v>
      </c>
      <c r="E2624" t="s">
        <v>13</v>
      </c>
      <c r="F2624" t="s">
        <v>14</v>
      </c>
      <c r="G2624">
        <v>8000000</v>
      </c>
      <c r="H2624">
        <v>5.9</v>
      </c>
      <c r="I2624" t="s">
        <v>22</v>
      </c>
    </row>
    <row r="2625" spans="1:12" x14ac:dyDescent="0.25">
      <c r="A2625" t="s">
        <v>4169</v>
      </c>
      <c r="B2625">
        <v>84</v>
      </c>
      <c r="C2625">
        <v>17411331</v>
      </c>
      <c r="D2625" t="s">
        <v>4170</v>
      </c>
      <c r="E2625" t="s">
        <v>13</v>
      </c>
      <c r="F2625" t="s">
        <v>45</v>
      </c>
      <c r="G2625">
        <v>15000000</v>
      </c>
      <c r="H2625">
        <v>5.5</v>
      </c>
      <c r="I2625" t="s">
        <v>22</v>
      </c>
      <c r="J2625" t="s">
        <v>23</v>
      </c>
      <c r="K2625" t="s">
        <v>37</v>
      </c>
      <c r="L2625" t="s">
        <v>24</v>
      </c>
    </row>
    <row r="2626" spans="1:12" x14ac:dyDescent="0.25">
      <c r="A2626" t="s">
        <v>3186</v>
      </c>
      <c r="B2626">
        <v>106</v>
      </c>
      <c r="C2626">
        <v>17382982</v>
      </c>
      <c r="D2626" t="s">
        <v>4171</v>
      </c>
      <c r="E2626" t="s">
        <v>1498</v>
      </c>
      <c r="F2626" t="s">
        <v>14</v>
      </c>
      <c r="G2626">
        <v>5000000</v>
      </c>
      <c r="H2626">
        <v>5.2</v>
      </c>
      <c r="I2626" t="s">
        <v>31</v>
      </c>
      <c r="J2626" t="s">
        <v>24</v>
      </c>
    </row>
    <row r="2627" spans="1:12" x14ac:dyDescent="0.25">
      <c r="A2627" t="s">
        <v>611</v>
      </c>
      <c r="B2627">
        <v>112</v>
      </c>
      <c r="C2627">
        <v>17378977</v>
      </c>
      <c r="D2627" t="s">
        <v>4172</v>
      </c>
      <c r="E2627" t="s">
        <v>13</v>
      </c>
      <c r="F2627" t="s">
        <v>14</v>
      </c>
      <c r="G2627">
        <v>39751583.5</v>
      </c>
      <c r="H2627">
        <v>6</v>
      </c>
      <c r="I2627" t="s">
        <v>15</v>
      </c>
      <c r="J2627" t="s">
        <v>31</v>
      </c>
      <c r="K2627" t="s">
        <v>18</v>
      </c>
      <c r="L2627" t="s">
        <v>19</v>
      </c>
    </row>
    <row r="2628" spans="1:12" x14ac:dyDescent="0.25">
      <c r="A2628" t="s">
        <v>78</v>
      </c>
      <c r="B2628">
        <v>103</v>
      </c>
      <c r="C2628">
        <v>17324744</v>
      </c>
      <c r="D2628" t="s">
        <v>4173</v>
      </c>
      <c r="E2628" t="s">
        <v>13</v>
      </c>
      <c r="F2628" t="s">
        <v>14</v>
      </c>
      <c r="G2628">
        <v>28000000</v>
      </c>
      <c r="H2628">
        <v>5.3</v>
      </c>
      <c r="I2628" t="s">
        <v>15</v>
      </c>
      <c r="J2628" t="s">
        <v>17</v>
      </c>
      <c r="K2628" t="s">
        <v>19</v>
      </c>
    </row>
    <row r="2629" spans="1:12" x14ac:dyDescent="0.25">
      <c r="A2629" t="s">
        <v>4174</v>
      </c>
      <c r="B2629">
        <v>86</v>
      </c>
      <c r="C2629">
        <v>17321573</v>
      </c>
      <c r="D2629" t="s">
        <v>4175</v>
      </c>
      <c r="E2629" t="s">
        <v>13</v>
      </c>
      <c r="F2629" t="s">
        <v>14</v>
      </c>
      <c r="G2629">
        <v>39751583.5</v>
      </c>
      <c r="H2629">
        <v>4.5</v>
      </c>
      <c r="I2629" t="s">
        <v>15</v>
      </c>
    </row>
    <row r="2630" spans="1:12" x14ac:dyDescent="0.25">
      <c r="A2630" t="s">
        <v>3020</v>
      </c>
      <c r="B2630">
        <v>86</v>
      </c>
      <c r="C2630">
        <v>17314483</v>
      </c>
      <c r="D2630" t="s">
        <v>4176</v>
      </c>
      <c r="E2630" t="s">
        <v>13</v>
      </c>
      <c r="F2630" t="s">
        <v>14</v>
      </c>
      <c r="G2630">
        <v>4000000</v>
      </c>
      <c r="H2630">
        <v>4.7</v>
      </c>
      <c r="I2630" t="s">
        <v>15</v>
      </c>
      <c r="J2630" t="s">
        <v>17</v>
      </c>
    </row>
    <row r="2631" spans="1:12" x14ac:dyDescent="0.25">
      <c r="A2631" t="s">
        <v>441</v>
      </c>
      <c r="B2631">
        <v>118</v>
      </c>
      <c r="C2631">
        <v>17305211</v>
      </c>
      <c r="D2631" t="s">
        <v>4177</v>
      </c>
      <c r="E2631" t="s">
        <v>13</v>
      </c>
      <c r="F2631" t="s">
        <v>14</v>
      </c>
      <c r="G2631">
        <v>38000000</v>
      </c>
      <c r="H2631">
        <v>6.1</v>
      </c>
      <c r="I2631" t="s">
        <v>38</v>
      </c>
      <c r="J2631" t="s">
        <v>31</v>
      </c>
      <c r="K2631" t="s">
        <v>23</v>
      </c>
      <c r="L2631" t="s">
        <v>24</v>
      </c>
    </row>
    <row r="2632" spans="1:12" x14ac:dyDescent="0.25">
      <c r="A2632" t="s">
        <v>3711</v>
      </c>
      <c r="B2632">
        <v>100</v>
      </c>
      <c r="C2632">
        <v>17300889</v>
      </c>
      <c r="D2632" t="s">
        <v>4178</v>
      </c>
      <c r="E2632" t="s">
        <v>13</v>
      </c>
      <c r="F2632" t="s">
        <v>45</v>
      </c>
      <c r="G2632">
        <v>45000000</v>
      </c>
      <c r="H2632">
        <v>4.9000000000000004</v>
      </c>
      <c r="I2632" t="s">
        <v>34</v>
      </c>
      <c r="J2632" t="s">
        <v>28</v>
      </c>
      <c r="K2632" t="s">
        <v>15</v>
      </c>
      <c r="L2632" t="s">
        <v>17</v>
      </c>
    </row>
    <row r="2633" spans="1:12" x14ac:dyDescent="0.25">
      <c r="A2633" t="s">
        <v>60</v>
      </c>
      <c r="B2633">
        <v>91</v>
      </c>
      <c r="C2633">
        <v>17292381</v>
      </c>
      <c r="D2633" t="s">
        <v>4179</v>
      </c>
      <c r="E2633" t="s">
        <v>13</v>
      </c>
      <c r="F2633" t="s">
        <v>14</v>
      </c>
      <c r="G2633">
        <v>12000000</v>
      </c>
      <c r="H2633">
        <v>5.3</v>
      </c>
      <c r="I2633" t="s">
        <v>15</v>
      </c>
      <c r="J2633" t="s">
        <v>38</v>
      </c>
      <c r="K2633" t="s">
        <v>16</v>
      </c>
    </row>
    <row r="2634" spans="1:12" x14ac:dyDescent="0.25">
      <c r="A2634" t="s">
        <v>1155</v>
      </c>
      <c r="B2634">
        <v>106</v>
      </c>
      <c r="C2634">
        <v>17281832</v>
      </c>
      <c r="D2634" t="s">
        <v>4180</v>
      </c>
      <c r="E2634" t="s">
        <v>13</v>
      </c>
      <c r="F2634" t="s">
        <v>241</v>
      </c>
      <c r="G2634">
        <v>60000000</v>
      </c>
      <c r="H2634">
        <v>6.1</v>
      </c>
      <c r="I2634" t="s">
        <v>28</v>
      </c>
      <c r="J2634" t="s">
        <v>16</v>
      </c>
      <c r="K2634" t="s">
        <v>17</v>
      </c>
    </row>
    <row r="2635" spans="1:12" x14ac:dyDescent="0.25">
      <c r="A2635" t="s">
        <v>3154</v>
      </c>
      <c r="B2635">
        <v>82</v>
      </c>
      <c r="C2635">
        <v>17278980</v>
      </c>
      <c r="D2635" t="s">
        <v>4181</v>
      </c>
      <c r="E2635" t="s">
        <v>13</v>
      </c>
      <c r="F2635" t="s">
        <v>14</v>
      </c>
      <c r="G2635">
        <v>8000000</v>
      </c>
      <c r="H2635">
        <v>6.7</v>
      </c>
      <c r="I2635" t="s">
        <v>15</v>
      </c>
      <c r="J2635" t="s">
        <v>38</v>
      </c>
    </row>
    <row r="2636" spans="1:12" x14ac:dyDescent="0.25">
      <c r="A2636" t="s">
        <v>4182</v>
      </c>
      <c r="B2636">
        <v>99</v>
      </c>
      <c r="C2636">
        <v>17266505</v>
      </c>
      <c r="D2636" t="s">
        <v>4183</v>
      </c>
      <c r="E2636" t="s">
        <v>13</v>
      </c>
      <c r="F2636" t="s">
        <v>14</v>
      </c>
      <c r="G2636">
        <v>30000000</v>
      </c>
      <c r="H2636">
        <v>5.4</v>
      </c>
      <c r="I2636" t="s">
        <v>34</v>
      </c>
      <c r="J2636" t="s">
        <v>15</v>
      </c>
      <c r="K2636" t="s">
        <v>22</v>
      </c>
    </row>
    <row r="2637" spans="1:12" x14ac:dyDescent="0.25">
      <c r="A2637" t="s">
        <v>3219</v>
      </c>
      <c r="B2637">
        <v>122</v>
      </c>
      <c r="C2637">
        <v>17237244</v>
      </c>
      <c r="D2637" t="s">
        <v>4184</v>
      </c>
      <c r="E2637" t="s">
        <v>13</v>
      </c>
      <c r="F2637" t="s">
        <v>82</v>
      </c>
      <c r="G2637">
        <v>15000000</v>
      </c>
      <c r="H2637">
        <v>6.8</v>
      </c>
      <c r="I2637" t="s">
        <v>38</v>
      </c>
      <c r="J2637" t="s">
        <v>31</v>
      </c>
      <c r="K2637" t="s">
        <v>24</v>
      </c>
    </row>
    <row r="2638" spans="1:12" x14ac:dyDescent="0.25">
      <c r="A2638" t="s">
        <v>668</v>
      </c>
      <c r="B2638">
        <v>98</v>
      </c>
      <c r="C2638">
        <v>17225675</v>
      </c>
      <c r="D2638" t="s">
        <v>4185</v>
      </c>
      <c r="E2638" t="s">
        <v>13</v>
      </c>
      <c r="F2638" t="s">
        <v>14</v>
      </c>
      <c r="G2638">
        <v>39751583.5</v>
      </c>
      <c r="H2638">
        <v>5.6</v>
      </c>
      <c r="I2638" t="s">
        <v>15</v>
      </c>
    </row>
    <row r="2639" spans="1:12" x14ac:dyDescent="0.25">
      <c r="A2639" t="s">
        <v>2925</v>
      </c>
      <c r="B2639">
        <v>100</v>
      </c>
      <c r="C2639">
        <v>17218080</v>
      </c>
      <c r="D2639" t="s">
        <v>4186</v>
      </c>
      <c r="E2639" t="s">
        <v>13</v>
      </c>
      <c r="F2639" t="s">
        <v>14</v>
      </c>
      <c r="G2639">
        <v>70000000</v>
      </c>
      <c r="H2639">
        <v>5.7</v>
      </c>
      <c r="I2639" t="s">
        <v>34</v>
      </c>
      <c r="J2639" t="s">
        <v>28</v>
      </c>
      <c r="K2639" t="s">
        <v>15</v>
      </c>
    </row>
    <row r="2640" spans="1:12" x14ac:dyDescent="0.25">
      <c r="A2640" t="s">
        <v>3534</v>
      </c>
      <c r="B2640">
        <v>115</v>
      </c>
      <c r="C2640">
        <v>17174870</v>
      </c>
      <c r="D2640" t="s">
        <v>4187</v>
      </c>
      <c r="E2640" t="s">
        <v>13</v>
      </c>
      <c r="F2640" t="s">
        <v>14</v>
      </c>
      <c r="G2640">
        <v>18000000</v>
      </c>
      <c r="H2640">
        <v>6.7</v>
      </c>
      <c r="I2640" t="s">
        <v>31</v>
      </c>
      <c r="J2640" t="s">
        <v>18</v>
      </c>
      <c r="K2640" t="s">
        <v>19</v>
      </c>
    </row>
    <row r="2641" spans="1:13" x14ac:dyDescent="0.25">
      <c r="A2641" t="s">
        <v>2921</v>
      </c>
      <c r="B2641">
        <v>94</v>
      </c>
      <c r="C2641">
        <v>17120019</v>
      </c>
      <c r="D2641" t="s">
        <v>4188</v>
      </c>
      <c r="E2641" t="s">
        <v>13</v>
      </c>
      <c r="F2641" t="s">
        <v>14</v>
      </c>
      <c r="G2641">
        <v>30000000</v>
      </c>
      <c r="H2641">
        <v>6.5</v>
      </c>
      <c r="I2641" t="s">
        <v>34</v>
      </c>
      <c r="J2641" t="s">
        <v>38</v>
      </c>
      <c r="K2641" t="s">
        <v>24</v>
      </c>
    </row>
    <row r="2642" spans="1:13" x14ac:dyDescent="0.25">
      <c r="A2642" t="s">
        <v>1819</v>
      </c>
      <c r="B2642">
        <v>96</v>
      </c>
      <c r="C2642">
        <v>17114882</v>
      </c>
      <c r="D2642" t="s">
        <v>4189</v>
      </c>
      <c r="E2642" t="s">
        <v>13</v>
      </c>
      <c r="F2642" t="s">
        <v>14</v>
      </c>
      <c r="G2642">
        <v>25000000</v>
      </c>
      <c r="H2642">
        <v>7.7</v>
      </c>
      <c r="I2642" t="s">
        <v>38</v>
      </c>
      <c r="J2642" t="s">
        <v>23</v>
      </c>
      <c r="K2642" t="s">
        <v>24</v>
      </c>
    </row>
    <row r="2643" spans="1:13" x14ac:dyDescent="0.25">
      <c r="A2643" t="s">
        <v>4190</v>
      </c>
      <c r="B2643">
        <v>99</v>
      </c>
      <c r="C2643">
        <v>17104669</v>
      </c>
      <c r="D2643" t="s">
        <v>4191</v>
      </c>
      <c r="E2643" t="s">
        <v>1946</v>
      </c>
      <c r="F2643" t="s">
        <v>1007</v>
      </c>
      <c r="G2643">
        <v>20000000</v>
      </c>
      <c r="H2643">
        <v>7.8</v>
      </c>
      <c r="I2643" t="s">
        <v>34</v>
      </c>
      <c r="J2643" t="s">
        <v>15</v>
      </c>
      <c r="K2643" t="s">
        <v>38</v>
      </c>
      <c r="L2643" t="s">
        <v>17</v>
      </c>
    </row>
    <row r="2644" spans="1:13" x14ac:dyDescent="0.25">
      <c r="A2644" t="s">
        <v>4192</v>
      </c>
      <c r="B2644">
        <v>105</v>
      </c>
      <c r="C2644">
        <v>17100000</v>
      </c>
      <c r="D2644" t="s">
        <v>4193</v>
      </c>
      <c r="E2644" t="s">
        <v>13</v>
      </c>
      <c r="F2644" t="s">
        <v>14</v>
      </c>
      <c r="G2644">
        <v>25000000</v>
      </c>
      <c r="H2644">
        <v>5.3</v>
      </c>
      <c r="I2644" t="s">
        <v>34</v>
      </c>
      <c r="J2644" t="s">
        <v>28</v>
      </c>
      <c r="K2644" t="s">
        <v>38</v>
      </c>
      <c r="L2644" t="s">
        <v>31</v>
      </c>
      <c r="M2644" t="s">
        <v>19</v>
      </c>
    </row>
    <row r="2645" spans="1:13" x14ac:dyDescent="0.25">
      <c r="A2645" t="s">
        <v>852</v>
      </c>
      <c r="B2645">
        <v>93</v>
      </c>
      <c r="C2645">
        <v>17096053</v>
      </c>
      <c r="D2645" t="s">
        <v>4194</v>
      </c>
      <c r="E2645" t="s">
        <v>13</v>
      </c>
      <c r="F2645" t="s">
        <v>14</v>
      </c>
      <c r="G2645">
        <v>9000000</v>
      </c>
      <c r="H2645">
        <v>7.7</v>
      </c>
      <c r="I2645" t="s">
        <v>15</v>
      </c>
      <c r="J2645" t="s">
        <v>31</v>
      </c>
    </row>
    <row r="2646" spans="1:13" x14ac:dyDescent="0.25">
      <c r="A2646" t="s">
        <v>908</v>
      </c>
      <c r="B2646">
        <v>94</v>
      </c>
      <c r="C2646">
        <v>17071230</v>
      </c>
      <c r="D2646" t="s">
        <v>4195</v>
      </c>
      <c r="E2646" t="s">
        <v>13</v>
      </c>
      <c r="F2646" t="s">
        <v>14</v>
      </c>
      <c r="G2646">
        <v>18000000</v>
      </c>
      <c r="H2646">
        <v>6.7</v>
      </c>
      <c r="I2646" t="s">
        <v>15</v>
      </c>
      <c r="J2646" t="s">
        <v>38</v>
      </c>
    </row>
    <row r="2647" spans="1:13" x14ac:dyDescent="0.25">
      <c r="A2647" t="s">
        <v>4196</v>
      </c>
      <c r="B2647">
        <v>88</v>
      </c>
      <c r="C2647">
        <v>17016190</v>
      </c>
      <c r="D2647" t="s">
        <v>4197</v>
      </c>
      <c r="E2647" t="s">
        <v>13</v>
      </c>
      <c r="F2647" t="s">
        <v>2029</v>
      </c>
      <c r="G2647">
        <v>12000000</v>
      </c>
      <c r="H2647">
        <v>4.9000000000000004</v>
      </c>
      <c r="I2647" t="s">
        <v>15</v>
      </c>
      <c r="J2647" t="s">
        <v>17</v>
      </c>
      <c r="K2647" t="s">
        <v>22</v>
      </c>
      <c r="L2647" t="s">
        <v>24</v>
      </c>
    </row>
    <row r="2648" spans="1:13" x14ac:dyDescent="0.25">
      <c r="A2648" t="s">
        <v>233</v>
      </c>
      <c r="B2648">
        <v>94</v>
      </c>
      <c r="C2648">
        <v>17010646</v>
      </c>
      <c r="D2648" t="s">
        <v>4198</v>
      </c>
      <c r="E2648" t="s">
        <v>13</v>
      </c>
      <c r="F2648" t="s">
        <v>14</v>
      </c>
      <c r="G2648">
        <v>84000000</v>
      </c>
      <c r="H2648">
        <v>2.2000000000000002</v>
      </c>
      <c r="I2648" t="s">
        <v>15</v>
      </c>
      <c r="J2648" t="s">
        <v>16</v>
      </c>
      <c r="K2648" t="s">
        <v>17</v>
      </c>
    </row>
    <row r="2649" spans="1:13" x14ac:dyDescent="0.25">
      <c r="A2649" t="s">
        <v>4199</v>
      </c>
      <c r="B2649">
        <v>97</v>
      </c>
      <c r="C2649">
        <v>17000000</v>
      </c>
      <c r="D2649" t="s">
        <v>4200</v>
      </c>
      <c r="E2649" t="s">
        <v>13</v>
      </c>
      <c r="F2649" t="s">
        <v>14</v>
      </c>
      <c r="G2649">
        <v>500000</v>
      </c>
      <c r="H2649">
        <v>5.9</v>
      </c>
      <c r="I2649" t="s">
        <v>22</v>
      </c>
      <c r="J2649" t="s">
        <v>37</v>
      </c>
    </row>
    <row r="2650" spans="1:13" x14ac:dyDescent="0.25">
      <c r="A2650" t="s">
        <v>1415</v>
      </c>
      <c r="B2650">
        <v>104</v>
      </c>
      <c r="C2650">
        <v>16999046</v>
      </c>
      <c r="D2650" t="s">
        <v>4201</v>
      </c>
      <c r="E2650" t="s">
        <v>13</v>
      </c>
      <c r="F2650" t="s">
        <v>98</v>
      </c>
      <c r="G2650">
        <v>26000000</v>
      </c>
      <c r="H2650">
        <v>5.8</v>
      </c>
      <c r="I2650" t="s">
        <v>31</v>
      </c>
      <c r="J2650" t="s">
        <v>22</v>
      </c>
      <c r="K2650" t="s">
        <v>37</v>
      </c>
    </row>
    <row r="2651" spans="1:13" x14ac:dyDescent="0.25">
      <c r="A2651" t="s">
        <v>378</v>
      </c>
      <c r="B2651">
        <v>105</v>
      </c>
      <c r="C2651">
        <v>16991902</v>
      </c>
      <c r="D2651" t="s">
        <v>4202</v>
      </c>
      <c r="E2651" t="s">
        <v>13</v>
      </c>
      <c r="F2651" t="s">
        <v>14</v>
      </c>
      <c r="G2651">
        <v>57000000</v>
      </c>
      <c r="H2651">
        <v>6.2</v>
      </c>
      <c r="I2651" t="s">
        <v>31</v>
      </c>
      <c r="J2651" t="s">
        <v>18</v>
      </c>
    </row>
    <row r="2652" spans="1:13" x14ac:dyDescent="0.25">
      <c r="A2652" t="s">
        <v>4203</v>
      </c>
      <c r="B2652">
        <v>88</v>
      </c>
      <c r="C2652">
        <v>16988996</v>
      </c>
      <c r="D2652" t="s">
        <v>4204</v>
      </c>
      <c r="E2652" t="s">
        <v>13</v>
      </c>
      <c r="F2652" t="s">
        <v>14</v>
      </c>
      <c r="G2652">
        <v>35000000</v>
      </c>
      <c r="H2652">
        <v>4</v>
      </c>
      <c r="I2652" t="s">
        <v>15</v>
      </c>
      <c r="J2652" t="s">
        <v>16</v>
      </c>
      <c r="K2652" t="s">
        <v>18</v>
      </c>
      <c r="L2652" t="s">
        <v>59</v>
      </c>
    </row>
    <row r="2653" spans="1:13" x14ac:dyDescent="0.25">
      <c r="A2653" t="s">
        <v>456</v>
      </c>
      <c r="B2653">
        <v>138</v>
      </c>
      <c r="C2653">
        <v>16969390</v>
      </c>
      <c r="D2653" t="s">
        <v>4205</v>
      </c>
      <c r="E2653" t="s">
        <v>13</v>
      </c>
      <c r="F2653" t="s">
        <v>14</v>
      </c>
      <c r="G2653">
        <v>25000000</v>
      </c>
      <c r="H2653">
        <v>5.3</v>
      </c>
      <c r="I2653" t="s">
        <v>38</v>
      </c>
      <c r="J2653" t="s">
        <v>31</v>
      </c>
      <c r="K2653" t="s">
        <v>24</v>
      </c>
    </row>
    <row r="2654" spans="1:13" x14ac:dyDescent="0.25">
      <c r="A2654" t="s">
        <v>206</v>
      </c>
      <c r="B2654">
        <v>95</v>
      </c>
      <c r="C2654">
        <v>16964743</v>
      </c>
      <c r="D2654" t="s">
        <v>4206</v>
      </c>
      <c r="E2654" t="s">
        <v>13</v>
      </c>
      <c r="F2654" t="s">
        <v>14</v>
      </c>
      <c r="G2654">
        <v>24000000</v>
      </c>
      <c r="H2654">
        <v>5.6</v>
      </c>
      <c r="I2654" t="s">
        <v>15</v>
      </c>
      <c r="J2654" t="s">
        <v>19</v>
      </c>
    </row>
    <row r="2655" spans="1:13" x14ac:dyDescent="0.25">
      <c r="A2655" t="s">
        <v>4207</v>
      </c>
      <c r="B2655">
        <v>120</v>
      </c>
      <c r="C2655">
        <v>16938179</v>
      </c>
      <c r="D2655" t="s">
        <v>4208</v>
      </c>
      <c r="E2655" t="s">
        <v>13</v>
      </c>
      <c r="F2655" t="s">
        <v>14</v>
      </c>
      <c r="G2655">
        <v>8000000</v>
      </c>
      <c r="H2655">
        <v>7</v>
      </c>
      <c r="I2655" t="s">
        <v>38</v>
      </c>
      <c r="J2655" t="s">
        <v>31</v>
      </c>
      <c r="K2655" t="s">
        <v>24</v>
      </c>
    </row>
    <row r="2656" spans="1:13" x14ac:dyDescent="0.25">
      <c r="A2656" t="s">
        <v>1113</v>
      </c>
      <c r="B2656">
        <v>108</v>
      </c>
      <c r="C2656">
        <v>16930884</v>
      </c>
      <c r="D2656" t="s">
        <v>4209</v>
      </c>
      <c r="E2656" t="s">
        <v>13</v>
      </c>
      <c r="F2656" t="s">
        <v>14</v>
      </c>
      <c r="G2656">
        <v>30000000</v>
      </c>
      <c r="H2656">
        <v>5.9</v>
      </c>
      <c r="I2656" t="s">
        <v>38</v>
      </c>
      <c r="J2656" t="s">
        <v>31</v>
      </c>
      <c r="K2656" t="s">
        <v>23</v>
      </c>
      <c r="L2656" t="s">
        <v>24</v>
      </c>
    </row>
    <row r="2657" spans="1:13" x14ac:dyDescent="0.25">
      <c r="A2657" t="s">
        <v>626</v>
      </c>
      <c r="B2657">
        <v>99</v>
      </c>
      <c r="C2657">
        <v>16930185</v>
      </c>
      <c r="D2657" t="s">
        <v>4210</v>
      </c>
      <c r="E2657" t="s">
        <v>13</v>
      </c>
      <c r="F2657" t="s">
        <v>241</v>
      </c>
      <c r="G2657">
        <v>29000000</v>
      </c>
      <c r="H2657">
        <v>5.3</v>
      </c>
      <c r="I2657" t="s">
        <v>15</v>
      </c>
      <c r="J2657" t="s">
        <v>19</v>
      </c>
    </row>
    <row r="2658" spans="1:13" x14ac:dyDescent="0.25">
      <c r="A2658" t="s">
        <v>1722</v>
      </c>
      <c r="B2658">
        <v>135</v>
      </c>
      <c r="C2658">
        <v>16929123</v>
      </c>
      <c r="D2658" t="s">
        <v>4211</v>
      </c>
      <c r="E2658" t="s">
        <v>13</v>
      </c>
      <c r="F2658" t="s">
        <v>14</v>
      </c>
      <c r="G2658">
        <v>14000000</v>
      </c>
      <c r="H2658">
        <v>6.5</v>
      </c>
      <c r="I2658" t="s">
        <v>31</v>
      </c>
      <c r="J2658" t="s">
        <v>19</v>
      </c>
    </row>
    <row r="2659" spans="1:13" x14ac:dyDescent="0.25">
      <c r="A2659" t="s">
        <v>3327</v>
      </c>
      <c r="B2659">
        <v>109</v>
      </c>
      <c r="C2659">
        <v>16901126</v>
      </c>
      <c r="D2659" t="s">
        <v>4212</v>
      </c>
      <c r="E2659" t="s">
        <v>13</v>
      </c>
      <c r="F2659" t="s">
        <v>14</v>
      </c>
      <c r="G2659">
        <v>7000000</v>
      </c>
      <c r="H2659">
        <v>6.9</v>
      </c>
      <c r="I2659" t="s">
        <v>38</v>
      </c>
      <c r="J2659" t="s">
        <v>22</v>
      </c>
    </row>
    <row r="2660" spans="1:13" x14ac:dyDescent="0.25">
      <c r="A2660" t="s">
        <v>425</v>
      </c>
      <c r="B2660">
        <v>102</v>
      </c>
      <c r="C2660">
        <v>16842303</v>
      </c>
      <c r="D2660" t="s">
        <v>4213</v>
      </c>
      <c r="E2660" t="s">
        <v>13</v>
      </c>
      <c r="F2660" t="s">
        <v>14</v>
      </c>
      <c r="G2660">
        <v>6500000</v>
      </c>
      <c r="H2660">
        <v>7.3</v>
      </c>
      <c r="I2660" t="s">
        <v>15</v>
      </c>
      <c r="J2660" t="s">
        <v>38</v>
      </c>
    </row>
    <row r="2661" spans="1:13" x14ac:dyDescent="0.25">
      <c r="A2661" t="s">
        <v>1192</v>
      </c>
      <c r="B2661">
        <v>98</v>
      </c>
      <c r="C2661">
        <v>16831505</v>
      </c>
      <c r="D2661" t="s">
        <v>4214</v>
      </c>
      <c r="E2661" t="s">
        <v>13</v>
      </c>
      <c r="F2661" t="s">
        <v>82</v>
      </c>
      <c r="G2661">
        <v>31000000</v>
      </c>
      <c r="H2661">
        <v>6.3</v>
      </c>
      <c r="I2661" t="s">
        <v>15</v>
      </c>
      <c r="J2661" t="s">
        <v>19</v>
      </c>
      <c r="K2661" t="s">
        <v>41</v>
      </c>
    </row>
    <row r="2662" spans="1:13" x14ac:dyDescent="0.25">
      <c r="A2662" t="s">
        <v>2062</v>
      </c>
      <c r="B2662">
        <v>153</v>
      </c>
      <c r="C2662">
        <v>16800000</v>
      </c>
      <c r="D2662" t="s">
        <v>4215</v>
      </c>
      <c r="E2662" t="s">
        <v>13</v>
      </c>
      <c r="F2662" t="s">
        <v>82</v>
      </c>
      <c r="G2662">
        <v>10000000</v>
      </c>
      <c r="H2662">
        <v>7.5</v>
      </c>
      <c r="I2662" t="s">
        <v>31</v>
      </c>
      <c r="J2662" t="s">
        <v>16</v>
      </c>
      <c r="K2662" t="s">
        <v>59</v>
      </c>
    </row>
    <row r="2663" spans="1:13" x14ac:dyDescent="0.25">
      <c r="A2663" t="s">
        <v>4216</v>
      </c>
      <c r="B2663">
        <v>97</v>
      </c>
      <c r="C2663">
        <v>16779636</v>
      </c>
      <c r="D2663" t="s">
        <v>4217</v>
      </c>
      <c r="E2663" t="s">
        <v>13</v>
      </c>
      <c r="F2663" t="s">
        <v>14</v>
      </c>
      <c r="G2663">
        <v>28000000</v>
      </c>
      <c r="H2663">
        <v>4.8</v>
      </c>
      <c r="I2663" t="s">
        <v>31</v>
      </c>
      <c r="J2663" t="s">
        <v>22</v>
      </c>
      <c r="K2663" t="s">
        <v>24</v>
      </c>
    </row>
    <row r="2664" spans="1:13" x14ac:dyDescent="0.25">
      <c r="A2664" t="s">
        <v>4218</v>
      </c>
      <c r="B2664">
        <v>91</v>
      </c>
      <c r="C2664">
        <v>16702864</v>
      </c>
      <c r="D2664" t="s">
        <v>4219</v>
      </c>
      <c r="E2664" t="s">
        <v>13</v>
      </c>
      <c r="F2664" t="s">
        <v>14</v>
      </c>
      <c r="G2664">
        <v>18000000</v>
      </c>
      <c r="H2664">
        <v>5.2</v>
      </c>
      <c r="I2664" t="s">
        <v>15</v>
      </c>
      <c r="J2664" t="s">
        <v>38</v>
      </c>
    </row>
    <row r="2665" spans="1:13" x14ac:dyDescent="0.25">
      <c r="A2665" t="s">
        <v>4220</v>
      </c>
      <c r="B2665">
        <v>97</v>
      </c>
      <c r="C2665">
        <v>16699684</v>
      </c>
      <c r="D2665" t="s">
        <v>4221</v>
      </c>
      <c r="E2665" t="s">
        <v>13</v>
      </c>
      <c r="F2665" t="s">
        <v>14</v>
      </c>
      <c r="G2665">
        <v>8000000</v>
      </c>
      <c r="H2665">
        <v>5.6</v>
      </c>
      <c r="I2665" t="s">
        <v>15</v>
      </c>
      <c r="J2665" t="s">
        <v>19</v>
      </c>
    </row>
    <row r="2666" spans="1:13" x14ac:dyDescent="0.25">
      <c r="A2666" t="s">
        <v>908</v>
      </c>
      <c r="B2666">
        <v>112</v>
      </c>
      <c r="C2666">
        <v>16684352</v>
      </c>
      <c r="D2666" t="s">
        <v>4222</v>
      </c>
      <c r="E2666" t="s">
        <v>13</v>
      </c>
      <c r="F2666" t="s">
        <v>14</v>
      </c>
      <c r="G2666">
        <v>17000000</v>
      </c>
      <c r="H2666">
        <v>6.3</v>
      </c>
      <c r="I2666" t="s">
        <v>15</v>
      </c>
      <c r="J2666" t="s">
        <v>19</v>
      </c>
    </row>
    <row r="2667" spans="1:13" x14ac:dyDescent="0.25">
      <c r="A2667" t="s">
        <v>4223</v>
      </c>
      <c r="B2667">
        <v>99</v>
      </c>
      <c r="C2667">
        <v>16671505</v>
      </c>
      <c r="D2667" t="s">
        <v>4224</v>
      </c>
      <c r="E2667" t="s">
        <v>13</v>
      </c>
      <c r="F2667" t="s">
        <v>14</v>
      </c>
      <c r="G2667">
        <v>50000000</v>
      </c>
      <c r="H2667">
        <v>5.9</v>
      </c>
      <c r="I2667" t="s">
        <v>28</v>
      </c>
      <c r="J2667" t="s">
        <v>15</v>
      </c>
      <c r="K2667" t="s">
        <v>38</v>
      </c>
      <c r="L2667" t="s">
        <v>31</v>
      </c>
      <c r="M2667" t="s">
        <v>16</v>
      </c>
    </row>
    <row r="2668" spans="1:13" x14ac:dyDescent="0.25">
      <c r="A2668" t="s">
        <v>1141</v>
      </c>
      <c r="B2668">
        <v>96</v>
      </c>
      <c r="C2668">
        <v>16667084</v>
      </c>
      <c r="D2668" t="s">
        <v>4225</v>
      </c>
      <c r="E2668" t="s">
        <v>13</v>
      </c>
      <c r="F2668" t="s">
        <v>14</v>
      </c>
      <c r="G2668">
        <v>11000000</v>
      </c>
      <c r="H2668">
        <v>7.1</v>
      </c>
      <c r="I2668" t="s">
        <v>15</v>
      </c>
      <c r="J2668" t="s">
        <v>22</v>
      </c>
      <c r="K2668" t="s">
        <v>37</v>
      </c>
    </row>
    <row r="2669" spans="1:13" x14ac:dyDescent="0.25">
      <c r="A2669" t="s">
        <v>4226</v>
      </c>
      <c r="B2669">
        <v>90</v>
      </c>
      <c r="C2669">
        <v>16647384</v>
      </c>
      <c r="D2669" t="s">
        <v>4227</v>
      </c>
      <c r="E2669" t="s">
        <v>13</v>
      </c>
      <c r="F2669" t="s">
        <v>14</v>
      </c>
      <c r="G2669">
        <v>26000000</v>
      </c>
      <c r="H2669">
        <v>5.0999999999999996</v>
      </c>
      <c r="I2669" t="s">
        <v>28</v>
      </c>
      <c r="J2669" t="s">
        <v>15</v>
      </c>
      <c r="K2669" t="s">
        <v>16</v>
      </c>
      <c r="L2669" t="s">
        <v>19</v>
      </c>
    </row>
    <row r="2670" spans="1:13" x14ac:dyDescent="0.25">
      <c r="A2670" t="s">
        <v>452</v>
      </c>
      <c r="B2670">
        <v>121</v>
      </c>
      <c r="C2670">
        <v>16640210</v>
      </c>
      <c r="D2670" t="s">
        <v>4228</v>
      </c>
      <c r="E2670" t="s">
        <v>13</v>
      </c>
      <c r="F2670" t="s">
        <v>14</v>
      </c>
      <c r="G2670">
        <v>55000000</v>
      </c>
      <c r="H2670">
        <v>6.8</v>
      </c>
      <c r="I2670" t="s">
        <v>31</v>
      </c>
      <c r="J2670" t="s">
        <v>24</v>
      </c>
    </row>
    <row r="2671" spans="1:13" x14ac:dyDescent="0.25">
      <c r="A2671" t="s">
        <v>4229</v>
      </c>
      <c r="B2671">
        <v>121</v>
      </c>
      <c r="C2671">
        <v>16574731</v>
      </c>
      <c r="D2671" t="s">
        <v>4230</v>
      </c>
      <c r="E2671" t="s">
        <v>13</v>
      </c>
      <c r="F2671" t="s">
        <v>14</v>
      </c>
      <c r="G2671">
        <v>13000000</v>
      </c>
      <c r="H2671">
        <v>5.8</v>
      </c>
      <c r="I2671" t="s">
        <v>31</v>
      </c>
      <c r="J2671" t="s">
        <v>18</v>
      </c>
    </row>
    <row r="2672" spans="1:13" x14ac:dyDescent="0.25">
      <c r="A2672" t="s">
        <v>2840</v>
      </c>
      <c r="B2672">
        <v>94</v>
      </c>
      <c r="C2672">
        <v>16501785</v>
      </c>
      <c r="D2672" t="s">
        <v>4231</v>
      </c>
      <c r="E2672" t="s">
        <v>13</v>
      </c>
      <c r="F2672" t="s">
        <v>82</v>
      </c>
      <c r="G2672">
        <v>3500000</v>
      </c>
      <c r="H2672">
        <v>8.1999999999999993</v>
      </c>
      <c r="I2672" t="s">
        <v>31</v>
      </c>
    </row>
    <row r="2673" spans="1:16" x14ac:dyDescent="0.25">
      <c r="A2673" t="s">
        <v>4232</v>
      </c>
      <c r="B2673">
        <v>109</v>
      </c>
      <c r="C2673">
        <v>16459004</v>
      </c>
      <c r="D2673" t="s">
        <v>4233</v>
      </c>
      <c r="E2673" t="s">
        <v>13</v>
      </c>
      <c r="F2673" t="s">
        <v>98</v>
      </c>
      <c r="G2673">
        <v>15000000</v>
      </c>
      <c r="H2673">
        <v>4.9000000000000004</v>
      </c>
      <c r="I2673" t="s">
        <v>31</v>
      </c>
      <c r="J2673" t="s">
        <v>23</v>
      </c>
      <c r="K2673" t="s">
        <v>24</v>
      </c>
    </row>
    <row r="2674" spans="1:16" x14ac:dyDescent="0.25">
      <c r="A2674" t="s">
        <v>3006</v>
      </c>
      <c r="B2674">
        <v>144</v>
      </c>
      <c r="C2674">
        <v>16377274</v>
      </c>
      <c r="D2674" t="s">
        <v>4234</v>
      </c>
      <c r="E2674" t="s">
        <v>13</v>
      </c>
      <c r="F2674" t="s">
        <v>14</v>
      </c>
      <c r="G2674">
        <v>32000000</v>
      </c>
      <c r="H2674">
        <v>7.1</v>
      </c>
      <c r="I2674" t="s">
        <v>31</v>
      </c>
      <c r="P2674" t="s">
        <v>24</v>
      </c>
    </row>
    <row r="2675" spans="1:16" x14ac:dyDescent="0.25">
      <c r="A2675" t="s">
        <v>4235</v>
      </c>
      <c r="B2675">
        <v>109</v>
      </c>
      <c r="C2675">
        <v>16346122</v>
      </c>
      <c r="D2675" t="s">
        <v>4236</v>
      </c>
      <c r="E2675" t="s">
        <v>13</v>
      </c>
      <c r="F2675" t="s">
        <v>14</v>
      </c>
      <c r="G2675">
        <v>16000000</v>
      </c>
      <c r="H2675">
        <v>7.2</v>
      </c>
      <c r="I2675" t="s">
        <v>31</v>
      </c>
    </row>
    <row r="2676" spans="1:16" x14ac:dyDescent="0.25">
      <c r="A2676" t="s">
        <v>2852</v>
      </c>
      <c r="B2676">
        <v>98</v>
      </c>
      <c r="C2676">
        <v>16323969</v>
      </c>
      <c r="D2676" t="s">
        <v>4237</v>
      </c>
      <c r="E2676" t="s">
        <v>13</v>
      </c>
      <c r="F2676" t="s">
        <v>14</v>
      </c>
      <c r="G2676">
        <v>40000000</v>
      </c>
      <c r="H2676">
        <v>5.5</v>
      </c>
      <c r="I2676" t="s">
        <v>15</v>
      </c>
      <c r="J2676" t="s">
        <v>38</v>
      </c>
      <c r="K2676" t="s">
        <v>24</v>
      </c>
    </row>
    <row r="2677" spans="1:16" x14ac:dyDescent="0.25">
      <c r="A2677" t="s">
        <v>2577</v>
      </c>
      <c r="B2677">
        <v>121</v>
      </c>
      <c r="C2677">
        <v>16311763</v>
      </c>
      <c r="D2677" t="s">
        <v>4238</v>
      </c>
      <c r="E2677" t="s">
        <v>13</v>
      </c>
      <c r="F2677" t="s">
        <v>82</v>
      </c>
      <c r="G2677">
        <v>17000000</v>
      </c>
      <c r="H2677">
        <v>7.5</v>
      </c>
      <c r="I2677" t="s">
        <v>38</v>
      </c>
      <c r="J2677" t="s">
        <v>31</v>
      </c>
      <c r="K2677" t="s">
        <v>24</v>
      </c>
    </row>
    <row r="2678" spans="1:16" x14ac:dyDescent="0.25">
      <c r="A2678" t="s">
        <v>354</v>
      </c>
      <c r="B2678">
        <v>94</v>
      </c>
      <c r="C2678">
        <v>16300302</v>
      </c>
      <c r="D2678" t="s">
        <v>4239</v>
      </c>
      <c r="E2678" t="s">
        <v>13</v>
      </c>
      <c r="F2678" t="s">
        <v>14</v>
      </c>
      <c r="G2678">
        <v>12000000</v>
      </c>
      <c r="H2678">
        <v>6.3</v>
      </c>
      <c r="I2678" t="s">
        <v>15</v>
      </c>
      <c r="J2678" t="s">
        <v>31</v>
      </c>
    </row>
    <row r="2679" spans="1:16" x14ac:dyDescent="0.25">
      <c r="A2679" t="s">
        <v>4240</v>
      </c>
      <c r="B2679">
        <v>91</v>
      </c>
      <c r="C2679">
        <v>16298046</v>
      </c>
      <c r="D2679" t="s">
        <v>4241</v>
      </c>
      <c r="E2679" t="s">
        <v>13</v>
      </c>
      <c r="F2679" t="s">
        <v>82</v>
      </c>
      <c r="G2679">
        <v>14000000</v>
      </c>
      <c r="H2679">
        <v>5</v>
      </c>
      <c r="I2679" t="s">
        <v>22</v>
      </c>
      <c r="J2679" t="s">
        <v>23</v>
      </c>
      <c r="K2679" t="s">
        <v>24</v>
      </c>
    </row>
    <row r="2680" spans="1:16" x14ac:dyDescent="0.25">
      <c r="A2680" t="s">
        <v>4242</v>
      </c>
      <c r="B2680">
        <v>110</v>
      </c>
      <c r="C2680">
        <v>16295774</v>
      </c>
      <c r="D2680" t="s">
        <v>4243</v>
      </c>
      <c r="E2680" t="s">
        <v>13</v>
      </c>
      <c r="F2680" t="s">
        <v>14</v>
      </c>
      <c r="G2680">
        <v>35000000</v>
      </c>
      <c r="H2680">
        <v>4.5999999999999996</v>
      </c>
      <c r="I2680" t="s">
        <v>34</v>
      </c>
      <c r="J2680" t="s">
        <v>28</v>
      </c>
      <c r="K2680" t="s">
        <v>15</v>
      </c>
      <c r="L2680" t="s">
        <v>19</v>
      </c>
      <c r="M2680" t="s">
        <v>37</v>
      </c>
    </row>
    <row r="2681" spans="1:16" x14ac:dyDescent="0.25">
      <c r="A2681" t="s">
        <v>60</v>
      </c>
      <c r="B2681">
        <v>87</v>
      </c>
      <c r="C2681">
        <v>16290976</v>
      </c>
      <c r="D2681" t="s">
        <v>4244</v>
      </c>
      <c r="E2681" t="s">
        <v>13</v>
      </c>
      <c r="F2681" t="s">
        <v>14</v>
      </c>
      <c r="G2681">
        <v>24000000</v>
      </c>
      <c r="H2681">
        <v>6.2</v>
      </c>
      <c r="I2681" t="s">
        <v>28</v>
      </c>
      <c r="J2681" t="s">
        <v>15</v>
      </c>
      <c r="K2681" t="s">
        <v>16</v>
      </c>
      <c r="L2681" t="s">
        <v>17</v>
      </c>
      <c r="M2681" t="s">
        <v>18</v>
      </c>
      <c r="N2681" t="s">
        <v>37</v>
      </c>
    </row>
    <row r="2682" spans="1:16" x14ac:dyDescent="0.25">
      <c r="A2682" t="s">
        <v>4245</v>
      </c>
      <c r="B2682">
        <v>120</v>
      </c>
      <c r="C2682">
        <v>16284360</v>
      </c>
      <c r="D2682" t="s">
        <v>4246</v>
      </c>
      <c r="E2682" t="s">
        <v>13</v>
      </c>
      <c r="F2682" t="s">
        <v>14</v>
      </c>
      <c r="G2682">
        <v>21000000</v>
      </c>
      <c r="H2682">
        <v>6.1</v>
      </c>
      <c r="I2682" t="s">
        <v>15</v>
      </c>
      <c r="J2682" t="s">
        <v>31</v>
      </c>
    </row>
    <row r="2683" spans="1:16" x14ac:dyDescent="0.25">
      <c r="A2683" t="s">
        <v>3507</v>
      </c>
      <c r="B2683">
        <v>114</v>
      </c>
      <c r="C2683">
        <v>16264475</v>
      </c>
      <c r="D2683" t="s">
        <v>4247</v>
      </c>
      <c r="E2683" t="s">
        <v>13</v>
      </c>
      <c r="F2683" t="s">
        <v>82</v>
      </c>
      <c r="G2683">
        <v>55000000</v>
      </c>
      <c r="H2683">
        <v>6.9</v>
      </c>
      <c r="I2683" t="s">
        <v>42</v>
      </c>
      <c r="J2683" t="s">
        <v>31</v>
      </c>
      <c r="K2683" t="s">
        <v>64</v>
      </c>
      <c r="L2683" t="s">
        <v>83</v>
      </c>
    </row>
    <row r="2684" spans="1:16" x14ac:dyDescent="0.25">
      <c r="A2684" t="s">
        <v>4248</v>
      </c>
      <c r="B2684">
        <v>118</v>
      </c>
      <c r="C2684">
        <v>16252765</v>
      </c>
      <c r="D2684" t="s">
        <v>4249</v>
      </c>
      <c r="E2684" t="s">
        <v>13</v>
      </c>
      <c r="F2684" t="s">
        <v>295</v>
      </c>
      <c r="G2684">
        <v>42000000</v>
      </c>
      <c r="H2684">
        <v>6</v>
      </c>
      <c r="I2684" t="s">
        <v>31</v>
      </c>
      <c r="J2684" t="s">
        <v>23</v>
      </c>
      <c r="K2684" t="s">
        <v>19</v>
      </c>
      <c r="L2684" t="s">
        <v>24</v>
      </c>
    </row>
    <row r="2685" spans="1:16" x14ac:dyDescent="0.25">
      <c r="A2685" t="s">
        <v>2940</v>
      </c>
      <c r="B2685">
        <v>124</v>
      </c>
      <c r="C2685">
        <v>16248701</v>
      </c>
      <c r="D2685" t="s">
        <v>4250</v>
      </c>
      <c r="E2685" t="s">
        <v>13</v>
      </c>
      <c r="F2685" t="s">
        <v>14</v>
      </c>
      <c r="G2685">
        <v>20000000</v>
      </c>
      <c r="H2685">
        <v>7.7</v>
      </c>
      <c r="I2685" t="s">
        <v>31</v>
      </c>
    </row>
    <row r="2686" spans="1:16" x14ac:dyDescent="0.25">
      <c r="A2686" t="s">
        <v>1096</v>
      </c>
      <c r="B2686">
        <v>100</v>
      </c>
      <c r="C2686">
        <v>16247775</v>
      </c>
      <c r="D2686" t="s">
        <v>4251</v>
      </c>
      <c r="E2686" t="s">
        <v>13</v>
      </c>
      <c r="F2686" t="s">
        <v>14</v>
      </c>
      <c r="G2686">
        <v>25000000</v>
      </c>
      <c r="H2686">
        <v>5.5</v>
      </c>
      <c r="I2686" t="s">
        <v>15</v>
      </c>
      <c r="J2686" t="s">
        <v>16</v>
      </c>
      <c r="K2686" t="s">
        <v>19</v>
      </c>
    </row>
    <row r="2687" spans="1:16" x14ac:dyDescent="0.25">
      <c r="A2687" t="s">
        <v>4252</v>
      </c>
      <c r="B2687">
        <v>94</v>
      </c>
      <c r="C2687">
        <v>16235293</v>
      </c>
      <c r="D2687" t="s">
        <v>4253</v>
      </c>
      <c r="E2687" t="s">
        <v>13</v>
      </c>
      <c r="F2687" t="s">
        <v>14</v>
      </c>
      <c r="G2687">
        <v>9000000</v>
      </c>
      <c r="H2687">
        <v>4.5</v>
      </c>
      <c r="I2687" t="s">
        <v>22</v>
      </c>
    </row>
    <row r="2688" spans="1:16" x14ac:dyDescent="0.25">
      <c r="A2688" t="s">
        <v>3695</v>
      </c>
      <c r="B2688">
        <v>107</v>
      </c>
      <c r="C2688">
        <v>16204793</v>
      </c>
      <c r="D2688" t="s">
        <v>4254</v>
      </c>
      <c r="E2688" t="s">
        <v>13</v>
      </c>
      <c r="F2688" t="s">
        <v>14</v>
      </c>
      <c r="G2688">
        <v>16000000</v>
      </c>
      <c r="H2688">
        <v>5.0999999999999996</v>
      </c>
      <c r="I2688" t="s">
        <v>15</v>
      </c>
      <c r="J2688" t="s">
        <v>17</v>
      </c>
      <c r="K2688" t="s">
        <v>22</v>
      </c>
    </row>
    <row r="2689" spans="1:13" x14ac:dyDescent="0.25">
      <c r="A2689" t="s">
        <v>4255</v>
      </c>
      <c r="B2689">
        <v>104</v>
      </c>
      <c r="C2689">
        <v>16168741</v>
      </c>
      <c r="D2689" t="s">
        <v>4256</v>
      </c>
      <c r="E2689" t="s">
        <v>13</v>
      </c>
      <c r="F2689" t="s">
        <v>14</v>
      </c>
      <c r="G2689">
        <v>8000000</v>
      </c>
      <c r="H2689">
        <v>7.4</v>
      </c>
      <c r="I2689" t="s">
        <v>31</v>
      </c>
      <c r="J2689" t="s">
        <v>18</v>
      </c>
    </row>
    <row r="2690" spans="1:13" x14ac:dyDescent="0.25">
      <c r="A2690" t="s">
        <v>302</v>
      </c>
      <c r="B2690">
        <v>129</v>
      </c>
      <c r="C2690">
        <v>16153600</v>
      </c>
      <c r="D2690" t="s">
        <v>4257</v>
      </c>
      <c r="E2690" t="s">
        <v>13</v>
      </c>
      <c r="F2690" t="s">
        <v>14</v>
      </c>
      <c r="G2690">
        <v>10000000</v>
      </c>
      <c r="H2690">
        <v>6.5</v>
      </c>
      <c r="I2690" t="s">
        <v>31</v>
      </c>
      <c r="J2690" t="s">
        <v>18</v>
      </c>
      <c r="K2690" t="s">
        <v>19</v>
      </c>
    </row>
    <row r="2691" spans="1:13" x14ac:dyDescent="0.25">
      <c r="A2691" t="s">
        <v>4258</v>
      </c>
      <c r="B2691">
        <v>141</v>
      </c>
      <c r="C2691">
        <v>16123851</v>
      </c>
      <c r="D2691" t="s">
        <v>4259</v>
      </c>
      <c r="E2691" t="s">
        <v>13</v>
      </c>
      <c r="F2691" t="s">
        <v>14</v>
      </c>
      <c r="G2691">
        <v>23000000</v>
      </c>
      <c r="H2691">
        <v>6.2</v>
      </c>
      <c r="I2691" t="s">
        <v>31</v>
      </c>
    </row>
    <row r="2692" spans="1:13" x14ac:dyDescent="0.25">
      <c r="A2692" t="s">
        <v>4260</v>
      </c>
      <c r="B2692">
        <v>107</v>
      </c>
      <c r="C2692">
        <v>16118077</v>
      </c>
      <c r="D2692" t="s">
        <v>4261</v>
      </c>
      <c r="E2692" t="s">
        <v>13</v>
      </c>
      <c r="F2692" t="s">
        <v>14</v>
      </c>
      <c r="G2692">
        <v>25000000</v>
      </c>
      <c r="H2692">
        <v>5.6</v>
      </c>
      <c r="I2692" t="s">
        <v>31</v>
      </c>
    </row>
    <row r="2693" spans="1:13" x14ac:dyDescent="0.25">
      <c r="A2693" t="s">
        <v>4262</v>
      </c>
      <c r="B2693">
        <v>98</v>
      </c>
      <c r="C2693">
        <v>16115878</v>
      </c>
      <c r="D2693" t="s">
        <v>4263</v>
      </c>
      <c r="E2693" t="s">
        <v>13</v>
      </c>
      <c r="F2693" t="s">
        <v>14</v>
      </c>
      <c r="G2693">
        <v>8000000</v>
      </c>
      <c r="H2693">
        <v>6.6</v>
      </c>
      <c r="I2693" t="s">
        <v>34</v>
      </c>
      <c r="J2693" t="s">
        <v>17</v>
      </c>
      <c r="K2693" t="s">
        <v>22</v>
      </c>
      <c r="L2693" t="s">
        <v>23</v>
      </c>
      <c r="M2693" t="s">
        <v>24</v>
      </c>
    </row>
    <row r="2694" spans="1:13" x14ac:dyDescent="0.25">
      <c r="A2694" t="s">
        <v>4264</v>
      </c>
      <c r="B2694">
        <v>94</v>
      </c>
      <c r="C2694">
        <v>16101109</v>
      </c>
      <c r="D2694" t="s">
        <v>4265</v>
      </c>
      <c r="E2694" t="s">
        <v>13</v>
      </c>
      <c r="F2694" t="s">
        <v>14</v>
      </c>
      <c r="G2694">
        <v>3000000</v>
      </c>
      <c r="H2694">
        <v>6.8</v>
      </c>
      <c r="I2694" t="s">
        <v>15</v>
      </c>
    </row>
    <row r="2695" spans="1:13" x14ac:dyDescent="0.25">
      <c r="A2695" t="s">
        <v>39</v>
      </c>
      <c r="B2695">
        <v>85</v>
      </c>
      <c r="C2695">
        <v>16097842</v>
      </c>
      <c r="D2695" t="s">
        <v>4266</v>
      </c>
      <c r="E2695" t="s">
        <v>13</v>
      </c>
      <c r="F2695" t="s">
        <v>14</v>
      </c>
      <c r="G2695">
        <v>900000</v>
      </c>
      <c r="H2695">
        <v>7.5</v>
      </c>
      <c r="I2695" t="s">
        <v>42</v>
      </c>
      <c r="J2695" t="s">
        <v>31</v>
      </c>
      <c r="K2695" t="s">
        <v>19</v>
      </c>
    </row>
    <row r="2696" spans="1:13" x14ac:dyDescent="0.25">
      <c r="A2696" t="s">
        <v>4267</v>
      </c>
      <c r="B2696">
        <v>107</v>
      </c>
      <c r="C2696">
        <v>16088610</v>
      </c>
      <c r="D2696" t="s">
        <v>4268</v>
      </c>
      <c r="E2696" t="s">
        <v>13</v>
      </c>
      <c r="F2696" t="s">
        <v>14</v>
      </c>
      <c r="G2696">
        <v>55000000</v>
      </c>
      <c r="H2696">
        <v>5.6</v>
      </c>
      <c r="I2696" t="s">
        <v>15</v>
      </c>
      <c r="J2696" t="s">
        <v>31</v>
      </c>
      <c r="K2696" t="s">
        <v>16</v>
      </c>
      <c r="L2696" t="s">
        <v>17</v>
      </c>
    </row>
    <row r="2697" spans="1:13" x14ac:dyDescent="0.25">
      <c r="A2697" t="s">
        <v>754</v>
      </c>
      <c r="B2697">
        <v>110</v>
      </c>
      <c r="C2697">
        <v>16067035</v>
      </c>
      <c r="D2697" t="s">
        <v>4269</v>
      </c>
      <c r="E2697" t="s">
        <v>13</v>
      </c>
      <c r="F2697" t="s">
        <v>82</v>
      </c>
      <c r="G2697">
        <v>1100000</v>
      </c>
      <c r="H2697">
        <v>7.3</v>
      </c>
      <c r="I2697" t="s">
        <v>34</v>
      </c>
      <c r="J2697" t="s">
        <v>28</v>
      </c>
      <c r="K2697" t="s">
        <v>24</v>
      </c>
    </row>
    <row r="2698" spans="1:13" x14ac:dyDescent="0.25">
      <c r="A2698" t="s">
        <v>53</v>
      </c>
      <c r="B2698">
        <v>81</v>
      </c>
      <c r="C2698">
        <v>16033556</v>
      </c>
      <c r="D2698" t="s">
        <v>4270</v>
      </c>
      <c r="E2698" t="s">
        <v>13</v>
      </c>
      <c r="F2698" t="s">
        <v>14</v>
      </c>
      <c r="G2698">
        <v>10000000</v>
      </c>
      <c r="H2698">
        <v>6.2</v>
      </c>
      <c r="I2698" t="s">
        <v>34</v>
      </c>
      <c r="J2698" t="s">
        <v>15</v>
      </c>
    </row>
    <row r="2699" spans="1:13" x14ac:dyDescent="0.25">
      <c r="A2699" t="s">
        <v>3996</v>
      </c>
      <c r="B2699">
        <v>96</v>
      </c>
      <c r="C2699">
        <v>16027866</v>
      </c>
      <c r="D2699" t="s">
        <v>4271</v>
      </c>
      <c r="E2699" t="s">
        <v>13</v>
      </c>
      <c r="F2699" t="s">
        <v>295</v>
      </c>
      <c r="G2699">
        <v>25000000</v>
      </c>
      <c r="H2699">
        <v>5.0999999999999996</v>
      </c>
      <c r="I2699" t="s">
        <v>34</v>
      </c>
      <c r="J2699" t="s">
        <v>38</v>
      </c>
      <c r="K2699" t="s">
        <v>24</v>
      </c>
    </row>
    <row r="2700" spans="1:13" x14ac:dyDescent="0.25">
      <c r="A2700" t="s">
        <v>3146</v>
      </c>
      <c r="B2700">
        <v>107</v>
      </c>
      <c r="C2700">
        <v>16025394</v>
      </c>
      <c r="D2700" t="s">
        <v>4272</v>
      </c>
      <c r="E2700" t="s">
        <v>13</v>
      </c>
      <c r="F2700" t="s">
        <v>14</v>
      </c>
      <c r="G2700">
        <v>39751583.5</v>
      </c>
      <c r="H2700">
        <v>6.8</v>
      </c>
      <c r="I2700" t="s">
        <v>15</v>
      </c>
      <c r="J2700" t="s">
        <v>31</v>
      </c>
      <c r="K2700" t="s">
        <v>19</v>
      </c>
    </row>
    <row r="2701" spans="1:13" x14ac:dyDescent="0.25">
      <c r="A2701" t="s">
        <v>4273</v>
      </c>
      <c r="B2701">
        <v>95</v>
      </c>
      <c r="C2701">
        <v>16017403</v>
      </c>
      <c r="D2701" t="s">
        <v>4274</v>
      </c>
      <c r="E2701" t="s">
        <v>13</v>
      </c>
      <c r="F2701" t="s">
        <v>14</v>
      </c>
      <c r="G2701">
        <v>5000000</v>
      </c>
      <c r="H2701">
        <v>6.2</v>
      </c>
      <c r="I2701" t="s">
        <v>31</v>
      </c>
      <c r="J2701" t="s">
        <v>19</v>
      </c>
      <c r="K2701" t="s">
        <v>24</v>
      </c>
    </row>
    <row r="2702" spans="1:13" x14ac:dyDescent="0.25">
      <c r="A2702" t="s">
        <v>609</v>
      </c>
      <c r="B2702">
        <v>110</v>
      </c>
      <c r="C2702">
        <v>16005978</v>
      </c>
      <c r="D2702" t="s">
        <v>4275</v>
      </c>
      <c r="E2702" t="s">
        <v>13</v>
      </c>
      <c r="F2702" t="s">
        <v>14</v>
      </c>
      <c r="G2702">
        <v>26000000</v>
      </c>
      <c r="H2702">
        <v>6.4</v>
      </c>
      <c r="I2702" t="s">
        <v>38</v>
      </c>
      <c r="J2702" t="s">
        <v>23</v>
      </c>
      <c r="K2702" t="s">
        <v>24</v>
      </c>
    </row>
    <row r="2703" spans="1:13" x14ac:dyDescent="0.25">
      <c r="A2703" t="s">
        <v>1071</v>
      </c>
      <c r="B2703">
        <v>88</v>
      </c>
      <c r="C2703">
        <v>15988876</v>
      </c>
      <c r="D2703" t="s">
        <v>4276</v>
      </c>
      <c r="E2703" t="s">
        <v>13</v>
      </c>
      <c r="F2703" t="s">
        <v>14</v>
      </c>
      <c r="G2703">
        <v>27000000</v>
      </c>
      <c r="H2703">
        <v>5.7</v>
      </c>
      <c r="I2703" t="s">
        <v>34</v>
      </c>
      <c r="J2703" t="s">
        <v>38</v>
      </c>
      <c r="K2703" t="s">
        <v>24</v>
      </c>
    </row>
    <row r="2704" spans="1:13" x14ac:dyDescent="0.25">
      <c r="A2704" t="s">
        <v>2862</v>
      </c>
      <c r="B2704">
        <v>123</v>
      </c>
      <c r="C2704">
        <v>15962471</v>
      </c>
      <c r="D2704" t="s">
        <v>4277</v>
      </c>
      <c r="E2704" t="s">
        <v>13</v>
      </c>
      <c r="F2704" t="s">
        <v>14</v>
      </c>
      <c r="G2704">
        <v>40000000</v>
      </c>
      <c r="H2704">
        <v>6.4</v>
      </c>
      <c r="I2704" t="s">
        <v>42</v>
      </c>
      <c r="J2704" t="s">
        <v>31</v>
      </c>
      <c r="K2704" t="s">
        <v>64</v>
      </c>
      <c r="L2704" t="s">
        <v>19</v>
      </c>
    </row>
    <row r="2705" spans="1:13" x14ac:dyDescent="0.25">
      <c r="A2705" t="s">
        <v>4278</v>
      </c>
      <c r="B2705">
        <v>91</v>
      </c>
      <c r="C2705">
        <v>15935068</v>
      </c>
      <c r="D2705" t="s">
        <v>4279</v>
      </c>
      <c r="E2705" t="s">
        <v>13</v>
      </c>
      <c r="F2705" t="s">
        <v>14</v>
      </c>
      <c r="G2705">
        <v>2500000</v>
      </c>
      <c r="H2705">
        <v>4.3</v>
      </c>
      <c r="I2705" t="s">
        <v>17</v>
      </c>
      <c r="J2705" t="s">
        <v>22</v>
      </c>
      <c r="K2705" t="s">
        <v>24</v>
      </c>
    </row>
    <row r="2706" spans="1:13" x14ac:dyDescent="0.25">
      <c r="A2706" t="s">
        <v>4280</v>
      </c>
      <c r="B2706">
        <v>85</v>
      </c>
      <c r="C2706">
        <v>15911333</v>
      </c>
      <c r="D2706" t="s">
        <v>4281</v>
      </c>
      <c r="E2706" t="s">
        <v>13</v>
      </c>
      <c r="F2706" t="s">
        <v>82</v>
      </c>
      <c r="G2706">
        <v>19000000</v>
      </c>
      <c r="H2706">
        <v>3.6</v>
      </c>
      <c r="I2706" t="s">
        <v>28</v>
      </c>
      <c r="J2706" t="s">
        <v>15</v>
      </c>
      <c r="K2706" t="s">
        <v>31</v>
      </c>
      <c r="L2706" t="s">
        <v>16</v>
      </c>
      <c r="M2706" t="s">
        <v>17</v>
      </c>
    </row>
    <row r="2707" spans="1:13" x14ac:dyDescent="0.25">
      <c r="A2707" t="s">
        <v>4282</v>
      </c>
      <c r="B2707">
        <v>107</v>
      </c>
      <c r="C2707">
        <v>15854988</v>
      </c>
      <c r="D2707" t="s">
        <v>4283</v>
      </c>
      <c r="E2707" t="s">
        <v>13</v>
      </c>
      <c r="F2707" t="s">
        <v>14</v>
      </c>
      <c r="G2707">
        <v>13500000</v>
      </c>
      <c r="H2707">
        <v>7.4</v>
      </c>
      <c r="I2707" t="s">
        <v>31</v>
      </c>
      <c r="J2707" t="s">
        <v>19</v>
      </c>
    </row>
    <row r="2708" spans="1:13" x14ac:dyDescent="0.25">
      <c r="A2708" t="s">
        <v>4284</v>
      </c>
      <c r="B2708">
        <v>89</v>
      </c>
      <c r="C2708">
        <v>15818967</v>
      </c>
      <c r="D2708" t="s">
        <v>4285</v>
      </c>
      <c r="E2708" t="s">
        <v>13</v>
      </c>
      <c r="F2708" t="s">
        <v>14</v>
      </c>
      <c r="G2708">
        <v>7000000</v>
      </c>
      <c r="H2708">
        <v>4</v>
      </c>
      <c r="I2708" t="s">
        <v>22</v>
      </c>
      <c r="J2708" t="s">
        <v>23</v>
      </c>
    </row>
    <row r="2709" spans="1:13" x14ac:dyDescent="0.25">
      <c r="A2709" t="s">
        <v>1084</v>
      </c>
      <c r="B2709">
        <v>128</v>
      </c>
      <c r="C2709">
        <v>15797907</v>
      </c>
      <c r="D2709" t="s">
        <v>4286</v>
      </c>
      <c r="E2709" t="s">
        <v>4287</v>
      </c>
      <c r="F2709" t="s">
        <v>14</v>
      </c>
      <c r="G2709">
        <v>20000000</v>
      </c>
      <c r="H2709">
        <v>7.6</v>
      </c>
      <c r="I2709" t="s">
        <v>31</v>
      </c>
    </row>
    <row r="2710" spans="1:13" x14ac:dyDescent="0.25">
      <c r="A2710" t="s">
        <v>4288</v>
      </c>
      <c r="B2710">
        <v>106</v>
      </c>
      <c r="C2710">
        <v>15785632</v>
      </c>
      <c r="D2710" t="s">
        <v>4289</v>
      </c>
      <c r="E2710" t="s">
        <v>13</v>
      </c>
      <c r="F2710" t="s">
        <v>82</v>
      </c>
      <c r="G2710">
        <v>23000000</v>
      </c>
      <c r="H2710">
        <v>7.5</v>
      </c>
      <c r="I2710" t="s">
        <v>42</v>
      </c>
      <c r="J2710" t="s">
        <v>15</v>
      </c>
      <c r="K2710" t="s">
        <v>31</v>
      </c>
      <c r="L2710" t="s">
        <v>41</v>
      </c>
    </row>
    <row r="2711" spans="1:13" x14ac:dyDescent="0.25">
      <c r="A2711" t="s">
        <v>4288</v>
      </c>
      <c r="B2711">
        <v>106</v>
      </c>
      <c r="C2711">
        <v>15785632</v>
      </c>
      <c r="D2711" t="s">
        <v>4289</v>
      </c>
      <c r="E2711" t="s">
        <v>13</v>
      </c>
      <c r="F2711" t="s">
        <v>82</v>
      </c>
      <c r="G2711">
        <v>23000000</v>
      </c>
      <c r="H2711">
        <v>7.5</v>
      </c>
      <c r="I2711" t="s">
        <v>42</v>
      </c>
      <c r="J2711" t="s">
        <v>15</v>
      </c>
      <c r="K2711" t="s">
        <v>31</v>
      </c>
      <c r="L2711" t="s">
        <v>41</v>
      </c>
    </row>
    <row r="2712" spans="1:13" x14ac:dyDescent="0.25">
      <c r="A2712" t="s">
        <v>4290</v>
      </c>
      <c r="B2712">
        <v>125</v>
      </c>
      <c r="C2712">
        <v>15738632</v>
      </c>
      <c r="D2712" t="s">
        <v>4291</v>
      </c>
      <c r="E2712" t="s">
        <v>13</v>
      </c>
      <c r="F2712" t="s">
        <v>14</v>
      </c>
      <c r="G2712">
        <v>42000000</v>
      </c>
      <c r="H2712">
        <v>5.9</v>
      </c>
      <c r="I2712" t="s">
        <v>34</v>
      </c>
      <c r="J2712" t="s">
        <v>15</v>
      </c>
      <c r="K2712" t="s">
        <v>38</v>
      </c>
      <c r="L2712" t="s">
        <v>24</v>
      </c>
    </row>
    <row r="2713" spans="1:13" x14ac:dyDescent="0.25">
      <c r="A2713" t="s">
        <v>4292</v>
      </c>
      <c r="B2713">
        <v>84</v>
      </c>
      <c r="C2713">
        <v>15712072</v>
      </c>
      <c r="D2713" t="s">
        <v>4293</v>
      </c>
      <c r="E2713" t="s">
        <v>13</v>
      </c>
      <c r="F2713" t="s">
        <v>14</v>
      </c>
      <c r="G2713">
        <v>20000000</v>
      </c>
      <c r="H2713">
        <v>5.8</v>
      </c>
      <c r="I2713" t="s">
        <v>34</v>
      </c>
      <c r="J2713" t="s">
        <v>38</v>
      </c>
      <c r="K2713" t="s">
        <v>31</v>
      </c>
      <c r="L2713" t="s">
        <v>24</v>
      </c>
    </row>
    <row r="2714" spans="1:13" x14ac:dyDescent="0.25">
      <c r="A2714" t="s">
        <v>737</v>
      </c>
      <c r="B2714">
        <v>130</v>
      </c>
      <c r="C2714">
        <v>15709385</v>
      </c>
      <c r="D2714" t="s">
        <v>4294</v>
      </c>
      <c r="E2714" t="s">
        <v>13</v>
      </c>
      <c r="F2714" t="s">
        <v>14</v>
      </c>
      <c r="G2714">
        <v>30000000</v>
      </c>
      <c r="H2714">
        <v>6.7</v>
      </c>
      <c r="I2714" t="s">
        <v>38</v>
      </c>
      <c r="J2714" t="s">
        <v>31</v>
      </c>
      <c r="K2714" t="s">
        <v>24</v>
      </c>
    </row>
    <row r="2715" spans="1:13" x14ac:dyDescent="0.25">
      <c r="A2715" t="s">
        <v>200</v>
      </c>
      <c r="B2715">
        <v>131</v>
      </c>
      <c r="C2715">
        <v>15700000</v>
      </c>
      <c r="D2715" t="s">
        <v>4295</v>
      </c>
      <c r="E2715" t="s">
        <v>13</v>
      </c>
      <c r="F2715" t="s">
        <v>14</v>
      </c>
      <c r="G2715">
        <v>15000000</v>
      </c>
      <c r="H2715">
        <v>7.6</v>
      </c>
      <c r="I2715" t="s">
        <v>31</v>
      </c>
      <c r="J2715" t="s">
        <v>64</v>
      </c>
      <c r="K2715" t="s">
        <v>24</v>
      </c>
      <c r="L2715" t="s">
        <v>83</v>
      </c>
    </row>
    <row r="2716" spans="1:13" x14ac:dyDescent="0.25">
      <c r="A2716" t="s">
        <v>4296</v>
      </c>
      <c r="B2716">
        <v>134</v>
      </c>
      <c r="C2716">
        <v>15681020</v>
      </c>
      <c r="D2716" t="s">
        <v>4297</v>
      </c>
      <c r="E2716" t="s">
        <v>13</v>
      </c>
      <c r="F2716" t="s">
        <v>82</v>
      </c>
      <c r="G2716">
        <v>17000000</v>
      </c>
      <c r="H2716">
        <v>3.6</v>
      </c>
      <c r="I2716" t="s">
        <v>34</v>
      </c>
      <c r="J2716" t="s">
        <v>28</v>
      </c>
      <c r="K2716" t="s">
        <v>16</v>
      </c>
      <c r="L2716" t="s">
        <v>37</v>
      </c>
    </row>
    <row r="2717" spans="1:13" x14ac:dyDescent="0.25">
      <c r="A2717" t="s">
        <v>4298</v>
      </c>
      <c r="B2717">
        <v>89</v>
      </c>
      <c r="C2717">
        <v>15655665</v>
      </c>
      <c r="D2717" t="s">
        <v>4299</v>
      </c>
      <c r="E2717" t="s">
        <v>13</v>
      </c>
      <c r="F2717" t="s">
        <v>14</v>
      </c>
      <c r="G2717">
        <v>4000000</v>
      </c>
      <c r="H2717">
        <v>3.1</v>
      </c>
      <c r="I2717" t="s">
        <v>15</v>
      </c>
      <c r="J2717" t="s">
        <v>19</v>
      </c>
    </row>
    <row r="2718" spans="1:13" x14ac:dyDescent="0.25">
      <c r="A2718" t="s">
        <v>4300</v>
      </c>
      <c r="B2718">
        <v>107</v>
      </c>
      <c r="C2718">
        <v>15608545</v>
      </c>
      <c r="D2718" t="s">
        <v>4301</v>
      </c>
      <c r="E2718" t="s">
        <v>13</v>
      </c>
      <c r="F2718" t="s">
        <v>14</v>
      </c>
      <c r="G2718">
        <v>15000000</v>
      </c>
      <c r="H2718">
        <v>5.4</v>
      </c>
      <c r="I2718" t="s">
        <v>34</v>
      </c>
    </row>
    <row r="2719" spans="1:13" x14ac:dyDescent="0.25">
      <c r="A2719" t="s">
        <v>1134</v>
      </c>
      <c r="B2719">
        <v>125</v>
      </c>
      <c r="C2719">
        <v>15561627</v>
      </c>
      <c r="D2719" t="s">
        <v>4302</v>
      </c>
      <c r="E2719" t="s">
        <v>13</v>
      </c>
      <c r="F2719" t="s">
        <v>14</v>
      </c>
      <c r="G2719">
        <v>18000000</v>
      </c>
      <c r="H2719">
        <v>7.5</v>
      </c>
      <c r="I2719" t="s">
        <v>31</v>
      </c>
    </row>
    <row r="2720" spans="1:13" x14ac:dyDescent="0.25">
      <c r="A2720" t="s">
        <v>29</v>
      </c>
      <c r="B2720">
        <v>90</v>
      </c>
      <c r="C2720">
        <v>15549702</v>
      </c>
      <c r="D2720" t="s">
        <v>4303</v>
      </c>
      <c r="E2720" t="s">
        <v>13</v>
      </c>
      <c r="F2720" t="s">
        <v>14</v>
      </c>
      <c r="G2720">
        <v>14000000</v>
      </c>
      <c r="H2720">
        <v>4.5999999999999996</v>
      </c>
      <c r="I2720" t="s">
        <v>15</v>
      </c>
      <c r="J2720" t="s">
        <v>19</v>
      </c>
    </row>
    <row r="2721" spans="1:13" x14ac:dyDescent="0.25">
      <c r="A2721" t="s">
        <v>3779</v>
      </c>
      <c r="B2721">
        <v>220</v>
      </c>
      <c r="C2721">
        <v>15527125</v>
      </c>
      <c r="D2721" t="s">
        <v>4304</v>
      </c>
      <c r="E2721" t="s">
        <v>13</v>
      </c>
      <c r="F2721" t="s">
        <v>14</v>
      </c>
      <c r="G2721">
        <v>57000000</v>
      </c>
      <c r="H2721">
        <v>5.8</v>
      </c>
      <c r="I2721" t="s">
        <v>31</v>
      </c>
      <c r="J2721" t="s">
        <v>19</v>
      </c>
      <c r="K2721" t="s">
        <v>69</v>
      </c>
    </row>
    <row r="2722" spans="1:13" x14ac:dyDescent="0.25">
      <c r="A2722" t="s">
        <v>1639</v>
      </c>
      <c r="B2722">
        <v>128</v>
      </c>
      <c r="C2722">
        <v>15523168</v>
      </c>
      <c r="D2722" t="s">
        <v>4305</v>
      </c>
      <c r="E2722" t="s">
        <v>13</v>
      </c>
      <c r="F2722" t="s">
        <v>295</v>
      </c>
      <c r="G2722">
        <v>45000000</v>
      </c>
      <c r="H2722">
        <v>7.2</v>
      </c>
      <c r="I2722" t="s">
        <v>23</v>
      </c>
      <c r="J2722" t="s">
        <v>24</v>
      </c>
    </row>
    <row r="2723" spans="1:13" x14ac:dyDescent="0.25">
      <c r="A2723" t="s">
        <v>4306</v>
      </c>
      <c r="B2723">
        <v>75</v>
      </c>
      <c r="C2723">
        <v>15519841</v>
      </c>
      <c r="D2723" t="s">
        <v>4307</v>
      </c>
      <c r="E2723" t="s">
        <v>13</v>
      </c>
      <c r="F2723" t="s">
        <v>14</v>
      </c>
      <c r="G2723">
        <v>47000000</v>
      </c>
      <c r="H2723">
        <v>4.5</v>
      </c>
      <c r="I2723" t="s">
        <v>28</v>
      </c>
      <c r="J2723" t="s">
        <v>46</v>
      </c>
      <c r="K2723" t="s">
        <v>15</v>
      </c>
      <c r="L2723" t="s">
        <v>16</v>
      </c>
      <c r="M2723" t="s">
        <v>17</v>
      </c>
    </row>
    <row r="2724" spans="1:13" x14ac:dyDescent="0.25">
      <c r="A2724" t="s">
        <v>4308</v>
      </c>
      <c r="B2724">
        <v>100</v>
      </c>
      <c r="C2724">
        <v>15500000</v>
      </c>
      <c r="D2724" t="s">
        <v>4309</v>
      </c>
      <c r="E2724" t="s">
        <v>13</v>
      </c>
      <c r="F2724" t="s">
        <v>241</v>
      </c>
      <c r="G2724">
        <v>16000000</v>
      </c>
      <c r="H2724">
        <v>7</v>
      </c>
      <c r="I2724" t="s">
        <v>23</v>
      </c>
      <c r="J2724" t="s">
        <v>37</v>
      </c>
      <c r="K2724" t="s">
        <v>24</v>
      </c>
    </row>
    <row r="2725" spans="1:13" x14ac:dyDescent="0.25">
      <c r="A2725" t="s">
        <v>2953</v>
      </c>
      <c r="B2725">
        <v>108</v>
      </c>
      <c r="C2725">
        <v>15483540</v>
      </c>
      <c r="D2725" t="s">
        <v>4310</v>
      </c>
      <c r="E2725" t="s">
        <v>13</v>
      </c>
      <c r="F2725" t="s">
        <v>14</v>
      </c>
      <c r="G2725">
        <v>14000000</v>
      </c>
      <c r="H2725">
        <v>6.5</v>
      </c>
      <c r="I2725" t="s">
        <v>28</v>
      </c>
      <c r="J2725" t="s">
        <v>23</v>
      </c>
      <c r="K2725" t="s">
        <v>24</v>
      </c>
    </row>
    <row r="2726" spans="1:13" x14ac:dyDescent="0.25">
      <c r="A2726" t="s">
        <v>923</v>
      </c>
      <c r="B2726">
        <v>98</v>
      </c>
      <c r="C2726">
        <v>15464026</v>
      </c>
      <c r="D2726" t="s">
        <v>4311</v>
      </c>
      <c r="E2726" t="s">
        <v>13</v>
      </c>
      <c r="F2726" t="s">
        <v>14</v>
      </c>
      <c r="G2726">
        <v>20000000</v>
      </c>
      <c r="H2726">
        <v>5.3</v>
      </c>
      <c r="I2726" t="s">
        <v>15</v>
      </c>
      <c r="J2726" t="s">
        <v>19</v>
      </c>
    </row>
    <row r="2727" spans="1:13" x14ac:dyDescent="0.25">
      <c r="A2727" t="s">
        <v>4312</v>
      </c>
      <c r="B2727">
        <v>96</v>
      </c>
      <c r="C2727">
        <v>15427192</v>
      </c>
      <c r="D2727" t="s">
        <v>4313</v>
      </c>
      <c r="E2727" t="s">
        <v>13</v>
      </c>
      <c r="F2727" t="s">
        <v>14</v>
      </c>
      <c r="G2727">
        <v>16000000</v>
      </c>
      <c r="H2727">
        <v>5.6</v>
      </c>
      <c r="I2727" t="s">
        <v>15</v>
      </c>
      <c r="J2727" t="s">
        <v>38</v>
      </c>
      <c r="K2727" t="s">
        <v>23</v>
      </c>
    </row>
    <row r="2728" spans="1:13" x14ac:dyDescent="0.25">
      <c r="A2728" t="s">
        <v>4314</v>
      </c>
      <c r="B2728">
        <v>84</v>
      </c>
      <c r="C2728">
        <v>15417771</v>
      </c>
      <c r="D2728" t="s">
        <v>4315</v>
      </c>
      <c r="E2728" t="s">
        <v>13</v>
      </c>
      <c r="F2728" t="s">
        <v>14</v>
      </c>
      <c r="G2728">
        <v>12600000</v>
      </c>
      <c r="H2728">
        <v>6.1</v>
      </c>
      <c r="I2728" t="s">
        <v>22</v>
      </c>
      <c r="J2728" t="s">
        <v>24</v>
      </c>
    </row>
    <row r="2729" spans="1:13" x14ac:dyDescent="0.25">
      <c r="A2729" t="s">
        <v>832</v>
      </c>
      <c r="B2729">
        <v>101</v>
      </c>
      <c r="C2729">
        <v>15408822</v>
      </c>
      <c r="D2729" t="s">
        <v>4316</v>
      </c>
      <c r="E2729" t="s">
        <v>13</v>
      </c>
      <c r="F2729" t="s">
        <v>14</v>
      </c>
      <c r="G2729">
        <v>20000000</v>
      </c>
      <c r="H2729">
        <v>5.6</v>
      </c>
      <c r="I2729" t="s">
        <v>15</v>
      </c>
      <c r="J2729" t="s">
        <v>19</v>
      </c>
    </row>
    <row r="2730" spans="1:13" x14ac:dyDescent="0.25">
      <c r="A2730" t="s">
        <v>4223</v>
      </c>
      <c r="B2730">
        <v>100</v>
      </c>
      <c r="C2730">
        <v>15369573</v>
      </c>
      <c r="D2730" t="s">
        <v>4317</v>
      </c>
      <c r="E2730" t="s">
        <v>13</v>
      </c>
      <c r="F2730" t="s">
        <v>14</v>
      </c>
      <c r="G2730">
        <v>3000000</v>
      </c>
      <c r="H2730">
        <v>5.3</v>
      </c>
      <c r="I2730" t="s">
        <v>28</v>
      </c>
      <c r="J2730" t="s">
        <v>15</v>
      </c>
      <c r="K2730" t="s">
        <v>37</v>
      </c>
    </row>
    <row r="2731" spans="1:13" x14ac:dyDescent="0.25">
      <c r="A2731" t="s">
        <v>4318</v>
      </c>
      <c r="B2731">
        <v>98</v>
      </c>
      <c r="C2731">
        <v>15361537</v>
      </c>
      <c r="D2731" t="s">
        <v>4319</v>
      </c>
      <c r="E2731" t="s">
        <v>13</v>
      </c>
      <c r="F2731" t="s">
        <v>241</v>
      </c>
      <c r="G2731">
        <v>13000000</v>
      </c>
      <c r="H2731">
        <v>4.5999999999999996</v>
      </c>
      <c r="I2731" t="s">
        <v>34</v>
      </c>
      <c r="J2731" t="s">
        <v>38</v>
      </c>
      <c r="K2731" t="s">
        <v>24</v>
      </c>
    </row>
    <row r="2732" spans="1:13" x14ac:dyDescent="0.25">
      <c r="A2732" t="s">
        <v>4320</v>
      </c>
      <c r="B2732">
        <v>120</v>
      </c>
      <c r="C2732">
        <v>15331289</v>
      </c>
      <c r="D2732" t="s">
        <v>4321</v>
      </c>
      <c r="E2732" t="s">
        <v>13</v>
      </c>
      <c r="F2732" t="s">
        <v>14</v>
      </c>
      <c r="G2732">
        <v>39751583.5</v>
      </c>
      <c r="H2732">
        <v>7.5</v>
      </c>
      <c r="I2732" t="s">
        <v>31</v>
      </c>
      <c r="J2732" t="s">
        <v>64</v>
      </c>
      <c r="K2732" t="s">
        <v>41</v>
      </c>
    </row>
    <row r="2733" spans="1:13" x14ac:dyDescent="0.25">
      <c r="A2733" t="s">
        <v>850</v>
      </c>
      <c r="B2733">
        <v>123</v>
      </c>
      <c r="C2733">
        <v>15294553</v>
      </c>
      <c r="D2733" t="s">
        <v>4322</v>
      </c>
      <c r="E2733" t="s">
        <v>13</v>
      </c>
      <c r="F2733" t="s">
        <v>82</v>
      </c>
      <c r="G2733">
        <v>12000000</v>
      </c>
      <c r="H2733">
        <v>7.8</v>
      </c>
      <c r="I2733" t="s">
        <v>31</v>
      </c>
      <c r="J2733" t="s">
        <v>17</v>
      </c>
      <c r="K2733" t="s">
        <v>19</v>
      </c>
    </row>
    <row r="2734" spans="1:13" x14ac:dyDescent="0.25">
      <c r="A2734" t="s">
        <v>675</v>
      </c>
      <c r="B2734">
        <v>90</v>
      </c>
      <c r="C2734">
        <v>15281286</v>
      </c>
      <c r="D2734" t="s">
        <v>4323</v>
      </c>
      <c r="E2734" t="s">
        <v>13</v>
      </c>
      <c r="F2734" t="s">
        <v>14</v>
      </c>
      <c r="G2734">
        <v>18000000</v>
      </c>
      <c r="H2734">
        <v>6.5</v>
      </c>
      <c r="I2734" t="s">
        <v>15</v>
      </c>
      <c r="J2734" t="s">
        <v>31</v>
      </c>
      <c r="K2734" t="s">
        <v>19</v>
      </c>
    </row>
    <row r="2735" spans="1:13" x14ac:dyDescent="0.25">
      <c r="A2735" t="s">
        <v>1301</v>
      </c>
      <c r="B2735">
        <v>99</v>
      </c>
      <c r="C2735">
        <v>15279680</v>
      </c>
      <c r="D2735" t="s">
        <v>4324</v>
      </c>
      <c r="E2735" t="s">
        <v>13</v>
      </c>
      <c r="F2735" t="s">
        <v>14</v>
      </c>
      <c r="G2735">
        <v>40000000</v>
      </c>
      <c r="H2735">
        <v>5.4</v>
      </c>
      <c r="I2735" t="s">
        <v>34</v>
      </c>
      <c r="J2735" t="s">
        <v>38</v>
      </c>
      <c r="K2735" t="s">
        <v>24</v>
      </c>
    </row>
    <row r="2736" spans="1:13" x14ac:dyDescent="0.25">
      <c r="A2736" t="s">
        <v>4325</v>
      </c>
      <c r="B2736">
        <v>97</v>
      </c>
      <c r="C2736">
        <v>15180000</v>
      </c>
      <c r="D2736" t="s">
        <v>4326</v>
      </c>
      <c r="E2736" t="s">
        <v>13</v>
      </c>
      <c r="F2736" t="s">
        <v>14</v>
      </c>
      <c r="G2736">
        <v>500000</v>
      </c>
      <c r="H2736">
        <v>5.5</v>
      </c>
      <c r="I2736" t="s">
        <v>38</v>
      </c>
      <c r="J2736" t="s">
        <v>31</v>
      </c>
      <c r="K2736" t="s">
        <v>24</v>
      </c>
    </row>
    <row r="2737" spans="1:13" x14ac:dyDescent="0.25">
      <c r="A2737" t="s">
        <v>3336</v>
      </c>
      <c r="B2737">
        <v>93</v>
      </c>
      <c r="C2737">
        <v>15171475</v>
      </c>
      <c r="D2737" t="s">
        <v>4327</v>
      </c>
      <c r="E2737" t="s">
        <v>13</v>
      </c>
      <c r="F2737" t="s">
        <v>14</v>
      </c>
      <c r="G2737">
        <v>8500000</v>
      </c>
      <c r="H2737">
        <v>5.7</v>
      </c>
      <c r="I2737" t="s">
        <v>17</v>
      </c>
      <c r="J2737" t="s">
        <v>22</v>
      </c>
    </row>
    <row r="2738" spans="1:13" x14ac:dyDescent="0.25">
      <c r="A2738" t="s">
        <v>4328</v>
      </c>
      <c r="B2738">
        <v>110</v>
      </c>
      <c r="C2738">
        <v>15156200</v>
      </c>
      <c r="D2738" t="s">
        <v>4329</v>
      </c>
      <c r="E2738" t="s">
        <v>13</v>
      </c>
      <c r="F2738" t="s">
        <v>14</v>
      </c>
      <c r="G2738">
        <v>30000000</v>
      </c>
      <c r="H2738">
        <v>6</v>
      </c>
      <c r="I2738" t="s">
        <v>34</v>
      </c>
      <c r="J2738" t="s">
        <v>38</v>
      </c>
      <c r="K2738" t="s">
        <v>31</v>
      </c>
      <c r="L2738" t="s">
        <v>23</v>
      </c>
      <c r="M2738" t="s">
        <v>24</v>
      </c>
    </row>
    <row r="2739" spans="1:13" x14ac:dyDescent="0.25">
      <c r="A2739" t="s">
        <v>231</v>
      </c>
      <c r="B2739">
        <v>94</v>
      </c>
      <c r="C2739">
        <v>15155772</v>
      </c>
      <c r="D2739" t="s">
        <v>4330</v>
      </c>
      <c r="E2739" t="s">
        <v>13</v>
      </c>
      <c r="F2739" t="s">
        <v>14</v>
      </c>
      <c r="G2739">
        <v>18000000</v>
      </c>
      <c r="H2739">
        <v>5.7</v>
      </c>
      <c r="I2739" t="s">
        <v>15</v>
      </c>
      <c r="J2739" t="s">
        <v>31</v>
      </c>
      <c r="K2739" t="s">
        <v>19</v>
      </c>
    </row>
    <row r="2740" spans="1:13" x14ac:dyDescent="0.25">
      <c r="A2740" t="s">
        <v>4331</v>
      </c>
      <c r="B2740">
        <v>93</v>
      </c>
      <c r="C2740">
        <v>15152879</v>
      </c>
      <c r="D2740" t="s">
        <v>4332</v>
      </c>
      <c r="E2740" t="s">
        <v>13</v>
      </c>
      <c r="F2740" t="s">
        <v>295</v>
      </c>
      <c r="G2740">
        <v>5000000</v>
      </c>
      <c r="H2740">
        <v>4</v>
      </c>
      <c r="I2740" t="s">
        <v>31</v>
      </c>
      <c r="J2740" t="s">
        <v>22</v>
      </c>
      <c r="K2740" t="s">
        <v>24</v>
      </c>
    </row>
    <row r="2741" spans="1:13" x14ac:dyDescent="0.25">
      <c r="A2741" t="s">
        <v>1720</v>
      </c>
      <c r="B2741">
        <v>94</v>
      </c>
      <c r="C2741">
        <v>15131330</v>
      </c>
      <c r="D2741" t="s">
        <v>4333</v>
      </c>
      <c r="E2741" t="s">
        <v>13</v>
      </c>
      <c r="F2741" t="s">
        <v>295</v>
      </c>
      <c r="G2741">
        <v>86000000</v>
      </c>
      <c r="H2741">
        <v>6</v>
      </c>
      <c r="I2741" t="s">
        <v>28</v>
      </c>
      <c r="J2741" t="s">
        <v>46</v>
      </c>
      <c r="K2741" t="s">
        <v>16</v>
      </c>
      <c r="L2741" t="s">
        <v>17</v>
      </c>
    </row>
    <row r="2742" spans="1:13" x14ac:dyDescent="0.25">
      <c r="A2742" t="s">
        <v>4334</v>
      </c>
      <c r="B2742">
        <v>93</v>
      </c>
      <c r="C2742">
        <v>15126948</v>
      </c>
      <c r="D2742" t="s">
        <v>4335</v>
      </c>
      <c r="E2742" t="s">
        <v>13</v>
      </c>
      <c r="F2742" t="s">
        <v>14</v>
      </c>
      <c r="G2742">
        <v>5000000</v>
      </c>
      <c r="H2742">
        <v>4.9000000000000004</v>
      </c>
      <c r="I2742" t="s">
        <v>22</v>
      </c>
      <c r="J2742" t="s">
        <v>24</v>
      </c>
    </row>
    <row r="2743" spans="1:13" x14ac:dyDescent="0.25">
      <c r="A2743" t="s">
        <v>4336</v>
      </c>
      <c r="B2743">
        <v>89</v>
      </c>
      <c r="C2743">
        <v>15102127</v>
      </c>
      <c r="D2743" t="s">
        <v>4337</v>
      </c>
      <c r="E2743" t="s">
        <v>13</v>
      </c>
      <c r="F2743" t="s">
        <v>14</v>
      </c>
      <c r="G2743">
        <v>39751583.5</v>
      </c>
      <c r="H2743">
        <v>5.8</v>
      </c>
      <c r="I2743" t="s">
        <v>15</v>
      </c>
    </row>
    <row r="2744" spans="1:13" x14ac:dyDescent="0.25">
      <c r="A2744" t="s">
        <v>1817</v>
      </c>
      <c r="B2744">
        <v>114</v>
      </c>
      <c r="C2744">
        <v>15100000</v>
      </c>
      <c r="D2744" t="s">
        <v>4338</v>
      </c>
      <c r="E2744" t="s">
        <v>13</v>
      </c>
      <c r="F2744" t="s">
        <v>14</v>
      </c>
      <c r="G2744">
        <v>15000000</v>
      </c>
      <c r="H2744">
        <v>6</v>
      </c>
      <c r="I2744" t="s">
        <v>34</v>
      </c>
      <c r="J2744" t="s">
        <v>22</v>
      </c>
      <c r="K2744" t="s">
        <v>37</v>
      </c>
      <c r="L2744" t="s">
        <v>24</v>
      </c>
    </row>
    <row r="2745" spans="1:13" x14ac:dyDescent="0.25">
      <c r="A2745" t="s">
        <v>4339</v>
      </c>
      <c r="B2745">
        <v>90</v>
      </c>
      <c r="C2745">
        <v>15091542</v>
      </c>
      <c r="D2745" t="s">
        <v>4340</v>
      </c>
      <c r="E2745" t="s">
        <v>1351</v>
      </c>
      <c r="F2745" t="s">
        <v>82</v>
      </c>
      <c r="G2745">
        <v>25000000</v>
      </c>
      <c r="H2745">
        <v>5.3</v>
      </c>
      <c r="I2745" t="s">
        <v>28</v>
      </c>
      <c r="J2745" t="s">
        <v>16</v>
      </c>
      <c r="K2745" t="s">
        <v>17</v>
      </c>
      <c r="L2745" t="s">
        <v>59</v>
      </c>
    </row>
    <row r="2746" spans="1:13" x14ac:dyDescent="0.25">
      <c r="A2746" t="s">
        <v>4341</v>
      </c>
      <c r="B2746">
        <v>101</v>
      </c>
      <c r="C2746">
        <v>15081783</v>
      </c>
      <c r="D2746" t="s">
        <v>4342</v>
      </c>
      <c r="E2746" t="s">
        <v>1226</v>
      </c>
      <c r="F2746" t="s">
        <v>27</v>
      </c>
      <c r="G2746">
        <v>34000000</v>
      </c>
      <c r="H2746">
        <v>7.7</v>
      </c>
      <c r="I2746" t="s">
        <v>28</v>
      </c>
      <c r="J2746" t="s">
        <v>46</v>
      </c>
      <c r="K2746" t="s">
        <v>16</v>
      </c>
      <c r="L2746" t="s">
        <v>17</v>
      </c>
    </row>
    <row r="2747" spans="1:13" x14ac:dyDescent="0.25">
      <c r="A2747" t="s">
        <v>4343</v>
      </c>
      <c r="B2747">
        <v>99</v>
      </c>
      <c r="C2747">
        <v>15071514</v>
      </c>
      <c r="D2747" t="s">
        <v>4344</v>
      </c>
      <c r="E2747" t="s">
        <v>13</v>
      </c>
      <c r="F2747" t="s">
        <v>14</v>
      </c>
      <c r="G2747">
        <v>80000000</v>
      </c>
      <c r="H2747">
        <v>5.9</v>
      </c>
      <c r="I2747" t="s">
        <v>37</v>
      </c>
      <c r="J2747" t="s">
        <v>24</v>
      </c>
    </row>
    <row r="2748" spans="1:13" x14ac:dyDescent="0.25">
      <c r="A2748" t="s">
        <v>4345</v>
      </c>
      <c r="B2748">
        <v>96</v>
      </c>
      <c r="C2748">
        <v>15062898</v>
      </c>
      <c r="D2748" t="s">
        <v>4346</v>
      </c>
      <c r="E2748" t="s">
        <v>13</v>
      </c>
      <c r="F2748" t="s">
        <v>14</v>
      </c>
      <c r="G2748">
        <v>14000000</v>
      </c>
      <c r="H2748">
        <v>6</v>
      </c>
      <c r="I2748" t="s">
        <v>15</v>
      </c>
    </row>
    <row r="2749" spans="1:13" x14ac:dyDescent="0.25">
      <c r="A2749" t="s">
        <v>4347</v>
      </c>
      <c r="B2749">
        <v>102</v>
      </c>
      <c r="C2749">
        <v>15047419</v>
      </c>
      <c r="D2749" t="s">
        <v>4348</v>
      </c>
      <c r="E2749" t="s">
        <v>13</v>
      </c>
      <c r="F2749" t="s">
        <v>14</v>
      </c>
      <c r="G2749">
        <v>7000000</v>
      </c>
      <c r="H2749">
        <v>7.6</v>
      </c>
      <c r="I2749" t="s">
        <v>38</v>
      </c>
      <c r="J2749" t="s">
        <v>31</v>
      </c>
    </row>
    <row r="2750" spans="1:13" x14ac:dyDescent="0.25">
      <c r="A2750" t="s">
        <v>4349</v>
      </c>
      <c r="B2750">
        <v>115</v>
      </c>
      <c r="C2750">
        <v>15045676</v>
      </c>
      <c r="D2750" t="s">
        <v>4350</v>
      </c>
      <c r="E2750" t="s">
        <v>13</v>
      </c>
      <c r="F2750" t="s">
        <v>14</v>
      </c>
      <c r="G2750">
        <v>16000000</v>
      </c>
      <c r="H2750">
        <v>5.6</v>
      </c>
      <c r="I2750" t="s">
        <v>31</v>
      </c>
      <c r="J2750" t="s">
        <v>17</v>
      </c>
      <c r="K2750" t="s">
        <v>23</v>
      </c>
      <c r="L2750" t="s">
        <v>24</v>
      </c>
    </row>
    <row r="2751" spans="1:13" x14ac:dyDescent="0.25">
      <c r="A2751" t="s">
        <v>521</v>
      </c>
      <c r="B2751">
        <v>92</v>
      </c>
      <c r="C2751">
        <v>14998070</v>
      </c>
      <c r="D2751" t="s">
        <v>4351</v>
      </c>
      <c r="E2751" t="s">
        <v>13</v>
      </c>
      <c r="F2751" t="s">
        <v>14</v>
      </c>
      <c r="G2751">
        <v>35000000</v>
      </c>
      <c r="H2751">
        <v>6.2</v>
      </c>
      <c r="I2751" t="s">
        <v>31</v>
      </c>
      <c r="J2751" t="s">
        <v>24</v>
      </c>
      <c r="K2751" t="s">
        <v>83</v>
      </c>
    </row>
    <row r="2752" spans="1:13" x14ac:dyDescent="0.25">
      <c r="A2752" t="s">
        <v>4352</v>
      </c>
      <c r="B2752">
        <v>110</v>
      </c>
      <c r="C2752">
        <v>14989761</v>
      </c>
      <c r="D2752" t="s">
        <v>4353</v>
      </c>
      <c r="E2752" t="s">
        <v>13</v>
      </c>
      <c r="F2752" t="s">
        <v>82</v>
      </c>
      <c r="G2752">
        <v>15000000</v>
      </c>
      <c r="H2752">
        <v>7.2</v>
      </c>
      <c r="I2752" t="s">
        <v>15</v>
      </c>
      <c r="J2752" t="s">
        <v>38</v>
      </c>
    </row>
    <row r="2753" spans="1:12" x14ac:dyDescent="0.25">
      <c r="A2753" t="s">
        <v>1034</v>
      </c>
      <c r="B2753">
        <v>99</v>
      </c>
      <c r="C2753">
        <v>14983572</v>
      </c>
      <c r="D2753" t="s">
        <v>4354</v>
      </c>
      <c r="E2753" t="s">
        <v>13</v>
      </c>
      <c r="F2753" t="s">
        <v>14</v>
      </c>
      <c r="G2753">
        <v>25000000</v>
      </c>
      <c r="H2753">
        <v>4.7</v>
      </c>
      <c r="I2753" t="s">
        <v>15</v>
      </c>
      <c r="J2753" t="s">
        <v>31</v>
      </c>
      <c r="K2753" t="s">
        <v>19</v>
      </c>
    </row>
    <row r="2754" spans="1:12" x14ac:dyDescent="0.25">
      <c r="A2754" t="s">
        <v>2808</v>
      </c>
      <c r="B2754">
        <v>102</v>
      </c>
      <c r="C2754">
        <v>14967182</v>
      </c>
      <c r="D2754" t="s">
        <v>4355</v>
      </c>
      <c r="E2754" t="s">
        <v>13</v>
      </c>
      <c r="F2754" t="s">
        <v>14</v>
      </c>
      <c r="G2754">
        <v>40000000</v>
      </c>
      <c r="H2754">
        <v>5.0999999999999996</v>
      </c>
      <c r="I2754" t="s">
        <v>34</v>
      </c>
      <c r="J2754" t="s">
        <v>38</v>
      </c>
      <c r="K2754" t="s">
        <v>31</v>
      </c>
      <c r="L2754" t="s">
        <v>24</v>
      </c>
    </row>
    <row r="2755" spans="1:12" x14ac:dyDescent="0.25">
      <c r="A2755" t="s">
        <v>882</v>
      </c>
      <c r="B2755">
        <v>127</v>
      </c>
      <c r="C2755">
        <v>14946229</v>
      </c>
      <c r="D2755" t="s">
        <v>4356</v>
      </c>
      <c r="E2755" t="s">
        <v>13</v>
      </c>
      <c r="F2755" t="s">
        <v>82</v>
      </c>
      <c r="G2755">
        <v>25000000</v>
      </c>
      <c r="H2755">
        <v>7.3</v>
      </c>
      <c r="I2755" t="s">
        <v>42</v>
      </c>
      <c r="J2755" t="s">
        <v>38</v>
      </c>
      <c r="K2755" t="s">
        <v>31</v>
      </c>
      <c r="L2755" t="s">
        <v>24</v>
      </c>
    </row>
    <row r="2756" spans="1:12" x14ac:dyDescent="0.25">
      <c r="A2756" t="s">
        <v>3407</v>
      </c>
      <c r="B2756">
        <v>101</v>
      </c>
      <c r="C2756">
        <v>14942422</v>
      </c>
      <c r="D2756" t="s">
        <v>4357</v>
      </c>
      <c r="E2756" t="s">
        <v>13</v>
      </c>
      <c r="F2756" t="s">
        <v>14</v>
      </c>
      <c r="G2756">
        <v>40000000</v>
      </c>
      <c r="H2756">
        <v>5.9</v>
      </c>
      <c r="I2756" t="s">
        <v>34</v>
      </c>
      <c r="J2756" t="s">
        <v>38</v>
      </c>
      <c r="K2756" t="s">
        <v>24</v>
      </c>
    </row>
    <row r="2757" spans="1:12" x14ac:dyDescent="0.25">
      <c r="A2757" t="s">
        <v>4358</v>
      </c>
      <c r="B2757">
        <v>97</v>
      </c>
      <c r="C2757">
        <v>14938570</v>
      </c>
      <c r="D2757" t="s">
        <v>4359</v>
      </c>
      <c r="E2757" t="s">
        <v>13</v>
      </c>
      <c r="F2757" t="s">
        <v>14</v>
      </c>
      <c r="G2757">
        <v>15000000</v>
      </c>
      <c r="H2757">
        <v>6.2</v>
      </c>
      <c r="I2757" t="s">
        <v>38</v>
      </c>
      <c r="J2757" t="s">
        <v>24</v>
      </c>
    </row>
    <row r="2758" spans="1:12" x14ac:dyDescent="0.25">
      <c r="A2758" t="s">
        <v>229</v>
      </c>
      <c r="B2758">
        <v>92</v>
      </c>
      <c r="C2758">
        <v>14891000</v>
      </c>
      <c r="D2758" t="s">
        <v>4360</v>
      </c>
      <c r="E2758" t="s">
        <v>13</v>
      </c>
      <c r="F2758" t="s">
        <v>14</v>
      </c>
      <c r="G2758">
        <v>7000000</v>
      </c>
      <c r="H2758">
        <v>6.8</v>
      </c>
      <c r="I2758" t="s">
        <v>15</v>
      </c>
    </row>
    <row r="2759" spans="1:12" x14ac:dyDescent="0.25">
      <c r="A2759" t="s">
        <v>4361</v>
      </c>
      <c r="B2759">
        <v>93</v>
      </c>
      <c r="C2759">
        <v>14888028</v>
      </c>
      <c r="D2759" t="s">
        <v>4362</v>
      </c>
      <c r="E2759" t="s">
        <v>13</v>
      </c>
      <c r="F2759" t="s">
        <v>14</v>
      </c>
      <c r="G2759">
        <v>30000000</v>
      </c>
      <c r="H2759">
        <v>5.0999999999999996</v>
      </c>
      <c r="I2759" t="s">
        <v>28</v>
      </c>
      <c r="J2759" t="s">
        <v>22</v>
      </c>
      <c r="K2759" t="s">
        <v>24</v>
      </c>
    </row>
    <row r="2760" spans="1:12" x14ac:dyDescent="0.25">
      <c r="A2760" t="s">
        <v>375</v>
      </c>
      <c r="B2760">
        <v>103</v>
      </c>
      <c r="C2760">
        <v>14879556</v>
      </c>
      <c r="D2760" t="s">
        <v>4363</v>
      </c>
      <c r="E2760" t="s">
        <v>13</v>
      </c>
      <c r="F2760" t="s">
        <v>14</v>
      </c>
      <c r="G2760">
        <v>8000000</v>
      </c>
      <c r="H2760">
        <v>7.3</v>
      </c>
      <c r="I2760" t="s">
        <v>15</v>
      </c>
      <c r="J2760" t="s">
        <v>31</v>
      </c>
    </row>
    <row r="2761" spans="1:12" x14ac:dyDescent="0.25">
      <c r="A2761" t="s">
        <v>4364</v>
      </c>
      <c r="B2761">
        <v>109</v>
      </c>
      <c r="C2761">
        <v>14821531</v>
      </c>
      <c r="D2761" t="s">
        <v>4365</v>
      </c>
      <c r="E2761" t="s">
        <v>13</v>
      </c>
      <c r="F2761" t="s">
        <v>14</v>
      </c>
      <c r="G2761">
        <v>6000000</v>
      </c>
      <c r="H2761">
        <v>7.3</v>
      </c>
      <c r="I2761" t="s">
        <v>31</v>
      </c>
    </row>
    <row r="2762" spans="1:12" x14ac:dyDescent="0.25">
      <c r="A2762" t="s">
        <v>264</v>
      </c>
      <c r="B2762">
        <v>102</v>
      </c>
      <c r="C2762">
        <v>14793904</v>
      </c>
      <c r="D2762" t="s">
        <v>4366</v>
      </c>
      <c r="E2762" t="s">
        <v>13</v>
      </c>
      <c r="F2762" t="s">
        <v>98</v>
      </c>
      <c r="G2762">
        <v>18000000</v>
      </c>
      <c r="H2762">
        <v>5.3</v>
      </c>
      <c r="I2762" t="s">
        <v>15</v>
      </c>
      <c r="J2762" t="s">
        <v>19</v>
      </c>
    </row>
    <row r="2763" spans="1:12" x14ac:dyDescent="0.25">
      <c r="A2763" t="s">
        <v>908</v>
      </c>
      <c r="B2763">
        <v>88</v>
      </c>
      <c r="C2763">
        <v>14792779</v>
      </c>
      <c r="D2763" t="s">
        <v>4367</v>
      </c>
      <c r="E2763" t="s">
        <v>13</v>
      </c>
      <c r="F2763" t="s">
        <v>14</v>
      </c>
      <c r="G2763">
        <v>16000000</v>
      </c>
      <c r="H2763">
        <v>7.6</v>
      </c>
      <c r="I2763" t="s">
        <v>15</v>
      </c>
    </row>
    <row r="2764" spans="1:12" x14ac:dyDescent="0.25">
      <c r="A2764" t="s">
        <v>4368</v>
      </c>
      <c r="B2764">
        <v>118</v>
      </c>
      <c r="C2764">
        <v>14677654</v>
      </c>
      <c r="D2764" t="s">
        <v>4369</v>
      </c>
      <c r="E2764" t="s">
        <v>13</v>
      </c>
      <c r="F2764" t="s">
        <v>1465</v>
      </c>
      <c r="G2764">
        <v>13000000</v>
      </c>
      <c r="H2764">
        <v>8.3000000000000007</v>
      </c>
      <c r="I2764" t="s">
        <v>31</v>
      </c>
    </row>
    <row r="2765" spans="1:12" x14ac:dyDescent="0.25">
      <c r="A2765" t="s">
        <v>4370</v>
      </c>
      <c r="B2765">
        <v>100</v>
      </c>
      <c r="C2765">
        <v>14673301</v>
      </c>
      <c r="D2765" t="s">
        <v>4371</v>
      </c>
      <c r="E2765" t="s">
        <v>13</v>
      </c>
      <c r="F2765" t="s">
        <v>14</v>
      </c>
      <c r="G2765">
        <v>2000000</v>
      </c>
      <c r="H2765">
        <v>6.9</v>
      </c>
      <c r="I2765" t="s">
        <v>22</v>
      </c>
      <c r="J2765" t="s">
        <v>23</v>
      </c>
    </row>
    <row r="2766" spans="1:12" x14ac:dyDescent="0.25">
      <c r="A2766" t="s">
        <v>121</v>
      </c>
      <c r="B2766">
        <v>107</v>
      </c>
      <c r="C2766">
        <v>14637490</v>
      </c>
      <c r="D2766" t="s">
        <v>4372</v>
      </c>
      <c r="E2766" t="s">
        <v>13</v>
      </c>
      <c r="F2766" t="s">
        <v>14</v>
      </c>
      <c r="G2766">
        <v>25000000</v>
      </c>
      <c r="H2766">
        <v>4.8</v>
      </c>
      <c r="I2766" t="s">
        <v>22</v>
      </c>
      <c r="J2766" t="s">
        <v>23</v>
      </c>
      <c r="K2766" t="s">
        <v>24</v>
      </c>
    </row>
    <row r="2767" spans="1:12" x14ac:dyDescent="0.25">
      <c r="A2767" t="s">
        <v>3115</v>
      </c>
      <c r="B2767">
        <v>116</v>
      </c>
      <c r="C2767">
        <v>14612840</v>
      </c>
      <c r="D2767" t="s">
        <v>4373</v>
      </c>
      <c r="E2767" t="s">
        <v>13</v>
      </c>
      <c r="F2767" t="s">
        <v>14</v>
      </c>
      <c r="G2767">
        <v>7000000</v>
      </c>
      <c r="H2767">
        <v>6.9</v>
      </c>
      <c r="I2767" t="s">
        <v>31</v>
      </c>
      <c r="J2767" t="s">
        <v>18</v>
      </c>
    </row>
    <row r="2768" spans="1:12" x14ac:dyDescent="0.25">
      <c r="A2768" t="s">
        <v>3334</v>
      </c>
      <c r="B2768">
        <v>99</v>
      </c>
      <c r="C2768">
        <v>14597405</v>
      </c>
      <c r="D2768" t="s">
        <v>4374</v>
      </c>
      <c r="E2768" t="s">
        <v>13</v>
      </c>
      <c r="F2768" t="s">
        <v>82</v>
      </c>
      <c r="G2768">
        <v>6400000</v>
      </c>
      <c r="H2768">
        <v>7</v>
      </c>
      <c r="I2768" t="s">
        <v>42</v>
      </c>
      <c r="J2768" t="s">
        <v>31</v>
      </c>
    </row>
    <row r="2769" spans="1:13" x14ac:dyDescent="0.25">
      <c r="A2769" t="s">
        <v>384</v>
      </c>
      <c r="B2769">
        <v>110</v>
      </c>
      <c r="C2769">
        <v>14589444</v>
      </c>
      <c r="D2769" t="s">
        <v>4375</v>
      </c>
      <c r="E2769" t="s">
        <v>13</v>
      </c>
      <c r="F2769" t="s">
        <v>14</v>
      </c>
      <c r="G2769">
        <v>25000000</v>
      </c>
      <c r="H2769">
        <v>6.8</v>
      </c>
      <c r="I2769" t="s">
        <v>15</v>
      </c>
      <c r="J2769" t="s">
        <v>31</v>
      </c>
      <c r="K2769" t="s">
        <v>19</v>
      </c>
    </row>
    <row r="2770" spans="1:13" x14ac:dyDescent="0.25">
      <c r="A2770" t="s">
        <v>1724</v>
      </c>
      <c r="B2770">
        <v>115</v>
      </c>
      <c r="C2770">
        <v>14587732</v>
      </c>
      <c r="D2770" t="s">
        <v>4376</v>
      </c>
      <c r="E2770" t="s">
        <v>13</v>
      </c>
      <c r="F2770" t="s">
        <v>14</v>
      </c>
      <c r="G2770">
        <v>35000000</v>
      </c>
      <c r="H2770">
        <v>5.7</v>
      </c>
      <c r="I2770" t="s">
        <v>34</v>
      </c>
      <c r="J2770" t="s">
        <v>31</v>
      </c>
      <c r="K2770" t="s">
        <v>24</v>
      </c>
      <c r="L2770" t="s">
        <v>83</v>
      </c>
    </row>
    <row r="2771" spans="1:13" x14ac:dyDescent="0.25">
      <c r="A2771" t="s">
        <v>417</v>
      </c>
      <c r="B2771">
        <v>99</v>
      </c>
      <c r="C2771">
        <v>14567883</v>
      </c>
      <c r="D2771" t="s">
        <v>4377</v>
      </c>
      <c r="E2771" t="s">
        <v>13</v>
      </c>
      <c r="F2771" t="s">
        <v>82</v>
      </c>
      <c r="G2771">
        <v>75000000</v>
      </c>
      <c r="H2771">
        <v>6</v>
      </c>
      <c r="I2771" t="s">
        <v>34</v>
      </c>
      <c r="J2771" t="s">
        <v>31</v>
      </c>
      <c r="K2771" t="s">
        <v>37</v>
      </c>
    </row>
    <row r="2772" spans="1:13" x14ac:dyDescent="0.25">
      <c r="A2772" t="s">
        <v>4378</v>
      </c>
      <c r="B2772">
        <v>86</v>
      </c>
      <c r="C2772">
        <v>14564027</v>
      </c>
      <c r="D2772" t="s">
        <v>4379</v>
      </c>
      <c r="E2772" t="s">
        <v>13</v>
      </c>
      <c r="F2772" t="s">
        <v>82</v>
      </c>
      <c r="G2772">
        <v>1000000</v>
      </c>
      <c r="H2772">
        <v>7</v>
      </c>
      <c r="I2772" t="s">
        <v>17</v>
      </c>
      <c r="J2772" t="s">
        <v>22</v>
      </c>
    </row>
    <row r="2773" spans="1:13" x14ac:dyDescent="0.25">
      <c r="A2773" t="s">
        <v>302</v>
      </c>
      <c r="B2773">
        <v>121</v>
      </c>
      <c r="C2773">
        <v>14545844</v>
      </c>
      <c r="D2773" t="s">
        <v>4380</v>
      </c>
      <c r="E2773" t="s">
        <v>13</v>
      </c>
      <c r="F2773" t="s">
        <v>14</v>
      </c>
      <c r="G2773">
        <v>6500000</v>
      </c>
      <c r="H2773">
        <v>5.8</v>
      </c>
      <c r="I2773" t="s">
        <v>15</v>
      </c>
      <c r="J2773" t="s">
        <v>31</v>
      </c>
      <c r="K2773" t="s">
        <v>59</v>
      </c>
    </row>
    <row r="2774" spans="1:13" x14ac:dyDescent="0.25">
      <c r="A2774" t="s">
        <v>1713</v>
      </c>
      <c r="B2774">
        <v>160</v>
      </c>
      <c r="C2774">
        <v>14500000</v>
      </c>
      <c r="D2774" t="s">
        <v>4381</v>
      </c>
      <c r="E2774" t="s">
        <v>13</v>
      </c>
      <c r="F2774" t="s">
        <v>27</v>
      </c>
      <c r="G2774">
        <v>25000000</v>
      </c>
      <c r="H2774">
        <v>7.5</v>
      </c>
      <c r="I2774" t="s">
        <v>34</v>
      </c>
      <c r="J2774" t="s">
        <v>31</v>
      </c>
      <c r="K2774" t="s">
        <v>64</v>
      </c>
      <c r="L2774" t="s">
        <v>83</v>
      </c>
    </row>
    <row r="2775" spans="1:13" x14ac:dyDescent="0.25">
      <c r="A2775" t="s">
        <v>554</v>
      </c>
      <c r="B2775">
        <v>106</v>
      </c>
      <c r="C2775">
        <v>14479776</v>
      </c>
      <c r="D2775" t="s">
        <v>4382</v>
      </c>
      <c r="E2775" t="s">
        <v>13</v>
      </c>
      <c r="F2775" t="s">
        <v>14</v>
      </c>
      <c r="G2775">
        <v>10000000</v>
      </c>
      <c r="H2775">
        <v>7</v>
      </c>
      <c r="I2775" t="s">
        <v>42</v>
      </c>
      <c r="J2775" t="s">
        <v>38</v>
      </c>
      <c r="K2775" t="s">
        <v>31</v>
      </c>
      <c r="L2775" t="s">
        <v>19</v>
      </c>
    </row>
    <row r="2776" spans="1:13" x14ac:dyDescent="0.25">
      <c r="A2776" t="s">
        <v>78</v>
      </c>
      <c r="B2776">
        <v>110</v>
      </c>
      <c r="C2776">
        <v>14469428</v>
      </c>
      <c r="D2776" t="s">
        <v>4383</v>
      </c>
      <c r="E2776" t="s">
        <v>13</v>
      </c>
      <c r="F2776" t="s">
        <v>14</v>
      </c>
      <c r="G2776">
        <v>26000000</v>
      </c>
      <c r="H2776">
        <v>5.2</v>
      </c>
      <c r="I2776" t="s">
        <v>15</v>
      </c>
      <c r="J2776" t="s">
        <v>19</v>
      </c>
    </row>
    <row r="2777" spans="1:13" x14ac:dyDescent="0.25">
      <c r="A2777" t="s">
        <v>378</v>
      </c>
      <c r="B2777">
        <v>103</v>
      </c>
      <c r="C2777">
        <v>14448589</v>
      </c>
      <c r="D2777" t="s">
        <v>4384</v>
      </c>
      <c r="E2777" t="s">
        <v>13</v>
      </c>
      <c r="F2777" t="s">
        <v>14</v>
      </c>
      <c r="G2777">
        <v>40000000</v>
      </c>
      <c r="H2777">
        <v>5.8</v>
      </c>
      <c r="I2777" t="s">
        <v>15</v>
      </c>
      <c r="J2777" t="s">
        <v>19</v>
      </c>
    </row>
    <row r="2778" spans="1:13" x14ac:dyDescent="0.25">
      <c r="A2778" t="s">
        <v>4385</v>
      </c>
      <c r="B2778">
        <v>98</v>
      </c>
      <c r="C2778">
        <v>14400000</v>
      </c>
      <c r="D2778" t="s">
        <v>4386</v>
      </c>
      <c r="E2778" t="s">
        <v>13</v>
      </c>
      <c r="F2778" t="s">
        <v>14</v>
      </c>
      <c r="G2778">
        <v>2500000</v>
      </c>
      <c r="H2778">
        <v>4.5999999999999996</v>
      </c>
      <c r="I2778" t="s">
        <v>22</v>
      </c>
      <c r="J2778" t="s">
        <v>23</v>
      </c>
      <c r="K2778" t="s">
        <v>37</v>
      </c>
    </row>
    <row r="2779" spans="1:13" x14ac:dyDescent="0.25">
      <c r="A2779" t="s">
        <v>815</v>
      </c>
      <c r="B2779">
        <v>127</v>
      </c>
      <c r="C2779">
        <v>14378353</v>
      </c>
      <c r="D2779" t="s">
        <v>4387</v>
      </c>
      <c r="E2779" t="s">
        <v>13</v>
      </c>
      <c r="F2779" t="s">
        <v>14</v>
      </c>
      <c r="G2779">
        <v>36000000</v>
      </c>
      <c r="H2779">
        <v>6.8</v>
      </c>
      <c r="I2779" t="s">
        <v>31</v>
      </c>
      <c r="J2779" t="s">
        <v>23</v>
      </c>
      <c r="K2779" t="s">
        <v>19</v>
      </c>
      <c r="L2779" t="s">
        <v>24</v>
      </c>
    </row>
    <row r="2780" spans="1:13" x14ac:dyDescent="0.25">
      <c r="A2780" t="s">
        <v>4388</v>
      </c>
      <c r="B2780">
        <v>107</v>
      </c>
      <c r="C2780">
        <v>14375181</v>
      </c>
      <c r="D2780" t="s">
        <v>4389</v>
      </c>
      <c r="E2780" t="s">
        <v>13</v>
      </c>
      <c r="F2780" t="s">
        <v>14</v>
      </c>
      <c r="G2780">
        <v>51000000</v>
      </c>
      <c r="H2780">
        <v>4.2</v>
      </c>
      <c r="I2780" t="s">
        <v>34</v>
      </c>
      <c r="J2780" t="s">
        <v>28</v>
      </c>
      <c r="K2780" t="s">
        <v>15</v>
      </c>
      <c r="L2780" t="s">
        <v>18</v>
      </c>
      <c r="M2780" t="s">
        <v>24</v>
      </c>
    </row>
    <row r="2781" spans="1:13" x14ac:dyDescent="0.25">
      <c r="A2781" t="s">
        <v>4390</v>
      </c>
      <c r="B2781">
        <v>84</v>
      </c>
      <c r="C2781">
        <v>14373825</v>
      </c>
      <c r="D2781" t="s">
        <v>4391</v>
      </c>
      <c r="E2781" t="s">
        <v>13</v>
      </c>
      <c r="F2781" t="s">
        <v>14</v>
      </c>
      <c r="G2781">
        <v>8600000</v>
      </c>
      <c r="H2781">
        <v>6.5</v>
      </c>
      <c r="I2781" t="s">
        <v>38</v>
      </c>
      <c r="J2781" t="s">
        <v>23</v>
      </c>
      <c r="K2781" t="s">
        <v>24</v>
      </c>
    </row>
    <row r="2782" spans="1:13" x14ac:dyDescent="0.25">
      <c r="A2782" t="s">
        <v>2282</v>
      </c>
      <c r="B2782">
        <v>105</v>
      </c>
      <c r="C2782">
        <v>14359793</v>
      </c>
      <c r="D2782" t="s">
        <v>4392</v>
      </c>
      <c r="E2782" t="s">
        <v>13</v>
      </c>
      <c r="F2782" t="s">
        <v>14</v>
      </c>
      <c r="G2782">
        <v>39751583.5</v>
      </c>
      <c r="H2782">
        <v>7.4</v>
      </c>
      <c r="I2782" t="s">
        <v>38</v>
      </c>
      <c r="J2782" t="s">
        <v>52</v>
      </c>
      <c r="K2782" t="s">
        <v>92</v>
      </c>
    </row>
    <row r="2783" spans="1:13" x14ac:dyDescent="0.25">
      <c r="A2783" t="s">
        <v>2789</v>
      </c>
      <c r="B2783">
        <v>99</v>
      </c>
      <c r="C2783">
        <v>14358033</v>
      </c>
      <c r="D2783" t="s">
        <v>4393</v>
      </c>
      <c r="E2783" t="s">
        <v>13</v>
      </c>
      <c r="F2783" t="s">
        <v>14</v>
      </c>
      <c r="G2783">
        <v>40000000</v>
      </c>
      <c r="H2783">
        <v>5.9</v>
      </c>
      <c r="I2783" t="s">
        <v>15</v>
      </c>
      <c r="J2783" t="s">
        <v>19</v>
      </c>
      <c r="K2783" t="s">
        <v>37</v>
      </c>
      <c r="L2783" t="s">
        <v>24</v>
      </c>
    </row>
    <row r="2784" spans="1:13" x14ac:dyDescent="0.25">
      <c r="A2784" t="s">
        <v>4394</v>
      </c>
      <c r="B2784">
        <v>117</v>
      </c>
      <c r="C2784">
        <v>14348123</v>
      </c>
      <c r="D2784" t="s">
        <v>4395</v>
      </c>
      <c r="E2784" t="s">
        <v>13</v>
      </c>
      <c r="F2784" t="s">
        <v>1342</v>
      </c>
      <c r="G2784">
        <v>12000000</v>
      </c>
      <c r="H2784">
        <v>6.9</v>
      </c>
      <c r="I2784" t="s">
        <v>15</v>
      </c>
      <c r="J2784" t="s">
        <v>31</v>
      </c>
      <c r="K2784" t="s">
        <v>83</v>
      </c>
    </row>
    <row r="2785" spans="1:14" x14ac:dyDescent="0.25">
      <c r="A2785" t="s">
        <v>4396</v>
      </c>
      <c r="B2785">
        <v>100</v>
      </c>
      <c r="C2785">
        <v>14343976</v>
      </c>
      <c r="D2785" t="s">
        <v>4397</v>
      </c>
      <c r="E2785" t="s">
        <v>13</v>
      </c>
      <c r="F2785" t="s">
        <v>14</v>
      </c>
      <c r="G2785">
        <v>5000000</v>
      </c>
      <c r="H2785">
        <v>4.5</v>
      </c>
      <c r="I2785" t="s">
        <v>28</v>
      </c>
      <c r="J2785" t="s">
        <v>22</v>
      </c>
    </row>
    <row r="2786" spans="1:14" x14ac:dyDescent="0.25">
      <c r="A2786" t="s">
        <v>439</v>
      </c>
      <c r="B2786">
        <v>111</v>
      </c>
      <c r="C2786">
        <v>14337579</v>
      </c>
      <c r="D2786" t="s">
        <v>4398</v>
      </c>
      <c r="E2786" t="s">
        <v>13</v>
      </c>
      <c r="F2786" t="s">
        <v>45</v>
      </c>
      <c r="G2786">
        <v>27000000</v>
      </c>
      <c r="H2786">
        <v>7.7</v>
      </c>
      <c r="I2786" t="s">
        <v>34</v>
      </c>
      <c r="J2786" t="s">
        <v>31</v>
      </c>
      <c r="K2786" t="s">
        <v>17</v>
      </c>
      <c r="L2786" t="s">
        <v>23</v>
      </c>
      <c r="M2786" t="s">
        <v>37</v>
      </c>
      <c r="N2786" t="s">
        <v>24</v>
      </c>
    </row>
    <row r="2787" spans="1:14" x14ac:dyDescent="0.25">
      <c r="A2787" t="s">
        <v>4399</v>
      </c>
      <c r="B2787">
        <v>102</v>
      </c>
      <c r="C2787">
        <v>14334645</v>
      </c>
      <c r="D2787" t="s">
        <v>4400</v>
      </c>
      <c r="E2787" t="s">
        <v>13</v>
      </c>
      <c r="F2787" t="s">
        <v>14</v>
      </c>
      <c r="G2787">
        <v>25000000</v>
      </c>
      <c r="H2787">
        <v>4.8</v>
      </c>
      <c r="I2787" t="s">
        <v>31</v>
      </c>
      <c r="J2787" t="s">
        <v>22</v>
      </c>
      <c r="K2787" t="s">
        <v>37</v>
      </c>
      <c r="L2787" t="s">
        <v>24</v>
      </c>
    </row>
    <row r="2788" spans="1:14" x14ac:dyDescent="0.25">
      <c r="A2788" t="s">
        <v>4401</v>
      </c>
      <c r="B2788">
        <v>91</v>
      </c>
      <c r="C2788">
        <v>14294842</v>
      </c>
      <c r="D2788" t="s">
        <v>4402</v>
      </c>
      <c r="E2788" t="s">
        <v>13</v>
      </c>
      <c r="F2788" t="s">
        <v>14</v>
      </c>
      <c r="G2788">
        <v>70000000</v>
      </c>
      <c r="H2788">
        <v>3.6</v>
      </c>
      <c r="I2788" t="s">
        <v>34</v>
      </c>
      <c r="J2788" t="s">
        <v>38</v>
      </c>
      <c r="K2788" t="s">
        <v>37</v>
      </c>
      <c r="L2788" t="s">
        <v>24</v>
      </c>
    </row>
    <row r="2789" spans="1:14" x14ac:dyDescent="0.25">
      <c r="A2789" t="s">
        <v>4403</v>
      </c>
      <c r="B2789">
        <v>95</v>
      </c>
      <c r="C2789">
        <v>14291570</v>
      </c>
      <c r="D2789" t="s">
        <v>4404</v>
      </c>
      <c r="E2789" t="s">
        <v>13</v>
      </c>
      <c r="F2789" t="s">
        <v>295</v>
      </c>
      <c r="G2789">
        <v>20000000</v>
      </c>
      <c r="H2789">
        <v>6.1</v>
      </c>
      <c r="I2789" t="s">
        <v>34</v>
      </c>
      <c r="J2789" t="s">
        <v>28</v>
      </c>
      <c r="K2789" t="s">
        <v>37</v>
      </c>
      <c r="L2789" t="s">
        <v>24</v>
      </c>
    </row>
    <row r="2790" spans="1:14" x14ac:dyDescent="0.25">
      <c r="A2790" t="s">
        <v>4405</v>
      </c>
      <c r="B2790">
        <v>113</v>
      </c>
      <c r="C2790">
        <v>14268533</v>
      </c>
      <c r="D2790" t="s">
        <v>4406</v>
      </c>
      <c r="E2790" t="s">
        <v>13</v>
      </c>
      <c r="F2790" t="s">
        <v>82</v>
      </c>
      <c r="G2790">
        <v>31500000</v>
      </c>
      <c r="H2790">
        <v>6.3</v>
      </c>
      <c r="I2790" t="s">
        <v>34</v>
      </c>
      <c r="J2790" t="s">
        <v>38</v>
      </c>
      <c r="K2790" t="s">
        <v>31</v>
      </c>
      <c r="L2790" t="s">
        <v>23</v>
      </c>
      <c r="M2790" t="s">
        <v>37</v>
      </c>
      <c r="N2790" t="s">
        <v>24</v>
      </c>
    </row>
    <row r="2791" spans="1:14" x14ac:dyDescent="0.25">
      <c r="A2791" t="s">
        <v>3733</v>
      </c>
      <c r="B2791">
        <v>98</v>
      </c>
      <c r="C2791">
        <v>14252830</v>
      </c>
      <c r="D2791" t="s">
        <v>4407</v>
      </c>
      <c r="E2791" t="s">
        <v>13</v>
      </c>
      <c r="F2791" t="s">
        <v>98</v>
      </c>
      <c r="G2791">
        <v>22000000</v>
      </c>
      <c r="H2791">
        <v>5.3</v>
      </c>
      <c r="I2791" t="s">
        <v>15</v>
      </c>
      <c r="J2791" t="s">
        <v>18</v>
      </c>
    </row>
    <row r="2792" spans="1:14" x14ac:dyDescent="0.25">
      <c r="A2792" t="s">
        <v>4408</v>
      </c>
      <c r="B2792">
        <v>87</v>
      </c>
      <c r="C2792">
        <v>14249005</v>
      </c>
      <c r="D2792" t="s">
        <v>4409</v>
      </c>
      <c r="E2792" t="s">
        <v>13</v>
      </c>
      <c r="F2792" t="s">
        <v>14</v>
      </c>
      <c r="G2792">
        <v>15000000</v>
      </c>
      <c r="H2792">
        <v>4.5</v>
      </c>
      <c r="I2792" t="s">
        <v>15</v>
      </c>
    </row>
    <row r="2793" spans="1:14" x14ac:dyDescent="0.25">
      <c r="A2793" t="s">
        <v>1823</v>
      </c>
      <c r="B2793">
        <v>91</v>
      </c>
      <c r="C2793">
        <v>14218868</v>
      </c>
      <c r="D2793" t="s">
        <v>4410</v>
      </c>
      <c r="E2793" t="s">
        <v>13</v>
      </c>
      <c r="F2793" t="s">
        <v>14</v>
      </c>
      <c r="G2793">
        <v>65000000</v>
      </c>
      <c r="H2793">
        <v>4.8</v>
      </c>
      <c r="I2793" t="s">
        <v>22</v>
      </c>
      <c r="J2793" t="s">
        <v>37</v>
      </c>
      <c r="K2793" t="s">
        <v>24</v>
      </c>
    </row>
    <row r="2794" spans="1:14" x14ac:dyDescent="0.25">
      <c r="A2794" t="s">
        <v>231</v>
      </c>
      <c r="B2794">
        <v>96</v>
      </c>
      <c r="C2794">
        <v>14208384</v>
      </c>
      <c r="D2794" t="s">
        <v>4411</v>
      </c>
      <c r="E2794" t="s">
        <v>13</v>
      </c>
      <c r="F2794" t="s">
        <v>14</v>
      </c>
      <c r="G2794">
        <v>30000000</v>
      </c>
      <c r="H2794">
        <v>5.6</v>
      </c>
      <c r="I2794" t="s">
        <v>15</v>
      </c>
      <c r="J2794" t="s">
        <v>19</v>
      </c>
    </row>
    <row r="2795" spans="1:14" x14ac:dyDescent="0.25">
      <c r="A2795" t="s">
        <v>3030</v>
      </c>
      <c r="B2795">
        <v>88</v>
      </c>
      <c r="C2795">
        <v>14174654</v>
      </c>
      <c r="D2795" t="s">
        <v>4412</v>
      </c>
      <c r="E2795" t="s">
        <v>13</v>
      </c>
      <c r="F2795" t="s">
        <v>14</v>
      </c>
      <c r="G2795">
        <v>25000000</v>
      </c>
      <c r="H2795">
        <v>1.9</v>
      </c>
      <c r="I2795" t="s">
        <v>15</v>
      </c>
    </row>
    <row r="2796" spans="1:14" x14ac:dyDescent="0.25">
      <c r="A2796" t="s">
        <v>4413</v>
      </c>
      <c r="B2796">
        <v>94</v>
      </c>
      <c r="C2796">
        <v>14123773</v>
      </c>
      <c r="D2796" t="s">
        <v>4414</v>
      </c>
      <c r="E2796" t="s">
        <v>13</v>
      </c>
      <c r="F2796" t="s">
        <v>14</v>
      </c>
      <c r="G2796">
        <v>5000000</v>
      </c>
      <c r="H2796">
        <v>5.3</v>
      </c>
      <c r="I2796" t="s">
        <v>38</v>
      </c>
      <c r="J2796" t="s">
        <v>31</v>
      </c>
    </row>
    <row r="2797" spans="1:14" x14ac:dyDescent="0.25">
      <c r="A2797" t="s">
        <v>4415</v>
      </c>
      <c r="B2797">
        <v>98</v>
      </c>
      <c r="C2797">
        <v>14114488</v>
      </c>
      <c r="D2797" t="s">
        <v>4416</v>
      </c>
      <c r="E2797" t="s">
        <v>13</v>
      </c>
      <c r="F2797" t="s">
        <v>14</v>
      </c>
      <c r="G2797">
        <v>10500000</v>
      </c>
      <c r="H2797">
        <v>4.5</v>
      </c>
      <c r="I2797" t="s">
        <v>22</v>
      </c>
      <c r="J2797" t="s">
        <v>24</v>
      </c>
    </row>
    <row r="2798" spans="1:14" x14ac:dyDescent="0.25">
      <c r="A2798" t="s">
        <v>3424</v>
      </c>
      <c r="B2798">
        <v>101</v>
      </c>
      <c r="C2798">
        <v>14108518</v>
      </c>
      <c r="D2798" t="s">
        <v>4417</v>
      </c>
      <c r="E2798" t="s">
        <v>13</v>
      </c>
      <c r="F2798" t="s">
        <v>14</v>
      </c>
      <c r="G2798">
        <v>16000000</v>
      </c>
      <c r="H2798">
        <v>5.7</v>
      </c>
      <c r="I2798" t="s">
        <v>15</v>
      </c>
      <c r="J2798" t="s">
        <v>31</v>
      </c>
      <c r="K2798" t="s">
        <v>19</v>
      </c>
    </row>
    <row r="2799" spans="1:14" x14ac:dyDescent="0.25">
      <c r="A2799" t="s">
        <v>371</v>
      </c>
      <c r="B2799">
        <v>110</v>
      </c>
      <c r="C2799">
        <v>14100000</v>
      </c>
      <c r="D2799" t="s">
        <v>4418</v>
      </c>
      <c r="E2799" t="s">
        <v>13</v>
      </c>
      <c r="F2799" t="s">
        <v>14</v>
      </c>
      <c r="G2799">
        <v>5000000</v>
      </c>
      <c r="H2799">
        <v>7.2</v>
      </c>
      <c r="I2799" t="s">
        <v>15</v>
      </c>
      <c r="J2799" t="s">
        <v>31</v>
      </c>
    </row>
    <row r="2800" spans="1:14" x14ac:dyDescent="0.25">
      <c r="A2800" t="s">
        <v>4419</v>
      </c>
      <c r="B2800">
        <v>101</v>
      </c>
      <c r="C2800">
        <v>14095303</v>
      </c>
      <c r="D2800" t="s">
        <v>4420</v>
      </c>
      <c r="E2800" t="s">
        <v>13</v>
      </c>
      <c r="F2800" t="s">
        <v>14</v>
      </c>
      <c r="G2800">
        <v>25000000</v>
      </c>
      <c r="H2800">
        <v>5.4</v>
      </c>
      <c r="I2800" t="s">
        <v>34</v>
      </c>
      <c r="J2800" t="s">
        <v>38</v>
      </c>
      <c r="K2800" t="s">
        <v>23</v>
      </c>
      <c r="L2800" t="s">
        <v>19</v>
      </c>
      <c r="M2800" t="s">
        <v>24</v>
      </c>
    </row>
    <row r="2801" spans="1:13" x14ac:dyDescent="0.25">
      <c r="A2801" t="s">
        <v>3644</v>
      </c>
      <c r="B2801">
        <v>109</v>
      </c>
      <c r="C2801">
        <v>14060950</v>
      </c>
      <c r="D2801" t="s">
        <v>4421</v>
      </c>
      <c r="E2801" t="s">
        <v>13</v>
      </c>
      <c r="F2801" t="s">
        <v>14</v>
      </c>
      <c r="G2801">
        <v>12500000</v>
      </c>
      <c r="H2801">
        <v>6.9</v>
      </c>
      <c r="I2801" t="s">
        <v>31</v>
      </c>
    </row>
    <row r="2802" spans="1:13" x14ac:dyDescent="0.25">
      <c r="A2802" t="s">
        <v>3205</v>
      </c>
      <c r="B2802">
        <v>91</v>
      </c>
      <c r="C2802">
        <v>14018364</v>
      </c>
      <c r="D2802" t="s">
        <v>4422</v>
      </c>
      <c r="E2802" t="s">
        <v>13</v>
      </c>
      <c r="F2802" t="s">
        <v>14</v>
      </c>
      <c r="G2802">
        <v>30000000</v>
      </c>
      <c r="H2802">
        <v>4.8</v>
      </c>
      <c r="I2802" t="s">
        <v>15</v>
      </c>
      <c r="J2802" t="s">
        <v>38</v>
      </c>
      <c r="K2802" t="s">
        <v>16</v>
      </c>
      <c r="L2802" t="s">
        <v>19</v>
      </c>
    </row>
    <row r="2803" spans="1:13" x14ac:dyDescent="0.25">
      <c r="A2803" t="s">
        <v>675</v>
      </c>
      <c r="B2803">
        <v>93</v>
      </c>
      <c r="C2803">
        <v>14015786</v>
      </c>
      <c r="D2803" t="s">
        <v>4423</v>
      </c>
      <c r="E2803" t="s">
        <v>13</v>
      </c>
      <c r="F2803" t="s">
        <v>14</v>
      </c>
      <c r="G2803">
        <v>5000000</v>
      </c>
      <c r="H2803">
        <v>6.5</v>
      </c>
      <c r="I2803" t="s">
        <v>31</v>
      </c>
      <c r="J2803" t="s">
        <v>19</v>
      </c>
    </row>
    <row r="2804" spans="1:13" x14ac:dyDescent="0.25">
      <c r="A2804" t="s">
        <v>3481</v>
      </c>
      <c r="B2804">
        <v>95</v>
      </c>
      <c r="C2804">
        <v>14003141</v>
      </c>
      <c r="D2804" t="s">
        <v>4424</v>
      </c>
      <c r="E2804" t="s">
        <v>13</v>
      </c>
      <c r="F2804" t="s">
        <v>14</v>
      </c>
      <c r="G2804">
        <v>7000000</v>
      </c>
      <c r="H2804">
        <v>6.1</v>
      </c>
      <c r="I2804" t="s">
        <v>38</v>
      </c>
      <c r="J2804" t="s">
        <v>31</v>
      </c>
      <c r="K2804" t="s">
        <v>24</v>
      </c>
    </row>
    <row r="2805" spans="1:13" x14ac:dyDescent="0.25">
      <c r="A2805" t="s">
        <v>4425</v>
      </c>
      <c r="B2805">
        <v>85</v>
      </c>
      <c r="C2805">
        <v>14000000</v>
      </c>
      <c r="D2805" t="s">
        <v>4426</v>
      </c>
      <c r="E2805" t="s">
        <v>13</v>
      </c>
      <c r="F2805" t="s">
        <v>14</v>
      </c>
      <c r="G2805">
        <v>3500000</v>
      </c>
      <c r="H2805">
        <v>6</v>
      </c>
      <c r="I2805" t="s">
        <v>15</v>
      </c>
      <c r="J2805" t="s">
        <v>17</v>
      </c>
      <c r="K2805" t="s">
        <v>22</v>
      </c>
      <c r="L2805" t="s">
        <v>24</v>
      </c>
    </row>
    <row r="2806" spans="1:13" x14ac:dyDescent="0.25">
      <c r="A2806" t="s">
        <v>4427</v>
      </c>
      <c r="B2806">
        <v>110</v>
      </c>
      <c r="C2806">
        <v>13998282</v>
      </c>
      <c r="D2806" t="s">
        <v>4428</v>
      </c>
      <c r="E2806" t="s">
        <v>13</v>
      </c>
      <c r="F2806" t="s">
        <v>14</v>
      </c>
      <c r="G2806">
        <v>16000000</v>
      </c>
      <c r="H2806">
        <v>3.1</v>
      </c>
      <c r="I2806" t="s">
        <v>34</v>
      </c>
      <c r="J2806" t="s">
        <v>31</v>
      </c>
      <c r="K2806" t="s">
        <v>17</v>
      </c>
      <c r="L2806" t="s">
        <v>23</v>
      </c>
      <c r="M2806" t="s">
        <v>24</v>
      </c>
    </row>
    <row r="2807" spans="1:13" x14ac:dyDescent="0.25">
      <c r="A2807" t="s">
        <v>4429</v>
      </c>
      <c r="B2807">
        <v>117</v>
      </c>
      <c r="C2807">
        <v>13987482</v>
      </c>
      <c r="D2807" t="s">
        <v>4430</v>
      </c>
      <c r="E2807" t="s">
        <v>13</v>
      </c>
      <c r="F2807" t="s">
        <v>14</v>
      </c>
      <c r="G2807">
        <v>20000000</v>
      </c>
      <c r="H2807">
        <v>6</v>
      </c>
      <c r="I2807" t="s">
        <v>15</v>
      </c>
      <c r="J2807" t="s">
        <v>19</v>
      </c>
    </row>
    <row r="2808" spans="1:13" x14ac:dyDescent="0.25">
      <c r="A2808" t="s">
        <v>3469</v>
      </c>
      <c r="B2808">
        <v>85</v>
      </c>
      <c r="C2808">
        <v>13973532</v>
      </c>
      <c r="D2808" t="s">
        <v>4431</v>
      </c>
      <c r="E2808" t="s">
        <v>13</v>
      </c>
      <c r="F2808" t="s">
        <v>14</v>
      </c>
      <c r="G2808">
        <v>25000000</v>
      </c>
      <c r="H2808">
        <v>5.0999999999999996</v>
      </c>
      <c r="I2808" t="s">
        <v>15</v>
      </c>
      <c r="J2808" t="s">
        <v>38</v>
      </c>
    </row>
    <row r="2809" spans="1:13" x14ac:dyDescent="0.25">
      <c r="A2809" t="s">
        <v>4432</v>
      </c>
      <c r="B2809">
        <v>93</v>
      </c>
      <c r="C2809">
        <v>13960203</v>
      </c>
      <c r="D2809" t="s">
        <v>4433</v>
      </c>
      <c r="E2809" t="s">
        <v>13</v>
      </c>
      <c r="F2809" t="s">
        <v>14</v>
      </c>
      <c r="G2809">
        <v>39751583.5</v>
      </c>
      <c r="H2809">
        <v>5.3</v>
      </c>
      <c r="I2809" t="s">
        <v>15</v>
      </c>
    </row>
    <row r="2810" spans="1:13" x14ac:dyDescent="0.25">
      <c r="A2810" t="s">
        <v>4434</v>
      </c>
      <c r="B2810">
        <v>92</v>
      </c>
      <c r="C2810">
        <v>13922211</v>
      </c>
      <c r="D2810" t="s">
        <v>4435</v>
      </c>
      <c r="E2810" t="s">
        <v>13</v>
      </c>
      <c r="F2810" t="s">
        <v>14</v>
      </c>
      <c r="G2810">
        <v>16000000</v>
      </c>
      <c r="H2810">
        <v>4.4000000000000004</v>
      </c>
      <c r="I2810" t="s">
        <v>15</v>
      </c>
    </row>
    <row r="2811" spans="1:13" x14ac:dyDescent="0.25">
      <c r="A2811" t="s">
        <v>3279</v>
      </c>
      <c r="B2811">
        <v>88</v>
      </c>
      <c r="C2811">
        <v>13920741</v>
      </c>
      <c r="D2811" t="s">
        <v>4436</v>
      </c>
      <c r="E2811" t="s">
        <v>13</v>
      </c>
      <c r="F2811" t="s">
        <v>14</v>
      </c>
      <c r="G2811">
        <v>39751583.5</v>
      </c>
      <c r="H2811">
        <v>6.7</v>
      </c>
      <c r="I2811" t="s">
        <v>15</v>
      </c>
    </row>
    <row r="2812" spans="1:13" x14ac:dyDescent="0.25">
      <c r="A2812" t="s">
        <v>4437</v>
      </c>
      <c r="B2812">
        <v>89</v>
      </c>
      <c r="C2812">
        <v>13903262</v>
      </c>
      <c r="D2812" t="s">
        <v>4438</v>
      </c>
      <c r="E2812" t="s">
        <v>13</v>
      </c>
      <c r="F2812" t="s">
        <v>14</v>
      </c>
      <c r="G2812">
        <v>11000000</v>
      </c>
      <c r="H2812">
        <v>6.3</v>
      </c>
      <c r="I2812" t="s">
        <v>15</v>
      </c>
      <c r="J2812" t="s">
        <v>41</v>
      </c>
    </row>
    <row r="2813" spans="1:13" x14ac:dyDescent="0.25">
      <c r="A2813" t="s">
        <v>4258</v>
      </c>
      <c r="B2813">
        <v>114</v>
      </c>
      <c r="C2813">
        <v>13876974</v>
      </c>
      <c r="D2813" t="s">
        <v>4439</v>
      </c>
      <c r="E2813" t="s">
        <v>1409</v>
      </c>
      <c r="F2813" t="s">
        <v>1296</v>
      </c>
      <c r="G2813">
        <v>7000000</v>
      </c>
      <c r="H2813">
        <v>7.4</v>
      </c>
      <c r="I2813" t="s">
        <v>15</v>
      </c>
      <c r="J2813" t="s">
        <v>31</v>
      </c>
      <c r="K2813" t="s">
        <v>19</v>
      </c>
    </row>
    <row r="2814" spans="1:13" x14ac:dyDescent="0.25">
      <c r="A2814" t="s">
        <v>4440</v>
      </c>
      <c r="B2814">
        <v>105</v>
      </c>
      <c r="C2814">
        <v>13854000</v>
      </c>
      <c r="D2814" t="s">
        <v>4441</v>
      </c>
      <c r="E2814" t="s">
        <v>13</v>
      </c>
      <c r="F2814" t="s">
        <v>14</v>
      </c>
      <c r="G2814">
        <v>20000000</v>
      </c>
      <c r="H2814">
        <v>5.2</v>
      </c>
      <c r="I2814" t="s">
        <v>15</v>
      </c>
      <c r="J2814" t="s">
        <v>19</v>
      </c>
      <c r="K2814" t="s">
        <v>37</v>
      </c>
    </row>
    <row r="2815" spans="1:13" x14ac:dyDescent="0.25">
      <c r="A2815" t="s">
        <v>141</v>
      </c>
      <c r="B2815">
        <v>109</v>
      </c>
      <c r="C2815">
        <v>13838130</v>
      </c>
      <c r="D2815" t="s">
        <v>4442</v>
      </c>
      <c r="E2815" t="s">
        <v>13</v>
      </c>
      <c r="F2815" t="s">
        <v>14</v>
      </c>
      <c r="G2815">
        <v>40000000</v>
      </c>
      <c r="H2815">
        <v>5.9</v>
      </c>
      <c r="I2815" t="s">
        <v>34</v>
      </c>
      <c r="J2815" t="s">
        <v>28</v>
      </c>
      <c r="K2815" t="s">
        <v>17</v>
      </c>
      <c r="L2815" t="s">
        <v>24</v>
      </c>
    </row>
    <row r="2816" spans="1:13" x14ac:dyDescent="0.25">
      <c r="A2816" t="s">
        <v>4443</v>
      </c>
      <c r="B2816">
        <v>99</v>
      </c>
      <c r="C2816">
        <v>13829734</v>
      </c>
      <c r="D2816" t="s">
        <v>4444</v>
      </c>
      <c r="E2816" t="s">
        <v>13</v>
      </c>
      <c r="F2816" t="s">
        <v>98</v>
      </c>
      <c r="G2816">
        <v>26000000</v>
      </c>
      <c r="H2816">
        <v>4.3</v>
      </c>
      <c r="I2816" t="s">
        <v>34</v>
      </c>
      <c r="J2816" t="s">
        <v>17</v>
      </c>
      <c r="K2816" t="s">
        <v>19</v>
      </c>
      <c r="L2816" t="s">
        <v>37</v>
      </c>
    </row>
    <row r="2817" spans="1:15" x14ac:dyDescent="0.25">
      <c r="A2817" t="s">
        <v>4445</v>
      </c>
      <c r="B2817">
        <v>110</v>
      </c>
      <c r="C2817">
        <v>13823741</v>
      </c>
      <c r="D2817" t="s">
        <v>4446</v>
      </c>
      <c r="E2817" t="s">
        <v>13</v>
      </c>
      <c r="F2817" t="s">
        <v>82</v>
      </c>
      <c r="G2817">
        <v>13500000</v>
      </c>
      <c r="H2817">
        <v>6.9</v>
      </c>
      <c r="I2817" t="s">
        <v>42</v>
      </c>
      <c r="J2817" t="s">
        <v>31</v>
      </c>
      <c r="K2817" t="s">
        <v>64</v>
      </c>
      <c r="L2817" t="s">
        <v>19</v>
      </c>
    </row>
    <row r="2818" spans="1:15" x14ac:dyDescent="0.25">
      <c r="A2818" t="s">
        <v>307</v>
      </c>
      <c r="B2818">
        <v>94</v>
      </c>
      <c r="C2818">
        <v>13801755</v>
      </c>
      <c r="D2818" t="s">
        <v>4447</v>
      </c>
      <c r="E2818" t="s">
        <v>13</v>
      </c>
      <c r="F2818" t="s">
        <v>14</v>
      </c>
      <c r="G2818">
        <v>20000000</v>
      </c>
      <c r="H2818">
        <v>6.6</v>
      </c>
      <c r="I2818" t="s">
        <v>34</v>
      </c>
      <c r="J2818" t="s">
        <v>15</v>
      </c>
      <c r="K2818" t="s">
        <v>38</v>
      </c>
      <c r="L2818" t="s">
        <v>24</v>
      </c>
    </row>
    <row r="2819" spans="1:15" x14ac:dyDescent="0.25">
      <c r="A2819" t="s">
        <v>2789</v>
      </c>
      <c r="B2819">
        <v>109</v>
      </c>
      <c r="C2819">
        <v>13782838</v>
      </c>
      <c r="D2819" t="s">
        <v>4448</v>
      </c>
      <c r="E2819" t="s">
        <v>13</v>
      </c>
      <c r="F2819" t="s">
        <v>14</v>
      </c>
      <c r="G2819">
        <v>15000000</v>
      </c>
      <c r="H2819">
        <v>8.1999999999999993</v>
      </c>
      <c r="I2819" t="s">
        <v>22</v>
      </c>
      <c r="J2819" t="s">
        <v>23</v>
      </c>
      <c r="K2819" t="s">
        <v>37</v>
      </c>
    </row>
    <row r="2820" spans="1:15" x14ac:dyDescent="0.25">
      <c r="A2820" t="s">
        <v>4449</v>
      </c>
      <c r="B2820">
        <v>107</v>
      </c>
      <c r="C2820">
        <v>13766014</v>
      </c>
      <c r="D2820" t="s">
        <v>4450</v>
      </c>
      <c r="E2820" t="s">
        <v>13</v>
      </c>
      <c r="F2820" t="s">
        <v>14</v>
      </c>
      <c r="G2820">
        <v>15000000</v>
      </c>
      <c r="H2820">
        <v>7</v>
      </c>
      <c r="I2820" t="s">
        <v>31</v>
      </c>
      <c r="J2820" t="s">
        <v>19</v>
      </c>
    </row>
    <row r="2821" spans="1:15" x14ac:dyDescent="0.25">
      <c r="A2821" t="s">
        <v>4451</v>
      </c>
      <c r="B2821">
        <v>119</v>
      </c>
      <c r="C2821">
        <v>13763130</v>
      </c>
      <c r="D2821" t="s">
        <v>4452</v>
      </c>
      <c r="E2821" t="s">
        <v>13</v>
      </c>
      <c r="F2821" t="s">
        <v>14</v>
      </c>
      <c r="G2821">
        <v>32000000</v>
      </c>
      <c r="H2821">
        <v>6.3</v>
      </c>
      <c r="I2821" t="s">
        <v>34</v>
      </c>
      <c r="J2821" t="s">
        <v>38</v>
      </c>
      <c r="K2821" t="s">
        <v>37</v>
      </c>
      <c r="L2821" t="s">
        <v>24</v>
      </c>
    </row>
    <row r="2822" spans="1:15" x14ac:dyDescent="0.25">
      <c r="A2822" t="s">
        <v>154</v>
      </c>
      <c r="B2822">
        <v>141</v>
      </c>
      <c r="C2822">
        <v>13753931</v>
      </c>
      <c r="D2822" t="s">
        <v>4453</v>
      </c>
      <c r="E2822" t="s">
        <v>1226</v>
      </c>
      <c r="F2822" t="s">
        <v>14</v>
      </c>
      <c r="G2822">
        <v>19000000</v>
      </c>
      <c r="H2822">
        <v>7.9</v>
      </c>
      <c r="I2822" t="s">
        <v>31</v>
      </c>
      <c r="J2822" t="s">
        <v>64</v>
      </c>
      <c r="K2822" t="s">
        <v>83</v>
      </c>
    </row>
    <row r="2823" spans="1:15" x14ac:dyDescent="0.25">
      <c r="A2823" t="s">
        <v>545</v>
      </c>
      <c r="B2823">
        <v>102</v>
      </c>
      <c r="C2823">
        <v>13750556</v>
      </c>
      <c r="D2823" t="s">
        <v>4454</v>
      </c>
      <c r="E2823" t="s">
        <v>13</v>
      </c>
      <c r="F2823" t="s">
        <v>14</v>
      </c>
      <c r="G2823">
        <v>65000000</v>
      </c>
      <c r="H2823">
        <v>6.5</v>
      </c>
      <c r="I2823" t="s">
        <v>34</v>
      </c>
      <c r="J2823" t="s">
        <v>38</v>
      </c>
      <c r="K2823" t="s">
        <v>24</v>
      </c>
    </row>
    <row r="2824" spans="1:15" x14ac:dyDescent="0.25">
      <c r="A2824" t="s">
        <v>4455</v>
      </c>
      <c r="B2824">
        <v>100</v>
      </c>
      <c r="C2824">
        <v>13746550</v>
      </c>
      <c r="D2824" t="s">
        <v>4456</v>
      </c>
      <c r="E2824" t="s">
        <v>13</v>
      </c>
      <c r="F2824" t="s">
        <v>14</v>
      </c>
      <c r="G2824">
        <v>2000000</v>
      </c>
      <c r="H2824">
        <v>6.1</v>
      </c>
      <c r="I2824" t="s">
        <v>34</v>
      </c>
      <c r="J2824" t="s">
        <v>15</v>
      </c>
      <c r="K2824" t="s">
        <v>19</v>
      </c>
    </row>
    <row r="2825" spans="1:15" x14ac:dyDescent="0.25">
      <c r="A2825" t="s">
        <v>4457</v>
      </c>
      <c r="B2825">
        <v>76</v>
      </c>
      <c r="C2825">
        <v>13684949</v>
      </c>
      <c r="D2825" t="s">
        <v>4458</v>
      </c>
      <c r="E2825" t="s">
        <v>13</v>
      </c>
      <c r="F2825" t="s">
        <v>14</v>
      </c>
      <c r="G2825">
        <v>3000000</v>
      </c>
      <c r="H2825">
        <v>5.9</v>
      </c>
      <c r="I2825" t="s">
        <v>28</v>
      </c>
      <c r="J2825" t="s">
        <v>46</v>
      </c>
      <c r="K2825" t="s">
        <v>15</v>
      </c>
      <c r="L2825" t="s">
        <v>16</v>
      </c>
    </row>
    <row r="2826" spans="1:15" x14ac:dyDescent="0.25">
      <c r="A2826" t="s">
        <v>737</v>
      </c>
      <c r="B2826">
        <v>140</v>
      </c>
      <c r="C2826">
        <v>13651662</v>
      </c>
      <c r="D2826" t="s">
        <v>4459</v>
      </c>
      <c r="E2826" t="s">
        <v>13</v>
      </c>
      <c r="F2826" t="s">
        <v>14</v>
      </c>
      <c r="G2826">
        <v>25000000</v>
      </c>
      <c r="H2826">
        <v>8.1999999999999993</v>
      </c>
      <c r="I2826" t="s">
        <v>31</v>
      </c>
      <c r="J2826" t="s">
        <v>41</v>
      </c>
    </row>
    <row r="2827" spans="1:15" x14ac:dyDescent="0.25">
      <c r="A2827" t="s">
        <v>3122</v>
      </c>
      <c r="B2827">
        <v>101</v>
      </c>
      <c r="C2827">
        <v>13650738</v>
      </c>
      <c r="D2827" t="s">
        <v>4460</v>
      </c>
      <c r="E2827" t="s">
        <v>13</v>
      </c>
      <c r="F2827" t="s">
        <v>14</v>
      </c>
      <c r="G2827">
        <v>20000000</v>
      </c>
      <c r="H2827">
        <v>6.6</v>
      </c>
      <c r="I2827" t="s">
        <v>15</v>
      </c>
      <c r="J2827" t="s">
        <v>31</v>
      </c>
    </row>
    <row r="2828" spans="1:15" x14ac:dyDescent="0.25">
      <c r="A2828" t="s">
        <v>302</v>
      </c>
      <c r="B2828">
        <v>115</v>
      </c>
      <c r="C2828">
        <v>13640000</v>
      </c>
      <c r="D2828" t="s">
        <v>4461</v>
      </c>
      <c r="E2828" t="s">
        <v>13</v>
      </c>
      <c r="F2828" t="s">
        <v>14</v>
      </c>
      <c r="G2828">
        <v>14000000</v>
      </c>
      <c r="H2828">
        <v>6.9</v>
      </c>
      <c r="I2828" t="s">
        <v>15</v>
      </c>
      <c r="J2828" t="s">
        <v>31</v>
      </c>
    </row>
    <row r="2829" spans="1:15" x14ac:dyDescent="0.25">
      <c r="A2829" t="s">
        <v>1078</v>
      </c>
      <c r="B2829">
        <v>96</v>
      </c>
      <c r="C2829">
        <v>13630226</v>
      </c>
      <c r="D2829" t="s">
        <v>4462</v>
      </c>
      <c r="E2829" t="s">
        <v>13</v>
      </c>
      <c r="F2829" t="s">
        <v>14</v>
      </c>
      <c r="G2829">
        <v>20000000</v>
      </c>
      <c r="H2829">
        <v>6.2</v>
      </c>
      <c r="I2829" t="s">
        <v>34</v>
      </c>
      <c r="J2829" t="s">
        <v>38</v>
      </c>
      <c r="K2829" t="s">
        <v>37</v>
      </c>
      <c r="L2829" t="s">
        <v>24</v>
      </c>
    </row>
    <row r="2830" spans="1:15" x14ac:dyDescent="0.25">
      <c r="A2830" t="s">
        <v>3232</v>
      </c>
      <c r="B2830">
        <v>106</v>
      </c>
      <c r="C2830">
        <v>13622333</v>
      </c>
      <c r="D2830" t="s">
        <v>4463</v>
      </c>
      <c r="E2830" t="s">
        <v>1498</v>
      </c>
      <c r="F2830" t="s">
        <v>1901</v>
      </c>
      <c r="G2830">
        <v>2000000</v>
      </c>
      <c r="H2830">
        <v>7.7</v>
      </c>
      <c r="I2830" t="s">
        <v>28</v>
      </c>
      <c r="J2830" t="s">
        <v>15</v>
      </c>
      <c r="K2830" t="s">
        <v>31</v>
      </c>
      <c r="L2830" t="s">
        <v>19</v>
      </c>
    </row>
    <row r="2831" spans="1:15" x14ac:dyDescent="0.25">
      <c r="A2831" t="s">
        <v>272</v>
      </c>
      <c r="B2831">
        <v>95</v>
      </c>
      <c r="C2831">
        <v>13596911</v>
      </c>
      <c r="D2831" t="s">
        <v>4464</v>
      </c>
      <c r="E2831" t="s">
        <v>13</v>
      </c>
      <c r="F2831" t="s">
        <v>14</v>
      </c>
      <c r="G2831">
        <v>70000000</v>
      </c>
      <c r="H2831">
        <v>6.2</v>
      </c>
      <c r="I2831" t="s">
        <v>34</v>
      </c>
      <c r="J2831" t="s">
        <v>28</v>
      </c>
      <c r="K2831" t="s">
        <v>46</v>
      </c>
      <c r="L2831" t="s">
        <v>15</v>
      </c>
      <c r="M2831" t="s">
        <v>38</v>
      </c>
      <c r="N2831" t="s">
        <v>16</v>
      </c>
      <c r="O2831" t="s">
        <v>17</v>
      </c>
    </row>
    <row r="2832" spans="1:15" x14ac:dyDescent="0.25">
      <c r="A2832" t="s">
        <v>626</v>
      </c>
      <c r="B2832">
        <v>84</v>
      </c>
      <c r="C2832">
        <v>13592872</v>
      </c>
      <c r="D2832" t="s">
        <v>4465</v>
      </c>
      <c r="E2832" t="s">
        <v>13</v>
      </c>
      <c r="F2832" t="s">
        <v>14</v>
      </c>
      <c r="G2832">
        <v>11000000</v>
      </c>
      <c r="H2832">
        <v>5.0999999999999996</v>
      </c>
      <c r="I2832" t="s">
        <v>15</v>
      </c>
    </row>
    <row r="2833" spans="1:12" x14ac:dyDescent="0.25">
      <c r="A2833" t="s">
        <v>4466</v>
      </c>
      <c r="B2833">
        <v>91</v>
      </c>
      <c r="C2833">
        <v>13571817</v>
      </c>
      <c r="D2833" t="s">
        <v>4467</v>
      </c>
      <c r="E2833" t="s">
        <v>13</v>
      </c>
      <c r="F2833" t="s">
        <v>14</v>
      </c>
      <c r="G2833">
        <v>15600000</v>
      </c>
      <c r="H2833">
        <v>4.5</v>
      </c>
      <c r="I2833" t="s">
        <v>15</v>
      </c>
      <c r="J2833" t="s">
        <v>31</v>
      </c>
      <c r="K2833" t="s">
        <v>19</v>
      </c>
      <c r="L2833" t="s">
        <v>41</v>
      </c>
    </row>
    <row r="2834" spans="1:12" x14ac:dyDescent="0.25">
      <c r="A2834" t="s">
        <v>4258</v>
      </c>
      <c r="B2834">
        <v>122</v>
      </c>
      <c r="C2834">
        <v>13569248</v>
      </c>
      <c r="D2834" t="s">
        <v>4468</v>
      </c>
      <c r="E2834" t="s">
        <v>13</v>
      </c>
      <c r="F2834" t="s">
        <v>14</v>
      </c>
      <c r="G2834">
        <v>39751583.5</v>
      </c>
      <c r="H2834">
        <v>7.6</v>
      </c>
      <c r="I2834" t="s">
        <v>31</v>
      </c>
    </row>
    <row r="2835" spans="1:12" x14ac:dyDescent="0.25">
      <c r="A2835" t="s">
        <v>519</v>
      </c>
      <c r="B2835">
        <v>212</v>
      </c>
      <c r="C2835">
        <v>13560960</v>
      </c>
      <c r="D2835" t="s">
        <v>4469</v>
      </c>
      <c r="E2835" t="s">
        <v>13</v>
      </c>
      <c r="F2835" t="s">
        <v>14</v>
      </c>
      <c r="G2835">
        <v>50000000</v>
      </c>
      <c r="H2835">
        <v>7.1</v>
      </c>
      <c r="I2835" t="s">
        <v>42</v>
      </c>
      <c r="J2835" t="s">
        <v>31</v>
      </c>
      <c r="K2835" t="s">
        <v>64</v>
      </c>
    </row>
    <row r="2836" spans="1:12" x14ac:dyDescent="0.25">
      <c r="A2836" t="s">
        <v>4470</v>
      </c>
      <c r="B2836">
        <v>95</v>
      </c>
      <c r="C2836">
        <v>13558739</v>
      </c>
      <c r="D2836" t="s">
        <v>4471</v>
      </c>
      <c r="E2836" t="s">
        <v>13</v>
      </c>
      <c r="F2836" t="s">
        <v>14</v>
      </c>
      <c r="G2836">
        <v>11000000</v>
      </c>
      <c r="H2836">
        <v>5.3</v>
      </c>
      <c r="I2836" t="s">
        <v>15</v>
      </c>
    </row>
    <row r="2837" spans="1:12" x14ac:dyDescent="0.25">
      <c r="A2837" t="s">
        <v>4472</v>
      </c>
      <c r="B2837">
        <v>95</v>
      </c>
      <c r="C2837">
        <v>13555988</v>
      </c>
      <c r="D2837" t="s">
        <v>4473</v>
      </c>
      <c r="E2837" t="s">
        <v>13</v>
      </c>
      <c r="F2837" t="s">
        <v>241</v>
      </c>
      <c r="G2837">
        <v>22000000</v>
      </c>
      <c r="H2837">
        <v>5.7</v>
      </c>
      <c r="I2837" t="s">
        <v>28</v>
      </c>
      <c r="J2837" t="s">
        <v>15</v>
      </c>
      <c r="K2837" t="s">
        <v>16</v>
      </c>
      <c r="L2837" t="s">
        <v>17</v>
      </c>
    </row>
    <row r="2838" spans="1:12" x14ac:dyDescent="0.25">
      <c r="A2838" t="s">
        <v>1758</v>
      </c>
      <c r="B2838">
        <v>109</v>
      </c>
      <c r="C2838">
        <v>13491653</v>
      </c>
      <c r="D2838" t="s">
        <v>4474</v>
      </c>
      <c r="E2838" t="s">
        <v>13</v>
      </c>
      <c r="F2838" t="s">
        <v>14</v>
      </c>
      <c r="G2838">
        <v>18000000</v>
      </c>
      <c r="H2838">
        <v>6.1</v>
      </c>
      <c r="I2838" t="s">
        <v>31</v>
      </c>
      <c r="J2838" t="s">
        <v>24</v>
      </c>
    </row>
    <row r="2839" spans="1:12" x14ac:dyDescent="0.25">
      <c r="A2839" t="s">
        <v>3435</v>
      </c>
      <c r="B2839">
        <v>99</v>
      </c>
      <c r="C2839">
        <v>13464388</v>
      </c>
      <c r="D2839" t="s">
        <v>4475</v>
      </c>
      <c r="E2839" t="s">
        <v>13</v>
      </c>
      <c r="F2839" t="s">
        <v>82</v>
      </c>
      <c r="G2839">
        <v>4000000</v>
      </c>
      <c r="H2839">
        <v>8</v>
      </c>
      <c r="I2839" t="s">
        <v>15</v>
      </c>
      <c r="J2839" t="s">
        <v>22</v>
      </c>
    </row>
    <row r="2840" spans="1:12" x14ac:dyDescent="0.25">
      <c r="A2840" t="s">
        <v>572</v>
      </c>
      <c r="B2840">
        <v>95</v>
      </c>
      <c r="C2840">
        <v>13401683</v>
      </c>
      <c r="D2840" t="s">
        <v>4476</v>
      </c>
      <c r="E2840" t="s">
        <v>13</v>
      </c>
      <c r="F2840" t="s">
        <v>82</v>
      </c>
      <c r="G2840">
        <v>35000000</v>
      </c>
      <c r="H2840">
        <v>7.1</v>
      </c>
      <c r="I2840" t="s">
        <v>34</v>
      </c>
      <c r="J2840" t="s">
        <v>37</v>
      </c>
    </row>
    <row r="2841" spans="1:12" x14ac:dyDescent="0.25">
      <c r="A2841" t="s">
        <v>572</v>
      </c>
      <c r="B2841">
        <v>95</v>
      </c>
      <c r="C2841">
        <v>13401683</v>
      </c>
      <c r="D2841" t="s">
        <v>4476</v>
      </c>
      <c r="E2841" t="s">
        <v>13</v>
      </c>
      <c r="F2841" t="s">
        <v>82</v>
      </c>
      <c r="G2841">
        <v>35000000</v>
      </c>
      <c r="H2841">
        <v>7.1</v>
      </c>
      <c r="I2841" t="s">
        <v>34</v>
      </c>
      <c r="J2841" t="s">
        <v>37</v>
      </c>
    </row>
    <row r="2842" spans="1:12" x14ac:dyDescent="0.25">
      <c r="A2842" t="s">
        <v>4477</v>
      </c>
      <c r="B2842">
        <v>103</v>
      </c>
      <c r="C2842">
        <v>13395939</v>
      </c>
      <c r="D2842" t="s">
        <v>4478</v>
      </c>
      <c r="E2842" t="s">
        <v>13</v>
      </c>
      <c r="F2842" t="s">
        <v>82</v>
      </c>
      <c r="G2842">
        <v>60000000</v>
      </c>
      <c r="H2842">
        <v>6.2</v>
      </c>
      <c r="I2842" t="s">
        <v>15</v>
      </c>
      <c r="J2842" t="s">
        <v>31</v>
      </c>
      <c r="K2842" t="s">
        <v>19</v>
      </c>
    </row>
    <row r="2843" spans="1:12" x14ac:dyDescent="0.25">
      <c r="A2843" t="s">
        <v>4479</v>
      </c>
      <c r="B2843">
        <v>123</v>
      </c>
      <c r="C2843">
        <v>13391174</v>
      </c>
      <c r="D2843" t="s">
        <v>4480</v>
      </c>
      <c r="E2843" t="s">
        <v>13</v>
      </c>
      <c r="F2843" t="s">
        <v>14</v>
      </c>
      <c r="G2843">
        <v>20000000</v>
      </c>
      <c r="H2843">
        <v>6.3</v>
      </c>
      <c r="I2843" t="s">
        <v>42</v>
      </c>
      <c r="J2843" t="s">
        <v>31</v>
      </c>
      <c r="K2843" t="s">
        <v>64</v>
      </c>
    </row>
    <row r="2844" spans="1:12" x14ac:dyDescent="0.25">
      <c r="A2844" t="s">
        <v>908</v>
      </c>
      <c r="B2844">
        <v>98</v>
      </c>
      <c r="C2844">
        <v>13383737</v>
      </c>
      <c r="D2844" t="s">
        <v>4481</v>
      </c>
      <c r="E2844" t="s">
        <v>13</v>
      </c>
      <c r="F2844" t="s">
        <v>14</v>
      </c>
      <c r="G2844">
        <v>20000000</v>
      </c>
      <c r="H2844">
        <v>7.5</v>
      </c>
      <c r="I2844" t="s">
        <v>15</v>
      </c>
      <c r="J2844" t="s">
        <v>38</v>
      </c>
    </row>
    <row r="2845" spans="1:12" x14ac:dyDescent="0.25">
      <c r="A2845" t="s">
        <v>4482</v>
      </c>
      <c r="B2845">
        <v>106</v>
      </c>
      <c r="C2845">
        <v>13376506</v>
      </c>
      <c r="D2845" t="s">
        <v>4483</v>
      </c>
      <c r="E2845" t="s">
        <v>13</v>
      </c>
      <c r="F2845" t="s">
        <v>14</v>
      </c>
      <c r="G2845">
        <v>40000000</v>
      </c>
      <c r="H2845">
        <v>6.3</v>
      </c>
      <c r="I2845" t="s">
        <v>31</v>
      </c>
    </row>
    <row r="2846" spans="1:12" x14ac:dyDescent="0.25">
      <c r="A2846" t="s">
        <v>4155</v>
      </c>
      <c r="B2846">
        <v>88</v>
      </c>
      <c r="C2846">
        <v>13367101</v>
      </c>
      <c r="D2846" t="s">
        <v>4484</v>
      </c>
      <c r="E2846" t="s">
        <v>13</v>
      </c>
      <c r="F2846" t="s">
        <v>14</v>
      </c>
      <c r="G2846">
        <v>6500000</v>
      </c>
      <c r="H2846">
        <v>5.9</v>
      </c>
      <c r="I2846" t="s">
        <v>15</v>
      </c>
      <c r="J2846" t="s">
        <v>31</v>
      </c>
      <c r="K2846" t="s">
        <v>19</v>
      </c>
    </row>
    <row r="2847" spans="1:12" x14ac:dyDescent="0.25">
      <c r="A2847" t="s">
        <v>354</v>
      </c>
      <c r="B2847">
        <v>111</v>
      </c>
      <c r="C2847">
        <v>13362308</v>
      </c>
      <c r="D2847" t="s">
        <v>4485</v>
      </c>
      <c r="E2847" t="s">
        <v>13</v>
      </c>
      <c r="F2847" t="s">
        <v>14</v>
      </c>
      <c r="G2847">
        <v>18000000</v>
      </c>
      <c r="H2847">
        <v>6.9</v>
      </c>
      <c r="I2847" t="s">
        <v>31</v>
      </c>
    </row>
    <row r="2848" spans="1:12" x14ac:dyDescent="0.25">
      <c r="A2848" t="s">
        <v>4486</v>
      </c>
      <c r="B2848">
        <v>82</v>
      </c>
      <c r="C2848">
        <v>13350177</v>
      </c>
      <c r="D2848" t="s">
        <v>4487</v>
      </c>
      <c r="E2848" t="s">
        <v>13</v>
      </c>
      <c r="F2848" t="s">
        <v>14</v>
      </c>
      <c r="G2848">
        <v>5000000</v>
      </c>
      <c r="H2848">
        <v>3.8</v>
      </c>
      <c r="I2848" t="s">
        <v>31</v>
      </c>
      <c r="J2848" t="s">
        <v>22</v>
      </c>
      <c r="K2848" t="s">
        <v>24</v>
      </c>
    </row>
    <row r="2849" spans="1:14" x14ac:dyDescent="0.25">
      <c r="A2849" t="s">
        <v>1134</v>
      </c>
      <c r="B2849">
        <v>125</v>
      </c>
      <c r="C2849">
        <v>13337299</v>
      </c>
      <c r="D2849" t="s">
        <v>4488</v>
      </c>
      <c r="E2849" t="s">
        <v>13</v>
      </c>
      <c r="F2849" t="s">
        <v>14</v>
      </c>
      <c r="G2849">
        <v>20000000</v>
      </c>
      <c r="H2849">
        <v>6.6</v>
      </c>
      <c r="I2849" t="s">
        <v>42</v>
      </c>
      <c r="J2849" t="s">
        <v>31</v>
      </c>
      <c r="K2849" t="s">
        <v>18</v>
      </c>
      <c r="L2849" t="s">
        <v>59</v>
      </c>
    </row>
    <row r="2850" spans="1:14" x14ac:dyDescent="0.25">
      <c r="A2850" t="s">
        <v>2154</v>
      </c>
      <c r="B2850">
        <v>139</v>
      </c>
      <c r="C2850">
        <v>13303319</v>
      </c>
      <c r="D2850" t="s">
        <v>4489</v>
      </c>
      <c r="E2850" t="s">
        <v>13</v>
      </c>
      <c r="F2850" t="s">
        <v>14</v>
      </c>
      <c r="G2850">
        <v>32000000</v>
      </c>
      <c r="H2850">
        <v>6.7</v>
      </c>
      <c r="I2850" t="s">
        <v>31</v>
      </c>
      <c r="J2850" t="s">
        <v>17</v>
      </c>
    </row>
    <row r="2851" spans="1:14" x14ac:dyDescent="0.25">
      <c r="A2851" t="s">
        <v>4490</v>
      </c>
      <c r="B2851">
        <v>215</v>
      </c>
      <c r="C2851">
        <v>13300000</v>
      </c>
      <c r="D2851" t="s">
        <v>4491</v>
      </c>
      <c r="E2851" t="s">
        <v>13</v>
      </c>
      <c r="F2851" t="s">
        <v>14</v>
      </c>
      <c r="G2851">
        <v>600000</v>
      </c>
      <c r="H2851">
        <v>8.1</v>
      </c>
      <c r="I2851" t="s">
        <v>52</v>
      </c>
      <c r="J2851" t="s">
        <v>64</v>
      </c>
      <c r="K2851" t="s">
        <v>18</v>
      </c>
    </row>
    <row r="2852" spans="1:14" x14ac:dyDescent="0.25">
      <c r="A2852" t="s">
        <v>4492</v>
      </c>
      <c r="B2852">
        <v>135</v>
      </c>
      <c r="C2852">
        <v>13269963</v>
      </c>
      <c r="D2852" t="s">
        <v>4493</v>
      </c>
      <c r="E2852" t="s">
        <v>13</v>
      </c>
      <c r="F2852" t="s">
        <v>14</v>
      </c>
      <c r="G2852">
        <v>5000000</v>
      </c>
      <c r="H2852">
        <v>7.6</v>
      </c>
      <c r="I2852" t="s">
        <v>31</v>
      </c>
      <c r="J2852" t="s">
        <v>23</v>
      </c>
    </row>
    <row r="2853" spans="1:14" x14ac:dyDescent="0.25">
      <c r="A2853" t="s">
        <v>237</v>
      </c>
      <c r="B2853">
        <v>94</v>
      </c>
      <c r="C2853">
        <v>13264986</v>
      </c>
      <c r="D2853" t="s">
        <v>4494</v>
      </c>
      <c r="E2853" t="s">
        <v>13</v>
      </c>
      <c r="F2853" t="s">
        <v>14</v>
      </c>
      <c r="G2853">
        <v>35000000</v>
      </c>
      <c r="H2853">
        <v>6</v>
      </c>
      <c r="I2853" t="s">
        <v>34</v>
      </c>
      <c r="J2853" t="s">
        <v>69</v>
      </c>
    </row>
    <row r="2854" spans="1:14" x14ac:dyDescent="0.25">
      <c r="A2854" t="s">
        <v>4495</v>
      </c>
      <c r="B2854">
        <v>109</v>
      </c>
      <c r="C2854">
        <v>13248477</v>
      </c>
      <c r="D2854" t="s">
        <v>4496</v>
      </c>
      <c r="E2854" t="s">
        <v>13</v>
      </c>
      <c r="F2854" t="s">
        <v>14</v>
      </c>
      <c r="G2854">
        <v>27000000</v>
      </c>
      <c r="H2854">
        <v>6.2</v>
      </c>
      <c r="I2854" t="s">
        <v>22</v>
      </c>
      <c r="J2854" t="s">
        <v>23</v>
      </c>
      <c r="K2854" t="s">
        <v>24</v>
      </c>
    </row>
    <row r="2855" spans="1:14" x14ac:dyDescent="0.25">
      <c r="A2855" t="s">
        <v>4497</v>
      </c>
      <c r="B2855">
        <v>89</v>
      </c>
      <c r="C2855">
        <v>13235267</v>
      </c>
      <c r="D2855" t="s">
        <v>4498</v>
      </c>
      <c r="E2855" t="s">
        <v>13</v>
      </c>
      <c r="F2855" t="s">
        <v>14</v>
      </c>
      <c r="G2855">
        <v>6000000</v>
      </c>
      <c r="H2855">
        <v>2.9</v>
      </c>
      <c r="I2855" t="s">
        <v>15</v>
      </c>
      <c r="J2855" t="s">
        <v>16</v>
      </c>
    </row>
    <row r="2856" spans="1:14" x14ac:dyDescent="0.25">
      <c r="A2856" t="s">
        <v>542</v>
      </c>
      <c r="B2856">
        <v>104</v>
      </c>
      <c r="C2856">
        <v>13214255</v>
      </c>
      <c r="D2856" t="s">
        <v>4499</v>
      </c>
      <c r="E2856" t="s">
        <v>13</v>
      </c>
      <c r="F2856" t="s">
        <v>14</v>
      </c>
      <c r="G2856">
        <v>11000000</v>
      </c>
      <c r="H2856">
        <v>7.4</v>
      </c>
      <c r="I2856" t="s">
        <v>31</v>
      </c>
      <c r="J2856" t="s">
        <v>18</v>
      </c>
    </row>
    <row r="2857" spans="1:14" x14ac:dyDescent="0.25">
      <c r="A2857" t="s">
        <v>2765</v>
      </c>
      <c r="B2857">
        <v>102</v>
      </c>
      <c r="C2857">
        <v>13214030</v>
      </c>
      <c r="D2857" t="s">
        <v>4500</v>
      </c>
      <c r="E2857" t="s">
        <v>13</v>
      </c>
      <c r="F2857" t="s">
        <v>14</v>
      </c>
      <c r="G2857">
        <v>20000000</v>
      </c>
      <c r="H2857">
        <v>6.7</v>
      </c>
      <c r="I2857" t="s">
        <v>15</v>
      </c>
      <c r="J2857" t="s">
        <v>31</v>
      </c>
      <c r="K2857" t="s">
        <v>17</v>
      </c>
      <c r="L2857" t="s">
        <v>19</v>
      </c>
    </row>
    <row r="2858" spans="1:14" x14ac:dyDescent="0.25">
      <c r="A2858" t="s">
        <v>2992</v>
      </c>
      <c r="B2858">
        <v>101</v>
      </c>
      <c r="C2858">
        <v>13208023</v>
      </c>
      <c r="D2858" t="s">
        <v>4501</v>
      </c>
      <c r="E2858" t="s">
        <v>13</v>
      </c>
      <c r="F2858" t="s">
        <v>82</v>
      </c>
      <c r="G2858">
        <v>42000000</v>
      </c>
      <c r="H2858">
        <v>3.3</v>
      </c>
      <c r="I2858" t="s">
        <v>38</v>
      </c>
      <c r="J2858" t="s">
        <v>22</v>
      </c>
      <c r="K2858" t="s">
        <v>24</v>
      </c>
    </row>
    <row r="2859" spans="1:14" x14ac:dyDescent="0.25">
      <c r="A2859" t="s">
        <v>4320</v>
      </c>
      <c r="B2859">
        <v>100</v>
      </c>
      <c r="C2859">
        <v>13103828</v>
      </c>
      <c r="D2859" t="s">
        <v>4502</v>
      </c>
      <c r="E2859" t="s">
        <v>13</v>
      </c>
      <c r="F2859" t="s">
        <v>14</v>
      </c>
      <c r="G2859">
        <v>11000000</v>
      </c>
      <c r="H2859">
        <v>7.3</v>
      </c>
      <c r="I2859" t="s">
        <v>38</v>
      </c>
      <c r="J2859" t="s">
        <v>31</v>
      </c>
      <c r="K2859" t="s">
        <v>24</v>
      </c>
    </row>
    <row r="2860" spans="1:14" x14ac:dyDescent="0.25">
      <c r="A2860" t="s">
        <v>634</v>
      </c>
      <c r="B2860">
        <v>105</v>
      </c>
      <c r="C2860">
        <v>13101142</v>
      </c>
      <c r="D2860" t="s">
        <v>4503</v>
      </c>
      <c r="E2860" t="s">
        <v>13</v>
      </c>
      <c r="F2860" t="s">
        <v>14</v>
      </c>
      <c r="G2860">
        <v>35000000</v>
      </c>
      <c r="H2860">
        <v>5.7</v>
      </c>
      <c r="I2860" t="s">
        <v>15</v>
      </c>
      <c r="J2860" t="s">
        <v>19</v>
      </c>
      <c r="K2860" t="s">
        <v>41</v>
      </c>
    </row>
    <row r="2861" spans="1:14" x14ac:dyDescent="0.25">
      <c r="A2861" t="s">
        <v>4504</v>
      </c>
      <c r="B2861">
        <v>107</v>
      </c>
      <c r="C2861">
        <v>13092000</v>
      </c>
      <c r="D2861" t="s">
        <v>4505</v>
      </c>
      <c r="E2861" t="s">
        <v>13</v>
      </c>
      <c r="F2861" t="s">
        <v>14</v>
      </c>
      <c r="G2861">
        <v>3300000</v>
      </c>
      <c r="H2861">
        <v>8.5</v>
      </c>
      <c r="I2861" t="s">
        <v>31</v>
      </c>
      <c r="J2861" t="s">
        <v>18</v>
      </c>
    </row>
    <row r="2862" spans="1:14" x14ac:dyDescent="0.25">
      <c r="A2862" t="s">
        <v>4506</v>
      </c>
      <c r="B2862">
        <v>140</v>
      </c>
      <c r="C2862">
        <v>13082288</v>
      </c>
      <c r="D2862" t="s">
        <v>4507</v>
      </c>
      <c r="E2862" t="s">
        <v>13</v>
      </c>
      <c r="F2862" t="s">
        <v>82</v>
      </c>
      <c r="G2862">
        <v>60000000</v>
      </c>
      <c r="H2862">
        <v>6.6</v>
      </c>
      <c r="I2862" t="s">
        <v>34</v>
      </c>
      <c r="J2862" t="s">
        <v>28</v>
      </c>
      <c r="K2862" t="s">
        <v>31</v>
      </c>
      <c r="L2862" t="s">
        <v>64</v>
      </c>
      <c r="M2862" t="s">
        <v>19</v>
      </c>
      <c r="N2862" t="s">
        <v>83</v>
      </c>
    </row>
    <row r="2863" spans="1:14" x14ac:dyDescent="0.25">
      <c r="A2863" t="s">
        <v>302</v>
      </c>
      <c r="B2863">
        <v>108</v>
      </c>
      <c r="C2863">
        <v>13060843</v>
      </c>
      <c r="D2863" t="s">
        <v>4508</v>
      </c>
      <c r="E2863" t="s">
        <v>13</v>
      </c>
      <c r="F2863" t="s">
        <v>14</v>
      </c>
      <c r="G2863">
        <v>15000000</v>
      </c>
      <c r="H2863">
        <v>7.7</v>
      </c>
      <c r="I2863" t="s">
        <v>31</v>
      </c>
    </row>
    <row r="2864" spans="1:14" x14ac:dyDescent="0.25">
      <c r="A2864" t="s">
        <v>231</v>
      </c>
      <c r="B2864">
        <v>130</v>
      </c>
      <c r="C2864">
        <v>13052741</v>
      </c>
      <c r="D2864" t="s">
        <v>4509</v>
      </c>
      <c r="E2864" t="s">
        <v>13</v>
      </c>
      <c r="F2864" t="s">
        <v>14</v>
      </c>
      <c r="G2864">
        <v>36000000</v>
      </c>
      <c r="H2864">
        <v>6.7</v>
      </c>
      <c r="I2864" t="s">
        <v>31</v>
      </c>
      <c r="J2864" t="s">
        <v>64</v>
      </c>
    </row>
    <row r="2865" spans="1:13" x14ac:dyDescent="0.25">
      <c r="A2865" t="s">
        <v>1169</v>
      </c>
      <c r="B2865">
        <v>145</v>
      </c>
      <c r="C2865">
        <v>13038660</v>
      </c>
      <c r="D2865" t="s">
        <v>4510</v>
      </c>
      <c r="E2865" t="s">
        <v>13</v>
      </c>
      <c r="F2865" t="s">
        <v>14</v>
      </c>
      <c r="G2865">
        <v>25000000</v>
      </c>
      <c r="H2865">
        <v>7.3</v>
      </c>
      <c r="I2865" t="s">
        <v>31</v>
      </c>
    </row>
    <row r="2866" spans="1:13" x14ac:dyDescent="0.25">
      <c r="A2866" t="s">
        <v>4511</v>
      </c>
      <c r="B2866">
        <v>111</v>
      </c>
      <c r="C2866">
        <v>13034417</v>
      </c>
      <c r="D2866" t="s">
        <v>4512</v>
      </c>
      <c r="E2866" t="s">
        <v>13</v>
      </c>
      <c r="F2866" t="s">
        <v>14</v>
      </c>
      <c r="G2866">
        <v>15000000</v>
      </c>
      <c r="H2866">
        <v>6.9</v>
      </c>
      <c r="I2866" t="s">
        <v>31</v>
      </c>
      <c r="J2866" t="s">
        <v>41</v>
      </c>
    </row>
    <row r="2867" spans="1:13" x14ac:dyDescent="0.25">
      <c r="A2867" t="s">
        <v>4513</v>
      </c>
      <c r="B2867">
        <v>88</v>
      </c>
      <c r="C2867">
        <v>13019253</v>
      </c>
      <c r="D2867" t="s">
        <v>4514</v>
      </c>
      <c r="E2867" t="s">
        <v>13</v>
      </c>
      <c r="F2867" t="s">
        <v>14</v>
      </c>
      <c r="G2867">
        <v>23000000</v>
      </c>
      <c r="H2867">
        <v>5.6</v>
      </c>
      <c r="I2867" t="s">
        <v>15</v>
      </c>
      <c r="J2867" t="s">
        <v>38</v>
      </c>
    </row>
    <row r="2868" spans="1:13" x14ac:dyDescent="0.25">
      <c r="A2868" t="s">
        <v>2789</v>
      </c>
      <c r="B2868">
        <v>93</v>
      </c>
      <c r="C2868">
        <v>13008928</v>
      </c>
      <c r="D2868" t="s">
        <v>4515</v>
      </c>
      <c r="E2868" t="s">
        <v>13</v>
      </c>
      <c r="F2868" t="s">
        <v>14</v>
      </c>
      <c r="G2868">
        <v>4000000</v>
      </c>
      <c r="H2868">
        <v>7.3</v>
      </c>
      <c r="I2868" t="s">
        <v>22</v>
      </c>
      <c r="J2868" t="s">
        <v>37</v>
      </c>
      <c r="K2868" t="s">
        <v>24</v>
      </c>
    </row>
    <row r="2869" spans="1:13" x14ac:dyDescent="0.25">
      <c r="A2869" t="s">
        <v>4516</v>
      </c>
      <c r="B2869">
        <v>126</v>
      </c>
      <c r="C2869">
        <v>13005485</v>
      </c>
      <c r="D2869" t="s">
        <v>4517</v>
      </c>
      <c r="E2869" t="s">
        <v>13</v>
      </c>
      <c r="F2869" t="s">
        <v>14</v>
      </c>
      <c r="G2869">
        <v>15000000</v>
      </c>
      <c r="H2869">
        <v>7.6</v>
      </c>
      <c r="I2869" t="s">
        <v>31</v>
      </c>
    </row>
    <row r="2870" spans="1:13" x14ac:dyDescent="0.25">
      <c r="A2870" t="s">
        <v>1011</v>
      </c>
      <c r="B2870">
        <v>118</v>
      </c>
      <c r="C2870">
        <v>13000000</v>
      </c>
      <c r="D2870" t="s">
        <v>4518</v>
      </c>
      <c r="E2870" t="s">
        <v>13</v>
      </c>
      <c r="F2870" t="s">
        <v>14</v>
      </c>
      <c r="G2870">
        <v>24000000</v>
      </c>
      <c r="H2870">
        <v>5.2</v>
      </c>
      <c r="I2870" t="s">
        <v>28</v>
      </c>
      <c r="J2870" t="s">
        <v>16</v>
      </c>
      <c r="K2870" t="s">
        <v>17</v>
      </c>
      <c r="L2870" t="s">
        <v>18</v>
      </c>
      <c r="M2870" t="s">
        <v>59</v>
      </c>
    </row>
    <row r="2871" spans="1:13" x14ac:dyDescent="0.25">
      <c r="A2871" t="s">
        <v>835</v>
      </c>
      <c r="B2871">
        <v>101</v>
      </c>
      <c r="C2871">
        <v>12995673</v>
      </c>
      <c r="D2871" t="s">
        <v>4519</v>
      </c>
      <c r="E2871" t="s">
        <v>13</v>
      </c>
      <c r="F2871" t="s">
        <v>14</v>
      </c>
      <c r="G2871">
        <v>2500000</v>
      </c>
      <c r="H2871">
        <v>7.7</v>
      </c>
      <c r="I2871" t="s">
        <v>15</v>
      </c>
      <c r="J2871" t="s">
        <v>52</v>
      </c>
      <c r="K2871" t="s">
        <v>83</v>
      </c>
    </row>
    <row r="2872" spans="1:13" x14ac:dyDescent="0.25">
      <c r="A2872" t="s">
        <v>365</v>
      </c>
      <c r="B2872">
        <v>101</v>
      </c>
      <c r="C2872">
        <v>12987647</v>
      </c>
      <c r="D2872" t="s">
        <v>4520</v>
      </c>
      <c r="E2872" t="s">
        <v>13</v>
      </c>
      <c r="F2872" t="s">
        <v>82</v>
      </c>
      <c r="G2872">
        <v>30000000</v>
      </c>
      <c r="H2872">
        <v>7.1</v>
      </c>
      <c r="I2872" t="s">
        <v>31</v>
      </c>
      <c r="J2872" t="s">
        <v>23</v>
      </c>
      <c r="K2872" t="s">
        <v>19</v>
      </c>
      <c r="L2872" t="s">
        <v>24</v>
      </c>
      <c r="M2872" t="s">
        <v>83</v>
      </c>
    </row>
    <row r="2873" spans="1:13" x14ac:dyDescent="0.25">
      <c r="A2873" t="s">
        <v>4521</v>
      </c>
      <c r="B2873">
        <v>120</v>
      </c>
      <c r="C2873">
        <v>12985267</v>
      </c>
      <c r="D2873" t="s">
        <v>4522</v>
      </c>
      <c r="E2873" t="s">
        <v>13</v>
      </c>
      <c r="F2873" t="s">
        <v>14</v>
      </c>
      <c r="G2873">
        <v>2300000</v>
      </c>
      <c r="H2873">
        <v>5.9</v>
      </c>
      <c r="I2873" t="s">
        <v>31</v>
      </c>
    </row>
    <row r="2874" spans="1:13" x14ac:dyDescent="0.25">
      <c r="A2874" t="s">
        <v>4523</v>
      </c>
      <c r="B2874">
        <v>89</v>
      </c>
      <c r="C2874">
        <v>12947763</v>
      </c>
      <c r="D2874" t="s">
        <v>4524</v>
      </c>
      <c r="E2874" t="s">
        <v>13</v>
      </c>
      <c r="F2874" t="s">
        <v>14</v>
      </c>
      <c r="G2874">
        <v>5000000</v>
      </c>
      <c r="H2874">
        <v>6.2</v>
      </c>
      <c r="I2874" t="s">
        <v>22</v>
      </c>
      <c r="J2874" t="s">
        <v>23</v>
      </c>
    </row>
    <row r="2875" spans="1:13" x14ac:dyDescent="0.25">
      <c r="A2875" t="s">
        <v>1024</v>
      </c>
      <c r="B2875">
        <v>100</v>
      </c>
      <c r="C2875">
        <v>12902790</v>
      </c>
      <c r="D2875" t="s">
        <v>4525</v>
      </c>
      <c r="E2875" t="s">
        <v>13</v>
      </c>
      <c r="F2875" t="s">
        <v>14</v>
      </c>
      <c r="G2875">
        <v>12000000</v>
      </c>
      <c r="H2875">
        <v>6.6</v>
      </c>
      <c r="I2875" t="s">
        <v>15</v>
      </c>
      <c r="J2875" t="s">
        <v>31</v>
      </c>
      <c r="K2875" t="s">
        <v>19</v>
      </c>
    </row>
    <row r="2876" spans="1:13" x14ac:dyDescent="0.25">
      <c r="A2876" t="s">
        <v>4526</v>
      </c>
      <c r="B2876">
        <v>121</v>
      </c>
      <c r="C2876">
        <v>12899702</v>
      </c>
      <c r="D2876" t="s">
        <v>4527</v>
      </c>
      <c r="E2876" t="s">
        <v>1498</v>
      </c>
      <c r="F2876" t="s">
        <v>910</v>
      </c>
      <c r="G2876">
        <v>39751583.5</v>
      </c>
      <c r="H2876">
        <v>7.6</v>
      </c>
      <c r="I2876" t="s">
        <v>15</v>
      </c>
      <c r="J2876" t="s">
        <v>38</v>
      </c>
      <c r="K2876" t="s">
        <v>31</v>
      </c>
      <c r="L2876" t="s">
        <v>23</v>
      </c>
    </row>
    <row r="2877" spans="1:13" x14ac:dyDescent="0.25">
      <c r="A2877" t="s">
        <v>4528</v>
      </c>
      <c r="B2877">
        <v>280</v>
      </c>
      <c r="C2877">
        <v>12870569</v>
      </c>
      <c r="D2877" t="s">
        <v>4529</v>
      </c>
      <c r="E2877" t="s">
        <v>13</v>
      </c>
      <c r="F2877" t="s">
        <v>14</v>
      </c>
      <c r="G2877">
        <v>56000000</v>
      </c>
      <c r="H2877">
        <v>6.3</v>
      </c>
      <c r="I2877" t="s">
        <v>31</v>
      </c>
      <c r="J2877" t="s">
        <v>64</v>
      </c>
      <c r="K2877" t="s">
        <v>83</v>
      </c>
    </row>
    <row r="2878" spans="1:13" x14ac:dyDescent="0.25">
      <c r="A2878" t="s">
        <v>3869</v>
      </c>
      <c r="B2878">
        <v>114</v>
      </c>
      <c r="C2878">
        <v>12831121</v>
      </c>
      <c r="D2878" t="s">
        <v>4530</v>
      </c>
      <c r="E2878" t="s">
        <v>13</v>
      </c>
      <c r="F2878" t="s">
        <v>14</v>
      </c>
      <c r="G2878">
        <v>30000000</v>
      </c>
      <c r="H2878">
        <v>7</v>
      </c>
      <c r="I2878" t="s">
        <v>31</v>
      </c>
      <c r="J2878" t="s">
        <v>23</v>
      </c>
      <c r="K2878" t="s">
        <v>19</v>
      </c>
      <c r="L2878" t="s">
        <v>24</v>
      </c>
    </row>
    <row r="2879" spans="1:13" x14ac:dyDescent="0.25">
      <c r="A2879" t="s">
        <v>1117</v>
      </c>
      <c r="B2879">
        <v>129</v>
      </c>
      <c r="C2879">
        <v>12802907</v>
      </c>
      <c r="D2879" t="s">
        <v>4531</v>
      </c>
      <c r="E2879" t="s">
        <v>13</v>
      </c>
      <c r="F2879" t="s">
        <v>82</v>
      </c>
      <c r="G2879">
        <v>39751583.5</v>
      </c>
      <c r="H2879">
        <v>6.6</v>
      </c>
      <c r="I2879" t="s">
        <v>31</v>
      </c>
      <c r="J2879" t="s">
        <v>19</v>
      </c>
    </row>
    <row r="2880" spans="1:13" x14ac:dyDescent="0.25">
      <c r="A2880" t="s">
        <v>1848</v>
      </c>
      <c r="B2880">
        <v>101</v>
      </c>
      <c r="C2880">
        <v>12801190</v>
      </c>
      <c r="D2880" t="s">
        <v>4532</v>
      </c>
      <c r="E2880" t="s">
        <v>13</v>
      </c>
      <c r="F2880" t="s">
        <v>14</v>
      </c>
      <c r="G2880">
        <v>15000000</v>
      </c>
      <c r="H2880">
        <v>4.5999999999999996</v>
      </c>
      <c r="I2880" t="s">
        <v>34</v>
      </c>
      <c r="J2880" t="s">
        <v>28</v>
      </c>
      <c r="K2880" t="s">
        <v>17</v>
      </c>
      <c r="L2880" t="s">
        <v>37</v>
      </c>
    </row>
    <row r="2881" spans="1:13" x14ac:dyDescent="0.25">
      <c r="A2881" t="s">
        <v>474</v>
      </c>
      <c r="B2881">
        <v>113</v>
      </c>
      <c r="C2881">
        <v>12796277</v>
      </c>
      <c r="D2881" t="s">
        <v>4533</v>
      </c>
      <c r="E2881" t="s">
        <v>13</v>
      </c>
      <c r="F2881" t="s">
        <v>14</v>
      </c>
      <c r="G2881">
        <v>39751583.5</v>
      </c>
      <c r="H2881">
        <v>6.7</v>
      </c>
      <c r="I2881" t="s">
        <v>31</v>
      </c>
      <c r="J2881" t="s">
        <v>19</v>
      </c>
    </row>
    <row r="2882" spans="1:13" x14ac:dyDescent="0.25">
      <c r="A2882" t="s">
        <v>78</v>
      </c>
      <c r="B2882">
        <v>104</v>
      </c>
      <c r="C2882">
        <v>12793213</v>
      </c>
      <c r="D2882" t="s">
        <v>4534</v>
      </c>
      <c r="E2882" t="s">
        <v>13</v>
      </c>
      <c r="F2882" t="s">
        <v>14</v>
      </c>
      <c r="G2882">
        <v>6000000</v>
      </c>
      <c r="H2882">
        <v>6.2</v>
      </c>
      <c r="I2882" t="s">
        <v>15</v>
      </c>
      <c r="J2882" t="s">
        <v>31</v>
      </c>
      <c r="K2882" t="s">
        <v>19</v>
      </c>
    </row>
    <row r="2883" spans="1:13" x14ac:dyDescent="0.25">
      <c r="A2883" t="s">
        <v>229</v>
      </c>
      <c r="B2883">
        <v>107</v>
      </c>
      <c r="C2883">
        <v>12784713</v>
      </c>
      <c r="D2883" t="s">
        <v>4535</v>
      </c>
      <c r="E2883" t="s">
        <v>13</v>
      </c>
      <c r="F2883" t="s">
        <v>14</v>
      </c>
      <c r="G2883">
        <v>22000000</v>
      </c>
      <c r="H2883">
        <v>6.7</v>
      </c>
      <c r="I2883" t="s">
        <v>15</v>
      </c>
    </row>
    <row r="2884" spans="1:13" x14ac:dyDescent="0.25">
      <c r="A2884" t="s">
        <v>4536</v>
      </c>
      <c r="B2884">
        <v>93</v>
      </c>
      <c r="C2884">
        <v>12784397</v>
      </c>
      <c r="D2884" t="s">
        <v>4537</v>
      </c>
      <c r="E2884" t="s">
        <v>13</v>
      </c>
      <c r="F2884" t="s">
        <v>14</v>
      </c>
      <c r="G2884">
        <v>1800000</v>
      </c>
      <c r="H2884">
        <v>7.3</v>
      </c>
      <c r="I2884" t="s">
        <v>31</v>
      </c>
      <c r="J2884" t="s">
        <v>17</v>
      </c>
    </row>
    <row r="2885" spans="1:13" x14ac:dyDescent="0.25">
      <c r="A2885" t="s">
        <v>4538</v>
      </c>
      <c r="B2885">
        <v>98</v>
      </c>
      <c r="C2885">
        <v>12782508</v>
      </c>
      <c r="D2885" t="s">
        <v>4539</v>
      </c>
      <c r="E2885" t="s">
        <v>13</v>
      </c>
      <c r="F2885" t="s">
        <v>14</v>
      </c>
      <c r="G2885">
        <v>23000000</v>
      </c>
      <c r="H2885">
        <v>6.7</v>
      </c>
      <c r="I2885" t="s">
        <v>31</v>
      </c>
    </row>
    <row r="2886" spans="1:13" x14ac:dyDescent="0.25">
      <c r="A2886" t="s">
        <v>2154</v>
      </c>
      <c r="B2886">
        <v>150</v>
      </c>
      <c r="C2886">
        <v>12712093</v>
      </c>
      <c r="D2886" t="s">
        <v>4540</v>
      </c>
      <c r="E2886" t="s">
        <v>13</v>
      </c>
      <c r="F2886" t="s">
        <v>14</v>
      </c>
      <c r="G2886">
        <v>30000000</v>
      </c>
      <c r="H2886">
        <v>6.7</v>
      </c>
      <c r="I2886" t="s">
        <v>42</v>
      </c>
      <c r="J2886" t="s">
        <v>31</v>
      </c>
      <c r="K2886" t="s">
        <v>64</v>
      </c>
      <c r="L2886" t="s">
        <v>19</v>
      </c>
    </row>
    <row r="2887" spans="1:13" x14ac:dyDescent="0.25">
      <c r="A2887" t="s">
        <v>3715</v>
      </c>
      <c r="B2887">
        <v>85</v>
      </c>
      <c r="C2887">
        <v>12701880</v>
      </c>
      <c r="D2887" t="s">
        <v>4541</v>
      </c>
      <c r="E2887" t="s">
        <v>13</v>
      </c>
      <c r="F2887" t="s">
        <v>14</v>
      </c>
      <c r="G2887">
        <v>15000000</v>
      </c>
      <c r="H2887">
        <v>5.7</v>
      </c>
      <c r="I2887" t="s">
        <v>28</v>
      </c>
      <c r="J2887" t="s">
        <v>46</v>
      </c>
      <c r="K2887" t="s">
        <v>15</v>
      </c>
      <c r="L2887" t="s">
        <v>16</v>
      </c>
    </row>
    <row r="2888" spans="1:13" x14ac:dyDescent="0.25">
      <c r="A2888" t="s">
        <v>3893</v>
      </c>
      <c r="B2888">
        <v>89</v>
      </c>
      <c r="C2888">
        <v>12693621</v>
      </c>
      <c r="D2888" t="s">
        <v>4542</v>
      </c>
      <c r="E2888" t="s">
        <v>13</v>
      </c>
      <c r="F2888" t="s">
        <v>14</v>
      </c>
      <c r="G2888">
        <v>17000000</v>
      </c>
      <c r="H2888">
        <v>4.8</v>
      </c>
      <c r="I2888" t="s">
        <v>22</v>
      </c>
      <c r="J2888" t="s">
        <v>23</v>
      </c>
      <c r="K2888" t="s">
        <v>24</v>
      </c>
    </row>
    <row r="2889" spans="1:13" x14ac:dyDescent="0.25">
      <c r="A2889" t="s">
        <v>4543</v>
      </c>
      <c r="B2889">
        <v>86</v>
      </c>
      <c r="C2889">
        <v>12674183</v>
      </c>
      <c r="D2889" t="s">
        <v>4544</v>
      </c>
      <c r="E2889" t="s">
        <v>13</v>
      </c>
      <c r="F2889" t="s">
        <v>1007</v>
      </c>
      <c r="G2889">
        <v>39751583.5</v>
      </c>
      <c r="H2889">
        <v>6.2</v>
      </c>
      <c r="I2889" t="s">
        <v>34</v>
      </c>
      <c r="J2889" t="s">
        <v>15</v>
      </c>
      <c r="K2889" t="s">
        <v>38</v>
      </c>
    </row>
    <row r="2890" spans="1:13" x14ac:dyDescent="0.25">
      <c r="A2890" t="s">
        <v>4545</v>
      </c>
      <c r="B2890">
        <v>115</v>
      </c>
      <c r="C2890">
        <v>12626905</v>
      </c>
      <c r="D2890" t="s">
        <v>4546</v>
      </c>
      <c r="E2890" t="s">
        <v>13</v>
      </c>
      <c r="F2890" t="s">
        <v>14</v>
      </c>
      <c r="G2890">
        <v>20000000</v>
      </c>
      <c r="H2890">
        <v>6.3</v>
      </c>
      <c r="I2890" t="s">
        <v>34</v>
      </c>
      <c r="J2890" t="s">
        <v>38</v>
      </c>
      <c r="K2890" t="s">
        <v>31</v>
      </c>
      <c r="L2890" t="s">
        <v>24</v>
      </c>
    </row>
    <row r="2891" spans="1:13" x14ac:dyDescent="0.25">
      <c r="A2891" t="s">
        <v>4547</v>
      </c>
      <c r="B2891">
        <v>85</v>
      </c>
      <c r="C2891">
        <v>12610731</v>
      </c>
      <c r="D2891" t="s">
        <v>4548</v>
      </c>
      <c r="E2891" t="s">
        <v>13</v>
      </c>
      <c r="F2891" t="s">
        <v>14</v>
      </c>
      <c r="G2891">
        <v>11000000</v>
      </c>
      <c r="H2891">
        <v>4.4000000000000004</v>
      </c>
      <c r="I2891" t="s">
        <v>34</v>
      </c>
      <c r="J2891" t="s">
        <v>22</v>
      </c>
      <c r="K2891" t="s">
        <v>37</v>
      </c>
      <c r="L2891" t="s">
        <v>24</v>
      </c>
    </row>
    <row r="2892" spans="1:13" x14ac:dyDescent="0.25">
      <c r="A2892" t="s">
        <v>4549</v>
      </c>
      <c r="B2892">
        <v>100</v>
      </c>
      <c r="C2892">
        <v>12610552</v>
      </c>
      <c r="D2892" t="s">
        <v>4550</v>
      </c>
      <c r="E2892" t="s">
        <v>13</v>
      </c>
      <c r="F2892" t="s">
        <v>14</v>
      </c>
      <c r="G2892">
        <v>7500000</v>
      </c>
      <c r="H2892">
        <v>3.5</v>
      </c>
      <c r="I2892" t="s">
        <v>34</v>
      </c>
      <c r="J2892" t="s">
        <v>28</v>
      </c>
      <c r="K2892" t="s">
        <v>17</v>
      </c>
      <c r="L2892" t="s">
        <v>37</v>
      </c>
      <c r="M2892" t="s">
        <v>24</v>
      </c>
    </row>
    <row r="2893" spans="1:13" x14ac:dyDescent="0.25">
      <c r="A2893" t="s">
        <v>790</v>
      </c>
      <c r="B2893">
        <v>106</v>
      </c>
      <c r="C2893">
        <v>12589108</v>
      </c>
      <c r="D2893" t="s">
        <v>4551</v>
      </c>
      <c r="E2893" t="s">
        <v>1498</v>
      </c>
      <c r="F2893" t="s">
        <v>1901</v>
      </c>
      <c r="G2893">
        <v>39751583.5</v>
      </c>
      <c r="H2893">
        <v>7.4</v>
      </c>
      <c r="I2893" t="s">
        <v>28</v>
      </c>
      <c r="J2893" t="s">
        <v>31</v>
      </c>
    </row>
    <row r="2894" spans="1:13" x14ac:dyDescent="0.25">
      <c r="A2894" t="s">
        <v>3327</v>
      </c>
      <c r="B2894">
        <v>105</v>
      </c>
      <c r="C2894">
        <v>12583510</v>
      </c>
      <c r="D2894" t="s">
        <v>4552</v>
      </c>
      <c r="E2894" t="s">
        <v>13</v>
      </c>
      <c r="F2894" t="s">
        <v>14</v>
      </c>
      <c r="G2894">
        <v>7000000</v>
      </c>
      <c r="H2894">
        <v>6</v>
      </c>
      <c r="I2894" t="s">
        <v>22</v>
      </c>
    </row>
    <row r="2895" spans="1:13" x14ac:dyDescent="0.25">
      <c r="A2895" t="s">
        <v>4449</v>
      </c>
      <c r="B2895">
        <v>100</v>
      </c>
      <c r="C2895">
        <v>12574715</v>
      </c>
      <c r="D2895" t="s">
        <v>4553</v>
      </c>
      <c r="E2895" t="s">
        <v>13</v>
      </c>
      <c r="F2895" t="s">
        <v>82</v>
      </c>
      <c r="G2895">
        <v>4500000</v>
      </c>
      <c r="H2895">
        <v>7.3</v>
      </c>
      <c r="I2895" t="s">
        <v>31</v>
      </c>
    </row>
    <row r="2896" spans="1:13" x14ac:dyDescent="0.25">
      <c r="A2896" t="s">
        <v>4554</v>
      </c>
      <c r="B2896">
        <v>96</v>
      </c>
      <c r="C2896">
        <v>12570442</v>
      </c>
      <c r="D2896" t="s">
        <v>4555</v>
      </c>
      <c r="E2896" t="s">
        <v>13</v>
      </c>
      <c r="F2896" t="s">
        <v>14</v>
      </c>
      <c r="G2896">
        <v>10000000</v>
      </c>
      <c r="H2896">
        <v>6.8</v>
      </c>
      <c r="I2896" t="s">
        <v>15</v>
      </c>
      <c r="J2896" t="s">
        <v>38</v>
      </c>
      <c r="K2896" t="s">
        <v>31</v>
      </c>
      <c r="L2896" t="s">
        <v>24</v>
      </c>
    </row>
    <row r="2897" spans="1:13" x14ac:dyDescent="0.25">
      <c r="A2897" t="s">
        <v>3475</v>
      </c>
      <c r="B2897">
        <v>86</v>
      </c>
      <c r="C2897">
        <v>12555230</v>
      </c>
      <c r="D2897" t="s">
        <v>4556</v>
      </c>
      <c r="E2897" t="s">
        <v>13</v>
      </c>
      <c r="F2897" t="s">
        <v>295</v>
      </c>
      <c r="G2897">
        <v>2000000</v>
      </c>
      <c r="H2897">
        <v>5.3</v>
      </c>
      <c r="I2897" t="s">
        <v>31</v>
      </c>
      <c r="J2897" t="s">
        <v>22</v>
      </c>
      <c r="K2897" t="s">
        <v>23</v>
      </c>
      <c r="L2897" t="s">
        <v>24</v>
      </c>
    </row>
    <row r="2898" spans="1:13" x14ac:dyDescent="0.25">
      <c r="A2898" t="s">
        <v>3113</v>
      </c>
      <c r="B2898">
        <v>94</v>
      </c>
      <c r="C2898">
        <v>12550242</v>
      </c>
      <c r="D2898" t="s">
        <v>4557</v>
      </c>
      <c r="E2898" t="s">
        <v>13</v>
      </c>
      <c r="F2898" t="s">
        <v>14</v>
      </c>
      <c r="G2898">
        <v>39751583.5</v>
      </c>
      <c r="H2898">
        <v>5.5</v>
      </c>
      <c r="I2898" t="s">
        <v>15</v>
      </c>
      <c r="J2898" t="s">
        <v>31</v>
      </c>
      <c r="K2898" t="s">
        <v>19</v>
      </c>
    </row>
    <row r="2899" spans="1:13" x14ac:dyDescent="0.25">
      <c r="A2899" t="s">
        <v>4558</v>
      </c>
      <c r="B2899">
        <v>121</v>
      </c>
      <c r="C2899">
        <v>12549485</v>
      </c>
      <c r="D2899" t="s">
        <v>4559</v>
      </c>
      <c r="E2899" t="s">
        <v>13</v>
      </c>
      <c r="F2899" t="s">
        <v>14</v>
      </c>
      <c r="G2899">
        <v>15000000</v>
      </c>
      <c r="H2899">
        <v>6.2</v>
      </c>
      <c r="I2899" t="s">
        <v>38</v>
      </c>
      <c r="J2899" t="s">
        <v>31</v>
      </c>
      <c r="K2899" t="s">
        <v>59</v>
      </c>
      <c r="L2899" t="s">
        <v>19</v>
      </c>
    </row>
    <row r="2900" spans="1:13" x14ac:dyDescent="0.25">
      <c r="A2900" t="s">
        <v>4560</v>
      </c>
      <c r="B2900">
        <v>104</v>
      </c>
      <c r="C2900">
        <v>12514138</v>
      </c>
      <c r="D2900" t="s">
        <v>4561</v>
      </c>
      <c r="E2900" t="s">
        <v>13</v>
      </c>
      <c r="F2900" t="s">
        <v>14</v>
      </c>
      <c r="G2900">
        <v>10000000</v>
      </c>
      <c r="H2900">
        <v>7.4</v>
      </c>
      <c r="I2900" t="s">
        <v>31</v>
      </c>
      <c r="J2900" t="s">
        <v>19</v>
      </c>
    </row>
    <row r="2901" spans="1:13" x14ac:dyDescent="0.25">
      <c r="A2901" t="s">
        <v>4562</v>
      </c>
      <c r="B2901">
        <v>91</v>
      </c>
      <c r="C2901">
        <v>12495865</v>
      </c>
      <c r="D2901" t="s">
        <v>4563</v>
      </c>
      <c r="E2901" t="s">
        <v>13</v>
      </c>
      <c r="F2901" t="s">
        <v>14</v>
      </c>
      <c r="G2901">
        <v>39751583.5</v>
      </c>
      <c r="H2901">
        <v>6.8</v>
      </c>
      <c r="I2901" t="s">
        <v>17</v>
      </c>
    </row>
    <row r="2902" spans="1:13" x14ac:dyDescent="0.25">
      <c r="A2902" t="s">
        <v>681</v>
      </c>
      <c r="B2902">
        <v>102</v>
      </c>
      <c r="C2902">
        <v>12469811</v>
      </c>
      <c r="D2902" t="s">
        <v>4564</v>
      </c>
      <c r="E2902" t="s">
        <v>13</v>
      </c>
      <c r="F2902" t="s">
        <v>14</v>
      </c>
      <c r="G2902">
        <v>22000000</v>
      </c>
      <c r="H2902">
        <v>6.6</v>
      </c>
      <c r="I2902" t="s">
        <v>15</v>
      </c>
      <c r="J2902" t="s">
        <v>31</v>
      </c>
    </row>
    <row r="2903" spans="1:13" x14ac:dyDescent="0.25">
      <c r="A2903" t="s">
        <v>1823</v>
      </c>
      <c r="B2903">
        <v>94</v>
      </c>
      <c r="C2903">
        <v>12398628</v>
      </c>
      <c r="D2903" t="s">
        <v>4565</v>
      </c>
      <c r="E2903" t="s">
        <v>13</v>
      </c>
      <c r="F2903" t="s">
        <v>14</v>
      </c>
      <c r="G2903">
        <v>20000000</v>
      </c>
      <c r="H2903">
        <v>6.1</v>
      </c>
      <c r="I2903" t="s">
        <v>34</v>
      </c>
      <c r="J2903" t="s">
        <v>38</v>
      </c>
      <c r="K2903" t="s">
        <v>31</v>
      </c>
      <c r="L2903" t="s">
        <v>41</v>
      </c>
    </row>
    <row r="2904" spans="1:13" x14ac:dyDescent="0.25">
      <c r="A2904" t="s">
        <v>799</v>
      </c>
      <c r="B2904">
        <v>107</v>
      </c>
      <c r="C2904">
        <v>12372410</v>
      </c>
      <c r="D2904" t="s">
        <v>4566</v>
      </c>
      <c r="E2904" t="s">
        <v>13</v>
      </c>
      <c r="F2904" t="s">
        <v>14</v>
      </c>
      <c r="G2904">
        <v>24000000</v>
      </c>
      <c r="H2904">
        <v>5.3</v>
      </c>
      <c r="I2904" t="s">
        <v>15</v>
      </c>
      <c r="J2904" t="s">
        <v>41</v>
      </c>
    </row>
    <row r="2905" spans="1:13" x14ac:dyDescent="0.25">
      <c r="A2905" t="s">
        <v>3135</v>
      </c>
      <c r="B2905">
        <v>106</v>
      </c>
      <c r="C2905">
        <v>12339633</v>
      </c>
      <c r="D2905" t="s">
        <v>4567</v>
      </c>
      <c r="E2905" t="s">
        <v>13</v>
      </c>
      <c r="F2905" t="s">
        <v>14</v>
      </c>
      <c r="G2905">
        <v>36000000</v>
      </c>
      <c r="H2905">
        <v>7.8</v>
      </c>
      <c r="I2905" t="s">
        <v>31</v>
      </c>
      <c r="J2905" t="s">
        <v>37</v>
      </c>
      <c r="K2905" t="s">
        <v>24</v>
      </c>
    </row>
    <row r="2906" spans="1:13" x14ac:dyDescent="0.25">
      <c r="A2906" t="s">
        <v>1151</v>
      </c>
      <c r="B2906">
        <v>99</v>
      </c>
      <c r="C2906">
        <v>12282677</v>
      </c>
      <c r="D2906" t="s">
        <v>4568</v>
      </c>
      <c r="E2906" t="s">
        <v>13</v>
      </c>
      <c r="F2906" t="s">
        <v>14</v>
      </c>
      <c r="G2906">
        <v>14000000</v>
      </c>
      <c r="H2906">
        <v>5.0999999999999996</v>
      </c>
      <c r="I2906" t="s">
        <v>15</v>
      </c>
      <c r="J2906" t="s">
        <v>37</v>
      </c>
    </row>
    <row r="2907" spans="1:13" x14ac:dyDescent="0.25">
      <c r="A2907" t="s">
        <v>256</v>
      </c>
      <c r="B2907">
        <v>121</v>
      </c>
      <c r="C2907">
        <v>12281500</v>
      </c>
      <c r="D2907" t="s">
        <v>4569</v>
      </c>
      <c r="E2907" t="s">
        <v>13</v>
      </c>
      <c r="F2907" t="s">
        <v>14</v>
      </c>
      <c r="G2907">
        <v>13000000</v>
      </c>
      <c r="H2907">
        <v>8</v>
      </c>
      <c r="I2907" t="s">
        <v>34</v>
      </c>
      <c r="J2907" t="s">
        <v>38</v>
      </c>
      <c r="K2907" t="s">
        <v>31</v>
      </c>
      <c r="L2907" t="s">
        <v>19</v>
      </c>
      <c r="M2907" t="s">
        <v>24</v>
      </c>
    </row>
    <row r="2908" spans="1:13" x14ac:dyDescent="0.25">
      <c r="A2908" t="s">
        <v>359</v>
      </c>
      <c r="B2908">
        <v>117</v>
      </c>
      <c r="C2908">
        <v>12276810</v>
      </c>
      <c r="D2908" t="s">
        <v>4570</v>
      </c>
      <c r="E2908" t="s">
        <v>13</v>
      </c>
      <c r="F2908" t="s">
        <v>14</v>
      </c>
      <c r="G2908">
        <v>26000000</v>
      </c>
      <c r="H2908">
        <v>6.5</v>
      </c>
      <c r="I2908" t="s">
        <v>34</v>
      </c>
      <c r="J2908" t="s">
        <v>23</v>
      </c>
      <c r="K2908" t="s">
        <v>37</v>
      </c>
      <c r="L2908" t="s">
        <v>24</v>
      </c>
    </row>
    <row r="2909" spans="1:13" x14ac:dyDescent="0.25">
      <c r="A2909" t="s">
        <v>348</v>
      </c>
      <c r="B2909">
        <v>108</v>
      </c>
      <c r="C2909">
        <v>12232937</v>
      </c>
      <c r="D2909" t="s">
        <v>4571</v>
      </c>
      <c r="E2909" t="s">
        <v>13</v>
      </c>
      <c r="F2909" t="s">
        <v>14</v>
      </c>
      <c r="G2909">
        <v>22000000</v>
      </c>
      <c r="H2909">
        <v>5.6</v>
      </c>
      <c r="I2909" t="s">
        <v>34</v>
      </c>
      <c r="J2909" t="s">
        <v>38</v>
      </c>
      <c r="K2909" t="s">
        <v>24</v>
      </c>
    </row>
    <row r="2910" spans="1:13" x14ac:dyDescent="0.25">
      <c r="A2910" t="s">
        <v>4328</v>
      </c>
      <c r="B2910">
        <v>97</v>
      </c>
      <c r="C2910">
        <v>12212417</v>
      </c>
      <c r="D2910" t="s">
        <v>4572</v>
      </c>
      <c r="E2910" t="s">
        <v>13</v>
      </c>
      <c r="F2910" t="s">
        <v>14</v>
      </c>
      <c r="G2910">
        <v>15000000</v>
      </c>
      <c r="H2910">
        <v>6.7</v>
      </c>
      <c r="I2910" t="s">
        <v>38</v>
      </c>
      <c r="J2910" t="s">
        <v>24</v>
      </c>
    </row>
    <row r="2911" spans="1:13" x14ac:dyDescent="0.25">
      <c r="A2911" t="s">
        <v>4573</v>
      </c>
      <c r="B2911">
        <v>107</v>
      </c>
      <c r="C2911">
        <v>12200000</v>
      </c>
      <c r="D2911" t="s">
        <v>4574</v>
      </c>
      <c r="E2911" t="s">
        <v>13</v>
      </c>
      <c r="F2911" t="s">
        <v>14</v>
      </c>
      <c r="G2911">
        <v>5000000</v>
      </c>
      <c r="H2911">
        <v>6.3</v>
      </c>
      <c r="I2911" t="s">
        <v>34</v>
      </c>
      <c r="J2911" t="s">
        <v>38</v>
      </c>
      <c r="K2911" t="s">
        <v>31</v>
      </c>
      <c r="L2911" t="s">
        <v>24</v>
      </c>
      <c r="M2911" t="s">
        <v>69</v>
      </c>
    </row>
    <row r="2912" spans="1:13" x14ac:dyDescent="0.25">
      <c r="A2912" t="s">
        <v>4575</v>
      </c>
      <c r="B2912">
        <v>101</v>
      </c>
      <c r="C2912">
        <v>12189514</v>
      </c>
      <c r="D2912" t="s">
        <v>4576</v>
      </c>
      <c r="E2912" t="s">
        <v>13</v>
      </c>
      <c r="F2912" t="s">
        <v>14</v>
      </c>
      <c r="G2912">
        <v>23000000</v>
      </c>
      <c r="H2912">
        <v>6.1</v>
      </c>
      <c r="I2912" t="s">
        <v>15</v>
      </c>
      <c r="J2912" t="s">
        <v>19</v>
      </c>
    </row>
    <row r="2913" spans="1:13" x14ac:dyDescent="0.25">
      <c r="A2913" t="s">
        <v>790</v>
      </c>
      <c r="B2913">
        <v>127</v>
      </c>
      <c r="C2913">
        <v>12188642</v>
      </c>
      <c r="D2913" t="s">
        <v>4577</v>
      </c>
      <c r="E2913" t="s">
        <v>13</v>
      </c>
      <c r="F2913" t="s">
        <v>4578</v>
      </c>
      <c r="G2913">
        <v>26000000</v>
      </c>
      <c r="H2913">
        <v>6.9</v>
      </c>
      <c r="I2913" t="s">
        <v>42</v>
      </c>
      <c r="J2913" t="s">
        <v>31</v>
      </c>
      <c r="K2913" t="s">
        <v>64</v>
      </c>
    </row>
    <row r="2914" spans="1:13" x14ac:dyDescent="0.25">
      <c r="A2914" t="s">
        <v>371</v>
      </c>
      <c r="B2914">
        <v>99</v>
      </c>
      <c r="C2914">
        <v>12181484</v>
      </c>
      <c r="D2914" t="s">
        <v>4579</v>
      </c>
      <c r="E2914" t="s">
        <v>13</v>
      </c>
      <c r="F2914" t="s">
        <v>14</v>
      </c>
      <c r="G2914">
        <v>40000000</v>
      </c>
      <c r="H2914">
        <v>4.8</v>
      </c>
      <c r="I2914" t="s">
        <v>15</v>
      </c>
    </row>
    <row r="2915" spans="1:13" x14ac:dyDescent="0.25">
      <c r="A2915" t="s">
        <v>429</v>
      </c>
      <c r="B2915">
        <v>116</v>
      </c>
      <c r="C2915">
        <v>12134420</v>
      </c>
      <c r="D2915" t="s">
        <v>4580</v>
      </c>
      <c r="E2915" t="s">
        <v>13</v>
      </c>
      <c r="F2915" t="s">
        <v>82</v>
      </c>
      <c r="G2915">
        <v>20000000</v>
      </c>
      <c r="H2915">
        <v>7.2</v>
      </c>
      <c r="I2915" t="s">
        <v>31</v>
      </c>
      <c r="J2915" t="s">
        <v>17</v>
      </c>
      <c r="K2915" t="s">
        <v>22</v>
      </c>
      <c r="L2915" t="s">
        <v>23</v>
      </c>
    </row>
    <row r="2916" spans="1:13" x14ac:dyDescent="0.25">
      <c r="A2916" t="s">
        <v>611</v>
      </c>
      <c r="B2916">
        <v>100</v>
      </c>
      <c r="C2916">
        <v>12081447</v>
      </c>
      <c r="D2916" t="s">
        <v>4581</v>
      </c>
      <c r="E2916" t="s">
        <v>13</v>
      </c>
      <c r="F2916" t="s">
        <v>14</v>
      </c>
      <c r="G2916">
        <v>39751583.5</v>
      </c>
      <c r="H2916">
        <v>6.5</v>
      </c>
      <c r="I2916" t="s">
        <v>15</v>
      </c>
      <c r="J2916" t="s">
        <v>31</v>
      </c>
      <c r="K2916" t="s">
        <v>18</v>
      </c>
    </row>
    <row r="2917" spans="1:13" x14ac:dyDescent="0.25">
      <c r="A2917" t="s">
        <v>378</v>
      </c>
      <c r="B2917">
        <v>114</v>
      </c>
      <c r="C2917">
        <v>12065985</v>
      </c>
      <c r="D2917" t="s">
        <v>4582</v>
      </c>
      <c r="E2917" t="s">
        <v>13</v>
      </c>
      <c r="F2917" t="s">
        <v>14</v>
      </c>
      <c r="G2917">
        <v>60000000</v>
      </c>
      <c r="H2917">
        <v>4.9000000000000004</v>
      </c>
      <c r="I2917" t="s">
        <v>15</v>
      </c>
      <c r="J2917" t="s">
        <v>31</v>
      </c>
    </row>
    <row r="2918" spans="1:13" x14ac:dyDescent="0.25">
      <c r="A2918" t="s">
        <v>4583</v>
      </c>
      <c r="B2918">
        <v>91</v>
      </c>
      <c r="C2918">
        <v>12055108</v>
      </c>
      <c r="D2918" t="s">
        <v>4584</v>
      </c>
      <c r="E2918" t="s">
        <v>13</v>
      </c>
      <c r="F2918" t="s">
        <v>14</v>
      </c>
      <c r="G2918">
        <v>8000000</v>
      </c>
      <c r="H2918">
        <v>6.9</v>
      </c>
      <c r="I2918" t="s">
        <v>15</v>
      </c>
      <c r="J2918" t="s">
        <v>31</v>
      </c>
    </row>
    <row r="2919" spans="1:13" x14ac:dyDescent="0.25">
      <c r="A2919" t="s">
        <v>4585</v>
      </c>
      <c r="B2919">
        <v>107</v>
      </c>
      <c r="C2919">
        <v>12026670</v>
      </c>
      <c r="D2919" t="s">
        <v>4586</v>
      </c>
      <c r="E2919" t="s">
        <v>13</v>
      </c>
      <c r="F2919" t="s">
        <v>14</v>
      </c>
      <c r="G2919">
        <v>45000000</v>
      </c>
      <c r="H2919">
        <v>6.4</v>
      </c>
      <c r="I2919" t="s">
        <v>34</v>
      </c>
      <c r="J2919" t="s">
        <v>38</v>
      </c>
      <c r="K2919" t="s">
        <v>24</v>
      </c>
    </row>
    <row r="2920" spans="1:13" x14ac:dyDescent="0.25">
      <c r="A2920" t="s">
        <v>2019</v>
      </c>
      <c r="B2920">
        <v>113</v>
      </c>
      <c r="C2920">
        <v>12006514</v>
      </c>
      <c r="D2920" t="s">
        <v>4587</v>
      </c>
      <c r="E2920" t="s">
        <v>13</v>
      </c>
      <c r="F2920" t="s">
        <v>14</v>
      </c>
      <c r="G2920">
        <v>250000</v>
      </c>
      <c r="H2920">
        <v>7.3</v>
      </c>
      <c r="I2920" t="s">
        <v>15</v>
      </c>
      <c r="J2920" t="s">
        <v>31</v>
      </c>
      <c r="K2920" t="s">
        <v>19</v>
      </c>
    </row>
    <row r="2921" spans="1:13" x14ac:dyDescent="0.25">
      <c r="A2921" t="s">
        <v>4588</v>
      </c>
      <c r="B2921">
        <v>101</v>
      </c>
      <c r="C2921">
        <v>11956207</v>
      </c>
      <c r="D2921" t="s">
        <v>4589</v>
      </c>
      <c r="E2921" t="s">
        <v>13</v>
      </c>
      <c r="F2921" t="s">
        <v>14</v>
      </c>
      <c r="G2921">
        <v>16000000</v>
      </c>
      <c r="H2921">
        <v>5.0999999999999996</v>
      </c>
      <c r="I2921" t="s">
        <v>22</v>
      </c>
      <c r="J2921" t="s">
        <v>23</v>
      </c>
    </row>
    <row r="2922" spans="1:13" x14ac:dyDescent="0.25">
      <c r="A2922" t="s">
        <v>101</v>
      </c>
      <c r="B2922">
        <v>100</v>
      </c>
      <c r="C2922">
        <v>11900000</v>
      </c>
      <c r="D2922" t="s">
        <v>4590</v>
      </c>
      <c r="E2922" t="s">
        <v>13</v>
      </c>
      <c r="F2922" t="s">
        <v>14</v>
      </c>
      <c r="G2922">
        <v>30000000</v>
      </c>
      <c r="H2922">
        <v>5.5</v>
      </c>
      <c r="I2922" t="s">
        <v>31</v>
      </c>
      <c r="J2922" t="s">
        <v>17</v>
      </c>
      <c r="K2922" t="s">
        <v>24</v>
      </c>
    </row>
    <row r="2923" spans="1:13" x14ac:dyDescent="0.25">
      <c r="A2923" t="s">
        <v>3585</v>
      </c>
      <c r="B2923">
        <v>99</v>
      </c>
      <c r="C2923">
        <v>11883495</v>
      </c>
      <c r="D2923" t="s">
        <v>4591</v>
      </c>
      <c r="E2923" t="s">
        <v>13</v>
      </c>
      <c r="F2923" t="s">
        <v>82</v>
      </c>
      <c r="G2923">
        <v>9000000</v>
      </c>
      <c r="H2923">
        <v>6.8</v>
      </c>
      <c r="I2923" t="s">
        <v>15</v>
      </c>
      <c r="J2923" t="s">
        <v>31</v>
      </c>
      <c r="K2923" t="s">
        <v>17</v>
      </c>
      <c r="L2923" t="s">
        <v>19</v>
      </c>
    </row>
    <row r="2924" spans="1:13" x14ac:dyDescent="0.25">
      <c r="A2924" t="s">
        <v>3873</v>
      </c>
      <c r="B2924">
        <v>84</v>
      </c>
      <c r="C2924">
        <v>11860839</v>
      </c>
      <c r="D2924" t="s">
        <v>4592</v>
      </c>
      <c r="E2924" t="s">
        <v>13</v>
      </c>
      <c r="F2924" t="s">
        <v>14</v>
      </c>
      <c r="G2924">
        <v>9000000</v>
      </c>
      <c r="H2924">
        <v>5.4</v>
      </c>
      <c r="I2924" t="s">
        <v>52</v>
      </c>
      <c r="J2924" t="s">
        <v>18</v>
      </c>
    </row>
    <row r="2925" spans="1:13" x14ac:dyDescent="0.25">
      <c r="A2925" t="s">
        <v>419</v>
      </c>
      <c r="B2925">
        <v>106</v>
      </c>
      <c r="C2925">
        <v>11854694</v>
      </c>
      <c r="D2925" t="s">
        <v>4593</v>
      </c>
      <c r="E2925" t="s">
        <v>13</v>
      </c>
      <c r="F2925" t="s">
        <v>14</v>
      </c>
      <c r="G2925">
        <v>31000000</v>
      </c>
      <c r="H2925">
        <v>6.5</v>
      </c>
      <c r="I2925" t="s">
        <v>31</v>
      </c>
    </row>
    <row r="2926" spans="1:13" x14ac:dyDescent="0.25">
      <c r="A2926" t="s">
        <v>4594</v>
      </c>
      <c r="B2926">
        <v>85</v>
      </c>
      <c r="C2926">
        <v>11827301</v>
      </c>
      <c r="D2926" t="s">
        <v>4595</v>
      </c>
      <c r="E2926" t="s">
        <v>13</v>
      </c>
      <c r="F2926" t="s">
        <v>14</v>
      </c>
      <c r="G2926">
        <v>39751583.5</v>
      </c>
      <c r="H2926">
        <v>5.5</v>
      </c>
      <c r="I2926" t="s">
        <v>15</v>
      </c>
      <c r="J2926" t="s">
        <v>19</v>
      </c>
    </row>
    <row r="2927" spans="1:13" x14ac:dyDescent="0.25">
      <c r="A2927" t="s">
        <v>4596</v>
      </c>
      <c r="B2927">
        <v>92</v>
      </c>
      <c r="C2927">
        <v>11806119</v>
      </c>
      <c r="D2927" t="s">
        <v>4597</v>
      </c>
      <c r="E2927" t="s">
        <v>13</v>
      </c>
      <c r="F2927" t="s">
        <v>14</v>
      </c>
      <c r="G2927">
        <v>1100000</v>
      </c>
      <c r="H2927">
        <v>6.8</v>
      </c>
      <c r="I2927" t="s">
        <v>34</v>
      </c>
      <c r="J2927" t="s">
        <v>42</v>
      </c>
      <c r="K2927" t="s">
        <v>31</v>
      </c>
      <c r="L2927" t="s">
        <v>41</v>
      </c>
    </row>
    <row r="2928" spans="1:13" x14ac:dyDescent="0.25">
      <c r="A2928" t="s">
        <v>799</v>
      </c>
      <c r="B2928">
        <v>90</v>
      </c>
      <c r="C2928">
        <v>11802056</v>
      </c>
      <c r="D2928" t="s">
        <v>4598</v>
      </c>
      <c r="E2928" t="s">
        <v>13</v>
      </c>
      <c r="F2928" t="s">
        <v>14</v>
      </c>
      <c r="G2928">
        <v>60000000</v>
      </c>
      <c r="H2928">
        <v>4.9000000000000004</v>
      </c>
      <c r="I2928" t="s">
        <v>28</v>
      </c>
      <c r="J2928" t="s">
        <v>15</v>
      </c>
      <c r="K2928" t="s">
        <v>16</v>
      </c>
      <c r="L2928" t="s">
        <v>19</v>
      </c>
      <c r="M2928" t="s">
        <v>37</v>
      </c>
    </row>
    <row r="2929" spans="1:13" x14ac:dyDescent="0.25">
      <c r="A2929" t="s">
        <v>4599</v>
      </c>
      <c r="B2929">
        <v>98</v>
      </c>
      <c r="C2929">
        <v>11797927</v>
      </c>
      <c r="D2929" t="s">
        <v>4600</v>
      </c>
      <c r="E2929" t="s">
        <v>13</v>
      </c>
      <c r="F2929" t="s">
        <v>14</v>
      </c>
      <c r="G2929">
        <v>6000000</v>
      </c>
      <c r="H2929">
        <v>6.1</v>
      </c>
      <c r="I2929" t="s">
        <v>15</v>
      </c>
      <c r="J2929" t="s">
        <v>22</v>
      </c>
      <c r="K2929" t="s">
        <v>24</v>
      </c>
    </row>
    <row r="2930" spans="1:13" x14ac:dyDescent="0.25">
      <c r="A2930" t="s">
        <v>4601</v>
      </c>
      <c r="B2930">
        <v>93</v>
      </c>
      <c r="C2930">
        <v>11784000</v>
      </c>
      <c r="D2930" t="s">
        <v>4602</v>
      </c>
      <c r="E2930" t="s">
        <v>13</v>
      </c>
      <c r="F2930" t="s">
        <v>14</v>
      </c>
      <c r="G2930">
        <v>20000000</v>
      </c>
      <c r="H2930">
        <v>4.3</v>
      </c>
      <c r="I2930" t="s">
        <v>34</v>
      </c>
      <c r="J2930" t="s">
        <v>15</v>
      </c>
      <c r="K2930" t="s">
        <v>16</v>
      </c>
    </row>
    <row r="2931" spans="1:13" x14ac:dyDescent="0.25">
      <c r="A2931" t="s">
        <v>4603</v>
      </c>
      <c r="B2931">
        <v>108</v>
      </c>
      <c r="C2931">
        <v>11703287</v>
      </c>
      <c r="D2931" t="s">
        <v>4604</v>
      </c>
      <c r="E2931" t="s">
        <v>13</v>
      </c>
      <c r="F2931" t="s">
        <v>14</v>
      </c>
      <c r="G2931">
        <v>10000000</v>
      </c>
      <c r="H2931">
        <v>7</v>
      </c>
      <c r="I2931" t="s">
        <v>28</v>
      </c>
      <c r="J2931" t="s">
        <v>31</v>
      </c>
    </row>
    <row r="2932" spans="1:13" x14ac:dyDescent="0.25">
      <c r="A2932" t="s">
        <v>4605</v>
      </c>
      <c r="B2932">
        <v>108</v>
      </c>
      <c r="C2932">
        <v>11702090</v>
      </c>
      <c r="D2932" t="s">
        <v>4606</v>
      </c>
      <c r="E2932" t="s">
        <v>13</v>
      </c>
      <c r="F2932" t="s">
        <v>14</v>
      </c>
      <c r="G2932">
        <v>16500000</v>
      </c>
      <c r="H2932">
        <v>6.3</v>
      </c>
      <c r="I2932" t="s">
        <v>15</v>
      </c>
      <c r="J2932" t="s">
        <v>19</v>
      </c>
    </row>
    <row r="2933" spans="1:13" x14ac:dyDescent="0.25">
      <c r="A2933" t="s">
        <v>3287</v>
      </c>
      <c r="B2933">
        <v>100</v>
      </c>
      <c r="C2933">
        <v>11694528</v>
      </c>
      <c r="D2933" t="s">
        <v>4607</v>
      </c>
      <c r="E2933" t="s">
        <v>13</v>
      </c>
      <c r="F2933" t="s">
        <v>14</v>
      </c>
      <c r="G2933">
        <v>3000000</v>
      </c>
      <c r="H2933">
        <v>7.2</v>
      </c>
      <c r="I2933" t="s">
        <v>15</v>
      </c>
      <c r="J2933" t="s">
        <v>52</v>
      </c>
      <c r="K2933" t="s">
        <v>18</v>
      </c>
    </row>
    <row r="2934" spans="1:13" x14ac:dyDescent="0.25">
      <c r="A2934" t="s">
        <v>3020</v>
      </c>
      <c r="B2934">
        <v>92</v>
      </c>
      <c r="C2934">
        <v>11675178</v>
      </c>
      <c r="D2934" t="s">
        <v>4608</v>
      </c>
      <c r="E2934" t="s">
        <v>13</v>
      </c>
      <c r="F2934" t="s">
        <v>14</v>
      </c>
      <c r="G2934">
        <v>5000000</v>
      </c>
      <c r="H2934">
        <v>3.5</v>
      </c>
      <c r="I2934" t="s">
        <v>15</v>
      </c>
    </row>
    <row r="2935" spans="1:13" x14ac:dyDescent="0.25">
      <c r="A2935" t="s">
        <v>4609</v>
      </c>
      <c r="B2935">
        <v>96</v>
      </c>
      <c r="C2935">
        <v>11642254</v>
      </c>
      <c r="D2935" t="s">
        <v>4610</v>
      </c>
      <c r="E2935" t="s">
        <v>13</v>
      </c>
      <c r="F2935" t="s">
        <v>14</v>
      </c>
      <c r="G2935">
        <v>3000000</v>
      </c>
      <c r="H2935">
        <v>5.2</v>
      </c>
      <c r="I2935" t="s">
        <v>22</v>
      </c>
      <c r="J2935" t="s">
        <v>24</v>
      </c>
    </row>
    <row r="2936" spans="1:13" x14ac:dyDescent="0.25">
      <c r="A2936" t="s">
        <v>4611</v>
      </c>
      <c r="B2936">
        <v>73</v>
      </c>
      <c r="C2936">
        <v>11634458</v>
      </c>
      <c r="D2936" t="s">
        <v>4612</v>
      </c>
      <c r="E2936" t="s">
        <v>13</v>
      </c>
      <c r="F2936" t="s">
        <v>14</v>
      </c>
      <c r="G2936">
        <v>17000000</v>
      </c>
      <c r="H2936">
        <v>5.8</v>
      </c>
      <c r="I2936" t="s">
        <v>28</v>
      </c>
      <c r="J2936" t="s">
        <v>15</v>
      </c>
      <c r="K2936" t="s">
        <v>16</v>
      </c>
      <c r="L2936" t="s">
        <v>17</v>
      </c>
      <c r="M2936" t="s">
        <v>59</v>
      </c>
    </row>
    <row r="2937" spans="1:13" x14ac:dyDescent="0.25">
      <c r="A2937" t="s">
        <v>3600</v>
      </c>
      <c r="B2937">
        <v>100</v>
      </c>
      <c r="C2937">
        <v>11634362</v>
      </c>
      <c r="D2937" t="s">
        <v>4613</v>
      </c>
      <c r="E2937" t="s">
        <v>13</v>
      </c>
      <c r="F2937" t="s">
        <v>82</v>
      </c>
      <c r="G2937">
        <v>39751583.5</v>
      </c>
      <c r="H2937">
        <v>7</v>
      </c>
      <c r="I2937" t="s">
        <v>42</v>
      </c>
      <c r="J2937" t="s">
        <v>31</v>
      </c>
      <c r="K2937" t="s">
        <v>19</v>
      </c>
    </row>
    <row r="2938" spans="1:13" x14ac:dyDescent="0.25">
      <c r="A2938" t="s">
        <v>4614</v>
      </c>
      <c r="B2938">
        <v>92</v>
      </c>
      <c r="C2938">
        <v>11632420</v>
      </c>
      <c r="D2938" t="s">
        <v>4615</v>
      </c>
      <c r="E2938" t="s">
        <v>13</v>
      </c>
      <c r="F2938" t="s">
        <v>14</v>
      </c>
      <c r="G2938">
        <v>39751583.5</v>
      </c>
      <c r="H2938">
        <v>6.1</v>
      </c>
      <c r="I2938" t="s">
        <v>38</v>
      </c>
      <c r="J2938" t="s">
        <v>31</v>
      </c>
      <c r="K2938" t="s">
        <v>24</v>
      </c>
    </row>
    <row r="2939" spans="1:13" x14ac:dyDescent="0.25">
      <c r="A2939" t="s">
        <v>523</v>
      </c>
      <c r="B2939">
        <v>83</v>
      </c>
      <c r="C2939">
        <v>11631245</v>
      </c>
      <c r="D2939" t="s">
        <v>4616</v>
      </c>
      <c r="E2939" t="s">
        <v>13</v>
      </c>
      <c r="F2939" t="s">
        <v>14</v>
      </c>
      <c r="G2939">
        <v>35000000</v>
      </c>
      <c r="H2939">
        <v>4.2</v>
      </c>
      <c r="I2939" t="s">
        <v>34</v>
      </c>
      <c r="J2939" t="s">
        <v>28</v>
      </c>
      <c r="K2939" t="s">
        <v>16</v>
      </c>
      <c r="L2939" t="s">
        <v>37</v>
      </c>
    </row>
    <row r="2940" spans="1:13" x14ac:dyDescent="0.25">
      <c r="A2940" t="s">
        <v>4617</v>
      </c>
      <c r="B2940">
        <v>97</v>
      </c>
      <c r="C2940">
        <v>11614236</v>
      </c>
      <c r="D2940" t="s">
        <v>4618</v>
      </c>
      <c r="E2940" t="s">
        <v>13</v>
      </c>
      <c r="F2940" t="s">
        <v>14</v>
      </c>
      <c r="G2940">
        <v>15000000</v>
      </c>
      <c r="H2940">
        <v>5.6</v>
      </c>
      <c r="I2940" t="s">
        <v>15</v>
      </c>
    </row>
    <row r="2941" spans="1:13" x14ac:dyDescent="0.25">
      <c r="A2941" t="s">
        <v>4619</v>
      </c>
      <c r="B2941">
        <v>100</v>
      </c>
      <c r="C2941">
        <v>11576087</v>
      </c>
      <c r="D2941" t="s">
        <v>4620</v>
      </c>
      <c r="E2941" t="s">
        <v>13</v>
      </c>
      <c r="F2941" t="s">
        <v>14</v>
      </c>
      <c r="G2941">
        <v>30000000</v>
      </c>
      <c r="H2941">
        <v>4.0999999999999996</v>
      </c>
      <c r="I2941" t="s">
        <v>34</v>
      </c>
      <c r="J2941" t="s">
        <v>28</v>
      </c>
      <c r="K2941" t="s">
        <v>37</v>
      </c>
    </row>
    <row r="2942" spans="1:13" x14ac:dyDescent="0.25">
      <c r="A2942" t="s">
        <v>3848</v>
      </c>
      <c r="B2942">
        <v>87</v>
      </c>
      <c r="C2942">
        <v>11560259</v>
      </c>
      <c r="D2942" t="s">
        <v>4621</v>
      </c>
      <c r="E2942" t="s">
        <v>13</v>
      </c>
      <c r="F2942" t="s">
        <v>14</v>
      </c>
      <c r="G2942">
        <v>22000000</v>
      </c>
      <c r="H2942">
        <v>5.8</v>
      </c>
      <c r="I2942" t="s">
        <v>15</v>
      </c>
      <c r="J2942" t="s">
        <v>19</v>
      </c>
    </row>
    <row r="2943" spans="1:13" x14ac:dyDescent="0.25">
      <c r="A2943" t="s">
        <v>4622</v>
      </c>
      <c r="B2943">
        <v>102</v>
      </c>
      <c r="C2943">
        <v>11546543</v>
      </c>
      <c r="D2943" t="s">
        <v>4623</v>
      </c>
      <c r="E2943" t="s">
        <v>1946</v>
      </c>
      <c r="F2943" t="s">
        <v>1007</v>
      </c>
      <c r="G2943">
        <v>2000000</v>
      </c>
      <c r="H2943">
        <v>7.6</v>
      </c>
      <c r="I2943" t="s">
        <v>34</v>
      </c>
      <c r="J2943" t="s">
        <v>15</v>
      </c>
    </row>
    <row r="2944" spans="1:13" x14ac:dyDescent="0.25">
      <c r="A2944" t="s">
        <v>4624</v>
      </c>
      <c r="B2944">
        <v>97</v>
      </c>
      <c r="C2944">
        <v>11540112</v>
      </c>
      <c r="D2944" t="s">
        <v>4625</v>
      </c>
      <c r="E2944" t="s">
        <v>13</v>
      </c>
      <c r="F2944" t="s">
        <v>14</v>
      </c>
      <c r="G2944">
        <v>39751583.5</v>
      </c>
      <c r="H2944">
        <v>3.6</v>
      </c>
      <c r="I2944" t="s">
        <v>15</v>
      </c>
    </row>
    <row r="2945" spans="1:13" x14ac:dyDescent="0.25">
      <c r="A2945" t="s">
        <v>521</v>
      </c>
      <c r="B2945">
        <v>122</v>
      </c>
      <c r="C2945">
        <v>11538204</v>
      </c>
      <c r="D2945" t="s">
        <v>4626</v>
      </c>
      <c r="E2945" t="s">
        <v>13</v>
      </c>
      <c r="F2945" t="s">
        <v>14</v>
      </c>
      <c r="G2945">
        <v>25000000</v>
      </c>
      <c r="H2945">
        <v>7</v>
      </c>
      <c r="I2945" t="s">
        <v>38</v>
      </c>
      <c r="J2945" t="s">
        <v>31</v>
      </c>
      <c r="K2945" t="s">
        <v>64</v>
      </c>
    </row>
    <row r="2946" spans="1:13" x14ac:dyDescent="0.25">
      <c r="A2946" t="s">
        <v>3234</v>
      </c>
      <c r="B2946">
        <v>118</v>
      </c>
      <c r="C2946">
        <v>11533945</v>
      </c>
      <c r="D2946" t="s">
        <v>4627</v>
      </c>
      <c r="E2946" t="s">
        <v>13</v>
      </c>
      <c r="F2946" t="s">
        <v>14</v>
      </c>
      <c r="G2946">
        <v>2000000</v>
      </c>
      <c r="H2946">
        <v>7.6</v>
      </c>
      <c r="I2946" t="s">
        <v>42</v>
      </c>
      <c r="J2946" t="s">
        <v>38</v>
      </c>
      <c r="K2946" t="s">
        <v>31</v>
      </c>
      <c r="L2946" t="s">
        <v>19</v>
      </c>
    </row>
    <row r="2947" spans="1:13" x14ac:dyDescent="0.25">
      <c r="A2947" t="s">
        <v>3546</v>
      </c>
      <c r="B2947">
        <v>100</v>
      </c>
      <c r="C2947">
        <v>11529368</v>
      </c>
      <c r="D2947" t="s">
        <v>4628</v>
      </c>
      <c r="E2947" t="s">
        <v>13</v>
      </c>
      <c r="F2947" t="s">
        <v>14</v>
      </c>
      <c r="G2947">
        <v>65000</v>
      </c>
      <c r="H2947">
        <v>7.3</v>
      </c>
      <c r="I2947" t="s">
        <v>15</v>
      </c>
      <c r="J2947" t="s">
        <v>52</v>
      </c>
      <c r="K2947" t="s">
        <v>31</v>
      </c>
    </row>
    <row r="2948" spans="1:13" x14ac:dyDescent="0.25">
      <c r="A2948" t="s">
        <v>4629</v>
      </c>
      <c r="B2948">
        <v>94</v>
      </c>
      <c r="C2948">
        <v>11508423</v>
      </c>
      <c r="D2948" t="s">
        <v>4630</v>
      </c>
      <c r="E2948" t="s">
        <v>13</v>
      </c>
      <c r="F2948" t="s">
        <v>14</v>
      </c>
      <c r="G2948">
        <v>23000000</v>
      </c>
      <c r="H2948">
        <v>5.0999999999999996</v>
      </c>
      <c r="I2948" t="s">
        <v>42</v>
      </c>
      <c r="J2948" t="s">
        <v>15</v>
      </c>
      <c r="K2948" t="s">
        <v>31</v>
      </c>
      <c r="L2948" t="s">
        <v>16</v>
      </c>
      <c r="M2948" t="s">
        <v>41</v>
      </c>
    </row>
    <row r="2949" spans="1:13" x14ac:dyDescent="0.25">
      <c r="A2949" t="s">
        <v>2577</v>
      </c>
      <c r="B2949">
        <v>88</v>
      </c>
      <c r="C2949">
        <v>11501093</v>
      </c>
      <c r="D2949" t="s">
        <v>4631</v>
      </c>
      <c r="E2949" t="s">
        <v>13</v>
      </c>
      <c r="F2949" t="s">
        <v>14</v>
      </c>
      <c r="G2949">
        <v>13000000</v>
      </c>
      <c r="H2949">
        <v>7.6</v>
      </c>
      <c r="I2949" t="s">
        <v>15</v>
      </c>
      <c r="J2949" t="s">
        <v>17</v>
      </c>
      <c r="K2949" t="s">
        <v>22</v>
      </c>
    </row>
    <row r="2950" spans="1:13" x14ac:dyDescent="0.25">
      <c r="A2950" t="s">
        <v>4632</v>
      </c>
      <c r="B2950">
        <v>100</v>
      </c>
      <c r="C2950">
        <v>11466088</v>
      </c>
      <c r="D2950" t="s">
        <v>4633</v>
      </c>
      <c r="E2950" t="s">
        <v>13</v>
      </c>
      <c r="F2950" t="s">
        <v>14</v>
      </c>
      <c r="G2950">
        <v>71000000</v>
      </c>
      <c r="H2950">
        <v>4.7</v>
      </c>
      <c r="I2950" t="s">
        <v>34</v>
      </c>
      <c r="J2950" t="s">
        <v>24</v>
      </c>
    </row>
    <row r="2951" spans="1:13" x14ac:dyDescent="0.25">
      <c r="A2951" t="s">
        <v>4634</v>
      </c>
      <c r="B2951">
        <v>102</v>
      </c>
      <c r="C2951">
        <v>11434867</v>
      </c>
      <c r="D2951" t="s">
        <v>4635</v>
      </c>
      <c r="E2951" t="s">
        <v>13</v>
      </c>
      <c r="F2951" t="s">
        <v>14</v>
      </c>
      <c r="G2951">
        <v>6000000</v>
      </c>
      <c r="H2951">
        <v>7.1</v>
      </c>
      <c r="I2951" t="s">
        <v>31</v>
      </c>
      <c r="J2951" t="s">
        <v>23</v>
      </c>
      <c r="K2951" t="s">
        <v>19</v>
      </c>
      <c r="L2951" t="s">
        <v>24</v>
      </c>
    </row>
    <row r="2952" spans="1:13" x14ac:dyDescent="0.25">
      <c r="A2952" t="s">
        <v>663</v>
      </c>
      <c r="B2952">
        <v>293</v>
      </c>
      <c r="C2952">
        <v>11433134</v>
      </c>
      <c r="D2952" t="s">
        <v>4636</v>
      </c>
      <c r="E2952" t="s">
        <v>1277</v>
      </c>
      <c r="F2952" t="s">
        <v>1469</v>
      </c>
      <c r="G2952">
        <v>14000000</v>
      </c>
      <c r="H2952">
        <v>8.4</v>
      </c>
      <c r="I2952" t="s">
        <v>28</v>
      </c>
      <c r="J2952" t="s">
        <v>31</v>
      </c>
      <c r="K2952" t="s">
        <v>24</v>
      </c>
      <c r="L2952" t="s">
        <v>83</v>
      </c>
    </row>
    <row r="2953" spans="1:13" x14ac:dyDescent="0.25">
      <c r="A2953" t="s">
        <v>435</v>
      </c>
      <c r="B2953">
        <v>111</v>
      </c>
      <c r="C2953">
        <v>11405825</v>
      </c>
      <c r="D2953" t="s">
        <v>4637</v>
      </c>
      <c r="E2953" t="s">
        <v>13</v>
      </c>
      <c r="F2953" t="s">
        <v>14</v>
      </c>
      <c r="G2953">
        <v>35000000</v>
      </c>
      <c r="H2953">
        <v>6.8</v>
      </c>
      <c r="I2953" t="s">
        <v>31</v>
      </c>
    </row>
    <row r="2954" spans="1:13" x14ac:dyDescent="0.25">
      <c r="A2954" t="s">
        <v>776</v>
      </c>
      <c r="B2954">
        <v>116</v>
      </c>
      <c r="C2954">
        <v>11326836</v>
      </c>
      <c r="D2954" t="s">
        <v>4638</v>
      </c>
      <c r="E2954" t="s">
        <v>13</v>
      </c>
      <c r="F2954" t="s">
        <v>14</v>
      </c>
      <c r="G2954">
        <v>22000000</v>
      </c>
      <c r="H2954">
        <v>6.8</v>
      </c>
      <c r="I2954" t="s">
        <v>38</v>
      </c>
      <c r="J2954" t="s">
        <v>31</v>
      </c>
      <c r="K2954" t="s">
        <v>24</v>
      </c>
    </row>
    <row r="2955" spans="1:13" x14ac:dyDescent="0.25">
      <c r="A2955" t="s">
        <v>4639</v>
      </c>
      <c r="B2955">
        <v>137</v>
      </c>
      <c r="C2955">
        <v>11284657</v>
      </c>
      <c r="D2955" t="s">
        <v>4640</v>
      </c>
      <c r="E2955" t="s">
        <v>1277</v>
      </c>
      <c r="F2955" t="s">
        <v>241</v>
      </c>
      <c r="G2955">
        <v>2000000</v>
      </c>
      <c r="H2955">
        <v>8.5</v>
      </c>
      <c r="I2955" t="s">
        <v>31</v>
      </c>
      <c r="J2955" t="s">
        <v>24</v>
      </c>
    </row>
    <row r="2956" spans="1:13" x14ac:dyDescent="0.25">
      <c r="A2956" t="s">
        <v>4641</v>
      </c>
      <c r="B2956">
        <v>102</v>
      </c>
      <c r="C2956">
        <v>11227940</v>
      </c>
      <c r="D2956" t="s">
        <v>4642</v>
      </c>
      <c r="E2956" t="s">
        <v>13</v>
      </c>
      <c r="F2956" t="s">
        <v>14</v>
      </c>
      <c r="G2956">
        <v>34000000</v>
      </c>
      <c r="H2956">
        <v>5.2</v>
      </c>
      <c r="I2956" t="s">
        <v>34</v>
      </c>
      <c r="J2956" t="s">
        <v>28</v>
      </c>
      <c r="K2956" t="s">
        <v>15</v>
      </c>
      <c r="L2956" t="s">
        <v>31</v>
      </c>
      <c r="M2956" t="s">
        <v>24</v>
      </c>
    </row>
    <row r="2957" spans="1:13" x14ac:dyDescent="0.25">
      <c r="A2957" t="s">
        <v>4643</v>
      </c>
      <c r="B2957">
        <v>112</v>
      </c>
      <c r="C2957">
        <v>11204499</v>
      </c>
      <c r="D2957" t="s">
        <v>4644</v>
      </c>
      <c r="E2957" t="s">
        <v>13</v>
      </c>
      <c r="F2957" t="s">
        <v>14</v>
      </c>
      <c r="G2957">
        <v>14000000</v>
      </c>
      <c r="H2957">
        <v>7</v>
      </c>
      <c r="I2957" t="s">
        <v>31</v>
      </c>
      <c r="J2957" t="s">
        <v>64</v>
      </c>
    </row>
    <row r="2958" spans="1:13" x14ac:dyDescent="0.25">
      <c r="A2958" t="s">
        <v>3287</v>
      </c>
      <c r="B2958">
        <v>102</v>
      </c>
      <c r="C2958">
        <v>11169531</v>
      </c>
      <c r="D2958" t="s">
        <v>4645</v>
      </c>
      <c r="E2958" t="s">
        <v>13</v>
      </c>
      <c r="F2958" t="s">
        <v>82</v>
      </c>
      <c r="G2958">
        <v>20000000</v>
      </c>
      <c r="H2958">
        <v>6.4</v>
      </c>
      <c r="I2958" t="s">
        <v>15</v>
      </c>
    </row>
    <row r="2959" spans="1:13" x14ac:dyDescent="0.25">
      <c r="A2959" t="s">
        <v>3800</v>
      </c>
      <c r="B2959">
        <v>106</v>
      </c>
      <c r="C2959">
        <v>11146409</v>
      </c>
      <c r="D2959" t="s">
        <v>4646</v>
      </c>
      <c r="E2959" t="s">
        <v>13</v>
      </c>
      <c r="F2959" t="s">
        <v>14</v>
      </c>
      <c r="G2959">
        <v>45000000</v>
      </c>
      <c r="H2959">
        <v>6</v>
      </c>
      <c r="I2959" t="s">
        <v>34</v>
      </c>
      <c r="J2959" t="s">
        <v>28</v>
      </c>
      <c r="K2959" t="s">
        <v>22</v>
      </c>
      <c r="L2959" t="s">
        <v>37</v>
      </c>
    </row>
    <row r="2960" spans="1:13" x14ac:dyDescent="0.25">
      <c r="A2960" t="s">
        <v>4647</v>
      </c>
      <c r="B2960">
        <v>76</v>
      </c>
      <c r="C2960">
        <v>11144518</v>
      </c>
      <c r="D2960" t="s">
        <v>4648</v>
      </c>
      <c r="E2960" t="s">
        <v>13</v>
      </c>
      <c r="F2960" t="s">
        <v>98</v>
      </c>
      <c r="G2960">
        <v>15000000</v>
      </c>
      <c r="H2960">
        <v>2.8</v>
      </c>
      <c r="I2960" t="s">
        <v>28</v>
      </c>
      <c r="J2960" t="s">
        <v>16</v>
      </c>
    </row>
    <row r="2961" spans="1:14" x14ac:dyDescent="0.25">
      <c r="A2961" t="s">
        <v>2789</v>
      </c>
      <c r="B2961">
        <v>99</v>
      </c>
      <c r="C2961">
        <v>11100000</v>
      </c>
      <c r="D2961" t="s">
        <v>4649</v>
      </c>
      <c r="E2961" t="s">
        <v>13</v>
      </c>
      <c r="F2961" t="s">
        <v>14</v>
      </c>
      <c r="G2961">
        <v>25000000</v>
      </c>
      <c r="H2961">
        <v>7.3</v>
      </c>
      <c r="I2961" t="s">
        <v>34</v>
      </c>
      <c r="J2961" t="s">
        <v>28</v>
      </c>
      <c r="K2961" t="s">
        <v>15</v>
      </c>
      <c r="L2961" t="s">
        <v>17</v>
      </c>
    </row>
    <row r="2962" spans="1:14" x14ac:dyDescent="0.25">
      <c r="A2962" t="s">
        <v>4650</v>
      </c>
      <c r="B2962">
        <v>97</v>
      </c>
      <c r="C2962">
        <v>11043445</v>
      </c>
      <c r="D2962" t="s">
        <v>4651</v>
      </c>
      <c r="E2962" t="s">
        <v>13</v>
      </c>
      <c r="F2962" t="s">
        <v>14</v>
      </c>
      <c r="G2962">
        <v>10000000</v>
      </c>
      <c r="H2962">
        <v>6.5</v>
      </c>
      <c r="I2962" t="s">
        <v>15</v>
      </c>
      <c r="J2962" t="s">
        <v>31</v>
      </c>
      <c r="K2962" t="s">
        <v>19</v>
      </c>
    </row>
    <row r="2963" spans="1:14" x14ac:dyDescent="0.25">
      <c r="A2963" t="s">
        <v>932</v>
      </c>
      <c r="B2963">
        <v>103</v>
      </c>
      <c r="C2963">
        <v>11034436</v>
      </c>
      <c r="D2963" t="s">
        <v>4652</v>
      </c>
      <c r="E2963" t="s">
        <v>13</v>
      </c>
      <c r="F2963" t="s">
        <v>82</v>
      </c>
      <c r="G2963">
        <v>20000000</v>
      </c>
      <c r="H2963">
        <v>7.1</v>
      </c>
      <c r="I2963" t="s">
        <v>15</v>
      </c>
      <c r="J2963" t="s">
        <v>31</v>
      </c>
      <c r="K2963" t="s">
        <v>18</v>
      </c>
      <c r="L2963" t="s">
        <v>83</v>
      </c>
    </row>
    <row r="2964" spans="1:14" x14ac:dyDescent="0.25">
      <c r="A2964" t="s">
        <v>101</v>
      </c>
      <c r="B2964">
        <v>133</v>
      </c>
      <c r="C2964">
        <v>11030963</v>
      </c>
      <c r="D2964" t="s">
        <v>4653</v>
      </c>
      <c r="E2964" t="s">
        <v>13</v>
      </c>
      <c r="F2964" t="s">
        <v>82</v>
      </c>
      <c r="G2964">
        <v>28000000</v>
      </c>
      <c r="H2964">
        <v>7.1</v>
      </c>
      <c r="I2964" t="s">
        <v>42</v>
      </c>
      <c r="J2964" t="s">
        <v>31</v>
      </c>
      <c r="K2964" t="s">
        <v>24</v>
      </c>
      <c r="L2964" t="s">
        <v>83</v>
      </c>
    </row>
    <row r="2965" spans="1:14" x14ac:dyDescent="0.25">
      <c r="A2965" t="s">
        <v>3127</v>
      </c>
      <c r="B2965">
        <v>107</v>
      </c>
      <c r="C2965">
        <v>11008432</v>
      </c>
      <c r="D2965" t="s">
        <v>4654</v>
      </c>
      <c r="E2965" t="s">
        <v>13</v>
      </c>
      <c r="F2965" t="s">
        <v>14</v>
      </c>
      <c r="G2965">
        <v>25000000</v>
      </c>
      <c r="H2965">
        <v>7.1</v>
      </c>
      <c r="I2965" t="s">
        <v>42</v>
      </c>
      <c r="J2965" t="s">
        <v>31</v>
      </c>
      <c r="K2965" t="s">
        <v>41</v>
      </c>
    </row>
    <row r="2966" spans="1:14" x14ac:dyDescent="0.25">
      <c r="A2966" t="s">
        <v>2183</v>
      </c>
      <c r="B2966">
        <v>104</v>
      </c>
      <c r="C2966">
        <v>10996440</v>
      </c>
      <c r="D2966" t="s">
        <v>4655</v>
      </c>
      <c r="E2966" t="s">
        <v>13</v>
      </c>
      <c r="F2966" t="s">
        <v>14</v>
      </c>
      <c r="G2966">
        <v>13000000</v>
      </c>
      <c r="H2966">
        <v>6.3</v>
      </c>
      <c r="I2966" t="s">
        <v>28</v>
      </c>
      <c r="J2966" t="s">
        <v>31</v>
      </c>
      <c r="K2966" t="s">
        <v>37</v>
      </c>
    </row>
    <row r="2967" spans="1:14" x14ac:dyDescent="0.25">
      <c r="A2967" t="s">
        <v>3111</v>
      </c>
      <c r="B2967">
        <v>100</v>
      </c>
      <c r="C2967">
        <v>10991381</v>
      </c>
      <c r="D2967" t="s">
        <v>4656</v>
      </c>
      <c r="E2967" t="s">
        <v>13</v>
      </c>
      <c r="F2967" t="s">
        <v>82</v>
      </c>
      <c r="G2967">
        <v>35000000</v>
      </c>
      <c r="H2967">
        <v>7.3</v>
      </c>
      <c r="I2967" t="s">
        <v>42</v>
      </c>
      <c r="J2967" t="s">
        <v>31</v>
      </c>
      <c r="K2967" t="s">
        <v>64</v>
      </c>
      <c r="L2967" t="s">
        <v>19</v>
      </c>
    </row>
    <row r="2968" spans="1:14" x14ac:dyDescent="0.25">
      <c r="A2968" t="s">
        <v>3585</v>
      </c>
      <c r="B2968">
        <v>109</v>
      </c>
      <c r="C2968">
        <v>10965209</v>
      </c>
      <c r="D2968" t="s">
        <v>4657</v>
      </c>
      <c r="E2968" t="s">
        <v>13</v>
      </c>
      <c r="F2968" t="s">
        <v>14</v>
      </c>
      <c r="G2968">
        <v>30000000</v>
      </c>
      <c r="H2968">
        <v>6.1</v>
      </c>
      <c r="I2968" t="s">
        <v>34</v>
      </c>
      <c r="J2968" t="s">
        <v>38</v>
      </c>
      <c r="K2968" t="s">
        <v>31</v>
      </c>
      <c r="L2968" t="s">
        <v>24</v>
      </c>
    </row>
    <row r="2969" spans="1:14" x14ac:dyDescent="0.25">
      <c r="A2969" t="s">
        <v>4658</v>
      </c>
      <c r="B2969">
        <v>107</v>
      </c>
      <c r="C2969">
        <v>10956379</v>
      </c>
      <c r="D2969" t="s">
        <v>4659</v>
      </c>
      <c r="E2969" t="s">
        <v>13</v>
      </c>
      <c r="F2969" t="s">
        <v>1216</v>
      </c>
      <c r="G2969">
        <v>35000000</v>
      </c>
      <c r="H2969">
        <v>3.6</v>
      </c>
      <c r="I2969" t="s">
        <v>34</v>
      </c>
      <c r="J2969" t="s">
        <v>31</v>
      </c>
      <c r="K2969" t="s">
        <v>17</v>
      </c>
      <c r="L2969" t="s">
        <v>22</v>
      </c>
      <c r="M2969" t="s">
        <v>24</v>
      </c>
    </row>
    <row r="2970" spans="1:14" x14ac:dyDescent="0.25">
      <c r="A2970" t="s">
        <v>3681</v>
      </c>
      <c r="B2970">
        <v>113</v>
      </c>
      <c r="C2970">
        <v>10955425</v>
      </c>
      <c r="D2970" t="s">
        <v>4660</v>
      </c>
      <c r="E2970" t="s">
        <v>13</v>
      </c>
      <c r="F2970" t="s">
        <v>82</v>
      </c>
      <c r="G2970">
        <v>30000000</v>
      </c>
      <c r="H2970">
        <v>6</v>
      </c>
      <c r="I2970" t="s">
        <v>34</v>
      </c>
      <c r="J2970" t="s">
        <v>37</v>
      </c>
      <c r="K2970" t="s">
        <v>24</v>
      </c>
    </row>
    <row r="2971" spans="1:14" x14ac:dyDescent="0.25">
      <c r="A2971" t="s">
        <v>4661</v>
      </c>
      <c r="B2971">
        <v>109</v>
      </c>
      <c r="C2971">
        <v>10941801</v>
      </c>
      <c r="D2971" t="s">
        <v>4662</v>
      </c>
      <c r="E2971" t="s">
        <v>13</v>
      </c>
      <c r="F2971" t="s">
        <v>14</v>
      </c>
      <c r="G2971">
        <v>39751583.5</v>
      </c>
      <c r="H2971">
        <v>5.4</v>
      </c>
      <c r="I2971" t="s">
        <v>15</v>
      </c>
      <c r="J2971" t="s">
        <v>52</v>
      </c>
      <c r="K2971" t="s">
        <v>31</v>
      </c>
      <c r="L2971" t="s">
        <v>17</v>
      </c>
      <c r="M2971" t="s">
        <v>23</v>
      </c>
      <c r="N2971" t="s">
        <v>37</v>
      </c>
    </row>
    <row r="2972" spans="1:14" x14ac:dyDescent="0.25">
      <c r="A2972" t="s">
        <v>3234</v>
      </c>
      <c r="B2972">
        <v>112</v>
      </c>
      <c r="C2972">
        <v>10911750</v>
      </c>
      <c r="D2972" t="s">
        <v>4663</v>
      </c>
      <c r="E2972" t="s">
        <v>13</v>
      </c>
      <c r="F2972" t="s">
        <v>14</v>
      </c>
      <c r="G2972">
        <v>25000000</v>
      </c>
      <c r="H2972">
        <v>6.5</v>
      </c>
      <c r="I2972" t="s">
        <v>31</v>
      </c>
      <c r="J2972" t="s">
        <v>83</v>
      </c>
    </row>
    <row r="2973" spans="1:14" x14ac:dyDescent="0.25">
      <c r="A2973" t="s">
        <v>746</v>
      </c>
      <c r="B2973">
        <v>108</v>
      </c>
      <c r="C2973">
        <v>10907291</v>
      </c>
      <c r="D2973" t="s">
        <v>4664</v>
      </c>
      <c r="E2973" t="s">
        <v>13</v>
      </c>
      <c r="F2973" t="s">
        <v>14</v>
      </c>
      <c r="G2973">
        <v>28000000</v>
      </c>
      <c r="H2973">
        <v>5.8</v>
      </c>
      <c r="I2973" t="s">
        <v>34</v>
      </c>
      <c r="J2973" t="s">
        <v>22</v>
      </c>
      <c r="K2973" t="s">
        <v>19</v>
      </c>
    </row>
    <row r="2974" spans="1:14" x14ac:dyDescent="0.25">
      <c r="A2974" t="s">
        <v>1331</v>
      </c>
      <c r="B2974">
        <v>118</v>
      </c>
      <c r="C2974">
        <v>10880926</v>
      </c>
      <c r="D2974" t="s">
        <v>4665</v>
      </c>
      <c r="E2974" t="s">
        <v>13</v>
      </c>
      <c r="F2974" t="s">
        <v>14</v>
      </c>
      <c r="G2974">
        <v>30000000</v>
      </c>
      <c r="H2974">
        <v>6.5</v>
      </c>
      <c r="I2974" t="s">
        <v>34</v>
      </c>
      <c r="J2974" t="s">
        <v>38</v>
      </c>
      <c r="K2974" t="s">
        <v>31</v>
      </c>
      <c r="L2974" t="s">
        <v>24</v>
      </c>
    </row>
    <row r="2975" spans="1:14" x14ac:dyDescent="0.25">
      <c r="A2975" t="s">
        <v>766</v>
      </c>
      <c r="B2975">
        <v>89</v>
      </c>
      <c r="C2975">
        <v>10824921</v>
      </c>
      <c r="D2975" t="s">
        <v>4666</v>
      </c>
      <c r="E2975" t="s">
        <v>13</v>
      </c>
      <c r="F2975" t="s">
        <v>14</v>
      </c>
      <c r="G2975">
        <v>10000000</v>
      </c>
      <c r="H2975">
        <v>7.8</v>
      </c>
      <c r="I2975" t="s">
        <v>15</v>
      </c>
    </row>
    <row r="2976" spans="1:14" x14ac:dyDescent="0.25">
      <c r="A2976" t="s">
        <v>766</v>
      </c>
      <c r="B2976">
        <v>92</v>
      </c>
      <c r="C2976">
        <v>10814185</v>
      </c>
      <c r="D2976" t="s">
        <v>4667</v>
      </c>
      <c r="E2976" t="s">
        <v>13</v>
      </c>
      <c r="F2976" t="s">
        <v>14</v>
      </c>
      <c r="G2976">
        <v>8000000</v>
      </c>
      <c r="H2976">
        <v>6.2</v>
      </c>
      <c r="I2976" t="s">
        <v>15</v>
      </c>
      <c r="J2976" t="s">
        <v>38</v>
      </c>
      <c r="K2976" t="s">
        <v>19</v>
      </c>
    </row>
    <row r="2977" spans="1:13" x14ac:dyDescent="0.25">
      <c r="A2977" t="s">
        <v>4528</v>
      </c>
      <c r="B2977">
        <v>271</v>
      </c>
      <c r="C2977">
        <v>10769960</v>
      </c>
      <c r="D2977" t="s">
        <v>4668</v>
      </c>
      <c r="E2977" t="s">
        <v>13</v>
      </c>
      <c r="F2977" t="s">
        <v>14</v>
      </c>
      <c r="G2977">
        <v>25000000</v>
      </c>
      <c r="H2977">
        <v>7.7</v>
      </c>
      <c r="I2977" t="s">
        <v>31</v>
      </c>
      <c r="J2977" t="s">
        <v>64</v>
      </c>
      <c r="K2977" t="s">
        <v>83</v>
      </c>
    </row>
    <row r="2978" spans="1:13" x14ac:dyDescent="0.25">
      <c r="A2978" t="s">
        <v>908</v>
      </c>
      <c r="B2978">
        <v>124</v>
      </c>
      <c r="C2978">
        <v>10763469</v>
      </c>
      <c r="D2978" t="s">
        <v>4669</v>
      </c>
      <c r="E2978" t="s">
        <v>13</v>
      </c>
      <c r="F2978" t="s">
        <v>14</v>
      </c>
      <c r="G2978">
        <v>15000000</v>
      </c>
      <c r="H2978">
        <v>6.4</v>
      </c>
      <c r="I2978" t="s">
        <v>15</v>
      </c>
      <c r="J2978" t="s">
        <v>31</v>
      </c>
      <c r="K2978" t="s">
        <v>19</v>
      </c>
    </row>
    <row r="2979" spans="1:13" x14ac:dyDescent="0.25">
      <c r="A2979" t="s">
        <v>4328</v>
      </c>
      <c r="B2979">
        <v>100</v>
      </c>
      <c r="C2979">
        <v>10725228</v>
      </c>
      <c r="D2979" t="s">
        <v>4670</v>
      </c>
      <c r="E2979" t="s">
        <v>13</v>
      </c>
      <c r="F2979" t="s">
        <v>14</v>
      </c>
      <c r="G2979">
        <v>12500000</v>
      </c>
      <c r="H2979">
        <v>7.8</v>
      </c>
      <c r="I2979" t="s">
        <v>38</v>
      </c>
      <c r="J2979" t="s">
        <v>31</v>
      </c>
      <c r="K2979" t="s">
        <v>23</v>
      </c>
    </row>
    <row r="2980" spans="1:13" x14ac:dyDescent="0.25">
      <c r="A2980" t="s">
        <v>1125</v>
      </c>
      <c r="B2980">
        <v>99</v>
      </c>
      <c r="C2980">
        <v>10719367</v>
      </c>
      <c r="D2980" t="s">
        <v>4671</v>
      </c>
      <c r="E2980" t="s">
        <v>13</v>
      </c>
      <c r="F2980" t="s">
        <v>14</v>
      </c>
      <c r="G2980">
        <v>25000000</v>
      </c>
      <c r="H2980">
        <v>4.9000000000000004</v>
      </c>
      <c r="I2980" t="s">
        <v>31</v>
      </c>
      <c r="J2980" t="s">
        <v>18</v>
      </c>
      <c r="K2980" t="s">
        <v>23</v>
      </c>
      <c r="L2980" t="s">
        <v>19</v>
      </c>
      <c r="M2980" t="s">
        <v>24</v>
      </c>
    </row>
    <row r="2981" spans="1:13" x14ac:dyDescent="0.25">
      <c r="A2981" t="s">
        <v>1090</v>
      </c>
      <c r="B2981">
        <v>104</v>
      </c>
      <c r="C2981">
        <v>10706786</v>
      </c>
      <c r="D2981" t="s">
        <v>4672</v>
      </c>
      <c r="E2981" t="s">
        <v>13</v>
      </c>
      <c r="F2981" t="s">
        <v>14</v>
      </c>
      <c r="G2981">
        <v>50000000</v>
      </c>
      <c r="H2981">
        <v>5.5</v>
      </c>
      <c r="I2981" t="s">
        <v>34</v>
      </c>
      <c r="J2981" t="s">
        <v>17</v>
      </c>
      <c r="K2981" t="s">
        <v>24</v>
      </c>
    </row>
    <row r="2982" spans="1:13" x14ac:dyDescent="0.25">
      <c r="A2982" t="s">
        <v>4673</v>
      </c>
      <c r="B2982">
        <v>104</v>
      </c>
      <c r="C2982">
        <v>10696210</v>
      </c>
      <c r="D2982" t="s">
        <v>4674</v>
      </c>
      <c r="E2982" t="s">
        <v>13</v>
      </c>
      <c r="F2982" t="s">
        <v>14</v>
      </c>
      <c r="G2982">
        <v>23500000</v>
      </c>
      <c r="H2982">
        <v>3.9</v>
      </c>
      <c r="I2982" t="s">
        <v>34</v>
      </c>
      <c r="J2982" t="s">
        <v>38</v>
      </c>
      <c r="K2982" t="s">
        <v>37</v>
      </c>
      <c r="L2982" t="s">
        <v>24</v>
      </c>
    </row>
    <row r="2983" spans="1:13" x14ac:dyDescent="0.25">
      <c r="A2983" t="s">
        <v>101</v>
      </c>
      <c r="B2983">
        <v>102</v>
      </c>
      <c r="C2983">
        <v>10660147</v>
      </c>
      <c r="D2983" t="s">
        <v>4675</v>
      </c>
      <c r="E2983" t="s">
        <v>13</v>
      </c>
      <c r="F2983" t="s">
        <v>82</v>
      </c>
      <c r="G2983">
        <v>23000000</v>
      </c>
      <c r="H2983">
        <v>7.2</v>
      </c>
      <c r="I2983" t="s">
        <v>31</v>
      </c>
      <c r="J2983" t="s">
        <v>19</v>
      </c>
    </row>
    <row r="2984" spans="1:13" x14ac:dyDescent="0.25">
      <c r="A2984" t="s">
        <v>4676</v>
      </c>
      <c r="B2984">
        <v>109</v>
      </c>
      <c r="C2984">
        <v>10654581</v>
      </c>
      <c r="D2984" t="s">
        <v>4677</v>
      </c>
      <c r="E2984" t="s">
        <v>13</v>
      </c>
      <c r="F2984" t="s">
        <v>14</v>
      </c>
      <c r="G2984">
        <v>34000000</v>
      </c>
      <c r="H2984">
        <v>5.3</v>
      </c>
      <c r="I2984" t="s">
        <v>31</v>
      </c>
      <c r="J2984" t="s">
        <v>37</v>
      </c>
      <c r="K2984" t="s">
        <v>24</v>
      </c>
    </row>
    <row r="2985" spans="1:13" x14ac:dyDescent="0.25">
      <c r="A2985" t="s">
        <v>4676</v>
      </c>
      <c r="B2985">
        <v>109</v>
      </c>
      <c r="C2985">
        <v>10654581</v>
      </c>
      <c r="D2985" t="s">
        <v>4677</v>
      </c>
      <c r="E2985" t="s">
        <v>13</v>
      </c>
      <c r="F2985" t="s">
        <v>14</v>
      </c>
      <c r="G2985">
        <v>34000000</v>
      </c>
      <c r="H2985">
        <v>5.3</v>
      </c>
      <c r="I2985" t="s">
        <v>31</v>
      </c>
      <c r="J2985" t="s">
        <v>37</v>
      </c>
      <c r="K2985" t="s">
        <v>24</v>
      </c>
    </row>
    <row r="2986" spans="1:13" x14ac:dyDescent="0.25">
      <c r="A2986" t="s">
        <v>3822</v>
      </c>
      <c r="B2986">
        <v>115</v>
      </c>
      <c r="C2986">
        <v>10640645</v>
      </c>
      <c r="D2986" t="s">
        <v>4678</v>
      </c>
      <c r="E2986" t="s">
        <v>13</v>
      </c>
      <c r="F2986" t="s">
        <v>14</v>
      </c>
      <c r="G2986">
        <v>40000000</v>
      </c>
      <c r="H2986">
        <v>5.8</v>
      </c>
      <c r="I2986" t="s">
        <v>34</v>
      </c>
      <c r="J2986" t="s">
        <v>38</v>
      </c>
      <c r="K2986" t="s">
        <v>31</v>
      </c>
      <c r="L2986" t="s">
        <v>23</v>
      </c>
      <c r="M2986" t="s">
        <v>24</v>
      </c>
    </row>
    <row r="2987" spans="1:13" x14ac:dyDescent="0.25">
      <c r="A2987" t="s">
        <v>4679</v>
      </c>
      <c r="B2987">
        <v>99</v>
      </c>
      <c r="C2987">
        <v>10572742</v>
      </c>
      <c r="D2987" t="s">
        <v>4680</v>
      </c>
      <c r="E2987" t="s">
        <v>13</v>
      </c>
      <c r="F2987" t="s">
        <v>14</v>
      </c>
      <c r="G2987">
        <v>8000000</v>
      </c>
      <c r="H2987">
        <v>6.1</v>
      </c>
      <c r="I2987" t="s">
        <v>31</v>
      </c>
      <c r="J2987" t="s">
        <v>19</v>
      </c>
    </row>
    <row r="2988" spans="1:13" x14ac:dyDescent="0.25">
      <c r="A2988" t="s">
        <v>908</v>
      </c>
      <c r="B2988">
        <v>96</v>
      </c>
      <c r="C2988">
        <v>10569071</v>
      </c>
      <c r="D2988" t="s">
        <v>4681</v>
      </c>
      <c r="E2988" t="s">
        <v>13</v>
      </c>
      <c r="F2988" t="s">
        <v>14</v>
      </c>
      <c r="G2988">
        <v>20000000</v>
      </c>
      <c r="H2988">
        <v>7.4</v>
      </c>
      <c r="I2988" t="s">
        <v>15</v>
      </c>
    </row>
    <row r="2989" spans="1:13" x14ac:dyDescent="0.25">
      <c r="A2989" t="s">
        <v>2937</v>
      </c>
      <c r="B2989">
        <v>118</v>
      </c>
      <c r="C2989">
        <v>10562387</v>
      </c>
      <c r="D2989" t="s">
        <v>4682</v>
      </c>
      <c r="E2989" t="s">
        <v>13</v>
      </c>
      <c r="F2989" t="s">
        <v>14</v>
      </c>
      <c r="G2989">
        <v>18500000</v>
      </c>
      <c r="H2989">
        <v>7.7</v>
      </c>
      <c r="I2989" t="s">
        <v>28</v>
      </c>
      <c r="J2989" t="s">
        <v>15</v>
      </c>
      <c r="K2989" t="s">
        <v>31</v>
      </c>
    </row>
    <row r="2990" spans="1:13" x14ac:dyDescent="0.25">
      <c r="A2990" t="s">
        <v>4683</v>
      </c>
      <c r="B2990">
        <v>97</v>
      </c>
      <c r="C2990">
        <v>10561238</v>
      </c>
      <c r="D2990" t="s">
        <v>4684</v>
      </c>
      <c r="E2990" t="s">
        <v>13</v>
      </c>
      <c r="F2990" t="s">
        <v>241</v>
      </c>
      <c r="G2990">
        <v>10000000</v>
      </c>
      <c r="H2990">
        <v>6.5</v>
      </c>
      <c r="I2990" t="s">
        <v>15</v>
      </c>
      <c r="J2990" t="s">
        <v>19</v>
      </c>
      <c r="K2990" t="s">
        <v>24</v>
      </c>
    </row>
    <row r="2991" spans="1:13" x14ac:dyDescent="0.25">
      <c r="A2991" t="s">
        <v>4685</v>
      </c>
      <c r="B2991">
        <v>115</v>
      </c>
      <c r="C2991">
        <v>10556196</v>
      </c>
      <c r="D2991" t="s">
        <v>4686</v>
      </c>
      <c r="E2991" t="s">
        <v>13</v>
      </c>
      <c r="F2991" t="s">
        <v>14</v>
      </c>
      <c r="G2991">
        <v>50000000</v>
      </c>
      <c r="H2991">
        <v>6.2</v>
      </c>
      <c r="I2991" t="s">
        <v>38</v>
      </c>
      <c r="J2991" t="s">
        <v>31</v>
      </c>
      <c r="K2991" t="s">
        <v>24</v>
      </c>
    </row>
    <row r="2992" spans="1:13" x14ac:dyDescent="0.25">
      <c r="A2992" t="s">
        <v>101</v>
      </c>
      <c r="B2992">
        <v>106</v>
      </c>
      <c r="C2992">
        <v>10555348</v>
      </c>
      <c r="D2992" t="s">
        <v>4687</v>
      </c>
      <c r="E2992" t="s">
        <v>13</v>
      </c>
      <c r="F2992" t="s">
        <v>14</v>
      </c>
      <c r="G2992">
        <v>20000000</v>
      </c>
      <c r="H2992">
        <v>6</v>
      </c>
      <c r="I2992" t="s">
        <v>15</v>
      </c>
      <c r="J2992" t="s">
        <v>38</v>
      </c>
    </row>
    <row r="2993" spans="1:13" x14ac:dyDescent="0.25">
      <c r="A2993" t="s">
        <v>4688</v>
      </c>
      <c r="B2993">
        <v>98</v>
      </c>
      <c r="C2993">
        <v>10544143</v>
      </c>
      <c r="D2993" t="s">
        <v>4689</v>
      </c>
      <c r="E2993" t="s">
        <v>13</v>
      </c>
      <c r="F2993" t="s">
        <v>45</v>
      </c>
      <c r="G2993">
        <v>20000000</v>
      </c>
      <c r="H2993">
        <v>6.1</v>
      </c>
      <c r="I2993" t="s">
        <v>15</v>
      </c>
      <c r="J2993" t="s">
        <v>19</v>
      </c>
    </row>
    <row r="2994" spans="1:13" x14ac:dyDescent="0.25">
      <c r="A2994" t="s">
        <v>956</v>
      </c>
      <c r="B2994">
        <v>81</v>
      </c>
      <c r="C2994">
        <v>10539414</v>
      </c>
      <c r="D2994" t="s">
        <v>4690</v>
      </c>
      <c r="E2994" t="s">
        <v>13</v>
      </c>
      <c r="F2994" t="s">
        <v>14</v>
      </c>
      <c r="G2994">
        <v>47000000</v>
      </c>
      <c r="H2994">
        <v>4.7</v>
      </c>
      <c r="I2994" t="s">
        <v>34</v>
      </c>
      <c r="J2994" t="s">
        <v>31</v>
      </c>
      <c r="K2994" t="s">
        <v>17</v>
      </c>
      <c r="L2994" t="s">
        <v>24</v>
      </c>
      <c r="M2994" t="s">
        <v>69</v>
      </c>
    </row>
    <row r="2995" spans="1:13" x14ac:dyDescent="0.25">
      <c r="A2995" t="s">
        <v>908</v>
      </c>
      <c r="B2995">
        <v>96</v>
      </c>
      <c r="C2995">
        <v>10515579</v>
      </c>
      <c r="D2995" t="s">
        <v>4691</v>
      </c>
      <c r="E2995" t="s">
        <v>13</v>
      </c>
      <c r="F2995" t="s">
        <v>82</v>
      </c>
      <c r="G2995">
        <v>4000000</v>
      </c>
      <c r="H2995">
        <v>6.7</v>
      </c>
      <c r="I2995" t="s">
        <v>15</v>
      </c>
      <c r="J2995" t="s">
        <v>38</v>
      </c>
      <c r="K2995" t="s">
        <v>23</v>
      </c>
    </row>
    <row r="2996" spans="1:13" x14ac:dyDescent="0.25">
      <c r="A2996" t="s">
        <v>325</v>
      </c>
      <c r="B2996">
        <v>109</v>
      </c>
      <c r="C2996">
        <v>10499968</v>
      </c>
      <c r="D2996" t="s">
        <v>4692</v>
      </c>
      <c r="E2996" t="s">
        <v>13</v>
      </c>
      <c r="F2996" t="s">
        <v>14</v>
      </c>
      <c r="G2996">
        <v>35000000</v>
      </c>
      <c r="H2996">
        <v>5.7</v>
      </c>
      <c r="I2996" t="s">
        <v>34</v>
      </c>
      <c r="J2996" t="s">
        <v>38</v>
      </c>
      <c r="K2996" t="s">
        <v>31</v>
      </c>
      <c r="L2996" t="s">
        <v>24</v>
      </c>
    </row>
    <row r="2997" spans="1:13" x14ac:dyDescent="0.25">
      <c r="A2997" t="s">
        <v>325</v>
      </c>
      <c r="B2997">
        <v>109</v>
      </c>
      <c r="C2997">
        <v>10499968</v>
      </c>
      <c r="D2997" t="s">
        <v>4692</v>
      </c>
      <c r="E2997" t="s">
        <v>13</v>
      </c>
      <c r="F2997" t="s">
        <v>14</v>
      </c>
      <c r="G2997">
        <v>35000000</v>
      </c>
      <c r="H2997">
        <v>5.7</v>
      </c>
      <c r="I2997" t="s">
        <v>34</v>
      </c>
      <c r="J2997" t="s">
        <v>38</v>
      </c>
      <c r="K2997" t="s">
        <v>31</v>
      </c>
      <c r="L2997" t="s">
        <v>24</v>
      </c>
    </row>
    <row r="2998" spans="1:13" x14ac:dyDescent="0.25">
      <c r="A2998" t="s">
        <v>4240</v>
      </c>
      <c r="B2998">
        <v>90</v>
      </c>
      <c r="C2998">
        <v>10494494</v>
      </c>
      <c r="D2998" t="s">
        <v>4693</v>
      </c>
      <c r="E2998" t="s">
        <v>13</v>
      </c>
      <c r="F2998" t="s">
        <v>14</v>
      </c>
      <c r="G2998">
        <v>18000000</v>
      </c>
      <c r="H2998">
        <v>4.4000000000000004</v>
      </c>
      <c r="I2998" t="s">
        <v>34</v>
      </c>
      <c r="J2998" t="s">
        <v>38</v>
      </c>
      <c r="K2998" t="s">
        <v>24</v>
      </c>
    </row>
    <row r="2999" spans="1:13" x14ac:dyDescent="0.25">
      <c r="A2999" t="s">
        <v>4694</v>
      </c>
      <c r="B2999">
        <v>96</v>
      </c>
      <c r="C2999">
        <v>10494147</v>
      </c>
      <c r="D2999" t="s">
        <v>4695</v>
      </c>
      <c r="E2999" t="s">
        <v>13</v>
      </c>
      <c r="F2999" t="s">
        <v>14</v>
      </c>
      <c r="G2999">
        <v>15000000</v>
      </c>
      <c r="H2999">
        <v>5.0999999999999996</v>
      </c>
      <c r="I2999" t="s">
        <v>31</v>
      </c>
      <c r="J2999" t="s">
        <v>19</v>
      </c>
    </row>
    <row r="3000" spans="1:13" x14ac:dyDescent="0.25">
      <c r="A3000" t="s">
        <v>1088</v>
      </c>
      <c r="B3000">
        <v>105</v>
      </c>
      <c r="C3000">
        <v>10460089</v>
      </c>
      <c r="D3000" t="s">
        <v>4696</v>
      </c>
      <c r="E3000" t="s">
        <v>13</v>
      </c>
      <c r="F3000" t="s">
        <v>14</v>
      </c>
      <c r="G3000">
        <v>7500000</v>
      </c>
      <c r="H3000">
        <v>7.2</v>
      </c>
      <c r="I3000" t="s">
        <v>38</v>
      </c>
      <c r="J3000" t="s">
        <v>31</v>
      </c>
      <c r="K3000" t="s">
        <v>23</v>
      </c>
      <c r="L3000" t="s">
        <v>24</v>
      </c>
    </row>
    <row r="3001" spans="1:13" x14ac:dyDescent="0.25">
      <c r="A3001" t="s">
        <v>593</v>
      </c>
      <c r="B3001">
        <v>91</v>
      </c>
      <c r="C3001">
        <v>10443316</v>
      </c>
      <c r="D3001" t="s">
        <v>4697</v>
      </c>
      <c r="E3001" t="s">
        <v>13</v>
      </c>
      <c r="F3001" t="s">
        <v>14</v>
      </c>
      <c r="G3001">
        <v>15000000</v>
      </c>
      <c r="H3001">
        <v>5</v>
      </c>
      <c r="I3001" t="s">
        <v>15</v>
      </c>
      <c r="J3001" t="s">
        <v>31</v>
      </c>
      <c r="K3001" t="s">
        <v>19</v>
      </c>
    </row>
    <row r="3002" spans="1:13" x14ac:dyDescent="0.25">
      <c r="A3002" t="s">
        <v>4698</v>
      </c>
      <c r="B3002">
        <v>83</v>
      </c>
      <c r="C3002">
        <v>10431220</v>
      </c>
      <c r="D3002" t="s">
        <v>4699</v>
      </c>
      <c r="E3002" t="s">
        <v>13</v>
      </c>
      <c r="F3002" t="s">
        <v>14</v>
      </c>
      <c r="G3002">
        <v>24000000</v>
      </c>
      <c r="H3002">
        <v>4.0999999999999996</v>
      </c>
      <c r="I3002" t="s">
        <v>34</v>
      </c>
      <c r="J3002" t="s">
        <v>37</v>
      </c>
    </row>
    <row r="3003" spans="1:13" x14ac:dyDescent="0.25">
      <c r="A3003" t="s">
        <v>4700</v>
      </c>
      <c r="B3003">
        <v>98</v>
      </c>
      <c r="C3003">
        <v>10429707</v>
      </c>
      <c r="D3003" t="s">
        <v>4701</v>
      </c>
      <c r="E3003" t="s">
        <v>13</v>
      </c>
      <c r="F3003" t="s">
        <v>14</v>
      </c>
      <c r="G3003">
        <v>5000000</v>
      </c>
      <c r="H3003">
        <v>5.4</v>
      </c>
      <c r="I3003" t="s">
        <v>15</v>
      </c>
    </row>
    <row r="3004" spans="1:13" x14ac:dyDescent="0.25">
      <c r="A3004" t="s">
        <v>2884</v>
      </c>
      <c r="B3004">
        <v>103</v>
      </c>
      <c r="C3004">
        <v>10411980</v>
      </c>
      <c r="D3004" t="s">
        <v>4702</v>
      </c>
      <c r="E3004" t="s">
        <v>13</v>
      </c>
      <c r="F3004" t="s">
        <v>14</v>
      </c>
      <c r="G3004">
        <v>15000000</v>
      </c>
      <c r="H3004">
        <v>5.9</v>
      </c>
      <c r="I3004" t="s">
        <v>16</v>
      </c>
      <c r="J3004" t="s">
        <v>18</v>
      </c>
      <c r="K3004" t="s">
        <v>19</v>
      </c>
    </row>
    <row r="3005" spans="1:13" x14ac:dyDescent="0.25">
      <c r="A3005" t="s">
        <v>1221</v>
      </c>
      <c r="B3005">
        <v>135</v>
      </c>
      <c r="C3005">
        <v>10400000</v>
      </c>
      <c r="D3005" t="s">
        <v>4703</v>
      </c>
      <c r="E3005" t="s">
        <v>13</v>
      </c>
      <c r="F3005" t="s">
        <v>14</v>
      </c>
      <c r="G3005">
        <v>50000000</v>
      </c>
      <c r="H3005">
        <v>5.0999999999999996</v>
      </c>
      <c r="I3005" t="s">
        <v>31</v>
      </c>
      <c r="J3005" t="s">
        <v>19</v>
      </c>
    </row>
    <row r="3006" spans="1:13" x14ac:dyDescent="0.25">
      <c r="A3006" t="s">
        <v>11</v>
      </c>
      <c r="B3006">
        <v>86</v>
      </c>
      <c r="C3006">
        <v>10397365</v>
      </c>
      <c r="D3006" t="s">
        <v>4704</v>
      </c>
      <c r="E3006" t="s">
        <v>13</v>
      </c>
      <c r="F3006" t="s">
        <v>14</v>
      </c>
      <c r="G3006">
        <v>14000000</v>
      </c>
      <c r="H3006">
        <v>5.4</v>
      </c>
      <c r="I3006" t="s">
        <v>15</v>
      </c>
      <c r="J3006" t="s">
        <v>23</v>
      </c>
      <c r="K3006" t="s">
        <v>19</v>
      </c>
    </row>
    <row r="3007" spans="1:13" x14ac:dyDescent="0.25">
      <c r="A3007" t="s">
        <v>4705</v>
      </c>
      <c r="B3007">
        <v>85</v>
      </c>
      <c r="C3007">
        <v>10353690</v>
      </c>
      <c r="D3007" t="s">
        <v>4706</v>
      </c>
      <c r="E3007" t="s">
        <v>13</v>
      </c>
      <c r="F3007" t="s">
        <v>14</v>
      </c>
      <c r="G3007">
        <v>39751583.5</v>
      </c>
      <c r="H3007">
        <v>8.4</v>
      </c>
      <c r="I3007" t="s">
        <v>52</v>
      </c>
      <c r="J3007" t="s">
        <v>18</v>
      </c>
    </row>
    <row r="3008" spans="1:13" x14ac:dyDescent="0.25">
      <c r="A3008" t="s">
        <v>4495</v>
      </c>
      <c r="B3008">
        <v>108</v>
      </c>
      <c r="C3008">
        <v>10326062</v>
      </c>
      <c r="D3008" t="s">
        <v>4707</v>
      </c>
      <c r="E3008" t="s">
        <v>13</v>
      </c>
      <c r="F3008" t="s">
        <v>241</v>
      </c>
      <c r="G3008">
        <v>33000000</v>
      </c>
      <c r="H3008">
        <v>6.8</v>
      </c>
      <c r="I3008" t="s">
        <v>34</v>
      </c>
      <c r="J3008" t="s">
        <v>22</v>
      </c>
      <c r="K3008" t="s">
        <v>23</v>
      </c>
      <c r="L3008" t="s">
        <v>37</v>
      </c>
      <c r="M3008" t="s">
        <v>24</v>
      </c>
    </row>
    <row r="3009" spans="1:14" x14ac:dyDescent="0.25">
      <c r="A3009" t="s">
        <v>4119</v>
      </c>
      <c r="B3009">
        <v>110</v>
      </c>
      <c r="C3009">
        <v>10324441</v>
      </c>
      <c r="D3009" t="s">
        <v>4708</v>
      </c>
      <c r="E3009" t="s">
        <v>13</v>
      </c>
      <c r="F3009" t="s">
        <v>14</v>
      </c>
      <c r="G3009">
        <v>25000000</v>
      </c>
      <c r="H3009">
        <v>5.8</v>
      </c>
      <c r="I3009" t="s">
        <v>34</v>
      </c>
      <c r="J3009" t="s">
        <v>31</v>
      </c>
      <c r="K3009" t="s">
        <v>24</v>
      </c>
    </row>
    <row r="3010" spans="1:14" x14ac:dyDescent="0.25">
      <c r="A3010" t="s">
        <v>4709</v>
      </c>
      <c r="B3010">
        <v>93</v>
      </c>
      <c r="C3010">
        <v>10305534</v>
      </c>
      <c r="D3010" t="s">
        <v>4710</v>
      </c>
      <c r="E3010" t="s">
        <v>13</v>
      </c>
      <c r="F3010" t="s">
        <v>14</v>
      </c>
      <c r="G3010">
        <v>3500000</v>
      </c>
      <c r="H3010">
        <v>3.9</v>
      </c>
      <c r="I3010" t="s">
        <v>15</v>
      </c>
    </row>
    <row r="3011" spans="1:14" x14ac:dyDescent="0.25">
      <c r="A3011" t="s">
        <v>456</v>
      </c>
      <c r="B3011">
        <v>129</v>
      </c>
      <c r="C3011">
        <v>10300000</v>
      </c>
      <c r="D3011" t="s">
        <v>4711</v>
      </c>
      <c r="E3011" t="s">
        <v>13</v>
      </c>
      <c r="F3011" t="s">
        <v>14</v>
      </c>
      <c r="G3011">
        <v>38000000</v>
      </c>
      <c r="H3011">
        <v>6.6</v>
      </c>
      <c r="I3011" t="s">
        <v>28</v>
      </c>
      <c r="J3011" t="s">
        <v>31</v>
      </c>
    </row>
    <row r="3012" spans="1:14" x14ac:dyDescent="0.25">
      <c r="A3012" t="s">
        <v>403</v>
      </c>
      <c r="B3012">
        <v>123</v>
      </c>
      <c r="C3012">
        <v>10297897</v>
      </c>
      <c r="D3012" t="s">
        <v>4712</v>
      </c>
      <c r="E3012" t="s">
        <v>13</v>
      </c>
      <c r="F3012" t="s">
        <v>14</v>
      </c>
      <c r="G3012">
        <v>27000000</v>
      </c>
      <c r="H3012">
        <v>6</v>
      </c>
      <c r="I3012" t="s">
        <v>34</v>
      </c>
      <c r="J3012" t="s">
        <v>38</v>
      </c>
      <c r="K3012" t="s">
        <v>31</v>
      </c>
      <c r="L3012" t="s">
        <v>64</v>
      </c>
      <c r="M3012" t="s">
        <v>69</v>
      </c>
    </row>
    <row r="3013" spans="1:14" x14ac:dyDescent="0.25">
      <c r="A3013" t="s">
        <v>4713</v>
      </c>
      <c r="B3013">
        <v>106</v>
      </c>
      <c r="C3013">
        <v>10281585</v>
      </c>
      <c r="D3013" t="s">
        <v>4714</v>
      </c>
      <c r="E3013" t="s">
        <v>13</v>
      </c>
      <c r="F3013" t="s">
        <v>14</v>
      </c>
      <c r="G3013">
        <v>39751583.5</v>
      </c>
      <c r="H3013">
        <v>6.4</v>
      </c>
      <c r="I3013" t="s">
        <v>31</v>
      </c>
      <c r="J3013" t="s">
        <v>19</v>
      </c>
    </row>
    <row r="3014" spans="1:14" x14ac:dyDescent="0.25">
      <c r="A3014" t="s">
        <v>1942</v>
      </c>
      <c r="B3014">
        <v>138</v>
      </c>
      <c r="C3014">
        <v>10269307</v>
      </c>
      <c r="D3014" t="s">
        <v>4715</v>
      </c>
      <c r="E3014" t="s">
        <v>13</v>
      </c>
      <c r="F3014" t="s">
        <v>14</v>
      </c>
      <c r="G3014">
        <v>8000000</v>
      </c>
      <c r="H3014">
        <v>6.3</v>
      </c>
      <c r="I3014" t="s">
        <v>34</v>
      </c>
      <c r="J3014" t="s">
        <v>38</v>
      </c>
      <c r="K3014" t="s">
        <v>24</v>
      </c>
    </row>
    <row r="3015" spans="1:14" x14ac:dyDescent="0.25">
      <c r="A3015" t="s">
        <v>145</v>
      </c>
      <c r="B3015">
        <v>101</v>
      </c>
      <c r="C3015">
        <v>10268846</v>
      </c>
      <c r="D3015" t="s">
        <v>4716</v>
      </c>
      <c r="E3015" t="s">
        <v>13</v>
      </c>
      <c r="F3015" t="s">
        <v>14</v>
      </c>
      <c r="G3015">
        <v>35000000</v>
      </c>
      <c r="H3015">
        <v>5.5</v>
      </c>
      <c r="I3015" t="s">
        <v>34</v>
      </c>
      <c r="J3015" t="s">
        <v>38</v>
      </c>
      <c r="K3015" t="s">
        <v>23</v>
      </c>
      <c r="L3015" t="s">
        <v>24</v>
      </c>
    </row>
    <row r="3016" spans="1:14" x14ac:dyDescent="0.25">
      <c r="A3016" t="s">
        <v>2078</v>
      </c>
      <c r="B3016">
        <v>98</v>
      </c>
      <c r="C3016">
        <v>10246600</v>
      </c>
      <c r="D3016" t="s">
        <v>4717</v>
      </c>
      <c r="E3016" t="s">
        <v>13</v>
      </c>
      <c r="F3016" t="s">
        <v>14</v>
      </c>
      <c r="G3016">
        <v>25000</v>
      </c>
      <c r="H3016">
        <v>6.6</v>
      </c>
      <c r="I3016" t="s">
        <v>15</v>
      </c>
      <c r="J3016" t="s">
        <v>31</v>
      </c>
      <c r="K3016" t="s">
        <v>19</v>
      </c>
    </row>
    <row r="3017" spans="1:14" x14ac:dyDescent="0.25">
      <c r="A3017" t="s">
        <v>117</v>
      </c>
      <c r="B3017">
        <v>118</v>
      </c>
      <c r="C3017">
        <v>10214647</v>
      </c>
      <c r="D3017" t="s">
        <v>4718</v>
      </c>
      <c r="E3017" t="s">
        <v>13</v>
      </c>
      <c r="F3017" t="s">
        <v>14</v>
      </c>
      <c r="G3017">
        <v>11000000</v>
      </c>
      <c r="H3017">
        <v>7.1</v>
      </c>
      <c r="I3017" t="s">
        <v>42</v>
      </c>
      <c r="J3017" t="s">
        <v>31</v>
      </c>
    </row>
    <row r="3018" spans="1:14" x14ac:dyDescent="0.25">
      <c r="A3018" t="s">
        <v>3466</v>
      </c>
      <c r="B3018">
        <v>91</v>
      </c>
      <c r="C3018">
        <v>10214013</v>
      </c>
      <c r="D3018" t="s">
        <v>4719</v>
      </c>
      <c r="E3018" t="s">
        <v>13</v>
      </c>
      <c r="F3018" t="s">
        <v>14</v>
      </c>
      <c r="G3018">
        <v>35000000</v>
      </c>
      <c r="H3018">
        <v>5.4</v>
      </c>
      <c r="I3018" t="s">
        <v>15</v>
      </c>
    </row>
    <row r="3019" spans="1:14" x14ac:dyDescent="0.25">
      <c r="A3019" t="s">
        <v>4720</v>
      </c>
      <c r="B3019">
        <v>110</v>
      </c>
      <c r="C3019">
        <v>10200000</v>
      </c>
      <c r="D3019" t="s">
        <v>4721</v>
      </c>
      <c r="E3019" t="s">
        <v>13</v>
      </c>
      <c r="F3019" t="s">
        <v>14</v>
      </c>
      <c r="G3019">
        <v>10000000</v>
      </c>
      <c r="H3019">
        <v>7.3</v>
      </c>
      <c r="I3019" t="s">
        <v>31</v>
      </c>
      <c r="J3019" t="s">
        <v>23</v>
      </c>
      <c r="K3019" t="s">
        <v>24</v>
      </c>
    </row>
    <row r="3020" spans="1:14" x14ac:dyDescent="0.25">
      <c r="A3020" t="s">
        <v>4722</v>
      </c>
      <c r="B3020">
        <v>93</v>
      </c>
      <c r="C3020">
        <v>10198766</v>
      </c>
      <c r="D3020" t="s">
        <v>4723</v>
      </c>
      <c r="E3020" t="s">
        <v>13</v>
      </c>
      <c r="F3020" t="s">
        <v>14</v>
      </c>
      <c r="G3020">
        <v>12000000</v>
      </c>
      <c r="H3020">
        <v>5.4</v>
      </c>
      <c r="I3020" t="s">
        <v>15</v>
      </c>
    </row>
    <row r="3021" spans="1:14" x14ac:dyDescent="0.25">
      <c r="A3021" t="s">
        <v>2726</v>
      </c>
      <c r="B3021">
        <v>111</v>
      </c>
      <c r="C3021">
        <v>10174663</v>
      </c>
      <c r="D3021" t="s">
        <v>4724</v>
      </c>
      <c r="E3021" t="s">
        <v>13</v>
      </c>
      <c r="F3021" t="s">
        <v>14</v>
      </c>
      <c r="G3021">
        <v>100000</v>
      </c>
      <c r="H3021">
        <v>6.7</v>
      </c>
      <c r="I3021" t="s">
        <v>31</v>
      </c>
      <c r="J3021" t="s">
        <v>41</v>
      </c>
    </row>
    <row r="3022" spans="1:14" x14ac:dyDescent="0.25">
      <c r="A3022" t="s">
        <v>3850</v>
      </c>
      <c r="B3022">
        <v>132</v>
      </c>
      <c r="C3022">
        <v>10166502</v>
      </c>
      <c r="D3022" t="s">
        <v>4725</v>
      </c>
      <c r="E3022" t="s">
        <v>4726</v>
      </c>
      <c r="F3022" t="s">
        <v>14</v>
      </c>
      <c r="G3022">
        <v>80000000</v>
      </c>
      <c r="H3022">
        <v>6.7</v>
      </c>
      <c r="I3022" t="s">
        <v>34</v>
      </c>
      <c r="J3022" t="s">
        <v>31</v>
      </c>
      <c r="K3022" t="s">
        <v>83</v>
      </c>
    </row>
    <row r="3023" spans="1:14" x14ac:dyDescent="0.25">
      <c r="A3023" t="s">
        <v>1144</v>
      </c>
      <c r="B3023">
        <v>137</v>
      </c>
      <c r="C3023">
        <v>10161099</v>
      </c>
      <c r="D3023" t="s">
        <v>4727</v>
      </c>
      <c r="E3023" t="s">
        <v>13</v>
      </c>
      <c r="F3023" t="s">
        <v>82</v>
      </c>
      <c r="G3023">
        <v>9000000</v>
      </c>
      <c r="H3023">
        <v>7.7</v>
      </c>
      <c r="I3023" t="s">
        <v>34</v>
      </c>
      <c r="J3023" t="s">
        <v>42</v>
      </c>
      <c r="K3023" t="s">
        <v>31</v>
      </c>
      <c r="L3023" t="s">
        <v>64</v>
      </c>
      <c r="M3023" t="s">
        <v>19</v>
      </c>
      <c r="N3023" t="s">
        <v>83</v>
      </c>
    </row>
    <row r="3024" spans="1:14" x14ac:dyDescent="0.25">
      <c r="A3024" t="s">
        <v>4728</v>
      </c>
      <c r="B3024">
        <v>91</v>
      </c>
      <c r="C3024">
        <v>10149779</v>
      </c>
      <c r="D3024" t="s">
        <v>4729</v>
      </c>
      <c r="E3024" t="s">
        <v>13</v>
      </c>
      <c r="F3024" t="s">
        <v>14</v>
      </c>
      <c r="G3024">
        <v>6500000</v>
      </c>
      <c r="H3024">
        <v>3.6</v>
      </c>
      <c r="I3024" t="s">
        <v>22</v>
      </c>
      <c r="J3024" t="s">
        <v>37</v>
      </c>
      <c r="K3024" t="s">
        <v>24</v>
      </c>
    </row>
    <row r="3025" spans="1:13" x14ac:dyDescent="0.25">
      <c r="A3025" t="s">
        <v>76</v>
      </c>
      <c r="B3025">
        <v>96</v>
      </c>
      <c r="C3025">
        <v>10139254</v>
      </c>
      <c r="D3025" t="s">
        <v>4730</v>
      </c>
      <c r="E3025" t="s">
        <v>13</v>
      </c>
      <c r="F3025" t="s">
        <v>14</v>
      </c>
      <c r="G3025">
        <v>35000000</v>
      </c>
      <c r="H3025">
        <v>7.3</v>
      </c>
      <c r="I3025" t="s">
        <v>31</v>
      </c>
      <c r="J3025" t="s">
        <v>37</v>
      </c>
    </row>
    <row r="3026" spans="1:13" x14ac:dyDescent="0.25">
      <c r="A3026" t="s">
        <v>160</v>
      </c>
      <c r="B3026">
        <v>123</v>
      </c>
      <c r="C3026">
        <v>10137502</v>
      </c>
      <c r="D3026" t="s">
        <v>4731</v>
      </c>
      <c r="E3026" t="s">
        <v>13</v>
      </c>
      <c r="F3026" t="s">
        <v>14</v>
      </c>
      <c r="G3026">
        <v>35000000</v>
      </c>
      <c r="H3026">
        <v>7.4</v>
      </c>
      <c r="I3026" t="s">
        <v>28</v>
      </c>
      <c r="J3026" t="s">
        <v>42</v>
      </c>
      <c r="K3026" t="s">
        <v>31</v>
      </c>
      <c r="L3026" t="s">
        <v>24</v>
      </c>
    </row>
    <row r="3027" spans="1:13" x14ac:dyDescent="0.25">
      <c r="A3027" t="s">
        <v>256</v>
      </c>
      <c r="B3027">
        <v>127</v>
      </c>
      <c r="C3027">
        <v>10137232</v>
      </c>
      <c r="D3027" t="s">
        <v>4732</v>
      </c>
      <c r="E3027" t="s">
        <v>13</v>
      </c>
      <c r="F3027" t="s">
        <v>295</v>
      </c>
      <c r="G3027">
        <v>50000000</v>
      </c>
      <c r="H3027">
        <v>6</v>
      </c>
      <c r="I3027" t="s">
        <v>34</v>
      </c>
      <c r="J3027" t="s">
        <v>42</v>
      </c>
      <c r="K3027" t="s">
        <v>38</v>
      </c>
      <c r="L3027" t="s">
        <v>31</v>
      </c>
      <c r="M3027" t="s">
        <v>24</v>
      </c>
    </row>
    <row r="3028" spans="1:13" x14ac:dyDescent="0.25">
      <c r="A3028" t="s">
        <v>4733</v>
      </c>
      <c r="B3028">
        <v>86</v>
      </c>
      <c r="C3028">
        <v>10134754</v>
      </c>
      <c r="D3028" t="s">
        <v>4734</v>
      </c>
      <c r="E3028" t="s">
        <v>13</v>
      </c>
      <c r="F3028" t="s">
        <v>14</v>
      </c>
      <c r="G3028">
        <v>30000000</v>
      </c>
      <c r="H3028">
        <v>4.8</v>
      </c>
      <c r="I3028" t="s">
        <v>46</v>
      </c>
      <c r="J3028" t="s">
        <v>15</v>
      </c>
      <c r="K3028" t="s">
        <v>16</v>
      </c>
    </row>
    <row r="3029" spans="1:13" x14ac:dyDescent="0.25">
      <c r="A3029" t="s">
        <v>4735</v>
      </c>
      <c r="B3029">
        <v>100</v>
      </c>
      <c r="C3029">
        <v>10114315</v>
      </c>
      <c r="D3029" t="s">
        <v>4736</v>
      </c>
      <c r="E3029" t="s">
        <v>13</v>
      </c>
      <c r="F3029" t="s">
        <v>14</v>
      </c>
      <c r="G3029">
        <v>25000000</v>
      </c>
      <c r="H3029">
        <v>6.4</v>
      </c>
      <c r="I3029" t="s">
        <v>31</v>
      </c>
      <c r="J3029" t="s">
        <v>23</v>
      </c>
      <c r="K3029" t="s">
        <v>24</v>
      </c>
    </row>
    <row r="3030" spans="1:13" x14ac:dyDescent="0.25">
      <c r="A3030" t="s">
        <v>4605</v>
      </c>
      <c r="B3030">
        <v>104</v>
      </c>
      <c r="C3030">
        <v>10106233</v>
      </c>
      <c r="D3030" t="s">
        <v>4737</v>
      </c>
      <c r="E3030" t="s">
        <v>13</v>
      </c>
      <c r="F3030" t="s">
        <v>14</v>
      </c>
      <c r="G3030">
        <v>8000000</v>
      </c>
      <c r="H3030">
        <v>5.4</v>
      </c>
      <c r="I3030" t="s">
        <v>15</v>
      </c>
      <c r="J3030" t="s">
        <v>31</v>
      </c>
    </row>
    <row r="3031" spans="1:13" x14ac:dyDescent="0.25">
      <c r="A3031" t="s">
        <v>4738</v>
      </c>
      <c r="B3031">
        <v>102</v>
      </c>
      <c r="C3031">
        <v>10105505</v>
      </c>
      <c r="D3031" t="s">
        <v>4739</v>
      </c>
      <c r="E3031" t="s">
        <v>13</v>
      </c>
      <c r="F3031" t="s">
        <v>295</v>
      </c>
      <c r="G3031">
        <v>39751583.5</v>
      </c>
      <c r="H3031">
        <v>6.8</v>
      </c>
      <c r="I3031" t="s">
        <v>38</v>
      </c>
      <c r="J3031" t="s">
        <v>31</v>
      </c>
      <c r="K3031" t="s">
        <v>23</v>
      </c>
      <c r="L3031" t="s">
        <v>24</v>
      </c>
    </row>
    <row r="3032" spans="1:13" x14ac:dyDescent="0.25">
      <c r="A3032" t="s">
        <v>4740</v>
      </c>
      <c r="B3032">
        <v>93</v>
      </c>
      <c r="C3032">
        <v>10097096</v>
      </c>
      <c r="D3032" t="s">
        <v>4741</v>
      </c>
      <c r="E3032" t="s">
        <v>13</v>
      </c>
      <c r="F3032" t="s">
        <v>14</v>
      </c>
      <c r="G3032">
        <v>4000000</v>
      </c>
      <c r="H3032">
        <v>4.5999999999999996</v>
      </c>
      <c r="I3032" t="s">
        <v>15</v>
      </c>
    </row>
    <row r="3033" spans="1:13" x14ac:dyDescent="0.25">
      <c r="A3033" t="s">
        <v>4742</v>
      </c>
      <c r="B3033">
        <v>91</v>
      </c>
      <c r="C3033">
        <v>10076136</v>
      </c>
      <c r="D3033" t="s">
        <v>4743</v>
      </c>
      <c r="E3033" t="s">
        <v>13</v>
      </c>
      <c r="F3033" t="s">
        <v>4744</v>
      </c>
      <c r="G3033">
        <v>35000000</v>
      </c>
      <c r="H3033">
        <v>4.8</v>
      </c>
      <c r="I3033" t="s">
        <v>34</v>
      </c>
      <c r="J3033" t="s">
        <v>15</v>
      </c>
      <c r="K3033" t="s">
        <v>24</v>
      </c>
    </row>
    <row r="3034" spans="1:13" x14ac:dyDescent="0.25">
      <c r="A3034" t="s">
        <v>4440</v>
      </c>
      <c r="B3034">
        <v>105</v>
      </c>
      <c r="C3034">
        <v>10070000</v>
      </c>
      <c r="D3034" t="s">
        <v>4745</v>
      </c>
      <c r="E3034" t="s">
        <v>13</v>
      </c>
      <c r="F3034" t="s">
        <v>14</v>
      </c>
      <c r="G3034">
        <v>25000000</v>
      </c>
      <c r="H3034">
        <v>6.2</v>
      </c>
      <c r="I3034" t="s">
        <v>15</v>
      </c>
      <c r="J3034" t="s">
        <v>31</v>
      </c>
      <c r="K3034" t="s">
        <v>19</v>
      </c>
    </row>
    <row r="3035" spans="1:13" x14ac:dyDescent="0.25">
      <c r="A3035" t="s">
        <v>4341</v>
      </c>
      <c r="B3035">
        <v>125</v>
      </c>
      <c r="C3035">
        <v>10049886</v>
      </c>
      <c r="D3035" t="s">
        <v>4746</v>
      </c>
      <c r="E3035" t="s">
        <v>1226</v>
      </c>
      <c r="F3035" t="s">
        <v>27</v>
      </c>
      <c r="G3035">
        <v>19000000</v>
      </c>
      <c r="H3035">
        <v>8.6</v>
      </c>
      <c r="I3035" t="s">
        <v>28</v>
      </c>
      <c r="J3035" t="s">
        <v>46</v>
      </c>
      <c r="K3035" t="s">
        <v>16</v>
      </c>
      <c r="L3035" t="s">
        <v>17</v>
      </c>
    </row>
    <row r="3036" spans="1:13" x14ac:dyDescent="0.25">
      <c r="A3036" t="s">
        <v>3551</v>
      </c>
      <c r="B3036">
        <v>90</v>
      </c>
      <c r="C3036">
        <v>10042266</v>
      </c>
      <c r="D3036" t="s">
        <v>4747</v>
      </c>
      <c r="E3036" t="s">
        <v>13</v>
      </c>
      <c r="F3036" t="s">
        <v>14</v>
      </c>
      <c r="G3036">
        <v>1000000</v>
      </c>
      <c r="H3036">
        <v>5.9</v>
      </c>
      <c r="I3036" t="s">
        <v>31</v>
      </c>
      <c r="J3036" t="s">
        <v>22</v>
      </c>
      <c r="K3036" t="s">
        <v>23</v>
      </c>
      <c r="L3036" t="s">
        <v>24</v>
      </c>
    </row>
    <row r="3037" spans="1:13" x14ac:dyDescent="0.25">
      <c r="A3037" t="s">
        <v>4748</v>
      </c>
      <c r="B3037">
        <v>84</v>
      </c>
      <c r="C3037">
        <v>10017041</v>
      </c>
      <c r="D3037" t="s">
        <v>4749</v>
      </c>
      <c r="E3037" t="s">
        <v>13</v>
      </c>
      <c r="F3037" t="s">
        <v>14</v>
      </c>
      <c r="G3037">
        <v>3000000</v>
      </c>
      <c r="H3037">
        <v>5.9</v>
      </c>
      <c r="I3037" t="s">
        <v>34</v>
      </c>
      <c r="J3037" t="s">
        <v>15</v>
      </c>
      <c r="K3037" t="s">
        <v>38</v>
      </c>
    </row>
    <row r="3038" spans="1:13" x14ac:dyDescent="0.25">
      <c r="A3038" t="s">
        <v>219</v>
      </c>
      <c r="B3038">
        <v>105</v>
      </c>
      <c r="C3038">
        <v>10014234</v>
      </c>
      <c r="D3038" t="s">
        <v>4750</v>
      </c>
      <c r="E3038" t="s">
        <v>13</v>
      </c>
      <c r="F3038" t="s">
        <v>295</v>
      </c>
      <c r="G3038">
        <v>65000000</v>
      </c>
      <c r="H3038">
        <v>5</v>
      </c>
      <c r="I3038" t="s">
        <v>15</v>
      </c>
      <c r="J3038" t="s">
        <v>38</v>
      </c>
    </row>
    <row r="3039" spans="1:13" x14ac:dyDescent="0.25">
      <c r="A3039" t="s">
        <v>1390</v>
      </c>
      <c r="B3039">
        <v>82</v>
      </c>
      <c r="C3039">
        <v>9975684</v>
      </c>
      <c r="D3039" t="s">
        <v>4751</v>
      </c>
      <c r="E3039" t="s">
        <v>13</v>
      </c>
      <c r="F3039" t="s">
        <v>98</v>
      </c>
      <c r="G3039">
        <v>13000000</v>
      </c>
      <c r="H3039">
        <v>6.4</v>
      </c>
      <c r="I3039" t="s">
        <v>15</v>
      </c>
    </row>
    <row r="3040" spans="1:13" x14ac:dyDescent="0.25">
      <c r="A3040" t="s">
        <v>2937</v>
      </c>
      <c r="B3040">
        <v>142</v>
      </c>
      <c r="C3040">
        <v>9929000</v>
      </c>
      <c r="D3040" t="s">
        <v>4752</v>
      </c>
      <c r="E3040" t="s">
        <v>13</v>
      </c>
      <c r="F3040" t="s">
        <v>82</v>
      </c>
      <c r="G3040">
        <v>15000000</v>
      </c>
      <c r="H3040">
        <v>8</v>
      </c>
      <c r="I3040" t="s">
        <v>31</v>
      </c>
      <c r="J3040" t="s">
        <v>37</v>
      </c>
    </row>
    <row r="3041" spans="1:13" x14ac:dyDescent="0.25">
      <c r="A3041" t="s">
        <v>4740</v>
      </c>
      <c r="B3041">
        <v>82</v>
      </c>
      <c r="C3041">
        <v>9821335</v>
      </c>
      <c r="D3041" t="s">
        <v>4753</v>
      </c>
      <c r="E3041" t="s">
        <v>13</v>
      </c>
      <c r="F3041" t="s">
        <v>14</v>
      </c>
      <c r="G3041">
        <v>6000000</v>
      </c>
      <c r="H3041">
        <v>4</v>
      </c>
      <c r="I3041" t="s">
        <v>15</v>
      </c>
    </row>
    <row r="3042" spans="1:13" x14ac:dyDescent="0.25">
      <c r="A3042" t="s">
        <v>2769</v>
      </c>
      <c r="B3042">
        <v>100</v>
      </c>
      <c r="C3042">
        <v>9801782</v>
      </c>
      <c r="D3042" t="s">
        <v>4754</v>
      </c>
      <c r="E3042" t="s">
        <v>13</v>
      </c>
      <c r="F3042" t="s">
        <v>14</v>
      </c>
      <c r="G3042">
        <v>10000000</v>
      </c>
      <c r="H3042">
        <v>6.3</v>
      </c>
      <c r="I3042" t="s">
        <v>15</v>
      </c>
      <c r="J3042" t="s">
        <v>38</v>
      </c>
      <c r="K3042" t="s">
        <v>24</v>
      </c>
    </row>
    <row r="3043" spans="1:13" x14ac:dyDescent="0.25">
      <c r="A3043" t="s">
        <v>1770</v>
      </c>
      <c r="B3043">
        <v>107</v>
      </c>
      <c r="C3043">
        <v>9795017</v>
      </c>
      <c r="D3043" t="s">
        <v>4755</v>
      </c>
      <c r="E3043" t="s">
        <v>13</v>
      </c>
      <c r="F3043" t="s">
        <v>14</v>
      </c>
      <c r="G3043">
        <v>50000000</v>
      </c>
      <c r="H3043">
        <v>5.0999999999999996</v>
      </c>
      <c r="I3043" t="s">
        <v>38</v>
      </c>
      <c r="J3043" t="s">
        <v>31</v>
      </c>
      <c r="K3043" t="s">
        <v>24</v>
      </c>
    </row>
    <row r="3044" spans="1:13" x14ac:dyDescent="0.25">
      <c r="A3044" t="s">
        <v>908</v>
      </c>
      <c r="B3044">
        <v>101</v>
      </c>
      <c r="C3044">
        <v>9714482</v>
      </c>
      <c r="D3044" t="s">
        <v>4756</v>
      </c>
      <c r="E3044" t="s">
        <v>13</v>
      </c>
      <c r="F3044" t="s">
        <v>14</v>
      </c>
      <c r="G3044">
        <v>20000000</v>
      </c>
      <c r="H3044">
        <v>6.8</v>
      </c>
      <c r="I3044" t="s">
        <v>15</v>
      </c>
      <c r="J3044" t="s">
        <v>59</v>
      </c>
      <c r="K3044" t="s">
        <v>19</v>
      </c>
    </row>
    <row r="3045" spans="1:13" x14ac:dyDescent="0.25">
      <c r="A3045" t="s">
        <v>3929</v>
      </c>
      <c r="B3045">
        <v>112</v>
      </c>
      <c r="C3045">
        <v>9701559</v>
      </c>
      <c r="D3045" t="s">
        <v>4757</v>
      </c>
      <c r="E3045" t="s">
        <v>13</v>
      </c>
      <c r="F3045" t="s">
        <v>14</v>
      </c>
      <c r="G3045">
        <v>3500000</v>
      </c>
      <c r="H3045">
        <v>7.4</v>
      </c>
      <c r="I3045" t="s">
        <v>31</v>
      </c>
      <c r="J3045" t="s">
        <v>19</v>
      </c>
    </row>
    <row r="3046" spans="1:13" x14ac:dyDescent="0.25">
      <c r="A3046" t="s">
        <v>99</v>
      </c>
      <c r="B3046">
        <v>77</v>
      </c>
      <c r="C3046">
        <v>9694105</v>
      </c>
      <c r="D3046" t="s">
        <v>4758</v>
      </c>
      <c r="E3046" t="s">
        <v>13</v>
      </c>
      <c r="F3046" t="s">
        <v>14</v>
      </c>
      <c r="G3046">
        <v>22000000</v>
      </c>
      <c r="H3046">
        <v>3.8</v>
      </c>
      <c r="I3046" t="s">
        <v>15</v>
      </c>
      <c r="J3046" t="s">
        <v>16</v>
      </c>
      <c r="K3046" t="s">
        <v>19</v>
      </c>
    </row>
    <row r="3047" spans="1:13" x14ac:dyDescent="0.25">
      <c r="A3047" t="s">
        <v>4759</v>
      </c>
      <c r="B3047">
        <v>122</v>
      </c>
      <c r="C3047">
        <v>9664316</v>
      </c>
      <c r="D3047" t="s">
        <v>4760</v>
      </c>
      <c r="E3047" t="s">
        <v>13</v>
      </c>
      <c r="F3047" t="s">
        <v>14</v>
      </c>
      <c r="G3047">
        <v>27500000</v>
      </c>
      <c r="H3047">
        <v>6.8</v>
      </c>
      <c r="I3047" t="s">
        <v>31</v>
      </c>
      <c r="J3047" t="s">
        <v>24</v>
      </c>
    </row>
    <row r="3048" spans="1:13" x14ac:dyDescent="0.25">
      <c r="A3048" t="s">
        <v>3186</v>
      </c>
      <c r="B3048">
        <v>96</v>
      </c>
      <c r="C3048">
        <v>9658370</v>
      </c>
      <c r="D3048" t="s">
        <v>4761</v>
      </c>
      <c r="E3048" t="s">
        <v>13</v>
      </c>
      <c r="F3048" t="s">
        <v>14</v>
      </c>
      <c r="G3048">
        <v>5000000</v>
      </c>
      <c r="H3048">
        <v>4.5</v>
      </c>
      <c r="I3048" t="s">
        <v>15</v>
      </c>
      <c r="J3048" t="s">
        <v>19</v>
      </c>
    </row>
    <row r="3049" spans="1:13" x14ac:dyDescent="0.25">
      <c r="A3049" t="s">
        <v>3792</v>
      </c>
      <c r="B3049">
        <v>89</v>
      </c>
      <c r="C3049">
        <v>9652000</v>
      </c>
      <c r="D3049" t="s">
        <v>4762</v>
      </c>
      <c r="E3049" t="s">
        <v>13</v>
      </c>
      <c r="F3049" t="s">
        <v>14</v>
      </c>
      <c r="G3049">
        <v>40000000</v>
      </c>
      <c r="H3049">
        <v>5.8</v>
      </c>
      <c r="I3049" t="s">
        <v>15</v>
      </c>
    </row>
    <row r="3050" spans="1:13" x14ac:dyDescent="0.25">
      <c r="A3050" t="s">
        <v>4763</v>
      </c>
      <c r="B3050">
        <v>89</v>
      </c>
      <c r="C3050">
        <v>9639242</v>
      </c>
      <c r="D3050" t="s">
        <v>4764</v>
      </c>
      <c r="E3050" t="s">
        <v>13</v>
      </c>
      <c r="F3050" t="s">
        <v>14</v>
      </c>
      <c r="G3050">
        <v>24000000</v>
      </c>
      <c r="H3050">
        <v>4.9000000000000004</v>
      </c>
      <c r="I3050" t="s">
        <v>15</v>
      </c>
      <c r="J3050" t="s">
        <v>19</v>
      </c>
    </row>
    <row r="3051" spans="1:13" x14ac:dyDescent="0.25">
      <c r="A3051" t="s">
        <v>4765</v>
      </c>
      <c r="B3051">
        <v>82</v>
      </c>
      <c r="C3051">
        <v>9628751</v>
      </c>
      <c r="D3051" t="s">
        <v>4766</v>
      </c>
      <c r="E3051" t="s">
        <v>13</v>
      </c>
      <c r="F3051" t="s">
        <v>14</v>
      </c>
      <c r="G3051">
        <v>5000000</v>
      </c>
      <c r="H3051">
        <v>5.9</v>
      </c>
      <c r="I3051" t="s">
        <v>34</v>
      </c>
      <c r="J3051" t="s">
        <v>28</v>
      </c>
      <c r="K3051" t="s">
        <v>46</v>
      </c>
      <c r="L3051" t="s">
        <v>16</v>
      </c>
      <c r="M3051" t="s">
        <v>37</v>
      </c>
    </row>
    <row r="3052" spans="1:13" x14ac:dyDescent="0.25">
      <c r="A3052" t="s">
        <v>2259</v>
      </c>
      <c r="B3052">
        <v>108</v>
      </c>
      <c r="C3052">
        <v>9600000</v>
      </c>
      <c r="D3052" t="s">
        <v>4767</v>
      </c>
      <c r="E3052" t="s">
        <v>13</v>
      </c>
      <c r="F3052" t="s">
        <v>14</v>
      </c>
      <c r="G3052">
        <v>910000</v>
      </c>
      <c r="H3052">
        <v>8.1999999999999993</v>
      </c>
      <c r="I3052" t="s">
        <v>38</v>
      </c>
      <c r="J3052" t="s">
        <v>31</v>
      </c>
      <c r="K3052" t="s">
        <v>19</v>
      </c>
    </row>
    <row r="3053" spans="1:13" x14ac:dyDescent="0.25">
      <c r="A3053" t="s">
        <v>811</v>
      </c>
      <c r="B3053">
        <v>130</v>
      </c>
      <c r="C3053">
        <v>9589875</v>
      </c>
      <c r="D3053" t="s">
        <v>4768</v>
      </c>
      <c r="E3053" t="s">
        <v>13</v>
      </c>
      <c r="F3053" t="s">
        <v>14</v>
      </c>
      <c r="G3053">
        <v>40000000</v>
      </c>
      <c r="H3053">
        <v>7.3</v>
      </c>
      <c r="I3053" t="s">
        <v>42</v>
      </c>
      <c r="J3053" t="s">
        <v>31</v>
      </c>
      <c r="K3053" t="s">
        <v>41</v>
      </c>
    </row>
    <row r="3054" spans="1:13" x14ac:dyDescent="0.25">
      <c r="A3054" t="s">
        <v>425</v>
      </c>
      <c r="B3054">
        <v>108</v>
      </c>
      <c r="C3054">
        <v>9528092</v>
      </c>
      <c r="D3054" t="s">
        <v>4769</v>
      </c>
      <c r="E3054" t="s">
        <v>13</v>
      </c>
      <c r="F3054" t="s">
        <v>14</v>
      </c>
      <c r="G3054">
        <v>22000000</v>
      </c>
      <c r="H3054">
        <v>6.8</v>
      </c>
      <c r="I3054" t="s">
        <v>42</v>
      </c>
      <c r="J3054" t="s">
        <v>31</v>
      </c>
      <c r="K3054" t="s">
        <v>24</v>
      </c>
    </row>
    <row r="3055" spans="1:13" x14ac:dyDescent="0.25">
      <c r="A3055" t="s">
        <v>133</v>
      </c>
      <c r="B3055">
        <v>111</v>
      </c>
      <c r="C3055">
        <v>9525276</v>
      </c>
      <c r="D3055" t="s">
        <v>4770</v>
      </c>
      <c r="E3055" t="s">
        <v>13</v>
      </c>
      <c r="F3055" t="s">
        <v>14</v>
      </c>
      <c r="G3055">
        <v>20000000</v>
      </c>
      <c r="H3055">
        <v>6.8</v>
      </c>
      <c r="I3055" t="s">
        <v>34</v>
      </c>
      <c r="J3055" t="s">
        <v>38</v>
      </c>
      <c r="K3055" t="s">
        <v>24</v>
      </c>
    </row>
    <row r="3056" spans="1:13" x14ac:dyDescent="0.25">
      <c r="A3056" t="s">
        <v>1823</v>
      </c>
      <c r="B3056">
        <v>92</v>
      </c>
      <c r="C3056">
        <v>9483821</v>
      </c>
      <c r="D3056" t="s">
        <v>4771</v>
      </c>
      <c r="E3056" t="s">
        <v>13</v>
      </c>
      <c r="F3056" t="s">
        <v>14</v>
      </c>
      <c r="G3056">
        <v>55000000</v>
      </c>
      <c r="H3056">
        <v>5.7</v>
      </c>
      <c r="I3056" t="s">
        <v>34</v>
      </c>
      <c r="J3056" t="s">
        <v>24</v>
      </c>
    </row>
    <row r="3057" spans="1:13" x14ac:dyDescent="0.25">
      <c r="A3057" t="s">
        <v>4772</v>
      </c>
      <c r="B3057">
        <v>130</v>
      </c>
      <c r="C3057">
        <v>9473382</v>
      </c>
      <c r="D3057" t="s">
        <v>4773</v>
      </c>
      <c r="E3057" t="s">
        <v>473</v>
      </c>
      <c r="F3057" t="s">
        <v>98</v>
      </c>
      <c r="G3057">
        <v>10000000</v>
      </c>
      <c r="H3057">
        <v>7.7</v>
      </c>
      <c r="I3057" t="s">
        <v>31</v>
      </c>
      <c r="J3057" t="s">
        <v>18</v>
      </c>
      <c r="K3057" t="s">
        <v>23</v>
      </c>
      <c r="L3057" t="s">
        <v>19</v>
      </c>
    </row>
    <row r="3058" spans="1:13" x14ac:dyDescent="0.25">
      <c r="A3058" t="s">
        <v>2078</v>
      </c>
      <c r="B3058">
        <v>96</v>
      </c>
      <c r="C3058">
        <v>9449219</v>
      </c>
      <c r="D3058" t="s">
        <v>4774</v>
      </c>
      <c r="E3058" t="s">
        <v>13</v>
      </c>
      <c r="F3058" t="s">
        <v>14</v>
      </c>
      <c r="G3058">
        <v>3500000</v>
      </c>
      <c r="H3058">
        <v>6.1</v>
      </c>
      <c r="I3058" t="s">
        <v>15</v>
      </c>
      <c r="J3058" t="s">
        <v>31</v>
      </c>
      <c r="K3058" t="s">
        <v>19</v>
      </c>
    </row>
    <row r="3059" spans="1:13" x14ac:dyDescent="0.25">
      <c r="A3059" t="s">
        <v>4255</v>
      </c>
      <c r="B3059">
        <v>85</v>
      </c>
      <c r="C3059">
        <v>9437933</v>
      </c>
      <c r="D3059" t="s">
        <v>4775</v>
      </c>
      <c r="E3059" t="s">
        <v>13</v>
      </c>
      <c r="F3059" t="s">
        <v>1465</v>
      </c>
      <c r="G3059">
        <v>180000</v>
      </c>
      <c r="H3059">
        <v>7.9</v>
      </c>
      <c r="I3059" t="s">
        <v>31</v>
      </c>
      <c r="J3059" t="s">
        <v>18</v>
      </c>
      <c r="K3059" t="s">
        <v>19</v>
      </c>
    </row>
    <row r="3060" spans="1:13" x14ac:dyDescent="0.25">
      <c r="A3060" t="s">
        <v>111</v>
      </c>
      <c r="B3060">
        <v>98</v>
      </c>
      <c r="C3060">
        <v>9430988</v>
      </c>
      <c r="D3060" t="s">
        <v>4776</v>
      </c>
      <c r="E3060" t="s">
        <v>13</v>
      </c>
      <c r="F3060" t="s">
        <v>14</v>
      </c>
      <c r="G3060">
        <v>17000000</v>
      </c>
      <c r="H3060">
        <v>7.1</v>
      </c>
      <c r="I3060" t="s">
        <v>15</v>
      </c>
      <c r="J3060" t="s">
        <v>31</v>
      </c>
      <c r="K3060" t="s">
        <v>19</v>
      </c>
    </row>
    <row r="3061" spans="1:13" x14ac:dyDescent="0.25">
      <c r="A3061" t="s">
        <v>4777</v>
      </c>
      <c r="B3061">
        <v>86</v>
      </c>
      <c r="C3061">
        <v>9402410</v>
      </c>
      <c r="D3061" t="s">
        <v>4778</v>
      </c>
      <c r="E3061" t="s">
        <v>13</v>
      </c>
      <c r="F3061" t="s">
        <v>14</v>
      </c>
      <c r="G3061">
        <v>14000000</v>
      </c>
      <c r="H3061">
        <v>5.4</v>
      </c>
      <c r="I3061" t="s">
        <v>28</v>
      </c>
      <c r="J3061" t="s">
        <v>15</v>
      </c>
    </row>
    <row r="3062" spans="1:13" x14ac:dyDescent="0.25">
      <c r="A3062" t="s">
        <v>3889</v>
      </c>
      <c r="B3062">
        <v>116</v>
      </c>
      <c r="C3062">
        <v>9396487</v>
      </c>
      <c r="D3062" t="s">
        <v>4779</v>
      </c>
      <c r="E3062" t="s">
        <v>13</v>
      </c>
      <c r="F3062" t="s">
        <v>14</v>
      </c>
      <c r="G3062">
        <v>15000000</v>
      </c>
      <c r="H3062">
        <v>7</v>
      </c>
      <c r="I3062" t="s">
        <v>31</v>
      </c>
      <c r="J3062" t="s">
        <v>18</v>
      </c>
    </row>
    <row r="3063" spans="1:13" x14ac:dyDescent="0.25">
      <c r="A3063" t="s">
        <v>1009</v>
      </c>
      <c r="B3063">
        <v>100</v>
      </c>
      <c r="C3063">
        <v>9353573</v>
      </c>
      <c r="D3063" t="s">
        <v>4780</v>
      </c>
      <c r="E3063" t="s">
        <v>13</v>
      </c>
      <c r="F3063" t="s">
        <v>14</v>
      </c>
      <c r="G3063">
        <v>45000000</v>
      </c>
      <c r="H3063">
        <v>2.7</v>
      </c>
      <c r="I3063" t="s">
        <v>34</v>
      </c>
      <c r="J3063" t="s">
        <v>28</v>
      </c>
      <c r="K3063" t="s">
        <v>17</v>
      </c>
      <c r="L3063" t="s">
        <v>37</v>
      </c>
      <c r="M3063" t="s">
        <v>24</v>
      </c>
    </row>
    <row r="3064" spans="1:13" x14ac:dyDescent="0.25">
      <c r="A3064" t="s">
        <v>4001</v>
      </c>
      <c r="B3064">
        <v>88</v>
      </c>
      <c r="C3064">
        <v>9286314</v>
      </c>
      <c r="D3064" t="s">
        <v>4781</v>
      </c>
      <c r="E3064" t="s">
        <v>13</v>
      </c>
      <c r="F3064" t="s">
        <v>14</v>
      </c>
      <c r="G3064">
        <v>17000000</v>
      </c>
      <c r="H3064">
        <v>5.9</v>
      </c>
      <c r="I3064" t="s">
        <v>34</v>
      </c>
      <c r="J3064" t="s">
        <v>38</v>
      </c>
      <c r="K3064" t="s">
        <v>31</v>
      </c>
      <c r="L3064" t="s">
        <v>24</v>
      </c>
    </row>
    <row r="3065" spans="1:13" x14ac:dyDescent="0.25">
      <c r="A3065" t="s">
        <v>403</v>
      </c>
      <c r="B3065">
        <v>99</v>
      </c>
      <c r="C3065">
        <v>9203192</v>
      </c>
      <c r="D3065" t="s">
        <v>4782</v>
      </c>
      <c r="E3065" t="s">
        <v>13</v>
      </c>
      <c r="F3065" t="s">
        <v>14</v>
      </c>
      <c r="G3065">
        <v>5000000</v>
      </c>
      <c r="H3065">
        <v>6.8</v>
      </c>
      <c r="I3065" t="s">
        <v>15</v>
      </c>
      <c r="J3065" t="s">
        <v>38</v>
      </c>
      <c r="K3065" t="s">
        <v>31</v>
      </c>
    </row>
    <row r="3066" spans="1:13" x14ac:dyDescent="0.25">
      <c r="A3066" t="s">
        <v>542</v>
      </c>
      <c r="B3066">
        <v>106</v>
      </c>
      <c r="C3066">
        <v>9190525</v>
      </c>
      <c r="D3066" t="s">
        <v>4783</v>
      </c>
      <c r="E3066" t="s">
        <v>13</v>
      </c>
      <c r="F3066" t="s">
        <v>14</v>
      </c>
      <c r="G3066">
        <v>7000000</v>
      </c>
      <c r="H3066">
        <v>7</v>
      </c>
      <c r="I3066" t="s">
        <v>15</v>
      </c>
      <c r="J3066" t="s">
        <v>31</v>
      </c>
    </row>
    <row r="3067" spans="1:13" x14ac:dyDescent="0.25">
      <c r="A3067" t="s">
        <v>4784</v>
      </c>
      <c r="B3067">
        <v>111</v>
      </c>
      <c r="C3067">
        <v>9180275</v>
      </c>
      <c r="D3067" t="s">
        <v>4785</v>
      </c>
      <c r="E3067" t="s">
        <v>13</v>
      </c>
      <c r="F3067" t="s">
        <v>14</v>
      </c>
      <c r="G3067">
        <v>1200000</v>
      </c>
      <c r="H3067">
        <v>7.7</v>
      </c>
      <c r="I3067" t="s">
        <v>31</v>
      </c>
    </row>
    <row r="3068" spans="1:13" x14ac:dyDescent="0.25">
      <c r="A3068" t="s">
        <v>4786</v>
      </c>
      <c r="B3068">
        <v>100</v>
      </c>
      <c r="C3068">
        <v>9176553</v>
      </c>
      <c r="D3068" t="s">
        <v>4787</v>
      </c>
      <c r="E3068" t="s">
        <v>13</v>
      </c>
      <c r="F3068" t="s">
        <v>14</v>
      </c>
      <c r="G3068">
        <v>7500000</v>
      </c>
      <c r="H3068">
        <v>7.1</v>
      </c>
      <c r="I3068" t="s">
        <v>31</v>
      </c>
      <c r="J3068" t="s">
        <v>23</v>
      </c>
    </row>
    <row r="3069" spans="1:13" x14ac:dyDescent="0.25">
      <c r="A3069" t="s">
        <v>1282</v>
      </c>
      <c r="B3069">
        <v>108</v>
      </c>
      <c r="C3069">
        <v>9172810</v>
      </c>
      <c r="D3069" t="s">
        <v>4788</v>
      </c>
      <c r="E3069" t="s">
        <v>13</v>
      </c>
      <c r="F3069" t="s">
        <v>14</v>
      </c>
      <c r="G3069">
        <v>16000000</v>
      </c>
      <c r="H3069">
        <v>6.7</v>
      </c>
      <c r="I3069" t="s">
        <v>42</v>
      </c>
      <c r="J3069" t="s">
        <v>31</v>
      </c>
      <c r="K3069" t="s">
        <v>64</v>
      </c>
      <c r="L3069" t="s">
        <v>24</v>
      </c>
      <c r="M3069" t="s">
        <v>83</v>
      </c>
    </row>
    <row r="3070" spans="1:13" x14ac:dyDescent="0.25">
      <c r="A3070" t="s">
        <v>435</v>
      </c>
      <c r="B3070">
        <v>118</v>
      </c>
      <c r="C3070">
        <v>9170214</v>
      </c>
      <c r="D3070" t="s">
        <v>4789</v>
      </c>
      <c r="E3070" t="s">
        <v>13</v>
      </c>
      <c r="F3070" t="s">
        <v>14</v>
      </c>
      <c r="G3070">
        <v>11000000</v>
      </c>
      <c r="H3070">
        <v>7.8</v>
      </c>
      <c r="I3070" t="s">
        <v>31</v>
      </c>
      <c r="J3070" t="s">
        <v>19</v>
      </c>
    </row>
    <row r="3071" spans="1:13" x14ac:dyDescent="0.25">
      <c r="A3071" t="s">
        <v>4790</v>
      </c>
      <c r="B3071">
        <v>99</v>
      </c>
      <c r="C3071">
        <v>9166863</v>
      </c>
      <c r="D3071" t="s">
        <v>4791</v>
      </c>
      <c r="E3071" t="s">
        <v>13</v>
      </c>
      <c r="F3071" t="s">
        <v>14</v>
      </c>
      <c r="G3071">
        <v>7000000</v>
      </c>
      <c r="H3071">
        <v>7.6</v>
      </c>
      <c r="I3071" t="s">
        <v>31</v>
      </c>
      <c r="J3071" t="s">
        <v>19</v>
      </c>
    </row>
    <row r="3072" spans="1:13" x14ac:dyDescent="0.25">
      <c r="A3072" t="s">
        <v>4792</v>
      </c>
      <c r="B3072">
        <v>95</v>
      </c>
      <c r="C3072">
        <v>9123834</v>
      </c>
      <c r="D3072" t="s">
        <v>4793</v>
      </c>
      <c r="E3072" t="s">
        <v>13</v>
      </c>
      <c r="F3072" t="s">
        <v>14</v>
      </c>
      <c r="G3072">
        <v>15000000</v>
      </c>
      <c r="H3072">
        <v>5.3</v>
      </c>
      <c r="I3072" t="s">
        <v>15</v>
      </c>
      <c r="J3072" t="s">
        <v>19</v>
      </c>
    </row>
    <row r="3073" spans="1:13" x14ac:dyDescent="0.25">
      <c r="A3073" t="s">
        <v>96</v>
      </c>
      <c r="B3073">
        <v>88</v>
      </c>
      <c r="C3073">
        <v>9109322</v>
      </c>
      <c r="D3073" t="s">
        <v>4794</v>
      </c>
      <c r="E3073" t="s">
        <v>13</v>
      </c>
      <c r="F3073" t="s">
        <v>241</v>
      </c>
      <c r="G3073">
        <v>20000000</v>
      </c>
      <c r="H3073">
        <v>1.9</v>
      </c>
      <c r="I3073" t="s">
        <v>15</v>
      </c>
      <c r="J3073" t="s">
        <v>16</v>
      </c>
      <c r="K3073" t="s">
        <v>37</v>
      </c>
    </row>
    <row r="3074" spans="1:13" x14ac:dyDescent="0.25">
      <c r="A3074" t="s">
        <v>3192</v>
      </c>
      <c r="B3074">
        <v>103</v>
      </c>
      <c r="C3074">
        <v>9094451</v>
      </c>
      <c r="D3074" t="s">
        <v>4795</v>
      </c>
      <c r="E3074" t="s">
        <v>13</v>
      </c>
      <c r="F3074" t="s">
        <v>14</v>
      </c>
      <c r="G3074">
        <v>7000000</v>
      </c>
      <c r="H3074">
        <v>6.2</v>
      </c>
      <c r="I3074" t="s">
        <v>34</v>
      </c>
      <c r="J3074" t="s">
        <v>17</v>
      </c>
      <c r="K3074" t="s">
        <v>22</v>
      </c>
      <c r="L3074" t="s">
        <v>24</v>
      </c>
    </row>
    <row r="3075" spans="1:13" x14ac:dyDescent="0.25">
      <c r="A3075" t="s">
        <v>1018</v>
      </c>
      <c r="B3075">
        <v>118</v>
      </c>
      <c r="C3075">
        <v>9059588</v>
      </c>
      <c r="D3075" t="s">
        <v>4796</v>
      </c>
      <c r="E3075" t="s">
        <v>13</v>
      </c>
      <c r="F3075" t="s">
        <v>14</v>
      </c>
      <c r="G3075">
        <v>15000000</v>
      </c>
      <c r="H3075">
        <v>6.6</v>
      </c>
      <c r="I3075" t="s">
        <v>38</v>
      </c>
      <c r="J3075" t="s">
        <v>31</v>
      </c>
      <c r="K3075" t="s">
        <v>19</v>
      </c>
      <c r="L3075" t="s">
        <v>24</v>
      </c>
    </row>
    <row r="3076" spans="1:13" x14ac:dyDescent="0.25">
      <c r="A3076" t="s">
        <v>4797</v>
      </c>
      <c r="B3076">
        <v>113</v>
      </c>
      <c r="C3076">
        <v>9054736</v>
      </c>
      <c r="D3076" t="s">
        <v>4798</v>
      </c>
      <c r="E3076" t="s">
        <v>13</v>
      </c>
      <c r="F3076" t="s">
        <v>14</v>
      </c>
      <c r="G3076">
        <v>2700000</v>
      </c>
      <c r="H3076">
        <v>7.1</v>
      </c>
      <c r="I3076" t="s">
        <v>31</v>
      </c>
    </row>
    <row r="3077" spans="1:13" x14ac:dyDescent="0.25">
      <c r="A3077" t="s">
        <v>4799</v>
      </c>
      <c r="B3077">
        <v>94</v>
      </c>
      <c r="C3077">
        <v>9030581</v>
      </c>
      <c r="D3077" t="s">
        <v>4800</v>
      </c>
      <c r="E3077" t="s">
        <v>13</v>
      </c>
      <c r="F3077" t="s">
        <v>82</v>
      </c>
      <c r="G3077">
        <v>12500000</v>
      </c>
      <c r="H3077">
        <v>7.8</v>
      </c>
      <c r="I3077" t="s">
        <v>31</v>
      </c>
      <c r="J3077" t="s">
        <v>83</v>
      </c>
    </row>
    <row r="3078" spans="1:13" x14ac:dyDescent="0.25">
      <c r="A3078" t="s">
        <v>4051</v>
      </c>
      <c r="B3078">
        <v>94</v>
      </c>
      <c r="C3078">
        <v>9016377</v>
      </c>
      <c r="D3078" t="s">
        <v>4801</v>
      </c>
      <c r="E3078" t="s">
        <v>13</v>
      </c>
      <c r="F3078" t="s">
        <v>14</v>
      </c>
      <c r="G3078">
        <v>39751583.5</v>
      </c>
      <c r="H3078">
        <v>5.2</v>
      </c>
      <c r="I3078" t="s">
        <v>15</v>
      </c>
    </row>
    <row r="3079" spans="1:13" x14ac:dyDescent="0.25">
      <c r="A3079" t="s">
        <v>4802</v>
      </c>
      <c r="B3079">
        <v>103</v>
      </c>
      <c r="C3079">
        <v>9013113</v>
      </c>
      <c r="D3079" t="s">
        <v>4803</v>
      </c>
      <c r="E3079" t="s">
        <v>13</v>
      </c>
      <c r="F3079" t="s">
        <v>14</v>
      </c>
      <c r="G3079">
        <v>1000000</v>
      </c>
      <c r="H3079">
        <v>7.4</v>
      </c>
      <c r="I3079" t="s">
        <v>28</v>
      </c>
      <c r="J3079" t="s">
        <v>15</v>
      </c>
      <c r="K3079" t="s">
        <v>31</v>
      </c>
    </row>
    <row r="3080" spans="1:13" x14ac:dyDescent="0.25">
      <c r="A3080" t="s">
        <v>2099</v>
      </c>
      <c r="B3080">
        <v>87</v>
      </c>
      <c r="C3080">
        <v>9003011</v>
      </c>
      <c r="D3080" t="s">
        <v>4804</v>
      </c>
      <c r="E3080" t="s">
        <v>13</v>
      </c>
      <c r="F3080" t="s">
        <v>45</v>
      </c>
      <c r="G3080">
        <v>2000000</v>
      </c>
      <c r="H3080">
        <v>7.6</v>
      </c>
      <c r="I3080" t="s">
        <v>34</v>
      </c>
      <c r="J3080" t="s">
        <v>28</v>
      </c>
      <c r="K3080" t="s">
        <v>37</v>
      </c>
      <c r="L3080" t="s">
        <v>24</v>
      </c>
    </row>
    <row r="3081" spans="1:13" x14ac:dyDescent="0.25">
      <c r="A3081" t="s">
        <v>4805</v>
      </c>
      <c r="B3081">
        <v>109</v>
      </c>
      <c r="C3081">
        <v>9000000</v>
      </c>
      <c r="D3081" t="s">
        <v>4806</v>
      </c>
      <c r="E3081" t="s">
        <v>13</v>
      </c>
      <c r="F3081" t="s">
        <v>14</v>
      </c>
      <c r="G3081">
        <v>900000</v>
      </c>
      <c r="H3081">
        <v>6.2</v>
      </c>
      <c r="I3081" t="s">
        <v>15</v>
      </c>
      <c r="J3081" t="s">
        <v>31</v>
      </c>
      <c r="K3081" t="s">
        <v>18</v>
      </c>
    </row>
    <row r="3082" spans="1:13" x14ac:dyDescent="0.25">
      <c r="A3082" t="s">
        <v>4807</v>
      </c>
      <c r="B3082">
        <v>110</v>
      </c>
      <c r="C3082">
        <v>8888355</v>
      </c>
      <c r="D3082" t="s">
        <v>4808</v>
      </c>
      <c r="E3082" t="s">
        <v>13</v>
      </c>
      <c r="F3082" t="s">
        <v>14</v>
      </c>
      <c r="G3082">
        <v>20000000</v>
      </c>
      <c r="H3082">
        <v>5</v>
      </c>
      <c r="I3082" t="s">
        <v>31</v>
      </c>
      <c r="J3082" t="s">
        <v>18</v>
      </c>
    </row>
    <row r="3083" spans="1:13" x14ac:dyDescent="0.25">
      <c r="A3083" t="s">
        <v>562</v>
      </c>
      <c r="B3083">
        <v>119</v>
      </c>
      <c r="C3083">
        <v>8888143</v>
      </c>
      <c r="D3083" t="s">
        <v>4809</v>
      </c>
      <c r="E3083" t="s">
        <v>13</v>
      </c>
      <c r="F3083" t="s">
        <v>98</v>
      </c>
      <c r="G3083">
        <v>28000000</v>
      </c>
      <c r="H3083">
        <v>6.7</v>
      </c>
      <c r="I3083" t="s">
        <v>15</v>
      </c>
      <c r="J3083" t="s">
        <v>31</v>
      </c>
      <c r="K3083" t="s">
        <v>41</v>
      </c>
    </row>
    <row r="3084" spans="1:13" x14ac:dyDescent="0.25">
      <c r="A3084" t="s">
        <v>4810</v>
      </c>
      <c r="B3084">
        <v>110</v>
      </c>
      <c r="C3084">
        <v>8880705</v>
      </c>
      <c r="D3084" t="s">
        <v>4811</v>
      </c>
      <c r="E3084" t="s">
        <v>13</v>
      </c>
      <c r="F3084" t="s">
        <v>14</v>
      </c>
      <c r="G3084">
        <v>39751583.5</v>
      </c>
      <c r="H3084">
        <v>6.5</v>
      </c>
      <c r="I3084" t="s">
        <v>15</v>
      </c>
      <c r="J3084" t="s">
        <v>31</v>
      </c>
      <c r="K3084" t="s">
        <v>19</v>
      </c>
    </row>
    <row r="3085" spans="1:13" x14ac:dyDescent="0.25">
      <c r="A3085" t="s">
        <v>847</v>
      </c>
      <c r="B3085">
        <v>99</v>
      </c>
      <c r="C3085">
        <v>8855646</v>
      </c>
      <c r="D3085" t="s">
        <v>4812</v>
      </c>
      <c r="E3085" t="s">
        <v>13</v>
      </c>
      <c r="F3085" t="s">
        <v>14</v>
      </c>
      <c r="G3085">
        <v>21000000</v>
      </c>
      <c r="H3085">
        <v>7.2</v>
      </c>
      <c r="I3085" t="s">
        <v>28</v>
      </c>
      <c r="J3085" t="s">
        <v>31</v>
      </c>
    </row>
    <row r="3086" spans="1:13" x14ac:dyDescent="0.25">
      <c r="A3086" t="s">
        <v>4813</v>
      </c>
      <c r="B3086">
        <v>94</v>
      </c>
      <c r="C3086">
        <v>8828771</v>
      </c>
      <c r="D3086" t="s">
        <v>4814</v>
      </c>
      <c r="E3086" t="s">
        <v>13</v>
      </c>
      <c r="F3086" t="s">
        <v>14</v>
      </c>
      <c r="G3086">
        <v>6000000</v>
      </c>
      <c r="H3086">
        <v>4.3</v>
      </c>
      <c r="I3086" t="s">
        <v>15</v>
      </c>
    </row>
    <row r="3087" spans="1:13" x14ac:dyDescent="0.25">
      <c r="A3087" t="s">
        <v>4815</v>
      </c>
      <c r="B3087">
        <v>92</v>
      </c>
      <c r="C3087">
        <v>8786715</v>
      </c>
      <c r="D3087" t="s">
        <v>4816</v>
      </c>
      <c r="E3087" t="s">
        <v>13</v>
      </c>
      <c r="F3087" t="s">
        <v>14</v>
      </c>
      <c r="G3087">
        <v>5000000</v>
      </c>
      <c r="H3087">
        <v>6.9</v>
      </c>
      <c r="I3087" t="s">
        <v>15</v>
      </c>
      <c r="J3087" t="s">
        <v>31</v>
      </c>
    </row>
    <row r="3088" spans="1:13" x14ac:dyDescent="0.25">
      <c r="A3088" t="s">
        <v>946</v>
      </c>
      <c r="B3088">
        <v>96</v>
      </c>
      <c r="C3088">
        <v>8742261</v>
      </c>
      <c r="D3088" t="s">
        <v>4817</v>
      </c>
      <c r="E3088" t="s">
        <v>13</v>
      </c>
      <c r="F3088" t="s">
        <v>98</v>
      </c>
      <c r="G3088">
        <v>18000000</v>
      </c>
      <c r="H3088">
        <v>3.7</v>
      </c>
      <c r="I3088" t="s">
        <v>34</v>
      </c>
      <c r="J3088" t="s">
        <v>38</v>
      </c>
      <c r="K3088" t="s">
        <v>31</v>
      </c>
      <c r="L3088" t="s">
        <v>23</v>
      </c>
      <c r="M3088" t="s">
        <v>24</v>
      </c>
    </row>
    <row r="3089" spans="1:13" x14ac:dyDescent="0.25">
      <c r="A3089" t="s">
        <v>4051</v>
      </c>
      <c r="B3089">
        <v>94</v>
      </c>
      <c r="C3089">
        <v>8735529</v>
      </c>
      <c r="D3089" t="s">
        <v>4818</v>
      </c>
      <c r="E3089" t="s">
        <v>13</v>
      </c>
      <c r="F3089" t="s">
        <v>14</v>
      </c>
      <c r="G3089">
        <v>15000000</v>
      </c>
      <c r="H3089">
        <v>5.5</v>
      </c>
      <c r="I3089" t="s">
        <v>15</v>
      </c>
      <c r="J3089" t="s">
        <v>31</v>
      </c>
      <c r="K3089" t="s">
        <v>19</v>
      </c>
    </row>
    <row r="3090" spans="1:13" x14ac:dyDescent="0.25">
      <c r="A3090" t="s">
        <v>4819</v>
      </c>
      <c r="B3090">
        <v>99</v>
      </c>
      <c r="C3090">
        <v>8712564</v>
      </c>
      <c r="D3090" t="s">
        <v>4820</v>
      </c>
      <c r="E3090" t="s">
        <v>13</v>
      </c>
      <c r="F3090" t="s">
        <v>14</v>
      </c>
      <c r="G3090">
        <v>27000000</v>
      </c>
      <c r="H3090">
        <v>5.9</v>
      </c>
      <c r="I3090" t="s">
        <v>38</v>
      </c>
      <c r="J3090" t="s">
        <v>31</v>
      </c>
      <c r="K3090" t="s">
        <v>23</v>
      </c>
      <c r="L3090" t="s">
        <v>24</v>
      </c>
    </row>
    <row r="3091" spans="1:13" x14ac:dyDescent="0.25">
      <c r="A3091" t="s">
        <v>78</v>
      </c>
      <c r="B3091">
        <v>98</v>
      </c>
      <c r="C3091">
        <v>8662318</v>
      </c>
      <c r="D3091" t="s">
        <v>4821</v>
      </c>
      <c r="E3091" t="s">
        <v>13</v>
      </c>
      <c r="F3091" t="s">
        <v>14</v>
      </c>
      <c r="G3091">
        <v>17000000</v>
      </c>
      <c r="H3091">
        <v>5.9</v>
      </c>
      <c r="I3091" t="s">
        <v>15</v>
      </c>
      <c r="J3091" t="s">
        <v>19</v>
      </c>
    </row>
    <row r="3092" spans="1:13" x14ac:dyDescent="0.25">
      <c r="A3092" t="s">
        <v>828</v>
      </c>
      <c r="B3092">
        <v>132</v>
      </c>
      <c r="C3092">
        <v>8600000</v>
      </c>
      <c r="D3092" t="s">
        <v>4822</v>
      </c>
      <c r="E3092" t="s">
        <v>13</v>
      </c>
      <c r="F3092" t="s">
        <v>82</v>
      </c>
      <c r="G3092">
        <v>25000000</v>
      </c>
      <c r="H3092">
        <v>7</v>
      </c>
      <c r="I3092" t="s">
        <v>34</v>
      </c>
      <c r="J3092" t="s">
        <v>28</v>
      </c>
      <c r="K3092" t="s">
        <v>31</v>
      </c>
      <c r="L3092" t="s">
        <v>64</v>
      </c>
      <c r="M3092" t="s">
        <v>19</v>
      </c>
    </row>
    <row r="3093" spans="1:13" x14ac:dyDescent="0.25">
      <c r="A3093" t="s">
        <v>4007</v>
      </c>
      <c r="B3093">
        <v>122</v>
      </c>
      <c r="C3093">
        <v>8596914</v>
      </c>
      <c r="D3093" t="s">
        <v>4823</v>
      </c>
      <c r="E3093" t="s">
        <v>13</v>
      </c>
      <c r="F3093" t="s">
        <v>14</v>
      </c>
      <c r="G3093">
        <v>6000000</v>
      </c>
      <c r="H3093">
        <v>7</v>
      </c>
      <c r="I3093" t="s">
        <v>42</v>
      </c>
      <c r="J3093" t="s">
        <v>31</v>
      </c>
    </row>
    <row r="3094" spans="1:13" x14ac:dyDescent="0.25">
      <c r="A3094" t="s">
        <v>4824</v>
      </c>
      <c r="B3094">
        <v>97</v>
      </c>
      <c r="C3094">
        <v>8586376</v>
      </c>
      <c r="D3094" t="s">
        <v>4825</v>
      </c>
      <c r="E3094" t="s">
        <v>13</v>
      </c>
      <c r="F3094" t="s">
        <v>14</v>
      </c>
      <c r="G3094">
        <v>20000000</v>
      </c>
      <c r="H3094">
        <v>4.9000000000000004</v>
      </c>
      <c r="I3094" t="s">
        <v>15</v>
      </c>
    </row>
    <row r="3095" spans="1:13" x14ac:dyDescent="0.25">
      <c r="A3095" t="s">
        <v>601</v>
      </c>
      <c r="B3095">
        <v>87</v>
      </c>
      <c r="C3095">
        <v>8579684</v>
      </c>
      <c r="D3095" t="s">
        <v>4826</v>
      </c>
      <c r="E3095" t="s">
        <v>13</v>
      </c>
      <c r="F3095" t="s">
        <v>14</v>
      </c>
      <c r="G3095">
        <v>9000000</v>
      </c>
      <c r="H3095">
        <v>7.4</v>
      </c>
      <c r="I3095" t="s">
        <v>15</v>
      </c>
    </row>
    <row r="3096" spans="1:13" x14ac:dyDescent="0.25">
      <c r="A3096" t="s">
        <v>435</v>
      </c>
      <c r="B3096">
        <v>108</v>
      </c>
      <c r="C3096">
        <v>8535575</v>
      </c>
      <c r="D3096" t="s">
        <v>4827</v>
      </c>
      <c r="E3096" t="s">
        <v>13</v>
      </c>
      <c r="F3096" t="s">
        <v>14</v>
      </c>
      <c r="G3096">
        <v>30000000</v>
      </c>
      <c r="H3096">
        <v>7</v>
      </c>
      <c r="I3096" t="s">
        <v>31</v>
      </c>
    </row>
    <row r="3097" spans="1:13" x14ac:dyDescent="0.25">
      <c r="A3097" t="s">
        <v>4828</v>
      </c>
      <c r="B3097">
        <v>105</v>
      </c>
      <c r="C3097">
        <v>8508843</v>
      </c>
      <c r="D3097" t="s">
        <v>4829</v>
      </c>
      <c r="E3097" t="s">
        <v>13</v>
      </c>
      <c r="F3097" t="s">
        <v>14</v>
      </c>
      <c r="G3097">
        <v>18000000</v>
      </c>
      <c r="H3097">
        <v>5.5</v>
      </c>
      <c r="I3097" t="s">
        <v>28</v>
      </c>
      <c r="J3097" t="s">
        <v>15</v>
      </c>
    </row>
    <row r="3098" spans="1:13" x14ac:dyDescent="0.25">
      <c r="A3098" t="s">
        <v>4830</v>
      </c>
      <c r="B3098">
        <v>98</v>
      </c>
      <c r="C3098">
        <v>8500000</v>
      </c>
      <c r="D3098" t="s">
        <v>4831</v>
      </c>
      <c r="E3098" t="s">
        <v>13</v>
      </c>
      <c r="F3098" t="s">
        <v>14</v>
      </c>
      <c r="G3098">
        <v>20000000</v>
      </c>
      <c r="H3098">
        <v>5.4</v>
      </c>
      <c r="I3098" t="s">
        <v>15</v>
      </c>
    </row>
    <row r="3099" spans="1:13" x14ac:dyDescent="0.25">
      <c r="A3099" t="s">
        <v>4832</v>
      </c>
      <c r="B3099">
        <v>95</v>
      </c>
      <c r="C3099">
        <v>8460995</v>
      </c>
      <c r="D3099" t="s">
        <v>4833</v>
      </c>
      <c r="E3099" t="s">
        <v>13</v>
      </c>
      <c r="F3099" t="s">
        <v>14</v>
      </c>
      <c r="G3099">
        <v>10000000</v>
      </c>
      <c r="H3099">
        <v>5.5</v>
      </c>
      <c r="I3099" t="s">
        <v>34</v>
      </c>
      <c r="J3099" t="s">
        <v>15</v>
      </c>
      <c r="K3099" t="s">
        <v>19</v>
      </c>
    </row>
    <row r="3100" spans="1:13" x14ac:dyDescent="0.25">
      <c r="A3100" t="s">
        <v>4834</v>
      </c>
      <c r="B3100">
        <v>88</v>
      </c>
      <c r="C3100">
        <v>8460990</v>
      </c>
      <c r="D3100" t="s">
        <v>4835</v>
      </c>
      <c r="E3100" t="s">
        <v>13</v>
      </c>
      <c r="F3100" t="s">
        <v>14</v>
      </c>
      <c r="G3100">
        <v>70000000</v>
      </c>
      <c r="H3100">
        <v>5.6</v>
      </c>
      <c r="I3100" t="s">
        <v>28</v>
      </c>
      <c r="J3100" t="s">
        <v>46</v>
      </c>
      <c r="K3100" t="s">
        <v>16</v>
      </c>
      <c r="L3100" t="s">
        <v>17</v>
      </c>
      <c r="M3100" t="s">
        <v>59</v>
      </c>
    </row>
    <row r="3101" spans="1:13" x14ac:dyDescent="0.25">
      <c r="A3101" t="s">
        <v>2789</v>
      </c>
      <c r="B3101">
        <v>98</v>
      </c>
      <c r="C3101">
        <v>8434601</v>
      </c>
      <c r="D3101" t="s">
        <v>4836</v>
      </c>
      <c r="E3101" t="s">
        <v>13</v>
      </c>
      <c r="F3101" t="s">
        <v>14</v>
      </c>
      <c r="G3101">
        <v>28000000</v>
      </c>
      <c r="H3101">
        <v>4.9000000000000004</v>
      </c>
      <c r="I3101" t="s">
        <v>34</v>
      </c>
      <c r="J3101" t="s">
        <v>22</v>
      </c>
      <c r="K3101" t="s">
        <v>37</v>
      </c>
    </row>
    <row r="3102" spans="1:13" x14ac:dyDescent="0.25">
      <c r="A3102" t="s">
        <v>1018</v>
      </c>
      <c r="B3102">
        <v>124</v>
      </c>
      <c r="C3102">
        <v>8427204</v>
      </c>
      <c r="D3102" t="s">
        <v>4837</v>
      </c>
      <c r="E3102" t="s">
        <v>13</v>
      </c>
      <c r="F3102" t="s">
        <v>14</v>
      </c>
      <c r="G3102">
        <v>24000000</v>
      </c>
      <c r="H3102">
        <v>5.4</v>
      </c>
      <c r="I3102" t="s">
        <v>15</v>
      </c>
      <c r="J3102" t="s">
        <v>31</v>
      </c>
      <c r="K3102" t="s">
        <v>41</v>
      </c>
    </row>
    <row r="3103" spans="1:13" x14ac:dyDescent="0.25">
      <c r="A3103" t="s">
        <v>752</v>
      </c>
      <c r="B3103">
        <v>124</v>
      </c>
      <c r="C3103">
        <v>8406264</v>
      </c>
      <c r="D3103" t="s">
        <v>4838</v>
      </c>
      <c r="E3103" t="s">
        <v>13</v>
      </c>
      <c r="F3103" t="s">
        <v>14</v>
      </c>
      <c r="G3103">
        <v>38000000</v>
      </c>
      <c r="H3103">
        <v>6</v>
      </c>
      <c r="I3103" t="s">
        <v>15</v>
      </c>
      <c r="J3103" t="s">
        <v>31</v>
      </c>
      <c r="K3103" t="s">
        <v>19</v>
      </c>
    </row>
    <row r="3104" spans="1:13" x14ac:dyDescent="0.25">
      <c r="A3104" t="s">
        <v>991</v>
      </c>
      <c r="B3104">
        <v>129</v>
      </c>
      <c r="C3104">
        <v>8396942</v>
      </c>
      <c r="D3104" t="s">
        <v>4839</v>
      </c>
      <c r="E3104" t="s">
        <v>13</v>
      </c>
      <c r="F3104" t="s">
        <v>14</v>
      </c>
      <c r="G3104">
        <v>19000000</v>
      </c>
      <c r="H3104">
        <v>6.5</v>
      </c>
      <c r="I3104" t="s">
        <v>28</v>
      </c>
      <c r="J3104" t="s">
        <v>15</v>
      </c>
      <c r="K3104" t="s">
        <v>19</v>
      </c>
    </row>
    <row r="3105" spans="1:13" x14ac:dyDescent="0.25">
      <c r="A3105" t="s">
        <v>1763</v>
      </c>
      <c r="B3105">
        <v>97</v>
      </c>
      <c r="C3105">
        <v>8378141</v>
      </c>
      <c r="D3105" t="s">
        <v>4840</v>
      </c>
      <c r="E3105" t="s">
        <v>13</v>
      </c>
      <c r="F3105" t="s">
        <v>82</v>
      </c>
      <c r="G3105">
        <v>15000000</v>
      </c>
      <c r="H3105">
        <v>6.9</v>
      </c>
      <c r="I3105" t="s">
        <v>15</v>
      </c>
      <c r="J3105" t="s">
        <v>31</v>
      </c>
      <c r="K3105" t="s">
        <v>19</v>
      </c>
    </row>
    <row r="3106" spans="1:13" x14ac:dyDescent="0.25">
      <c r="A3106" t="s">
        <v>452</v>
      </c>
      <c r="B3106">
        <v>164</v>
      </c>
      <c r="C3106">
        <v>8373585</v>
      </c>
      <c r="D3106" t="s">
        <v>4841</v>
      </c>
      <c r="E3106" t="s">
        <v>13</v>
      </c>
      <c r="F3106" t="s">
        <v>14</v>
      </c>
      <c r="G3106">
        <v>7000000</v>
      </c>
      <c r="H3106">
        <v>7.6</v>
      </c>
      <c r="I3106" t="s">
        <v>31</v>
      </c>
    </row>
    <row r="3107" spans="1:13" x14ac:dyDescent="0.25">
      <c r="A3107" t="s">
        <v>3792</v>
      </c>
      <c r="B3107">
        <v>109</v>
      </c>
      <c r="C3107">
        <v>8355815</v>
      </c>
      <c r="D3107" t="s">
        <v>4842</v>
      </c>
      <c r="E3107" t="s">
        <v>13</v>
      </c>
      <c r="F3107" t="s">
        <v>82</v>
      </c>
      <c r="G3107">
        <v>55000000</v>
      </c>
      <c r="H3107">
        <v>6.4</v>
      </c>
      <c r="I3107" t="s">
        <v>15</v>
      </c>
      <c r="J3107" t="s">
        <v>38</v>
      </c>
      <c r="K3107" t="s">
        <v>31</v>
      </c>
      <c r="L3107" t="s">
        <v>24</v>
      </c>
    </row>
    <row r="3108" spans="1:13" x14ac:dyDescent="0.25">
      <c r="A3108" t="s">
        <v>237</v>
      </c>
      <c r="B3108">
        <v>83</v>
      </c>
      <c r="C3108">
        <v>8326035</v>
      </c>
      <c r="D3108" t="s">
        <v>4843</v>
      </c>
      <c r="E3108" t="s">
        <v>13</v>
      </c>
      <c r="F3108" t="s">
        <v>241</v>
      </c>
      <c r="G3108">
        <v>33000000</v>
      </c>
      <c r="H3108">
        <v>5.5</v>
      </c>
      <c r="I3108" t="s">
        <v>34</v>
      </c>
      <c r="J3108" t="s">
        <v>15</v>
      </c>
      <c r="K3108" t="s">
        <v>38</v>
      </c>
    </row>
    <row r="3109" spans="1:13" x14ac:dyDescent="0.25">
      <c r="A3109" t="s">
        <v>3640</v>
      </c>
      <c r="B3109">
        <v>141</v>
      </c>
      <c r="C3109">
        <v>8324748</v>
      </c>
      <c r="D3109" t="s">
        <v>4844</v>
      </c>
      <c r="E3109" t="s">
        <v>13</v>
      </c>
      <c r="F3109" t="s">
        <v>82</v>
      </c>
      <c r="G3109">
        <v>35000000</v>
      </c>
      <c r="H3109">
        <v>7.1</v>
      </c>
      <c r="I3109" t="s">
        <v>42</v>
      </c>
      <c r="J3109" t="s">
        <v>31</v>
      </c>
      <c r="K3109" t="s">
        <v>64</v>
      </c>
    </row>
    <row r="3110" spans="1:13" x14ac:dyDescent="0.25">
      <c r="A3110" t="s">
        <v>4819</v>
      </c>
      <c r="B3110">
        <v>92</v>
      </c>
      <c r="C3110">
        <v>8279017</v>
      </c>
      <c r="D3110" t="s">
        <v>4845</v>
      </c>
      <c r="E3110" t="s">
        <v>13</v>
      </c>
      <c r="F3110" t="s">
        <v>82</v>
      </c>
      <c r="G3110">
        <v>8000000</v>
      </c>
      <c r="H3110">
        <v>6.9</v>
      </c>
      <c r="I3110" t="s">
        <v>31</v>
      </c>
      <c r="J3110" t="s">
        <v>22</v>
      </c>
    </row>
    <row r="3111" spans="1:13" x14ac:dyDescent="0.25">
      <c r="A3111" t="s">
        <v>4846</v>
      </c>
      <c r="B3111">
        <v>101</v>
      </c>
      <c r="C3111">
        <v>8243880</v>
      </c>
      <c r="D3111" t="s">
        <v>4847</v>
      </c>
      <c r="E3111" t="s">
        <v>13</v>
      </c>
      <c r="F3111" t="s">
        <v>14</v>
      </c>
      <c r="G3111">
        <v>3200000</v>
      </c>
      <c r="H3111">
        <v>7</v>
      </c>
      <c r="I3111" t="s">
        <v>38</v>
      </c>
      <c r="J3111" t="s">
        <v>31</v>
      </c>
      <c r="K3111" t="s">
        <v>17</v>
      </c>
      <c r="L3111" t="s">
        <v>19</v>
      </c>
    </row>
    <row r="3112" spans="1:13" x14ac:dyDescent="0.25">
      <c r="A3112" t="s">
        <v>4848</v>
      </c>
      <c r="B3112">
        <v>109</v>
      </c>
      <c r="C3112">
        <v>8134217</v>
      </c>
      <c r="D3112" t="s">
        <v>4849</v>
      </c>
      <c r="E3112" t="s">
        <v>13</v>
      </c>
      <c r="F3112" t="s">
        <v>14</v>
      </c>
      <c r="G3112">
        <v>12000000</v>
      </c>
      <c r="H3112">
        <v>7</v>
      </c>
      <c r="I3112" t="s">
        <v>42</v>
      </c>
      <c r="J3112" t="s">
        <v>31</v>
      </c>
      <c r="K3112" t="s">
        <v>18</v>
      </c>
    </row>
    <row r="3113" spans="1:13" x14ac:dyDescent="0.25">
      <c r="A3113" t="s">
        <v>1763</v>
      </c>
      <c r="B3113">
        <v>101</v>
      </c>
      <c r="C3113">
        <v>8129455</v>
      </c>
      <c r="D3113" t="s">
        <v>4850</v>
      </c>
      <c r="E3113" t="s">
        <v>13</v>
      </c>
      <c r="F3113" t="s">
        <v>14</v>
      </c>
      <c r="G3113">
        <v>45000000</v>
      </c>
      <c r="H3113">
        <v>6.3</v>
      </c>
      <c r="I3113" t="s">
        <v>34</v>
      </c>
      <c r="J3113" t="s">
        <v>28</v>
      </c>
      <c r="K3113" t="s">
        <v>15</v>
      </c>
      <c r="L3113" t="s">
        <v>38</v>
      </c>
    </row>
    <row r="3114" spans="1:13" x14ac:dyDescent="0.25">
      <c r="A3114" t="s">
        <v>444</v>
      </c>
      <c r="B3114">
        <v>89</v>
      </c>
      <c r="C3114">
        <v>8119205</v>
      </c>
      <c r="D3114" t="s">
        <v>4851</v>
      </c>
      <c r="E3114" t="s">
        <v>13</v>
      </c>
      <c r="F3114" t="s">
        <v>14</v>
      </c>
      <c r="G3114">
        <v>28000000</v>
      </c>
      <c r="H3114">
        <v>5.4</v>
      </c>
      <c r="I3114" t="s">
        <v>15</v>
      </c>
      <c r="J3114" t="s">
        <v>16</v>
      </c>
      <c r="K3114" t="s">
        <v>17</v>
      </c>
    </row>
    <row r="3115" spans="1:13" x14ac:dyDescent="0.25">
      <c r="A3115" t="s">
        <v>403</v>
      </c>
      <c r="B3115">
        <v>109</v>
      </c>
      <c r="C3115">
        <v>8114507</v>
      </c>
      <c r="D3115" t="s">
        <v>4852</v>
      </c>
      <c r="E3115" t="s">
        <v>13</v>
      </c>
      <c r="F3115" t="s">
        <v>14</v>
      </c>
      <c r="G3115">
        <v>3000000</v>
      </c>
      <c r="H3115">
        <v>7.9</v>
      </c>
      <c r="I3115" t="s">
        <v>31</v>
      </c>
      <c r="J3115" t="s">
        <v>19</v>
      </c>
    </row>
    <row r="3116" spans="1:13" x14ac:dyDescent="0.25">
      <c r="A3116" t="s">
        <v>932</v>
      </c>
      <c r="B3116">
        <v>97</v>
      </c>
      <c r="C3116">
        <v>8111360</v>
      </c>
      <c r="D3116" t="s">
        <v>4853</v>
      </c>
      <c r="E3116" t="s">
        <v>13</v>
      </c>
      <c r="F3116" t="s">
        <v>82</v>
      </c>
      <c r="G3116">
        <v>10000000</v>
      </c>
      <c r="H3116">
        <v>7.4</v>
      </c>
      <c r="I3116" t="s">
        <v>38</v>
      </c>
      <c r="J3116" t="s">
        <v>31</v>
      </c>
      <c r="K3116" t="s">
        <v>24</v>
      </c>
    </row>
    <row r="3117" spans="1:13" x14ac:dyDescent="0.25">
      <c r="A3117" t="s">
        <v>4854</v>
      </c>
      <c r="B3117">
        <v>91</v>
      </c>
      <c r="C3117">
        <v>8108247</v>
      </c>
      <c r="D3117" t="s">
        <v>4855</v>
      </c>
      <c r="E3117" t="s">
        <v>13</v>
      </c>
      <c r="F3117" t="s">
        <v>14</v>
      </c>
      <c r="G3117">
        <v>3300000</v>
      </c>
      <c r="H3117">
        <v>7.4</v>
      </c>
      <c r="I3117" t="s">
        <v>31</v>
      </c>
      <c r="J3117" t="s">
        <v>19</v>
      </c>
    </row>
    <row r="3118" spans="1:13" x14ac:dyDescent="0.25">
      <c r="A3118" t="s">
        <v>237</v>
      </c>
      <c r="B3118">
        <v>91</v>
      </c>
      <c r="C3118">
        <v>8104069</v>
      </c>
      <c r="D3118" t="s">
        <v>4856</v>
      </c>
      <c r="E3118" t="s">
        <v>13</v>
      </c>
      <c r="F3118" t="s">
        <v>14</v>
      </c>
      <c r="G3118">
        <v>20000000</v>
      </c>
      <c r="H3118">
        <v>4.5</v>
      </c>
      <c r="I3118" t="s">
        <v>34</v>
      </c>
      <c r="J3118" t="s">
        <v>15</v>
      </c>
      <c r="K3118" t="s">
        <v>38</v>
      </c>
    </row>
    <row r="3119" spans="1:13" x14ac:dyDescent="0.25">
      <c r="A3119" t="s">
        <v>3006</v>
      </c>
      <c r="B3119">
        <v>148</v>
      </c>
      <c r="C3119">
        <v>8093318</v>
      </c>
      <c r="D3119" t="s">
        <v>4857</v>
      </c>
      <c r="E3119" t="s">
        <v>13</v>
      </c>
      <c r="F3119" t="s">
        <v>14</v>
      </c>
      <c r="G3119">
        <v>20000000</v>
      </c>
      <c r="H3119">
        <v>6.7</v>
      </c>
      <c r="I3119" t="s">
        <v>15</v>
      </c>
      <c r="J3119" t="s">
        <v>38</v>
      </c>
      <c r="K3119" t="s">
        <v>31</v>
      </c>
      <c r="L3119" t="s">
        <v>23</v>
      </c>
      <c r="M3119" t="s">
        <v>19</v>
      </c>
    </row>
    <row r="3120" spans="1:13" x14ac:dyDescent="0.25">
      <c r="A3120" t="s">
        <v>4858</v>
      </c>
      <c r="B3120">
        <v>91</v>
      </c>
      <c r="C3120">
        <v>8080116</v>
      </c>
      <c r="D3120" t="s">
        <v>4859</v>
      </c>
      <c r="E3120" t="s">
        <v>13</v>
      </c>
      <c r="F3120" t="s">
        <v>14</v>
      </c>
      <c r="G3120">
        <v>15000000</v>
      </c>
      <c r="H3120">
        <v>5.6</v>
      </c>
      <c r="I3120" t="s">
        <v>28</v>
      </c>
      <c r="J3120" t="s">
        <v>15</v>
      </c>
      <c r="K3120" t="s">
        <v>16</v>
      </c>
    </row>
    <row r="3121" spans="1:13" x14ac:dyDescent="0.25">
      <c r="A3121" t="s">
        <v>4605</v>
      </c>
      <c r="B3121">
        <v>89</v>
      </c>
      <c r="C3121">
        <v>8070311</v>
      </c>
      <c r="D3121" t="s">
        <v>4860</v>
      </c>
      <c r="E3121" t="s">
        <v>13</v>
      </c>
      <c r="F3121" t="s">
        <v>14</v>
      </c>
      <c r="G3121">
        <v>10000000</v>
      </c>
      <c r="H3121">
        <v>5.3</v>
      </c>
      <c r="I3121" t="s">
        <v>15</v>
      </c>
      <c r="J3121" t="s">
        <v>19</v>
      </c>
    </row>
    <row r="3122" spans="1:13" x14ac:dyDescent="0.25">
      <c r="A3122" t="s">
        <v>4861</v>
      </c>
      <c r="B3122">
        <v>108</v>
      </c>
      <c r="C3122">
        <v>8054280</v>
      </c>
      <c r="D3122" t="s">
        <v>4862</v>
      </c>
      <c r="E3122" t="s">
        <v>13</v>
      </c>
      <c r="F3122" t="s">
        <v>14</v>
      </c>
      <c r="G3122">
        <v>20000000</v>
      </c>
      <c r="H3122">
        <v>6.3</v>
      </c>
      <c r="I3122" t="s">
        <v>15</v>
      </c>
      <c r="J3122" t="s">
        <v>38</v>
      </c>
      <c r="K3122" t="s">
        <v>18</v>
      </c>
    </row>
    <row r="3123" spans="1:13" x14ac:dyDescent="0.25">
      <c r="A3123" t="s">
        <v>4863</v>
      </c>
      <c r="B3123">
        <v>125</v>
      </c>
      <c r="C3123">
        <v>8047690</v>
      </c>
      <c r="D3123" t="s">
        <v>4864</v>
      </c>
      <c r="E3123" t="s">
        <v>1300</v>
      </c>
      <c r="F3123" t="s">
        <v>1206</v>
      </c>
      <c r="G3123">
        <v>19400000</v>
      </c>
      <c r="H3123">
        <v>7.5</v>
      </c>
      <c r="I3123" t="s">
        <v>31</v>
      </c>
      <c r="J3123" t="s">
        <v>19</v>
      </c>
    </row>
    <row r="3124" spans="1:13" x14ac:dyDescent="0.25">
      <c r="A3124" t="s">
        <v>4865</v>
      </c>
      <c r="B3124">
        <v>105</v>
      </c>
      <c r="C3124">
        <v>8044906</v>
      </c>
      <c r="D3124" t="s">
        <v>4866</v>
      </c>
      <c r="E3124" t="s">
        <v>13</v>
      </c>
      <c r="F3124" t="s">
        <v>14</v>
      </c>
      <c r="G3124">
        <v>39751583.5</v>
      </c>
      <c r="H3124">
        <v>7.5</v>
      </c>
      <c r="I3124" t="s">
        <v>52</v>
      </c>
      <c r="J3124" t="s">
        <v>16</v>
      </c>
      <c r="K3124" t="s">
        <v>18</v>
      </c>
    </row>
    <row r="3125" spans="1:13" x14ac:dyDescent="0.25">
      <c r="A3125" t="s">
        <v>4867</v>
      </c>
      <c r="B3125">
        <v>84</v>
      </c>
      <c r="C3125">
        <v>8026971</v>
      </c>
      <c r="D3125" t="s">
        <v>4868</v>
      </c>
      <c r="E3125" t="s">
        <v>13</v>
      </c>
      <c r="F3125" t="s">
        <v>14</v>
      </c>
      <c r="G3125">
        <v>13000000</v>
      </c>
      <c r="H3125">
        <v>3.8</v>
      </c>
      <c r="I3125" t="s">
        <v>15</v>
      </c>
      <c r="J3125" t="s">
        <v>19</v>
      </c>
    </row>
    <row r="3126" spans="1:13" x14ac:dyDescent="0.25">
      <c r="A3126" t="s">
        <v>484</v>
      </c>
      <c r="B3126">
        <v>101</v>
      </c>
      <c r="C3126">
        <v>8025872</v>
      </c>
      <c r="D3126" t="s">
        <v>4869</v>
      </c>
      <c r="E3126" t="s">
        <v>13</v>
      </c>
      <c r="F3126" t="s">
        <v>14</v>
      </c>
      <c r="G3126">
        <v>4700000</v>
      </c>
      <c r="H3126">
        <v>5.5</v>
      </c>
      <c r="I3126" t="s">
        <v>15</v>
      </c>
      <c r="J3126" t="s">
        <v>22</v>
      </c>
    </row>
    <row r="3127" spans="1:13" x14ac:dyDescent="0.25">
      <c r="A3127" t="s">
        <v>4870</v>
      </c>
      <c r="B3127">
        <v>225</v>
      </c>
      <c r="C3127">
        <v>8000000</v>
      </c>
      <c r="D3127" t="s">
        <v>4871</v>
      </c>
      <c r="E3127" t="s">
        <v>13</v>
      </c>
      <c r="F3127" t="s">
        <v>14</v>
      </c>
      <c r="G3127">
        <v>20000000</v>
      </c>
      <c r="H3127">
        <v>6.6</v>
      </c>
      <c r="I3127" t="s">
        <v>42</v>
      </c>
      <c r="J3127" t="s">
        <v>31</v>
      </c>
      <c r="K3127" t="s">
        <v>64</v>
      </c>
    </row>
    <row r="3128" spans="1:13" x14ac:dyDescent="0.25">
      <c r="A3128" t="s">
        <v>4872</v>
      </c>
      <c r="B3128">
        <v>98</v>
      </c>
      <c r="C3128">
        <v>8000000</v>
      </c>
      <c r="D3128" t="s">
        <v>4873</v>
      </c>
      <c r="E3128" t="s">
        <v>13</v>
      </c>
      <c r="F3128" t="s">
        <v>14</v>
      </c>
      <c r="G3128">
        <v>18000000</v>
      </c>
      <c r="H3128">
        <v>5</v>
      </c>
      <c r="I3128" t="s">
        <v>34</v>
      </c>
      <c r="J3128" t="s">
        <v>28</v>
      </c>
      <c r="K3128" t="s">
        <v>69</v>
      </c>
    </row>
    <row r="3129" spans="1:13" x14ac:dyDescent="0.25">
      <c r="A3129" t="s">
        <v>2231</v>
      </c>
      <c r="B3129">
        <v>107</v>
      </c>
      <c r="C3129">
        <v>8000000</v>
      </c>
      <c r="D3129" t="s">
        <v>4874</v>
      </c>
      <c r="E3129" t="s">
        <v>13</v>
      </c>
      <c r="F3129" t="s">
        <v>14</v>
      </c>
      <c r="G3129">
        <v>3768785</v>
      </c>
      <c r="H3129">
        <v>7</v>
      </c>
      <c r="I3129" t="s">
        <v>42</v>
      </c>
      <c r="J3129" t="s">
        <v>15</v>
      </c>
      <c r="K3129" t="s">
        <v>59</v>
      </c>
      <c r="L3129" t="s">
        <v>19</v>
      </c>
      <c r="M3129" t="s">
        <v>69</v>
      </c>
    </row>
    <row r="3130" spans="1:13" x14ac:dyDescent="0.25">
      <c r="A3130" t="s">
        <v>850</v>
      </c>
      <c r="B3130">
        <v>135</v>
      </c>
      <c r="C3130">
        <v>7994115</v>
      </c>
      <c r="D3130" t="s">
        <v>4875</v>
      </c>
      <c r="E3130" t="s">
        <v>13</v>
      </c>
      <c r="F3130" t="s">
        <v>82</v>
      </c>
      <c r="G3130">
        <v>39751583.5</v>
      </c>
      <c r="H3130">
        <v>7.4</v>
      </c>
      <c r="I3130" t="s">
        <v>15</v>
      </c>
      <c r="J3130" t="s">
        <v>31</v>
      </c>
      <c r="K3130" t="s">
        <v>18</v>
      </c>
    </row>
    <row r="3131" spans="1:13" x14ac:dyDescent="0.25">
      <c r="A3131" t="s">
        <v>403</v>
      </c>
      <c r="B3131">
        <v>102</v>
      </c>
      <c r="C3131">
        <v>7993039</v>
      </c>
      <c r="D3131" t="s">
        <v>4876</v>
      </c>
      <c r="E3131" t="s">
        <v>13</v>
      </c>
      <c r="F3131" t="s">
        <v>14</v>
      </c>
      <c r="G3131">
        <v>6900000</v>
      </c>
      <c r="H3131">
        <v>7.7</v>
      </c>
      <c r="I3131" t="s">
        <v>15</v>
      </c>
    </row>
    <row r="3132" spans="1:13" x14ac:dyDescent="0.25">
      <c r="A3132" t="s">
        <v>4877</v>
      </c>
      <c r="B3132">
        <v>103</v>
      </c>
      <c r="C3132">
        <v>7948159</v>
      </c>
      <c r="D3132" t="s">
        <v>4878</v>
      </c>
      <c r="E3132" t="s">
        <v>13</v>
      </c>
      <c r="F3132" t="s">
        <v>14</v>
      </c>
      <c r="G3132">
        <v>35000000</v>
      </c>
      <c r="H3132">
        <v>6</v>
      </c>
      <c r="I3132" t="s">
        <v>34</v>
      </c>
      <c r="J3132" t="s">
        <v>38</v>
      </c>
      <c r="K3132" t="s">
        <v>31</v>
      </c>
      <c r="L3132" t="s">
        <v>24</v>
      </c>
    </row>
    <row r="3133" spans="1:13" x14ac:dyDescent="0.25">
      <c r="A3133" t="s">
        <v>4879</v>
      </c>
      <c r="B3133">
        <v>107</v>
      </c>
      <c r="C3133">
        <v>7918283</v>
      </c>
      <c r="D3133" t="s">
        <v>4880</v>
      </c>
      <c r="E3133" t="s">
        <v>13</v>
      </c>
      <c r="F3133" t="s">
        <v>14</v>
      </c>
      <c r="G3133">
        <v>12000000</v>
      </c>
      <c r="H3133">
        <v>6.6</v>
      </c>
      <c r="I3133" t="s">
        <v>31</v>
      </c>
      <c r="J3133" t="s">
        <v>24</v>
      </c>
    </row>
    <row r="3134" spans="1:13" x14ac:dyDescent="0.25">
      <c r="A3134" t="s">
        <v>302</v>
      </c>
      <c r="B3134">
        <v>160</v>
      </c>
      <c r="C3134">
        <v>7916887</v>
      </c>
      <c r="D3134" t="s">
        <v>4881</v>
      </c>
      <c r="E3134" t="s">
        <v>13</v>
      </c>
      <c r="F3134" t="s">
        <v>14</v>
      </c>
      <c r="G3134">
        <v>45000000</v>
      </c>
      <c r="H3134">
        <v>6</v>
      </c>
      <c r="I3134" t="s">
        <v>34</v>
      </c>
      <c r="J3134" t="s">
        <v>38</v>
      </c>
      <c r="K3134" t="s">
        <v>31</v>
      </c>
      <c r="L3134" t="s">
        <v>24</v>
      </c>
      <c r="M3134" t="s">
        <v>83</v>
      </c>
    </row>
    <row r="3135" spans="1:13" x14ac:dyDescent="0.25">
      <c r="A3135" t="s">
        <v>4882</v>
      </c>
      <c r="B3135">
        <v>95</v>
      </c>
      <c r="C3135">
        <v>7888703</v>
      </c>
      <c r="D3135" t="s">
        <v>4883</v>
      </c>
      <c r="E3135" t="s">
        <v>13</v>
      </c>
      <c r="F3135" t="s">
        <v>14</v>
      </c>
      <c r="G3135">
        <v>3000000</v>
      </c>
      <c r="H3135">
        <v>3.2</v>
      </c>
      <c r="I3135" t="s">
        <v>15</v>
      </c>
      <c r="J3135" t="s">
        <v>17</v>
      </c>
    </row>
    <row r="3136" spans="1:13" x14ac:dyDescent="0.25">
      <c r="A3136" t="s">
        <v>4884</v>
      </c>
      <c r="B3136">
        <v>95</v>
      </c>
      <c r="C3136">
        <v>7881335</v>
      </c>
      <c r="D3136" t="s">
        <v>4885</v>
      </c>
      <c r="E3136" t="s">
        <v>13</v>
      </c>
      <c r="F3136" t="s">
        <v>14</v>
      </c>
      <c r="G3136">
        <v>13000000</v>
      </c>
      <c r="H3136">
        <v>6.7</v>
      </c>
      <c r="I3136" t="s">
        <v>15</v>
      </c>
      <c r="J3136" t="s">
        <v>38</v>
      </c>
      <c r="K3136" t="s">
        <v>24</v>
      </c>
    </row>
    <row r="3137" spans="1:12" x14ac:dyDescent="0.25">
      <c r="A3137" t="s">
        <v>550</v>
      </c>
      <c r="B3137">
        <v>90</v>
      </c>
      <c r="C3137">
        <v>7871693</v>
      </c>
      <c r="D3137" t="s">
        <v>4886</v>
      </c>
      <c r="E3137" t="s">
        <v>13</v>
      </c>
      <c r="F3137" t="s">
        <v>14</v>
      </c>
      <c r="G3137">
        <v>55000000</v>
      </c>
      <c r="H3137">
        <v>6.5</v>
      </c>
      <c r="I3137" t="s">
        <v>28</v>
      </c>
      <c r="J3137" t="s">
        <v>16</v>
      </c>
      <c r="K3137" t="s">
        <v>17</v>
      </c>
      <c r="L3137" t="s">
        <v>37</v>
      </c>
    </row>
    <row r="3138" spans="1:12" x14ac:dyDescent="0.25">
      <c r="A3138" t="s">
        <v>369</v>
      </c>
      <c r="B3138">
        <v>112</v>
      </c>
      <c r="C3138">
        <v>7837632</v>
      </c>
      <c r="D3138" t="s">
        <v>4887</v>
      </c>
      <c r="E3138" t="s">
        <v>13</v>
      </c>
      <c r="F3138" t="s">
        <v>14</v>
      </c>
      <c r="G3138">
        <v>18000000</v>
      </c>
      <c r="H3138">
        <v>7.5</v>
      </c>
      <c r="I3138" t="s">
        <v>31</v>
      </c>
    </row>
    <row r="3139" spans="1:12" x14ac:dyDescent="0.25">
      <c r="A3139" t="s">
        <v>4888</v>
      </c>
      <c r="B3139">
        <v>170</v>
      </c>
      <c r="C3139">
        <v>7830611</v>
      </c>
      <c r="D3139" t="s">
        <v>4889</v>
      </c>
      <c r="E3139" t="s">
        <v>13</v>
      </c>
      <c r="F3139" t="s">
        <v>14</v>
      </c>
      <c r="G3139">
        <v>700000</v>
      </c>
      <c r="H3139">
        <v>8.3000000000000007</v>
      </c>
      <c r="I3139" t="s">
        <v>52</v>
      </c>
      <c r="J3139" t="s">
        <v>31</v>
      </c>
      <c r="K3139" t="s">
        <v>41</v>
      </c>
    </row>
    <row r="3140" spans="1:12" x14ac:dyDescent="0.25">
      <c r="A3140" t="s">
        <v>4890</v>
      </c>
      <c r="B3140">
        <v>81</v>
      </c>
      <c r="C3140">
        <v>7825820</v>
      </c>
      <c r="D3140" t="s">
        <v>4891</v>
      </c>
      <c r="E3140" t="s">
        <v>13</v>
      </c>
      <c r="F3140" t="s">
        <v>14</v>
      </c>
      <c r="G3140">
        <v>4000000</v>
      </c>
      <c r="H3140">
        <v>5.9</v>
      </c>
      <c r="I3140" t="s">
        <v>38</v>
      </c>
      <c r="J3140" t="s">
        <v>23</v>
      </c>
      <c r="K3140" t="s">
        <v>24</v>
      </c>
    </row>
    <row r="3141" spans="1:12" x14ac:dyDescent="0.25">
      <c r="A3141" t="s">
        <v>4892</v>
      </c>
      <c r="B3141">
        <v>95</v>
      </c>
      <c r="C3141">
        <v>7774730</v>
      </c>
      <c r="D3141" t="s">
        <v>4893</v>
      </c>
      <c r="E3141" t="s">
        <v>13</v>
      </c>
      <c r="F3141" t="s">
        <v>98</v>
      </c>
      <c r="G3141">
        <v>15500000</v>
      </c>
      <c r="H3141">
        <v>6.5</v>
      </c>
      <c r="I3141" t="s">
        <v>15</v>
      </c>
      <c r="J3141" t="s">
        <v>22</v>
      </c>
      <c r="K3141" t="s">
        <v>37</v>
      </c>
    </row>
    <row r="3142" spans="1:12" x14ac:dyDescent="0.25">
      <c r="A3142" t="s">
        <v>4894</v>
      </c>
      <c r="B3142">
        <v>89</v>
      </c>
      <c r="C3142">
        <v>7764027</v>
      </c>
      <c r="D3142" t="s">
        <v>4895</v>
      </c>
      <c r="E3142" t="s">
        <v>13</v>
      </c>
      <c r="F3142" t="s">
        <v>14</v>
      </c>
      <c r="G3142">
        <v>10000000</v>
      </c>
      <c r="H3142">
        <v>6.7</v>
      </c>
      <c r="I3142" t="s">
        <v>15</v>
      </c>
      <c r="J3142" t="s">
        <v>31</v>
      </c>
    </row>
    <row r="3143" spans="1:12" x14ac:dyDescent="0.25">
      <c r="A3143" t="s">
        <v>4352</v>
      </c>
      <c r="B3143">
        <v>107</v>
      </c>
      <c r="C3143">
        <v>7757130</v>
      </c>
      <c r="D3143" t="s">
        <v>4896</v>
      </c>
      <c r="E3143" t="s">
        <v>13</v>
      </c>
      <c r="F3143" t="s">
        <v>82</v>
      </c>
      <c r="G3143">
        <v>15000000</v>
      </c>
      <c r="H3143">
        <v>8</v>
      </c>
      <c r="I3143" t="s">
        <v>15</v>
      </c>
      <c r="J3143" t="s">
        <v>38</v>
      </c>
      <c r="K3143" t="s">
        <v>31</v>
      </c>
    </row>
    <row r="3144" spans="1:12" x14ac:dyDescent="0.25">
      <c r="A3144" t="s">
        <v>4897</v>
      </c>
      <c r="B3144">
        <v>104</v>
      </c>
      <c r="C3144">
        <v>7739049</v>
      </c>
      <c r="D3144" t="s">
        <v>4898</v>
      </c>
      <c r="E3144" t="s">
        <v>13</v>
      </c>
      <c r="F3144" t="s">
        <v>98</v>
      </c>
      <c r="G3144">
        <v>18000000</v>
      </c>
      <c r="H3144">
        <v>7.1</v>
      </c>
      <c r="I3144" t="s">
        <v>15</v>
      </c>
      <c r="J3144" t="s">
        <v>31</v>
      </c>
      <c r="K3144" t="s">
        <v>19</v>
      </c>
    </row>
    <row r="3145" spans="1:12" x14ac:dyDescent="0.25">
      <c r="A3145" t="s">
        <v>4899</v>
      </c>
      <c r="B3145">
        <v>112</v>
      </c>
      <c r="C3145">
        <v>7707563</v>
      </c>
      <c r="D3145" t="s">
        <v>4900</v>
      </c>
      <c r="E3145" t="s">
        <v>13</v>
      </c>
      <c r="F3145" t="s">
        <v>14</v>
      </c>
      <c r="G3145">
        <v>39751583.5</v>
      </c>
      <c r="H3145">
        <v>8</v>
      </c>
      <c r="I3145" t="s">
        <v>42</v>
      </c>
      <c r="J3145" t="s">
        <v>52</v>
      </c>
      <c r="K3145" t="s">
        <v>18</v>
      </c>
    </row>
    <row r="3146" spans="1:12" x14ac:dyDescent="0.25">
      <c r="A3146" t="s">
        <v>3382</v>
      </c>
      <c r="B3146">
        <v>89</v>
      </c>
      <c r="C3146">
        <v>7705974</v>
      </c>
      <c r="D3146" t="s">
        <v>4901</v>
      </c>
      <c r="E3146" t="s">
        <v>13</v>
      </c>
      <c r="F3146" t="s">
        <v>14</v>
      </c>
      <c r="G3146">
        <v>39751583.5</v>
      </c>
      <c r="H3146">
        <v>7.5</v>
      </c>
      <c r="I3146" t="s">
        <v>15</v>
      </c>
      <c r="J3146" t="s">
        <v>52</v>
      </c>
    </row>
    <row r="3147" spans="1:12" x14ac:dyDescent="0.25">
      <c r="A3147" t="s">
        <v>4902</v>
      </c>
      <c r="B3147">
        <v>111</v>
      </c>
      <c r="C3147">
        <v>7691700</v>
      </c>
      <c r="D3147" t="s">
        <v>4903</v>
      </c>
      <c r="E3147" t="s">
        <v>473</v>
      </c>
      <c r="F3147" t="s">
        <v>295</v>
      </c>
      <c r="G3147">
        <v>10000000</v>
      </c>
      <c r="H3147">
        <v>7.5</v>
      </c>
      <c r="I3147" t="s">
        <v>31</v>
      </c>
      <c r="J3147" t="s">
        <v>83</v>
      </c>
    </row>
    <row r="3148" spans="1:12" x14ac:dyDescent="0.25">
      <c r="A3148" t="s">
        <v>2937</v>
      </c>
      <c r="B3148">
        <v>123</v>
      </c>
      <c r="C3148">
        <v>7689458</v>
      </c>
      <c r="D3148" t="s">
        <v>4904</v>
      </c>
      <c r="E3148" t="s">
        <v>13</v>
      </c>
      <c r="F3148" t="s">
        <v>82</v>
      </c>
      <c r="G3148">
        <v>40000000</v>
      </c>
      <c r="H3148">
        <v>6.8</v>
      </c>
      <c r="I3148" t="s">
        <v>28</v>
      </c>
      <c r="J3148" t="s">
        <v>17</v>
      </c>
      <c r="K3148" t="s">
        <v>23</v>
      </c>
    </row>
    <row r="3149" spans="1:12" x14ac:dyDescent="0.25">
      <c r="A3149" t="s">
        <v>208</v>
      </c>
      <c r="B3149">
        <v>102</v>
      </c>
      <c r="C3149">
        <v>7659747</v>
      </c>
      <c r="D3149" t="s">
        <v>4905</v>
      </c>
      <c r="E3149" t="s">
        <v>13</v>
      </c>
      <c r="F3149" t="s">
        <v>14</v>
      </c>
      <c r="G3149">
        <v>38000000</v>
      </c>
      <c r="H3149">
        <v>5.0999999999999996</v>
      </c>
      <c r="I3149" t="s">
        <v>34</v>
      </c>
      <c r="J3149" t="s">
        <v>23</v>
      </c>
      <c r="K3149" t="s">
        <v>24</v>
      </c>
    </row>
    <row r="3150" spans="1:12" x14ac:dyDescent="0.25">
      <c r="A3150" t="s">
        <v>2765</v>
      </c>
      <c r="B3150">
        <v>107</v>
      </c>
      <c r="C3150">
        <v>7605668</v>
      </c>
      <c r="D3150" t="s">
        <v>4906</v>
      </c>
      <c r="E3150" t="s">
        <v>13</v>
      </c>
      <c r="F3150" t="s">
        <v>82</v>
      </c>
      <c r="G3150">
        <v>60000000</v>
      </c>
      <c r="H3150">
        <v>5.5</v>
      </c>
      <c r="I3150" t="s">
        <v>34</v>
      </c>
      <c r="J3150" t="s">
        <v>15</v>
      </c>
      <c r="K3150" t="s">
        <v>23</v>
      </c>
      <c r="L3150" t="s">
        <v>19</v>
      </c>
    </row>
    <row r="3151" spans="1:12" x14ac:dyDescent="0.25">
      <c r="A3151" t="s">
        <v>4907</v>
      </c>
      <c r="B3151">
        <v>97</v>
      </c>
      <c r="C3151">
        <v>7574066</v>
      </c>
      <c r="D3151" t="s">
        <v>4908</v>
      </c>
      <c r="E3151" t="s">
        <v>13</v>
      </c>
      <c r="F3151" t="s">
        <v>14</v>
      </c>
      <c r="G3151">
        <v>10000000</v>
      </c>
      <c r="H3151">
        <v>6.3</v>
      </c>
      <c r="I3151" t="s">
        <v>15</v>
      </c>
      <c r="J3151" t="s">
        <v>31</v>
      </c>
    </row>
    <row r="3152" spans="1:12" x14ac:dyDescent="0.25">
      <c r="A3152" t="s">
        <v>1155</v>
      </c>
      <c r="B3152">
        <v>107</v>
      </c>
      <c r="C3152">
        <v>7564000</v>
      </c>
      <c r="D3152" t="s">
        <v>4909</v>
      </c>
      <c r="E3152" t="s">
        <v>13</v>
      </c>
      <c r="F3152" t="s">
        <v>14</v>
      </c>
      <c r="G3152">
        <v>20000000</v>
      </c>
      <c r="H3152">
        <v>6.2</v>
      </c>
      <c r="I3152" t="s">
        <v>15</v>
      </c>
      <c r="J3152" t="s">
        <v>38</v>
      </c>
      <c r="K3152" t="s">
        <v>31</v>
      </c>
      <c r="L3152" t="s">
        <v>24</v>
      </c>
    </row>
    <row r="3153" spans="1:13" x14ac:dyDescent="0.25">
      <c r="A3153" t="s">
        <v>4910</v>
      </c>
      <c r="B3153">
        <v>95</v>
      </c>
      <c r="C3153">
        <v>7563670</v>
      </c>
      <c r="D3153" t="s">
        <v>4911</v>
      </c>
      <c r="E3153" t="s">
        <v>13</v>
      </c>
      <c r="F3153" t="s">
        <v>14</v>
      </c>
      <c r="G3153">
        <v>10000000</v>
      </c>
      <c r="H3153">
        <v>5.2</v>
      </c>
      <c r="I3153" t="s">
        <v>15</v>
      </c>
      <c r="J3153" t="s">
        <v>17</v>
      </c>
      <c r="K3153" t="s">
        <v>19</v>
      </c>
    </row>
    <row r="3154" spans="1:13" x14ac:dyDescent="0.25">
      <c r="A3154" t="s">
        <v>3315</v>
      </c>
      <c r="B3154">
        <v>135</v>
      </c>
      <c r="C3154">
        <v>7563397</v>
      </c>
      <c r="D3154" t="s">
        <v>4912</v>
      </c>
      <c r="E3154" t="s">
        <v>1568</v>
      </c>
      <c r="F3154" t="s">
        <v>1569</v>
      </c>
      <c r="G3154">
        <v>3300000</v>
      </c>
      <c r="H3154">
        <v>8.6999999999999993</v>
      </c>
      <c r="I3154" t="s">
        <v>38</v>
      </c>
      <c r="J3154" t="s">
        <v>31</v>
      </c>
    </row>
    <row r="3155" spans="1:13" x14ac:dyDescent="0.25">
      <c r="A3155" t="s">
        <v>4913</v>
      </c>
      <c r="B3155">
        <v>82</v>
      </c>
      <c r="C3155">
        <v>7557877</v>
      </c>
      <c r="D3155" t="s">
        <v>4914</v>
      </c>
      <c r="E3155" t="s">
        <v>13</v>
      </c>
      <c r="F3155" t="s">
        <v>14</v>
      </c>
      <c r="G3155">
        <v>39751583.5</v>
      </c>
      <c r="H3155">
        <v>4.5999999999999996</v>
      </c>
      <c r="I3155" t="s">
        <v>15</v>
      </c>
      <c r="J3155" t="s">
        <v>38</v>
      </c>
    </row>
    <row r="3156" spans="1:13" x14ac:dyDescent="0.25">
      <c r="A3156" t="s">
        <v>1080</v>
      </c>
      <c r="B3156">
        <v>106</v>
      </c>
      <c r="C3156">
        <v>7556708</v>
      </c>
      <c r="D3156" t="s">
        <v>4915</v>
      </c>
      <c r="E3156" t="s">
        <v>13</v>
      </c>
      <c r="F3156" t="s">
        <v>14</v>
      </c>
      <c r="G3156">
        <v>15000000</v>
      </c>
      <c r="H3156">
        <v>6.6</v>
      </c>
      <c r="I3156" t="s">
        <v>31</v>
      </c>
    </row>
    <row r="3157" spans="1:13" x14ac:dyDescent="0.25">
      <c r="A3157" t="s">
        <v>4916</v>
      </c>
      <c r="B3157">
        <v>42</v>
      </c>
      <c r="C3157">
        <v>7518876</v>
      </c>
      <c r="D3157" t="s">
        <v>4917</v>
      </c>
      <c r="E3157" t="s">
        <v>13</v>
      </c>
      <c r="F3157" t="s">
        <v>82</v>
      </c>
      <c r="G3157">
        <v>6000000</v>
      </c>
      <c r="H3157">
        <v>6.5</v>
      </c>
      <c r="I3157" t="s">
        <v>28</v>
      </c>
      <c r="J3157" t="s">
        <v>52</v>
      </c>
      <c r="K3157" t="s">
        <v>86</v>
      </c>
    </row>
    <row r="3158" spans="1:13" x14ac:dyDescent="0.25">
      <c r="A3158" t="s">
        <v>4918</v>
      </c>
      <c r="B3158">
        <v>134</v>
      </c>
      <c r="C3158">
        <v>7501404</v>
      </c>
      <c r="D3158" t="s">
        <v>4919</v>
      </c>
      <c r="E3158" t="s">
        <v>13</v>
      </c>
      <c r="F3158" t="s">
        <v>98</v>
      </c>
      <c r="G3158">
        <v>39751583.5</v>
      </c>
      <c r="H3158">
        <v>7.3</v>
      </c>
      <c r="I3158" t="s">
        <v>15</v>
      </c>
      <c r="J3158" t="s">
        <v>31</v>
      </c>
    </row>
    <row r="3159" spans="1:13" x14ac:dyDescent="0.25">
      <c r="A3159" t="s">
        <v>908</v>
      </c>
      <c r="B3159">
        <v>103</v>
      </c>
      <c r="C3159">
        <v>7496522</v>
      </c>
      <c r="D3159" t="s">
        <v>4920</v>
      </c>
      <c r="E3159" t="s">
        <v>13</v>
      </c>
      <c r="F3159" t="s">
        <v>14</v>
      </c>
      <c r="G3159">
        <v>26000000</v>
      </c>
      <c r="H3159">
        <v>6.8</v>
      </c>
      <c r="I3159" t="s">
        <v>15</v>
      </c>
      <c r="J3159" t="s">
        <v>38</v>
      </c>
      <c r="K3159" t="s">
        <v>23</v>
      </c>
      <c r="L3159" t="s">
        <v>19</v>
      </c>
    </row>
    <row r="3160" spans="1:13" x14ac:dyDescent="0.25">
      <c r="A3160" t="s">
        <v>4921</v>
      </c>
      <c r="B3160">
        <v>106</v>
      </c>
      <c r="C3160">
        <v>7486906</v>
      </c>
      <c r="D3160" t="s">
        <v>4922</v>
      </c>
      <c r="E3160" t="s">
        <v>13</v>
      </c>
      <c r="F3160" t="s">
        <v>14</v>
      </c>
      <c r="G3160">
        <v>27000000</v>
      </c>
      <c r="H3160">
        <v>6.8</v>
      </c>
      <c r="I3160" t="s">
        <v>15</v>
      </c>
      <c r="J3160" t="s">
        <v>31</v>
      </c>
      <c r="K3160" t="s">
        <v>16</v>
      </c>
    </row>
    <row r="3161" spans="1:13" x14ac:dyDescent="0.25">
      <c r="A3161" t="s">
        <v>456</v>
      </c>
      <c r="B3161">
        <v>117</v>
      </c>
      <c r="C3161">
        <v>7458269</v>
      </c>
      <c r="D3161" t="s">
        <v>4923</v>
      </c>
      <c r="E3161" t="s">
        <v>13</v>
      </c>
      <c r="F3161" t="s">
        <v>14</v>
      </c>
      <c r="G3161">
        <v>35000000</v>
      </c>
      <c r="H3161">
        <v>6.9</v>
      </c>
      <c r="I3161" t="s">
        <v>15</v>
      </c>
      <c r="J3161" t="s">
        <v>31</v>
      </c>
      <c r="K3161" t="s">
        <v>19</v>
      </c>
    </row>
    <row r="3162" spans="1:13" x14ac:dyDescent="0.25">
      <c r="A3162" t="s">
        <v>4924</v>
      </c>
      <c r="B3162">
        <v>91</v>
      </c>
      <c r="C3162">
        <v>7455447</v>
      </c>
      <c r="D3162" t="s">
        <v>4925</v>
      </c>
      <c r="E3162" t="s">
        <v>13</v>
      </c>
      <c r="F3162" t="s">
        <v>14</v>
      </c>
      <c r="G3162">
        <v>7000000</v>
      </c>
      <c r="H3162">
        <v>6.3</v>
      </c>
      <c r="I3162" t="s">
        <v>15</v>
      </c>
      <c r="J3162" t="s">
        <v>31</v>
      </c>
      <c r="K3162" t="s">
        <v>19</v>
      </c>
    </row>
    <row r="3163" spans="1:13" x14ac:dyDescent="0.25">
      <c r="A3163" t="s">
        <v>369</v>
      </c>
      <c r="B3163">
        <v>120</v>
      </c>
      <c r="C3163">
        <v>7443007</v>
      </c>
      <c r="D3163" t="s">
        <v>4926</v>
      </c>
      <c r="E3163" t="s">
        <v>13</v>
      </c>
      <c r="F3163" t="s">
        <v>14</v>
      </c>
      <c r="G3163">
        <v>30000000</v>
      </c>
      <c r="H3163">
        <v>6.7</v>
      </c>
      <c r="I3163" t="s">
        <v>15</v>
      </c>
      <c r="J3163" t="s">
        <v>31</v>
      </c>
      <c r="K3163" t="s">
        <v>18</v>
      </c>
    </row>
    <row r="3164" spans="1:13" x14ac:dyDescent="0.25">
      <c r="A3164" t="s">
        <v>3711</v>
      </c>
      <c r="B3164">
        <v>98</v>
      </c>
      <c r="C3164">
        <v>7434726</v>
      </c>
      <c r="D3164" t="s">
        <v>4927</v>
      </c>
      <c r="E3164" t="s">
        <v>13</v>
      </c>
      <c r="F3164" t="s">
        <v>14</v>
      </c>
      <c r="G3164">
        <v>23000000</v>
      </c>
      <c r="H3164">
        <v>6</v>
      </c>
      <c r="I3164" t="s">
        <v>34</v>
      </c>
      <c r="J3164" t="s">
        <v>38</v>
      </c>
      <c r="K3164" t="s">
        <v>31</v>
      </c>
      <c r="L3164" t="s">
        <v>24</v>
      </c>
      <c r="M3164" t="s">
        <v>69</v>
      </c>
    </row>
    <row r="3165" spans="1:13" x14ac:dyDescent="0.25">
      <c r="A3165" t="s">
        <v>4928</v>
      </c>
      <c r="B3165">
        <v>91</v>
      </c>
      <c r="C3165">
        <v>7417210</v>
      </c>
      <c r="D3165" t="s">
        <v>4929</v>
      </c>
      <c r="E3165" t="s">
        <v>13</v>
      </c>
      <c r="F3165" t="s">
        <v>14</v>
      </c>
      <c r="G3165">
        <v>1500000</v>
      </c>
      <c r="H3165">
        <v>7</v>
      </c>
      <c r="I3165" t="s">
        <v>31</v>
      </c>
    </row>
    <row r="3166" spans="1:13" x14ac:dyDescent="0.25">
      <c r="A3166" t="s">
        <v>4930</v>
      </c>
      <c r="B3166">
        <v>77</v>
      </c>
      <c r="C3166">
        <v>7382993</v>
      </c>
      <c r="D3166" t="s">
        <v>4931</v>
      </c>
      <c r="E3166" t="s">
        <v>13</v>
      </c>
      <c r="F3166" t="s">
        <v>14</v>
      </c>
      <c r="G3166">
        <v>20000000</v>
      </c>
      <c r="H3166">
        <v>2.8</v>
      </c>
      <c r="I3166" t="s">
        <v>28</v>
      </c>
      <c r="J3166" t="s">
        <v>46</v>
      </c>
      <c r="K3166" t="s">
        <v>15</v>
      </c>
      <c r="L3166" t="s">
        <v>16</v>
      </c>
      <c r="M3166" t="s">
        <v>17</v>
      </c>
    </row>
    <row r="3167" spans="1:13" x14ac:dyDescent="0.25">
      <c r="A3167" t="s">
        <v>4932</v>
      </c>
      <c r="B3167">
        <v>98</v>
      </c>
      <c r="C3167">
        <v>7369373</v>
      </c>
      <c r="D3167" t="s">
        <v>4933</v>
      </c>
      <c r="E3167" t="s">
        <v>13</v>
      </c>
      <c r="F3167" t="s">
        <v>82</v>
      </c>
      <c r="G3167">
        <v>2000000</v>
      </c>
      <c r="H3167">
        <v>5.7</v>
      </c>
      <c r="I3167" t="s">
        <v>22</v>
      </c>
      <c r="J3167" t="s">
        <v>23</v>
      </c>
      <c r="K3167" t="s">
        <v>24</v>
      </c>
    </row>
    <row r="3168" spans="1:13" x14ac:dyDescent="0.25">
      <c r="A3168" t="s">
        <v>4907</v>
      </c>
      <c r="B3168">
        <v>88</v>
      </c>
      <c r="C3168">
        <v>7362100</v>
      </c>
      <c r="D3168" t="s">
        <v>4934</v>
      </c>
      <c r="E3168" t="s">
        <v>13</v>
      </c>
      <c r="F3168" t="s">
        <v>14</v>
      </c>
      <c r="G3168">
        <v>1500000</v>
      </c>
      <c r="H3168">
        <v>7.4</v>
      </c>
      <c r="I3168" t="s">
        <v>15</v>
      </c>
      <c r="J3168" t="s">
        <v>31</v>
      </c>
    </row>
    <row r="3169" spans="1:13" x14ac:dyDescent="0.25">
      <c r="A3169" t="s">
        <v>4935</v>
      </c>
      <c r="B3169">
        <v>96</v>
      </c>
      <c r="C3169">
        <v>7292175</v>
      </c>
      <c r="D3169" t="s">
        <v>4936</v>
      </c>
      <c r="E3169" t="s">
        <v>13</v>
      </c>
      <c r="F3169" t="s">
        <v>14</v>
      </c>
      <c r="G3169">
        <v>7000000</v>
      </c>
      <c r="H3169">
        <v>6.4</v>
      </c>
      <c r="I3169" t="s">
        <v>15</v>
      </c>
      <c r="J3169" t="s">
        <v>31</v>
      </c>
      <c r="K3169" t="s">
        <v>19</v>
      </c>
    </row>
    <row r="3170" spans="1:13" x14ac:dyDescent="0.25">
      <c r="A3170" t="s">
        <v>1918</v>
      </c>
      <c r="B3170">
        <v>97</v>
      </c>
      <c r="C3170">
        <v>7282851</v>
      </c>
      <c r="D3170" t="s">
        <v>4937</v>
      </c>
      <c r="E3170" t="s">
        <v>13</v>
      </c>
      <c r="F3170" t="s">
        <v>14</v>
      </c>
      <c r="G3170">
        <v>3000000</v>
      </c>
      <c r="H3170">
        <v>6.5</v>
      </c>
      <c r="I3170" t="s">
        <v>34</v>
      </c>
      <c r="J3170" t="s">
        <v>17</v>
      </c>
      <c r="K3170" t="s">
        <v>22</v>
      </c>
      <c r="L3170" t="s">
        <v>37</v>
      </c>
      <c r="M3170" t="s">
        <v>24</v>
      </c>
    </row>
    <row r="3171" spans="1:13" x14ac:dyDescent="0.25">
      <c r="A3171" t="s">
        <v>327</v>
      </c>
      <c r="B3171">
        <v>107</v>
      </c>
      <c r="C3171">
        <v>7268659</v>
      </c>
      <c r="D3171" t="s">
        <v>4938</v>
      </c>
      <c r="E3171" t="s">
        <v>13</v>
      </c>
      <c r="F3171" t="s">
        <v>1610</v>
      </c>
      <c r="G3171">
        <v>20000000</v>
      </c>
      <c r="H3171">
        <v>5.6</v>
      </c>
      <c r="I3171" t="s">
        <v>34</v>
      </c>
      <c r="J3171" t="s">
        <v>15</v>
      </c>
      <c r="K3171" t="s">
        <v>38</v>
      </c>
      <c r="L3171" t="s">
        <v>24</v>
      </c>
    </row>
    <row r="3172" spans="1:13" x14ac:dyDescent="0.25">
      <c r="A3172" t="s">
        <v>3727</v>
      </c>
      <c r="B3172">
        <v>81</v>
      </c>
      <c r="C3172">
        <v>7267324</v>
      </c>
      <c r="D3172" t="s">
        <v>4939</v>
      </c>
      <c r="E3172" t="s">
        <v>1277</v>
      </c>
      <c r="F3172" t="s">
        <v>241</v>
      </c>
      <c r="G3172">
        <v>3500000</v>
      </c>
      <c r="H3172">
        <v>7.8</v>
      </c>
      <c r="I3172" t="s">
        <v>38</v>
      </c>
      <c r="J3172" t="s">
        <v>31</v>
      </c>
    </row>
    <row r="3173" spans="1:13" x14ac:dyDescent="0.25">
      <c r="A3173" t="s">
        <v>578</v>
      </c>
      <c r="B3173">
        <v>74</v>
      </c>
      <c r="C3173">
        <v>7262288</v>
      </c>
      <c r="D3173" t="s">
        <v>4940</v>
      </c>
      <c r="E3173" t="s">
        <v>13</v>
      </c>
      <c r="F3173" t="s">
        <v>14</v>
      </c>
      <c r="G3173">
        <v>40000000</v>
      </c>
      <c r="H3173">
        <v>6.5</v>
      </c>
      <c r="I3173" t="s">
        <v>15</v>
      </c>
      <c r="J3173" t="s">
        <v>38</v>
      </c>
      <c r="K3173" t="s">
        <v>24</v>
      </c>
    </row>
    <row r="3174" spans="1:13" x14ac:dyDescent="0.25">
      <c r="A3174" t="s">
        <v>917</v>
      </c>
      <c r="B3174">
        <v>128</v>
      </c>
      <c r="C3174">
        <v>7221458</v>
      </c>
      <c r="D3174" t="s">
        <v>4941</v>
      </c>
      <c r="E3174" t="s">
        <v>13</v>
      </c>
      <c r="F3174" t="s">
        <v>241</v>
      </c>
      <c r="G3174">
        <v>55000000</v>
      </c>
      <c r="H3174">
        <v>6.2</v>
      </c>
      <c r="I3174" t="s">
        <v>31</v>
      </c>
      <c r="J3174" t="s">
        <v>24</v>
      </c>
    </row>
    <row r="3175" spans="1:13" x14ac:dyDescent="0.25">
      <c r="A3175" t="s">
        <v>1984</v>
      </c>
      <c r="B3175">
        <v>147</v>
      </c>
      <c r="C3175">
        <v>7219578</v>
      </c>
      <c r="D3175" t="s">
        <v>4942</v>
      </c>
      <c r="E3175" t="s">
        <v>13</v>
      </c>
      <c r="F3175" t="s">
        <v>295</v>
      </c>
      <c r="G3175">
        <v>15000000</v>
      </c>
      <c r="H3175">
        <v>8</v>
      </c>
      <c r="I3175" t="s">
        <v>31</v>
      </c>
      <c r="J3175" t="s">
        <v>23</v>
      </c>
      <c r="K3175" t="s">
        <v>24</v>
      </c>
    </row>
    <row r="3176" spans="1:13" x14ac:dyDescent="0.25">
      <c r="A3176" t="s">
        <v>756</v>
      </c>
      <c r="B3176">
        <v>100</v>
      </c>
      <c r="C3176">
        <v>7204138</v>
      </c>
      <c r="D3176" t="s">
        <v>4943</v>
      </c>
      <c r="E3176" t="s">
        <v>13</v>
      </c>
      <c r="F3176" t="s">
        <v>14</v>
      </c>
      <c r="G3176">
        <v>41000000</v>
      </c>
      <c r="H3176">
        <v>6.2</v>
      </c>
      <c r="I3176" t="s">
        <v>15</v>
      </c>
    </row>
    <row r="3177" spans="1:13" x14ac:dyDescent="0.25">
      <c r="A3177" t="s">
        <v>2782</v>
      </c>
      <c r="B3177">
        <v>100</v>
      </c>
      <c r="C3177">
        <v>7186670</v>
      </c>
      <c r="D3177" t="s">
        <v>4944</v>
      </c>
      <c r="E3177" t="s">
        <v>13</v>
      </c>
      <c r="F3177" t="s">
        <v>14</v>
      </c>
      <c r="G3177">
        <v>6000000</v>
      </c>
      <c r="H3177">
        <v>5.4</v>
      </c>
      <c r="I3177" t="s">
        <v>28</v>
      </c>
      <c r="J3177" t="s">
        <v>22</v>
      </c>
    </row>
    <row r="3178" spans="1:13" x14ac:dyDescent="0.25">
      <c r="A3178" t="s">
        <v>4068</v>
      </c>
      <c r="B3178">
        <v>105</v>
      </c>
      <c r="C3178">
        <v>7159147</v>
      </c>
      <c r="D3178" t="s">
        <v>4945</v>
      </c>
      <c r="E3178" t="s">
        <v>1498</v>
      </c>
      <c r="F3178" t="s">
        <v>910</v>
      </c>
      <c r="G3178">
        <v>3400000</v>
      </c>
      <c r="H3178">
        <v>7.5</v>
      </c>
      <c r="I3178" t="s">
        <v>31</v>
      </c>
      <c r="J3178" t="s">
        <v>23</v>
      </c>
      <c r="K3178" t="s">
        <v>24</v>
      </c>
    </row>
    <row r="3179" spans="1:13" x14ac:dyDescent="0.25">
      <c r="A3179" t="s">
        <v>435</v>
      </c>
      <c r="B3179">
        <v>116</v>
      </c>
      <c r="C3179">
        <v>7156933</v>
      </c>
      <c r="D3179" t="s">
        <v>4946</v>
      </c>
      <c r="E3179" t="s">
        <v>13</v>
      </c>
      <c r="F3179" t="s">
        <v>14</v>
      </c>
      <c r="G3179">
        <v>25000000</v>
      </c>
      <c r="H3179">
        <v>6.7</v>
      </c>
      <c r="I3179" t="s">
        <v>15</v>
      </c>
      <c r="J3179" t="s">
        <v>31</v>
      </c>
    </row>
    <row r="3180" spans="1:13" x14ac:dyDescent="0.25">
      <c r="A3180" t="s">
        <v>141</v>
      </c>
      <c r="B3180">
        <v>107</v>
      </c>
      <c r="C3180">
        <v>7156725</v>
      </c>
      <c r="D3180" t="s">
        <v>4947</v>
      </c>
      <c r="E3180" t="s">
        <v>13</v>
      </c>
      <c r="F3180" t="s">
        <v>14</v>
      </c>
      <c r="G3180">
        <v>19000000</v>
      </c>
      <c r="H3180">
        <v>5.5</v>
      </c>
      <c r="I3180" t="s">
        <v>15</v>
      </c>
      <c r="J3180" t="s">
        <v>18</v>
      </c>
    </row>
    <row r="3181" spans="1:13" x14ac:dyDescent="0.25">
      <c r="A3181" t="s">
        <v>302</v>
      </c>
      <c r="B3181">
        <v>88</v>
      </c>
      <c r="C3181">
        <v>7137502</v>
      </c>
      <c r="D3181" t="s">
        <v>4948</v>
      </c>
      <c r="E3181" t="s">
        <v>13</v>
      </c>
      <c r="F3181" t="s">
        <v>14</v>
      </c>
      <c r="G3181">
        <v>175000</v>
      </c>
      <c r="H3181">
        <v>6.5</v>
      </c>
      <c r="I3181" t="s">
        <v>15</v>
      </c>
      <c r="J3181" t="s">
        <v>19</v>
      </c>
    </row>
    <row r="3182" spans="1:13" x14ac:dyDescent="0.25">
      <c r="A3182" t="s">
        <v>4949</v>
      </c>
      <c r="B3182">
        <v>123</v>
      </c>
      <c r="C3182">
        <v>7098492</v>
      </c>
      <c r="D3182" t="s">
        <v>4950</v>
      </c>
      <c r="E3182" t="s">
        <v>4951</v>
      </c>
      <c r="F3182" t="s">
        <v>4952</v>
      </c>
      <c r="G3182">
        <v>500000</v>
      </c>
      <c r="H3182">
        <v>8.4</v>
      </c>
      <c r="I3182" t="s">
        <v>31</v>
      </c>
      <c r="J3182" t="s">
        <v>23</v>
      </c>
    </row>
    <row r="3183" spans="1:13" x14ac:dyDescent="0.25">
      <c r="A3183" t="s">
        <v>184</v>
      </c>
      <c r="B3183">
        <v>133</v>
      </c>
      <c r="C3183">
        <v>7097125</v>
      </c>
      <c r="D3183" t="s">
        <v>4953</v>
      </c>
      <c r="E3183" t="s">
        <v>13</v>
      </c>
      <c r="F3183" t="s">
        <v>14</v>
      </c>
      <c r="G3183">
        <v>70000000</v>
      </c>
      <c r="H3183">
        <v>5.4</v>
      </c>
      <c r="I3183" t="s">
        <v>34</v>
      </c>
      <c r="J3183" t="s">
        <v>38</v>
      </c>
      <c r="K3183" t="s">
        <v>31</v>
      </c>
      <c r="L3183" t="s">
        <v>23</v>
      </c>
      <c r="M3183" t="s">
        <v>24</v>
      </c>
    </row>
    <row r="3184" spans="1:13" x14ac:dyDescent="0.25">
      <c r="A3184" t="s">
        <v>4954</v>
      </c>
      <c r="B3184">
        <v>94</v>
      </c>
      <c r="C3184">
        <v>7070459</v>
      </c>
      <c r="D3184" t="s">
        <v>4955</v>
      </c>
      <c r="E3184" t="s">
        <v>13</v>
      </c>
      <c r="F3184" t="s">
        <v>98</v>
      </c>
      <c r="G3184">
        <v>39751583.5</v>
      </c>
      <c r="H3184">
        <v>3.3</v>
      </c>
      <c r="I3184" t="s">
        <v>31</v>
      </c>
    </row>
    <row r="3185" spans="1:12" x14ac:dyDescent="0.25">
      <c r="A3185" t="s">
        <v>3917</v>
      </c>
      <c r="B3185">
        <v>124</v>
      </c>
      <c r="C3185">
        <v>7060876</v>
      </c>
      <c r="D3185" t="s">
        <v>4956</v>
      </c>
      <c r="E3185" t="s">
        <v>13</v>
      </c>
      <c r="F3185" t="s">
        <v>82</v>
      </c>
      <c r="G3185">
        <v>13500000</v>
      </c>
      <c r="H3185">
        <v>7.4</v>
      </c>
      <c r="I3185" t="s">
        <v>42</v>
      </c>
      <c r="J3185" t="s">
        <v>31</v>
      </c>
    </row>
    <row r="3186" spans="1:12" x14ac:dyDescent="0.25">
      <c r="A3186" t="s">
        <v>4957</v>
      </c>
      <c r="B3186">
        <v>99</v>
      </c>
      <c r="C3186">
        <v>7059537</v>
      </c>
      <c r="D3186" t="s">
        <v>4958</v>
      </c>
      <c r="E3186" t="s">
        <v>13</v>
      </c>
      <c r="F3186" t="s">
        <v>14</v>
      </c>
      <c r="G3186">
        <v>3000000</v>
      </c>
      <c r="H3186">
        <v>3</v>
      </c>
      <c r="I3186" t="s">
        <v>15</v>
      </c>
    </row>
    <row r="3187" spans="1:12" x14ac:dyDescent="0.25">
      <c r="A3187" t="s">
        <v>290</v>
      </c>
      <c r="B3187">
        <v>97</v>
      </c>
      <c r="C3187">
        <v>7022940</v>
      </c>
      <c r="D3187" t="s">
        <v>4959</v>
      </c>
      <c r="E3187" t="s">
        <v>13</v>
      </c>
      <c r="F3187" t="s">
        <v>14</v>
      </c>
      <c r="G3187">
        <v>1000000</v>
      </c>
      <c r="H3187">
        <v>6.7</v>
      </c>
      <c r="I3187" t="s">
        <v>15</v>
      </c>
      <c r="J3187" t="s">
        <v>31</v>
      </c>
      <c r="K3187" t="s">
        <v>19</v>
      </c>
    </row>
    <row r="3188" spans="1:12" x14ac:dyDescent="0.25">
      <c r="A3188" t="s">
        <v>4364</v>
      </c>
      <c r="B3188">
        <v>93</v>
      </c>
      <c r="C3188">
        <v>7017178</v>
      </c>
      <c r="D3188" t="s">
        <v>4960</v>
      </c>
      <c r="E3188" t="s">
        <v>13</v>
      </c>
      <c r="F3188" t="s">
        <v>14</v>
      </c>
      <c r="G3188">
        <v>17500000</v>
      </c>
      <c r="H3188">
        <v>4.4000000000000004</v>
      </c>
      <c r="I3188" t="s">
        <v>31</v>
      </c>
      <c r="J3188" t="s">
        <v>16</v>
      </c>
      <c r="K3188" t="s">
        <v>18</v>
      </c>
      <c r="L3188" t="s">
        <v>59</v>
      </c>
    </row>
    <row r="3189" spans="1:12" x14ac:dyDescent="0.25">
      <c r="A3189" t="s">
        <v>1185</v>
      </c>
      <c r="B3189">
        <v>95</v>
      </c>
      <c r="C3189">
        <v>7009668</v>
      </c>
      <c r="D3189" t="s">
        <v>4961</v>
      </c>
      <c r="E3189" t="s">
        <v>13</v>
      </c>
      <c r="F3189" t="s">
        <v>14</v>
      </c>
      <c r="G3189">
        <v>5600000</v>
      </c>
      <c r="H3189">
        <v>2.1</v>
      </c>
      <c r="I3189" t="s">
        <v>34</v>
      </c>
      <c r="J3189" t="s">
        <v>41</v>
      </c>
    </row>
    <row r="3190" spans="1:12" x14ac:dyDescent="0.25">
      <c r="A3190" t="s">
        <v>4962</v>
      </c>
      <c r="B3190">
        <v>80</v>
      </c>
      <c r="C3190">
        <v>7002255</v>
      </c>
      <c r="D3190" t="s">
        <v>4963</v>
      </c>
      <c r="E3190" t="s">
        <v>473</v>
      </c>
      <c r="F3190" t="s">
        <v>295</v>
      </c>
      <c r="G3190">
        <v>9500000</v>
      </c>
      <c r="H3190">
        <v>7.8</v>
      </c>
      <c r="I3190" t="s">
        <v>46</v>
      </c>
      <c r="J3190" t="s">
        <v>15</v>
      </c>
      <c r="K3190" t="s">
        <v>31</v>
      </c>
    </row>
    <row r="3191" spans="1:12" x14ac:dyDescent="0.25">
      <c r="A3191" t="s">
        <v>29</v>
      </c>
      <c r="B3191">
        <v>83</v>
      </c>
      <c r="C3191">
        <v>7001720</v>
      </c>
      <c r="D3191" t="s">
        <v>4964</v>
      </c>
      <c r="E3191" t="s">
        <v>13</v>
      </c>
      <c r="F3191" t="s">
        <v>14</v>
      </c>
      <c r="G3191">
        <v>12000000</v>
      </c>
      <c r="H3191">
        <v>4.3</v>
      </c>
      <c r="I3191" t="s">
        <v>15</v>
      </c>
      <c r="J3191" t="s">
        <v>17</v>
      </c>
    </row>
    <row r="3192" spans="1:12" x14ac:dyDescent="0.25">
      <c r="A3192" t="s">
        <v>4965</v>
      </c>
      <c r="B3192">
        <v>119</v>
      </c>
      <c r="C3192">
        <v>7000000</v>
      </c>
      <c r="D3192" t="s">
        <v>4966</v>
      </c>
      <c r="E3192" t="s">
        <v>13</v>
      </c>
      <c r="F3192" t="s">
        <v>82</v>
      </c>
      <c r="G3192">
        <v>36000000</v>
      </c>
      <c r="H3192">
        <v>4.7</v>
      </c>
      <c r="I3192" t="s">
        <v>34</v>
      </c>
      <c r="J3192" t="s">
        <v>28</v>
      </c>
      <c r="K3192" t="s">
        <v>31</v>
      </c>
      <c r="L3192" t="s">
        <v>24</v>
      </c>
    </row>
    <row r="3193" spans="1:12" x14ac:dyDescent="0.25">
      <c r="A3193" t="s">
        <v>310</v>
      </c>
      <c r="B3193">
        <v>107</v>
      </c>
      <c r="C3193">
        <v>6998324</v>
      </c>
      <c r="D3193" t="s">
        <v>4967</v>
      </c>
      <c r="E3193" t="s">
        <v>13</v>
      </c>
      <c r="F3193" t="s">
        <v>14</v>
      </c>
      <c r="G3193">
        <v>28000000</v>
      </c>
      <c r="H3193">
        <v>6.1</v>
      </c>
      <c r="I3193" t="s">
        <v>15</v>
      </c>
      <c r="J3193" t="s">
        <v>31</v>
      </c>
    </row>
    <row r="3194" spans="1:12" x14ac:dyDescent="0.25">
      <c r="A3194" t="s">
        <v>4968</v>
      </c>
      <c r="B3194">
        <v>81</v>
      </c>
      <c r="C3194">
        <v>6982680</v>
      </c>
      <c r="D3194" t="s">
        <v>4969</v>
      </c>
      <c r="E3194" t="s">
        <v>13</v>
      </c>
      <c r="F3194" t="s">
        <v>14</v>
      </c>
      <c r="G3194">
        <v>10000000</v>
      </c>
      <c r="H3194">
        <v>5.7</v>
      </c>
      <c r="I3194" t="s">
        <v>15</v>
      </c>
      <c r="J3194" t="s">
        <v>38</v>
      </c>
    </row>
    <row r="3195" spans="1:12" x14ac:dyDescent="0.25">
      <c r="A3195" t="s">
        <v>4970</v>
      </c>
      <c r="B3195">
        <v>89</v>
      </c>
      <c r="C3195">
        <v>6940281</v>
      </c>
      <c r="D3195" t="s">
        <v>4971</v>
      </c>
      <c r="E3195" t="s">
        <v>13</v>
      </c>
      <c r="F3195" t="s">
        <v>82</v>
      </c>
      <c r="G3195">
        <v>39751583.5</v>
      </c>
      <c r="H3195">
        <v>7.3</v>
      </c>
      <c r="I3195" t="s">
        <v>38</v>
      </c>
      <c r="J3195" t="s">
        <v>24</v>
      </c>
    </row>
    <row r="3196" spans="1:12" x14ac:dyDescent="0.25">
      <c r="A3196" t="s">
        <v>4972</v>
      </c>
      <c r="B3196">
        <v>97</v>
      </c>
      <c r="C3196">
        <v>6923891</v>
      </c>
      <c r="D3196" t="s">
        <v>4973</v>
      </c>
      <c r="E3196" t="s">
        <v>13</v>
      </c>
      <c r="F3196" t="s">
        <v>14</v>
      </c>
      <c r="G3196">
        <v>23000000</v>
      </c>
      <c r="H3196">
        <v>6.3</v>
      </c>
      <c r="I3196" t="s">
        <v>15</v>
      </c>
      <c r="J3196" t="s">
        <v>31</v>
      </c>
      <c r="K3196" t="s">
        <v>19</v>
      </c>
    </row>
    <row r="3197" spans="1:12" x14ac:dyDescent="0.25">
      <c r="A3197" t="s">
        <v>2145</v>
      </c>
      <c r="B3197">
        <v>94</v>
      </c>
      <c r="C3197">
        <v>6879730</v>
      </c>
      <c r="D3197" t="s">
        <v>4974</v>
      </c>
      <c r="E3197" t="s">
        <v>13</v>
      </c>
      <c r="F3197" t="s">
        <v>14</v>
      </c>
      <c r="G3197">
        <v>39751583.5</v>
      </c>
      <c r="H3197">
        <v>6.9</v>
      </c>
      <c r="I3197" t="s">
        <v>31</v>
      </c>
    </row>
    <row r="3198" spans="1:12" x14ac:dyDescent="0.25">
      <c r="A3198" t="s">
        <v>675</v>
      </c>
      <c r="B3198">
        <v>87</v>
      </c>
      <c r="C3198">
        <v>6857503</v>
      </c>
      <c r="D3198" t="s">
        <v>4975</v>
      </c>
      <c r="E3198" t="s">
        <v>13</v>
      </c>
      <c r="F3198" t="s">
        <v>14</v>
      </c>
      <c r="G3198">
        <v>39751583.5</v>
      </c>
      <c r="H3198">
        <v>6.3</v>
      </c>
      <c r="I3198" t="s">
        <v>15</v>
      </c>
    </row>
    <row r="3199" spans="1:12" x14ac:dyDescent="0.25">
      <c r="A3199" t="s">
        <v>803</v>
      </c>
      <c r="B3199">
        <v>139</v>
      </c>
      <c r="C3199">
        <v>6857096</v>
      </c>
      <c r="D3199" t="s">
        <v>4976</v>
      </c>
      <c r="E3199" t="s">
        <v>473</v>
      </c>
      <c r="F3199" t="s">
        <v>98</v>
      </c>
      <c r="G3199">
        <v>6800000</v>
      </c>
      <c r="H3199">
        <v>8.1999999999999993</v>
      </c>
      <c r="I3199" t="s">
        <v>31</v>
      </c>
      <c r="J3199" t="s">
        <v>23</v>
      </c>
      <c r="K3199" t="s">
        <v>83</v>
      </c>
    </row>
    <row r="3200" spans="1:12" x14ac:dyDescent="0.25">
      <c r="A3200" t="s">
        <v>4846</v>
      </c>
      <c r="B3200">
        <v>122</v>
      </c>
      <c r="C3200">
        <v>6855137</v>
      </c>
      <c r="D3200" t="s">
        <v>4977</v>
      </c>
      <c r="E3200" t="s">
        <v>13</v>
      </c>
      <c r="F3200" t="s">
        <v>241</v>
      </c>
      <c r="G3200">
        <v>17000000</v>
      </c>
      <c r="H3200">
        <v>7.4</v>
      </c>
      <c r="I3200" t="s">
        <v>34</v>
      </c>
      <c r="J3200" t="s">
        <v>38</v>
      </c>
      <c r="K3200" t="s">
        <v>31</v>
      </c>
      <c r="L3200" t="s">
        <v>24</v>
      </c>
    </row>
    <row r="3201" spans="1:13" x14ac:dyDescent="0.25">
      <c r="A3201" t="s">
        <v>4252</v>
      </c>
      <c r="B3201">
        <v>100</v>
      </c>
      <c r="C3201">
        <v>6852144</v>
      </c>
      <c r="D3201" t="s">
        <v>4978</v>
      </c>
      <c r="E3201" t="s">
        <v>13</v>
      </c>
      <c r="F3201" t="s">
        <v>98</v>
      </c>
      <c r="G3201">
        <v>22000000</v>
      </c>
      <c r="H3201">
        <v>6.2</v>
      </c>
      <c r="I3201" t="s">
        <v>31</v>
      </c>
      <c r="J3201" t="s">
        <v>22</v>
      </c>
      <c r="K3201" t="s">
        <v>37</v>
      </c>
      <c r="L3201" t="s">
        <v>24</v>
      </c>
    </row>
    <row r="3202" spans="1:13" x14ac:dyDescent="0.25">
      <c r="A3202" t="s">
        <v>4979</v>
      </c>
      <c r="B3202">
        <v>95</v>
      </c>
      <c r="C3202">
        <v>6851969</v>
      </c>
      <c r="D3202" t="s">
        <v>4980</v>
      </c>
      <c r="E3202" t="s">
        <v>13</v>
      </c>
      <c r="F3202" t="s">
        <v>14</v>
      </c>
      <c r="G3202">
        <v>2500000</v>
      </c>
      <c r="H3202">
        <v>7.1</v>
      </c>
      <c r="I3202" t="s">
        <v>15</v>
      </c>
      <c r="J3202" t="s">
        <v>31</v>
      </c>
      <c r="K3202" t="s">
        <v>19</v>
      </c>
    </row>
    <row r="3203" spans="1:13" x14ac:dyDescent="0.25">
      <c r="A3203" t="s">
        <v>4981</v>
      </c>
      <c r="B3203">
        <v>101</v>
      </c>
      <c r="C3203">
        <v>6851636</v>
      </c>
      <c r="D3203" t="s">
        <v>4982</v>
      </c>
      <c r="E3203" t="s">
        <v>13</v>
      </c>
      <c r="F3203" t="s">
        <v>14</v>
      </c>
      <c r="G3203">
        <v>6000000</v>
      </c>
      <c r="H3203">
        <v>5.9</v>
      </c>
      <c r="I3203" t="s">
        <v>15</v>
      </c>
      <c r="J3203" t="s">
        <v>31</v>
      </c>
      <c r="K3203" t="s">
        <v>19</v>
      </c>
    </row>
    <row r="3204" spans="1:13" x14ac:dyDescent="0.25">
      <c r="A3204" t="s">
        <v>4983</v>
      </c>
      <c r="B3204">
        <v>82</v>
      </c>
      <c r="C3204">
        <v>6842058</v>
      </c>
      <c r="D3204" t="s">
        <v>4984</v>
      </c>
      <c r="E3204" t="s">
        <v>13</v>
      </c>
      <c r="F3204" t="s">
        <v>14</v>
      </c>
      <c r="G3204">
        <v>10000000</v>
      </c>
      <c r="H3204">
        <v>6.1</v>
      </c>
      <c r="I3204" t="s">
        <v>34</v>
      </c>
      <c r="J3204" t="s">
        <v>22</v>
      </c>
      <c r="K3204" t="s">
        <v>24</v>
      </c>
    </row>
    <row r="3205" spans="1:13" x14ac:dyDescent="0.25">
      <c r="A3205" t="s">
        <v>173</v>
      </c>
      <c r="B3205">
        <v>112</v>
      </c>
      <c r="C3205">
        <v>6830957</v>
      </c>
      <c r="D3205" t="s">
        <v>4985</v>
      </c>
      <c r="E3205" t="s">
        <v>13</v>
      </c>
      <c r="F3205" t="s">
        <v>14</v>
      </c>
      <c r="G3205">
        <v>21000000</v>
      </c>
      <c r="H3205">
        <v>6.7</v>
      </c>
      <c r="I3205" t="s">
        <v>31</v>
      </c>
      <c r="J3205" t="s">
        <v>19</v>
      </c>
    </row>
    <row r="3206" spans="1:13" x14ac:dyDescent="0.25">
      <c r="A3206" t="s">
        <v>988</v>
      </c>
      <c r="B3206">
        <v>121</v>
      </c>
      <c r="C3206">
        <v>6777589</v>
      </c>
      <c r="D3206" t="s">
        <v>4986</v>
      </c>
      <c r="E3206" t="s">
        <v>13</v>
      </c>
      <c r="F3206" t="s">
        <v>14</v>
      </c>
      <c r="G3206">
        <v>39751583.5</v>
      </c>
      <c r="H3206">
        <v>7.2</v>
      </c>
      <c r="I3206" t="s">
        <v>38</v>
      </c>
      <c r="J3206" t="s">
        <v>31</v>
      </c>
      <c r="K3206" t="s">
        <v>23</v>
      </c>
      <c r="L3206" t="s">
        <v>24</v>
      </c>
    </row>
    <row r="3207" spans="1:13" x14ac:dyDescent="0.25">
      <c r="A3207" t="s">
        <v>246</v>
      </c>
      <c r="B3207">
        <v>95</v>
      </c>
      <c r="C3207">
        <v>6768055</v>
      </c>
      <c r="D3207" t="s">
        <v>4987</v>
      </c>
      <c r="E3207" t="s">
        <v>13</v>
      </c>
      <c r="F3207" t="s">
        <v>82</v>
      </c>
      <c r="G3207">
        <v>57000000</v>
      </c>
      <c r="H3207">
        <v>4.2</v>
      </c>
      <c r="I3207" t="s">
        <v>34</v>
      </c>
      <c r="J3207" t="s">
        <v>28</v>
      </c>
      <c r="K3207" t="s">
        <v>15</v>
      </c>
      <c r="L3207" t="s">
        <v>16</v>
      </c>
      <c r="M3207" t="s">
        <v>37</v>
      </c>
    </row>
    <row r="3208" spans="1:13" x14ac:dyDescent="0.25">
      <c r="A3208" t="s">
        <v>4988</v>
      </c>
      <c r="B3208">
        <v>90</v>
      </c>
      <c r="C3208">
        <v>6755271</v>
      </c>
      <c r="D3208" t="s">
        <v>4989</v>
      </c>
      <c r="E3208" t="s">
        <v>13</v>
      </c>
      <c r="F3208" t="s">
        <v>14</v>
      </c>
      <c r="G3208">
        <v>5000000</v>
      </c>
      <c r="H3208">
        <v>5.3</v>
      </c>
      <c r="I3208" t="s">
        <v>22</v>
      </c>
      <c r="J3208" t="s">
        <v>24</v>
      </c>
    </row>
    <row r="3209" spans="1:13" x14ac:dyDescent="0.25">
      <c r="A3209" t="s">
        <v>413</v>
      </c>
      <c r="B3209">
        <v>122</v>
      </c>
      <c r="C3209">
        <v>6754898</v>
      </c>
      <c r="D3209" t="s">
        <v>4990</v>
      </c>
      <c r="E3209" t="s">
        <v>13</v>
      </c>
      <c r="F3209" t="s">
        <v>14</v>
      </c>
      <c r="G3209">
        <v>12000000</v>
      </c>
      <c r="H3209">
        <v>6.2</v>
      </c>
      <c r="I3209" t="s">
        <v>15</v>
      </c>
      <c r="J3209" t="s">
        <v>31</v>
      </c>
    </row>
    <row r="3210" spans="1:13" x14ac:dyDescent="0.25">
      <c r="A3210" t="s">
        <v>4991</v>
      </c>
      <c r="B3210">
        <v>95</v>
      </c>
      <c r="C3210">
        <v>6739141</v>
      </c>
      <c r="D3210" t="s">
        <v>4992</v>
      </c>
      <c r="E3210" t="s">
        <v>13</v>
      </c>
      <c r="F3210" t="s">
        <v>45</v>
      </c>
      <c r="G3210">
        <v>8000000</v>
      </c>
      <c r="H3210">
        <v>5.9</v>
      </c>
      <c r="I3210" t="s">
        <v>34</v>
      </c>
      <c r="J3210" t="s">
        <v>38</v>
      </c>
      <c r="K3210" t="s">
        <v>37</v>
      </c>
      <c r="L3210" t="s">
        <v>24</v>
      </c>
    </row>
    <row r="3211" spans="1:13" x14ac:dyDescent="0.25">
      <c r="A3211" t="s">
        <v>212</v>
      </c>
      <c r="B3211">
        <v>112</v>
      </c>
      <c r="C3211">
        <v>6734844</v>
      </c>
      <c r="D3211" t="s">
        <v>4993</v>
      </c>
      <c r="E3211" t="s">
        <v>13</v>
      </c>
      <c r="F3211" t="s">
        <v>14</v>
      </c>
      <c r="G3211">
        <v>17000000</v>
      </c>
      <c r="H3211">
        <v>5.9</v>
      </c>
      <c r="I3211" t="s">
        <v>31</v>
      </c>
      <c r="J3211" t="s">
        <v>19</v>
      </c>
    </row>
    <row r="3212" spans="1:13" x14ac:dyDescent="0.25">
      <c r="A3212" t="s">
        <v>4994</v>
      </c>
      <c r="B3212">
        <v>89</v>
      </c>
      <c r="C3212">
        <v>6719300</v>
      </c>
      <c r="D3212" t="s">
        <v>4995</v>
      </c>
      <c r="E3212" t="s">
        <v>13</v>
      </c>
      <c r="F3212" t="s">
        <v>98</v>
      </c>
      <c r="G3212">
        <v>2000000</v>
      </c>
      <c r="H3212">
        <v>7.2</v>
      </c>
      <c r="I3212" t="s">
        <v>15</v>
      </c>
      <c r="J3212" t="s">
        <v>31</v>
      </c>
    </row>
    <row r="3213" spans="1:13" x14ac:dyDescent="0.25">
      <c r="A3213" t="s">
        <v>448</v>
      </c>
      <c r="B3213">
        <v>104</v>
      </c>
      <c r="C3213">
        <v>6712451</v>
      </c>
      <c r="D3213" t="s">
        <v>4996</v>
      </c>
      <c r="E3213" t="s">
        <v>13</v>
      </c>
      <c r="F3213" t="s">
        <v>4997</v>
      </c>
      <c r="G3213">
        <v>90000000</v>
      </c>
      <c r="H3213">
        <v>4.4000000000000004</v>
      </c>
      <c r="I3213" t="s">
        <v>15</v>
      </c>
      <c r="J3213" t="s">
        <v>19</v>
      </c>
    </row>
    <row r="3214" spans="1:13" x14ac:dyDescent="0.25">
      <c r="A3214" t="s">
        <v>1659</v>
      </c>
      <c r="B3214">
        <v>101</v>
      </c>
      <c r="C3214">
        <v>6712241</v>
      </c>
      <c r="D3214" t="s">
        <v>4998</v>
      </c>
      <c r="E3214" t="s">
        <v>13</v>
      </c>
      <c r="F3214" t="s">
        <v>14</v>
      </c>
      <c r="G3214">
        <v>7500000</v>
      </c>
      <c r="H3214">
        <v>8.6</v>
      </c>
      <c r="I3214" t="s">
        <v>38</v>
      </c>
      <c r="J3214" t="s">
        <v>31</v>
      </c>
    </row>
    <row r="3215" spans="1:13" x14ac:dyDescent="0.25">
      <c r="A3215" t="s">
        <v>2282</v>
      </c>
      <c r="B3215">
        <v>91</v>
      </c>
      <c r="C3215">
        <v>6706368</v>
      </c>
      <c r="D3215" t="s">
        <v>4999</v>
      </c>
      <c r="E3215" t="s">
        <v>13</v>
      </c>
      <c r="F3215" t="s">
        <v>14</v>
      </c>
      <c r="G3215">
        <v>160000</v>
      </c>
      <c r="H3215">
        <v>7.5</v>
      </c>
      <c r="I3215" t="s">
        <v>52</v>
      </c>
    </row>
    <row r="3216" spans="1:13" x14ac:dyDescent="0.25">
      <c r="A3216" t="s">
        <v>5000</v>
      </c>
      <c r="B3216">
        <v>104</v>
      </c>
      <c r="C3216">
        <v>6670712</v>
      </c>
      <c r="D3216" t="s">
        <v>5001</v>
      </c>
      <c r="E3216" t="s">
        <v>13</v>
      </c>
      <c r="F3216" t="s">
        <v>14</v>
      </c>
      <c r="G3216">
        <v>6000000</v>
      </c>
      <c r="H3216">
        <v>7.4</v>
      </c>
      <c r="I3216" t="s">
        <v>15</v>
      </c>
      <c r="J3216" t="s">
        <v>31</v>
      </c>
    </row>
    <row r="3217" spans="1:13" x14ac:dyDescent="0.25">
      <c r="A3217" t="s">
        <v>5002</v>
      </c>
      <c r="B3217">
        <v>101</v>
      </c>
      <c r="C3217">
        <v>6619173</v>
      </c>
      <c r="D3217" t="s">
        <v>5003</v>
      </c>
      <c r="E3217" t="s">
        <v>13</v>
      </c>
      <c r="F3217" t="s">
        <v>14</v>
      </c>
      <c r="G3217">
        <v>10000000</v>
      </c>
      <c r="H3217">
        <v>6.7</v>
      </c>
      <c r="I3217" t="s">
        <v>28</v>
      </c>
      <c r="J3217" t="s">
        <v>15</v>
      </c>
      <c r="K3217" t="s">
        <v>31</v>
      </c>
      <c r="L3217" t="s">
        <v>19</v>
      </c>
      <c r="M3217" t="s">
        <v>37</v>
      </c>
    </row>
    <row r="3218" spans="1:13" x14ac:dyDescent="0.25">
      <c r="A3218" t="s">
        <v>3644</v>
      </c>
      <c r="B3218">
        <v>112</v>
      </c>
      <c r="C3218">
        <v>6615578</v>
      </c>
      <c r="D3218" t="s">
        <v>5004</v>
      </c>
      <c r="E3218" t="s">
        <v>13</v>
      </c>
      <c r="F3218" t="s">
        <v>241</v>
      </c>
      <c r="G3218">
        <v>13000000</v>
      </c>
      <c r="H3218">
        <v>7</v>
      </c>
      <c r="I3218" t="s">
        <v>42</v>
      </c>
      <c r="J3218" t="s">
        <v>31</v>
      </c>
      <c r="K3218" t="s">
        <v>19</v>
      </c>
    </row>
    <row r="3219" spans="1:13" x14ac:dyDescent="0.25">
      <c r="A3219" t="s">
        <v>5005</v>
      </c>
      <c r="B3219">
        <v>114</v>
      </c>
      <c r="C3219">
        <v>6610326</v>
      </c>
      <c r="D3219" t="s">
        <v>5006</v>
      </c>
      <c r="E3219" t="s">
        <v>13</v>
      </c>
      <c r="F3219" t="s">
        <v>14</v>
      </c>
      <c r="G3219">
        <v>39751583.5</v>
      </c>
      <c r="H3219">
        <v>7.2</v>
      </c>
      <c r="I3219" t="s">
        <v>15</v>
      </c>
      <c r="J3219" t="s">
        <v>31</v>
      </c>
    </row>
    <row r="3220" spans="1:13" x14ac:dyDescent="0.25">
      <c r="A3220" t="s">
        <v>1840</v>
      </c>
      <c r="B3220">
        <v>122</v>
      </c>
      <c r="C3220">
        <v>6601079</v>
      </c>
      <c r="D3220" t="s">
        <v>5007</v>
      </c>
      <c r="E3220" t="s">
        <v>13</v>
      </c>
      <c r="F3220" t="s">
        <v>82</v>
      </c>
      <c r="G3220">
        <v>7000000</v>
      </c>
      <c r="H3220">
        <v>6.2</v>
      </c>
      <c r="I3220" t="s">
        <v>15</v>
      </c>
      <c r="J3220" t="s">
        <v>31</v>
      </c>
      <c r="K3220" t="s">
        <v>59</v>
      </c>
      <c r="L3220" t="s">
        <v>19</v>
      </c>
    </row>
    <row r="3221" spans="1:13" x14ac:dyDescent="0.25">
      <c r="A3221" t="s">
        <v>5008</v>
      </c>
      <c r="B3221">
        <v>122</v>
      </c>
      <c r="C3221">
        <v>6594136</v>
      </c>
      <c r="D3221" t="s">
        <v>5009</v>
      </c>
      <c r="E3221" t="s">
        <v>1300</v>
      </c>
      <c r="F3221" t="s">
        <v>1007</v>
      </c>
      <c r="G3221">
        <v>38600000</v>
      </c>
      <c r="H3221">
        <v>6.5</v>
      </c>
      <c r="I3221" t="s">
        <v>34</v>
      </c>
      <c r="J3221" t="s">
        <v>42</v>
      </c>
      <c r="K3221" t="s">
        <v>31</v>
      </c>
    </row>
    <row r="3222" spans="1:13" x14ac:dyDescent="0.25">
      <c r="A3222" t="s">
        <v>490</v>
      </c>
      <c r="B3222">
        <v>114</v>
      </c>
      <c r="C3222">
        <v>6592103</v>
      </c>
      <c r="D3222" t="s">
        <v>5010</v>
      </c>
      <c r="E3222" t="s">
        <v>13</v>
      </c>
      <c r="F3222" t="s">
        <v>295</v>
      </c>
      <c r="G3222">
        <v>35000000</v>
      </c>
      <c r="H3222">
        <v>6.3</v>
      </c>
      <c r="I3222" t="s">
        <v>38</v>
      </c>
      <c r="J3222" t="s">
        <v>31</v>
      </c>
      <c r="K3222" t="s">
        <v>23</v>
      </c>
      <c r="L3222" t="s">
        <v>24</v>
      </c>
    </row>
    <row r="3223" spans="1:13" x14ac:dyDescent="0.25">
      <c r="A3223" t="s">
        <v>5011</v>
      </c>
      <c r="B3223">
        <v>114</v>
      </c>
      <c r="C3223">
        <v>6565495</v>
      </c>
      <c r="D3223" t="s">
        <v>5012</v>
      </c>
      <c r="E3223" t="s">
        <v>1300</v>
      </c>
      <c r="F3223" t="s">
        <v>1206</v>
      </c>
      <c r="G3223">
        <v>45000000</v>
      </c>
      <c r="H3223">
        <v>7</v>
      </c>
      <c r="I3223" t="s">
        <v>31</v>
      </c>
      <c r="J3223" t="s">
        <v>19</v>
      </c>
    </row>
    <row r="3224" spans="1:13" x14ac:dyDescent="0.25">
      <c r="A3224" t="s">
        <v>2746</v>
      </c>
      <c r="B3224">
        <v>87</v>
      </c>
      <c r="C3224">
        <v>6563357</v>
      </c>
      <c r="D3224" t="s">
        <v>5013</v>
      </c>
      <c r="E3224" t="s">
        <v>13</v>
      </c>
      <c r="F3224" t="s">
        <v>14</v>
      </c>
      <c r="G3224">
        <v>20000000</v>
      </c>
      <c r="H3224">
        <v>5.3</v>
      </c>
      <c r="I3224" t="s">
        <v>28</v>
      </c>
      <c r="J3224" t="s">
        <v>15</v>
      </c>
    </row>
    <row r="3225" spans="1:13" x14ac:dyDescent="0.25">
      <c r="A3225" t="s">
        <v>862</v>
      </c>
      <c r="B3225">
        <v>114</v>
      </c>
      <c r="C3225">
        <v>6543194</v>
      </c>
      <c r="D3225" t="s">
        <v>5014</v>
      </c>
      <c r="E3225" t="s">
        <v>13</v>
      </c>
      <c r="F3225" t="s">
        <v>14</v>
      </c>
      <c r="G3225">
        <v>34000000</v>
      </c>
      <c r="H3225">
        <v>5.6</v>
      </c>
      <c r="I3225" t="s">
        <v>28</v>
      </c>
      <c r="J3225" t="s">
        <v>31</v>
      </c>
      <c r="K3225" t="s">
        <v>19</v>
      </c>
    </row>
    <row r="3226" spans="1:13" x14ac:dyDescent="0.25">
      <c r="A3226" t="s">
        <v>5015</v>
      </c>
      <c r="B3226">
        <v>100</v>
      </c>
      <c r="C3226">
        <v>6531491</v>
      </c>
      <c r="D3226" t="s">
        <v>5016</v>
      </c>
      <c r="E3226" t="s">
        <v>13</v>
      </c>
      <c r="F3226" t="s">
        <v>14</v>
      </c>
      <c r="G3226">
        <v>2000000</v>
      </c>
      <c r="H3226">
        <v>7.2</v>
      </c>
      <c r="I3226" t="s">
        <v>31</v>
      </c>
    </row>
    <row r="3227" spans="1:13" x14ac:dyDescent="0.25">
      <c r="A3227" t="s">
        <v>5017</v>
      </c>
      <c r="B3227">
        <v>110</v>
      </c>
      <c r="C3227">
        <v>6525762</v>
      </c>
      <c r="D3227" t="s">
        <v>5018</v>
      </c>
      <c r="E3227" t="s">
        <v>13</v>
      </c>
      <c r="F3227" t="s">
        <v>14</v>
      </c>
      <c r="G3227">
        <v>4000000</v>
      </c>
      <c r="H3227">
        <v>6.7</v>
      </c>
      <c r="I3227" t="s">
        <v>15</v>
      </c>
      <c r="J3227" t="s">
        <v>31</v>
      </c>
      <c r="K3227" t="s">
        <v>19</v>
      </c>
    </row>
    <row r="3228" spans="1:13" x14ac:dyDescent="0.25">
      <c r="A3228" t="s">
        <v>5019</v>
      </c>
      <c r="B3228">
        <v>101</v>
      </c>
      <c r="C3228">
        <v>6517198</v>
      </c>
      <c r="D3228" t="s">
        <v>5020</v>
      </c>
      <c r="E3228" t="s">
        <v>1498</v>
      </c>
      <c r="F3228" t="s">
        <v>5021</v>
      </c>
      <c r="G3228">
        <v>3000000</v>
      </c>
      <c r="H3228">
        <v>7.5</v>
      </c>
      <c r="I3228" t="s">
        <v>38</v>
      </c>
      <c r="J3228" t="s">
        <v>31</v>
      </c>
    </row>
    <row r="3229" spans="1:13" x14ac:dyDescent="0.25">
      <c r="A3229" t="s">
        <v>5022</v>
      </c>
      <c r="B3229">
        <v>159</v>
      </c>
      <c r="C3229">
        <v>6498000</v>
      </c>
      <c r="D3229" t="s">
        <v>5023</v>
      </c>
      <c r="E3229" t="s">
        <v>5024</v>
      </c>
      <c r="F3229" t="s">
        <v>1296</v>
      </c>
      <c r="G3229">
        <v>18026148</v>
      </c>
      <c r="H3229">
        <v>8.4</v>
      </c>
      <c r="I3229" t="s">
        <v>34</v>
      </c>
      <c r="J3229" t="s">
        <v>28</v>
      </c>
      <c r="K3229" t="s">
        <v>31</v>
      </c>
      <c r="L3229" t="s">
        <v>17</v>
      </c>
      <c r="M3229" t="s">
        <v>83</v>
      </c>
    </row>
    <row r="3230" spans="1:13" x14ac:dyDescent="0.25">
      <c r="A3230" t="s">
        <v>5025</v>
      </c>
      <c r="B3230">
        <v>74</v>
      </c>
      <c r="C3230">
        <v>6491350</v>
      </c>
      <c r="D3230" t="s">
        <v>5026</v>
      </c>
      <c r="E3230" t="s">
        <v>13</v>
      </c>
      <c r="F3230" t="s">
        <v>14</v>
      </c>
      <c r="G3230">
        <v>10000000</v>
      </c>
      <c r="H3230">
        <v>5.8</v>
      </c>
      <c r="I3230" t="s">
        <v>46</v>
      </c>
      <c r="J3230" t="s">
        <v>15</v>
      </c>
      <c r="K3230" t="s">
        <v>16</v>
      </c>
      <c r="L3230" t="s">
        <v>17</v>
      </c>
      <c r="M3230" t="s">
        <v>59</v>
      </c>
    </row>
    <row r="3231" spans="1:13" x14ac:dyDescent="0.25">
      <c r="A3231" t="s">
        <v>5027</v>
      </c>
      <c r="B3231">
        <v>118</v>
      </c>
      <c r="C3231">
        <v>6482195</v>
      </c>
      <c r="D3231" t="s">
        <v>5028</v>
      </c>
      <c r="E3231" t="s">
        <v>13</v>
      </c>
      <c r="F3231" t="s">
        <v>14</v>
      </c>
      <c r="G3231">
        <v>37000000</v>
      </c>
      <c r="H3231">
        <v>6.4</v>
      </c>
      <c r="I3231" t="s">
        <v>38</v>
      </c>
      <c r="J3231" t="s">
        <v>23</v>
      </c>
      <c r="K3231" t="s">
        <v>24</v>
      </c>
    </row>
    <row r="3232" spans="1:13" x14ac:dyDescent="0.25">
      <c r="A3232" t="s">
        <v>3581</v>
      </c>
      <c r="B3232">
        <v>88</v>
      </c>
      <c r="C3232">
        <v>6471394</v>
      </c>
      <c r="D3232" t="s">
        <v>5029</v>
      </c>
      <c r="E3232" t="s">
        <v>13</v>
      </c>
      <c r="F3232" t="s">
        <v>14</v>
      </c>
      <c r="G3232">
        <v>50000000</v>
      </c>
      <c r="H3232">
        <v>4.9000000000000004</v>
      </c>
      <c r="I3232" t="s">
        <v>15</v>
      </c>
      <c r="J3232" t="s">
        <v>38</v>
      </c>
    </row>
    <row r="3233" spans="1:14" x14ac:dyDescent="0.25">
      <c r="A3233" t="s">
        <v>5030</v>
      </c>
      <c r="B3233">
        <v>111</v>
      </c>
      <c r="C3233">
        <v>6462576</v>
      </c>
      <c r="D3233" t="s">
        <v>5031</v>
      </c>
      <c r="E3233" t="s">
        <v>13</v>
      </c>
      <c r="F3233" t="s">
        <v>14</v>
      </c>
      <c r="G3233">
        <v>18500000</v>
      </c>
      <c r="H3233">
        <v>5.4</v>
      </c>
      <c r="I3233" t="s">
        <v>31</v>
      </c>
    </row>
    <row r="3234" spans="1:14" x14ac:dyDescent="0.25">
      <c r="A3234" t="s">
        <v>393</v>
      </c>
      <c r="B3234">
        <v>101</v>
      </c>
      <c r="C3234">
        <v>6448817</v>
      </c>
      <c r="D3234" t="s">
        <v>5032</v>
      </c>
      <c r="E3234" t="s">
        <v>13</v>
      </c>
      <c r="F3234" t="s">
        <v>14</v>
      </c>
      <c r="G3234">
        <v>35000000</v>
      </c>
      <c r="H3234">
        <v>4.5999999999999996</v>
      </c>
      <c r="I3234" t="s">
        <v>34</v>
      </c>
      <c r="J3234" t="s">
        <v>28</v>
      </c>
      <c r="K3234" t="s">
        <v>17</v>
      </c>
    </row>
    <row r="3235" spans="1:14" x14ac:dyDescent="0.25">
      <c r="A3235" t="s">
        <v>4854</v>
      </c>
      <c r="B3235">
        <v>106</v>
      </c>
      <c r="C3235">
        <v>6420319</v>
      </c>
      <c r="D3235" t="s">
        <v>5033</v>
      </c>
      <c r="E3235" t="s">
        <v>13</v>
      </c>
      <c r="F3235" t="s">
        <v>1901</v>
      </c>
      <c r="G3235">
        <v>20000000</v>
      </c>
      <c r="H3235">
        <v>7.4</v>
      </c>
      <c r="I3235" t="s">
        <v>31</v>
      </c>
      <c r="J3235" t="s">
        <v>83</v>
      </c>
    </row>
    <row r="3236" spans="1:14" x14ac:dyDescent="0.25">
      <c r="A3236" t="s">
        <v>2818</v>
      </c>
      <c r="B3236">
        <v>102</v>
      </c>
      <c r="C3236">
        <v>6409206</v>
      </c>
      <c r="D3236" t="s">
        <v>5034</v>
      </c>
      <c r="E3236" t="s">
        <v>13</v>
      </c>
      <c r="F3236" t="s">
        <v>14</v>
      </c>
      <c r="G3236">
        <v>15000000</v>
      </c>
      <c r="H3236">
        <v>6.2</v>
      </c>
      <c r="I3236" t="s">
        <v>15</v>
      </c>
      <c r="J3236" t="s">
        <v>18</v>
      </c>
    </row>
    <row r="3237" spans="1:14" x14ac:dyDescent="0.25">
      <c r="A3237" t="s">
        <v>1080</v>
      </c>
      <c r="B3237">
        <v>104</v>
      </c>
      <c r="C3237">
        <v>6401336</v>
      </c>
      <c r="D3237" t="s">
        <v>5035</v>
      </c>
      <c r="E3237" t="s">
        <v>13</v>
      </c>
      <c r="F3237" t="s">
        <v>14</v>
      </c>
      <c r="G3237">
        <v>2500000</v>
      </c>
      <c r="H3237">
        <v>7.1</v>
      </c>
      <c r="I3237" t="s">
        <v>31</v>
      </c>
    </row>
    <row r="3238" spans="1:14" x14ac:dyDescent="0.25">
      <c r="A3238" t="s">
        <v>117</v>
      </c>
      <c r="B3238">
        <v>105</v>
      </c>
      <c r="C3238">
        <v>6390032</v>
      </c>
      <c r="D3238" t="s">
        <v>5036</v>
      </c>
      <c r="E3238" t="s">
        <v>13</v>
      </c>
      <c r="F3238" t="s">
        <v>14</v>
      </c>
      <c r="G3238">
        <v>3500000</v>
      </c>
      <c r="H3238">
        <v>7.5</v>
      </c>
      <c r="I3238" t="s">
        <v>42</v>
      </c>
      <c r="J3238" t="s">
        <v>31</v>
      </c>
    </row>
    <row r="3239" spans="1:14" x14ac:dyDescent="0.25">
      <c r="A3239" t="s">
        <v>5037</v>
      </c>
      <c r="B3239">
        <v>88</v>
      </c>
      <c r="C3239">
        <v>6373693</v>
      </c>
      <c r="D3239" t="s">
        <v>5038</v>
      </c>
      <c r="E3239" t="s">
        <v>13</v>
      </c>
      <c r="F3239" t="s">
        <v>14</v>
      </c>
      <c r="G3239">
        <v>15000000</v>
      </c>
      <c r="H3239">
        <v>5.3</v>
      </c>
      <c r="I3239" t="s">
        <v>15</v>
      </c>
      <c r="J3239" t="s">
        <v>19</v>
      </c>
    </row>
    <row r="3240" spans="1:14" x14ac:dyDescent="0.25">
      <c r="A3240" t="s">
        <v>5039</v>
      </c>
      <c r="B3240">
        <v>101</v>
      </c>
      <c r="C3240">
        <v>6350058</v>
      </c>
      <c r="D3240" t="s">
        <v>5040</v>
      </c>
      <c r="E3240" t="s">
        <v>13</v>
      </c>
      <c r="F3240" t="s">
        <v>14</v>
      </c>
      <c r="G3240">
        <v>8000000</v>
      </c>
      <c r="H3240">
        <v>7.2</v>
      </c>
      <c r="I3240" t="s">
        <v>15</v>
      </c>
      <c r="J3240" t="s">
        <v>31</v>
      </c>
      <c r="K3240" t="s">
        <v>19</v>
      </c>
    </row>
    <row r="3241" spans="1:14" x14ac:dyDescent="0.25">
      <c r="A3241" t="s">
        <v>5041</v>
      </c>
      <c r="B3241">
        <v>94</v>
      </c>
      <c r="C3241">
        <v>6301131</v>
      </c>
      <c r="D3241" t="s">
        <v>5042</v>
      </c>
      <c r="E3241" t="s">
        <v>13</v>
      </c>
      <c r="F3241" t="s">
        <v>14</v>
      </c>
      <c r="G3241">
        <v>29000000</v>
      </c>
      <c r="H3241">
        <v>7.1</v>
      </c>
      <c r="I3241" t="s">
        <v>31</v>
      </c>
      <c r="J3241" t="s">
        <v>23</v>
      </c>
      <c r="K3241" t="s">
        <v>37</v>
      </c>
      <c r="L3241" t="s">
        <v>24</v>
      </c>
    </row>
    <row r="3242" spans="1:14" x14ac:dyDescent="0.25">
      <c r="A3242" t="s">
        <v>688</v>
      </c>
      <c r="B3242">
        <v>87</v>
      </c>
      <c r="C3242">
        <v>6291602</v>
      </c>
      <c r="D3242" t="s">
        <v>5043</v>
      </c>
      <c r="E3242" t="s">
        <v>13</v>
      </c>
      <c r="F3242" t="s">
        <v>14</v>
      </c>
      <c r="G3242">
        <v>50000000</v>
      </c>
      <c r="H3242">
        <v>5.6</v>
      </c>
      <c r="I3242" t="s">
        <v>15</v>
      </c>
      <c r="J3242" t="s">
        <v>37</v>
      </c>
    </row>
    <row r="3243" spans="1:14" x14ac:dyDescent="0.25">
      <c r="A3243" t="s">
        <v>5044</v>
      </c>
      <c r="B3243">
        <v>106</v>
      </c>
      <c r="C3243">
        <v>6262942</v>
      </c>
      <c r="D3243" t="s">
        <v>5045</v>
      </c>
      <c r="E3243" t="s">
        <v>13</v>
      </c>
      <c r="F3243" t="s">
        <v>14</v>
      </c>
      <c r="G3243">
        <v>9000000</v>
      </c>
      <c r="H3243">
        <v>6.9</v>
      </c>
      <c r="I3243" t="s">
        <v>34</v>
      </c>
      <c r="J3243" t="s">
        <v>28</v>
      </c>
      <c r="K3243" t="s">
        <v>31</v>
      </c>
    </row>
    <row r="3244" spans="1:14" x14ac:dyDescent="0.25">
      <c r="A3244" t="s">
        <v>3713</v>
      </c>
      <c r="B3244">
        <v>94</v>
      </c>
      <c r="C3244">
        <v>6241697</v>
      </c>
      <c r="D3244" t="s">
        <v>5046</v>
      </c>
      <c r="E3244" t="s">
        <v>13</v>
      </c>
      <c r="F3244" t="s">
        <v>295</v>
      </c>
      <c r="G3244">
        <v>13000000</v>
      </c>
      <c r="H3244">
        <v>6.1</v>
      </c>
      <c r="I3244" t="s">
        <v>15</v>
      </c>
    </row>
    <row r="3245" spans="1:14" x14ac:dyDescent="0.25">
      <c r="A3245" t="s">
        <v>5047</v>
      </c>
      <c r="B3245">
        <v>92</v>
      </c>
      <c r="C3245">
        <v>6239558</v>
      </c>
      <c r="D3245" t="s">
        <v>5048</v>
      </c>
      <c r="E3245" t="s">
        <v>13</v>
      </c>
      <c r="F3245" t="s">
        <v>98</v>
      </c>
      <c r="G3245">
        <v>5000000</v>
      </c>
      <c r="H3245">
        <v>6.7</v>
      </c>
      <c r="I3245" t="s">
        <v>15</v>
      </c>
      <c r="J3245" t="s">
        <v>31</v>
      </c>
    </row>
    <row r="3246" spans="1:14" x14ac:dyDescent="0.25">
      <c r="A3246" t="s">
        <v>5049</v>
      </c>
      <c r="B3246">
        <v>154</v>
      </c>
      <c r="C3246">
        <v>6201757</v>
      </c>
      <c r="D3246" t="s">
        <v>5050</v>
      </c>
      <c r="E3246" t="s">
        <v>13</v>
      </c>
      <c r="F3246" t="s">
        <v>82</v>
      </c>
      <c r="G3246">
        <v>10000000</v>
      </c>
      <c r="H3246">
        <v>7.4</v>
      </c>
      <c r="I3246" t="s">
        <v>42</v>
      </c>
      <c r="J3246" t="s">
        <v>15</v>
      </c>
      <c r="K3246" t="s">
        <v>31</v>
      </c>
      <c r="L3246" t="s">
        <v>64</v>
      </c>
      <c r="M3246" t="s">
        <v>18</v>
      </c>
      <c r="N3246" t="s">
        <v>59</v>
      </c>
    </row>
    <row r="3247" spans="1:14" x14ac:dyDescent="0.25">
      <c r="A3247" t="s">
        <v>826</v>
      </c>
      <c r="B3247">
        <v>111</v>
      </c>
      <c r="C3247">
        <v>6200756</v>
      </c>
      <c r="D3247" t="s">
        <v>5051</v>
      </c>
      <c r="E3247" t="s">
        <v>13</v>
      </c>
      <c r="F3247" t="s">
        <v>14</v>
      </c>
      <c r="G3247">
        <v>7000000</v>
      </c>
      <c r="H3247">
        <v>7.4</v>
      </c>
      <c r="I3247" t="s">
        <v>15</v>
      </c>
      <c r="J3247" t="s">
        <v>31</v>
      </c>
    </row>
    <row r="3248" spans="1:14" x14ac:dyDescent="0.25">
      <c r="A3248" t="s">
        <v>1984</v>
      </c>
      <c r="B3248">
        <v>112</v>
      </c>
      <c r="C3248">
        <v>6197866</v>
      </c>
      <c r="D3248" t="s">
        <v>5052</v>
      </c>
      <c r="E3248" t="s">
        <v>13</v>
      </c>
      <c r="F3248" t="s">
        <v>295</v>
      </c>
      <c r="G3248">
        <v>10000000</v>
      </c>
      <c r="H3248">
        <v>8</v>
      </c>
      <c r="I3248" t="s">
        <v>42</v>
      </c>
      <c r="J3248" t="s">
        <v>31</v>
      </c>
    </row>
    <row r="3249" spans="1:12" x14ac:dyDescent="0.25">
      <c r="A3249" t="s">
        <v>5053</v>
      </c>
      <c r="B3249">
        <v>141</v>
      </c>
      <c r="C3249">
        <v>6173485</v>
      </c>
      <c r="D3249" t="s">
        <v>5054</v>
      </c>
      <c r="E3249" t="s">
        <v>13</v>
      </c>
      <c r="F3249" t="s">
        <v>241</v>
      </c>
      <c r="G3249">
        <v>7000000</v>
      </c>
      <c r="H3249">
        <v>7.7</v>
      </c>
      <c r="I3249" t="s">
        <v>42</v>
      </c>
      <c r="J3249" t="s">
        <v>31</v>
      </c>
    </row>
    <row r="3250" spans="1:12" x14ac:dyDescent="0.25">
      <c r="A3250" t="s">
        <v>2767</v>
      </c>
      <c r="B3250">
        <v>133</v>
      </c>
      <c r="C3250">
        <v>6167817</v>
      </c>
      <c r="D3250" t="s">
        <v>5055</v>
      </c>
      <c r="E3250" t="s">
        <v>473</v>
      </c>
      <c r="F3250" t="s">
        <v>295</v>
      </c>
      <c r="G3250">
        <v>47000000</v>
      </c>
      <c r="H3250">
        <v>7.7</v>
      </c>
      <c r="I3250" t="s">
        <v>31</v>
      </c>
      <c r="J3250" t="s">
        <v>23</v>
      </c>
      <c r="K3250" t="s">
        <v>19</v>
      </c>
      <c r="L3250" t="s">
        <v>83</v>
      </c>
    </row>
    <row r="3251" spans="1:12" x14ac:dyDescent="0.25">
      <c r="A3251" t="s">
        <v>365</v>
      </c>
      <c r="B3251">
        <v>94</v>
      </c>
      <c r="C3251">
        <v>6165429</v>
      </c>
      <c r="D3251" t="s">
        <v>5056</v>
      </c>
      <c r="E3251" t="s">
        <v>567</v>
      </c>
      <c r="F3251" t="s">
        <v>45</v>
      </c>
      <c r="G3251">
        <v>6000000</v>
      </c>
      <c r="H3251">
        <v>7.5</v>
      </c>
      <c r="I3251" t="s">
        <v>28</v>
      </c>
      <c r="J3251" t="s">
        <v>42</v>
      </c>
      <c r="K3251" t="s">
        <v>31</v>
      </c>
      <c r="L3251" t="s">
        <v>64</v>
      </c>
    </row>
    <row r="3252" spans="1:12" x14ac:dyDescent="0.25">
      <c r="A3252" t="s">
        <v>5057</v>
      </c>
      <c r="B3252">
        <v>150</v>
      </c>
      <c r="C3252">
        <v>6157157</v>
      </c>
      <c r="D3252" t="s">
        <v>5058</v>
      </c>
      <c r="E3252" t="s">
        <v>13</v>
      </c>
      <c r="F3252" t="s">
        <v>14</v>
      </c>
      <c r="G3252">
        <v>5000000</v>
      </c>
      <c r="H3252">
        <v>7</v>
      </c>
      <c r="I3252" t="s">
        <v>15</v>
      </c>
      <c r="J3252" t="s">
        <v>31</v>
      </c>
    </row>
    <row r="3253" spans="1:12" x14ac:dyDescent="0.25">
      <c r="A3253" t="s">
        <v>5059</v>
      </c>
      <c r="B3253">
        <v>118</v>
      </c>
      <c r="C3253">
        <v>6144806</v>
      </c>
      <c r="D3253" t="s">
        <v>5060</v>
      </c>
      <c r="E3253" t="s">
        <v>13</v>
      </c>
      <c r="F3253" t="s">
        <v>14</v>
      </c>
      <c r="G3253">
        <v>23000000</v>
      </c>
      <c r="H3253">
        <v>6.7</v>
      </c>
      <c r="I3253" t="s">
        <v>42</v>
      </c>
      <c r="J3253" t="s">
        <v>31</v>
      </c>
      <c r="K3253" t="s">
        <v>18</v>
      </c>
      <c r="L3253" t="s">
        <v>59</v>
      </c>
    </row>
    <row r="3254" spans="1:12" x14ac:dyDescent="0.25">
      <c r="A3254" t="s">
        <v>5061</v>
      </c>
      <c r="B3254">
        <v>76</v>
      </c>
      <c r="C3254">
        <v>6126237</v>
      </c>
      <c r="D3254" t="s">
        <v>5062</v>
      </c>
      <c r="E3254" t="s">
        <v>13</v>
      </c>
      <c r="F3254" t="s">
        <v>14</v>
      </c>
      <c r="G3254">
        <v>39751583.5</v>
      </c>
      <c r="H3254">
        <v>4.8</v>
      </c>
      <c r="I3254" t="s">
        <v>15</v>
      </c>
      <c r="J3254" t="s">
        <v>19</v>
      </c>
    </row>
    <row r="3255" spans="1:12" x14ac:dyDescent="0.25">
      <c r="A3255" t="s">
        <v>811</v>
      </c>
      <c r="B3255">
        <v>102</v>
      </c>
      <c r="C3255">
        <v>6114237</v>
      </c>
      <c r="D3255" t="s">
        <v>5063</v>
      </c>
      <c r="E3255" t="s">
        <v>13</v>
      </c>
      <c r="F3255" t="s">
        <v>14</v>
      </c>
      <c r="G3255">
        <v>40000000</v>
      </c>
      <c r="H3255">
        <v>6.2</v>
      </c>
      <c r="I3255" t="s">
        <v>31</v>
      </c>
      <c r="J3255" t="s">
        <v>23</v>
      </c>
      <c r="K3255" t="s">
        <v>37</v>
      </c>
      <c r="L3255" t="s">
        <v>24</v>
      </c>
    </row>
    <row r="3256" spans="1:12" x14ac:dyDescent="0.25">
      <c r="A3256" t="s">
        <v>5064</v>
      </c>
      <c r="B3256">
        <v>111</v>
      </c>
      <c r="C3256">
        <v>6109075</v>
      </c>
      <c r="D3256" t="s">
        <v>5065</v>
      </c>
      <c r="E3256" t="s">
        <v>473</v>
      </c>
      <c r="F3256" t="s">
        <v>295</v>
      </c>
      <c r="G3256">
        <v>19430000</v>
      </c>
      <c r="H3256">
        <v>6.7</v>
      </c>
      <c r="I3256" t="s">
        <v>42</v>
      </c>
      <c r="J3256" t="s">
        <v>31</v>
      </c>
    </row>
    <row r="3257" spans="1:12" x14ac:dyDescent="0.25">
      <c r="A3257" t="s">
        <v>149</v>
      </c>
      <c r="B3257">
        <v>112</v>
      </c>
      <c r="C3257">
        <v>6105175</v>
      </c>
      <c r="D3257" t="s">
        <v>5066</v>
      </c>
      <c r="E3257" t="s">
        <v>13</v>
      </c>
      <c r="F3257" t="s">
        <v>14</v>
      </c>
      <c r="G3257">
        <v>44000000</v>
      </c>
      <c r="H3257">
        <v>6.6</v>
      </c>
      <c r="I3257" t="s">
        <v>15</v>
      </c>
    </row>
    <row r="3258" spans="1:12" x14ac:dyDescent="0.25">
      <c r="A3258" t="s">
        <v>1996</v>
      </c>
      <c r="B3258">
        <v>142</v>
      </c>
      <c r="C3258">
        <v>6100000</v>
      </c>
      <c r="D3258" t="s">
        <v>5067</v>
      </c>
      <c r="E3258" t="s">
        <v>1351</v>
      </c>
      <c r="F3258" t="s">
        <v>1342</v>
      </c>
      <c r="G3258">
        <v>1200000</v>
      </c>
      <c r="H3258">
        <v>8.9</v>
      </c>
      <c r="I3258" t="s">
        <v>69</v>
      </c>
    </row>
    <row r="3259" spans="1:12" x14ac:dyDescent="0.25">
      <c r="A3259" t="s">
        <v>5068</v>
      </c>
      <c r="B3259">
        <v>90</v>
      </c>
      <c r="C3259">
        <v>6088249</v>
      </c>
      <c r="D3259" t="s">
        <v>5069</v>
      </c>
      <c r="E3259" t="s">
        <v>13</v>
      </c>
      <c r="F3259" t="s">
        <v>14</v>
      </c>
      <c r="G3259">
        <v>39751583.5</v>
      </c>
      <c r="H3259">
        <v>7</v>
      </c>
      <c r="I3259" t="s">
        <v>15</v>
      </c>
    </row>
    <row r="3260" spans="1:12" x14ac:dyDescent="0.25">
      <c r="A3260" t="s">
        <v>3832</v>
      </c>
      <c r="B3260">
        <v>103</v>
      </c>
      <c r="C3260">
        <v>6061759</v>
      </c>
      <c r="D3260" t="s">
        <v>5070</v>
      </c>
      <c r="E3260" t="s">
        <v>13</v>
      </c>
      <c r="F3260" t="s">
        <v>14</v>
      </c>
      <c r="G3260">
        <v>17000000</v>
      </c>
      <c r="H3260">
        <v>6.3</v>
      </c>
      <c r="I3260" t="s">
        <v>15</v>
      </c>
      <c r="J3260" t="s">
        <v>31</v>
      </c>
      <c r="K3260" t="s">
        <v>19</v>
      </c>
    </row>
    <row r="3261" spans="1:12" x14ac:dyDescent="0.25">
      <c r="A3261" t="s">
        <v>431</v>
      </c>
      <c r="B3261">
        <v>119</v>
      </c>
      <c r="C3261">
        <v>6047856</v>
      </c>
      <c r="D3261" t="s">
        <v>5071</v>
      </c>
      <c r="E3261" t="s">
        <v>13</v>
      </c>
      <c r="F3261" t="s">
        <v>14</v>
      </c>
      <c r="G3261">
        <v>8500000</v>
      </c>
      <c r="H3261">
        <v>6.7</v>
      </c>
      <c r="I3261" t="s">
        <v>34</v>
      </c>
      <c r="J3261" t="s">
        <v>38</v>
      </c>
      <c r="K3261" t="s">
        <v>31</v>
      </c>
      <c r="L3261" t="s">
        <v>24</v>
      </c>
    </row>
    <row r="3262" spans="1:12" x14ac:dyDescent="0.25">
      <c r="A3262" t="s">
        <v>5072</v>
      </c>
      <c r="B3262">
        <v>96</v>
      </c>
      <c r="C3262">
        <v>6044618</v>
      </c>
      <c r="D3262" t="s">
        <v>5073</v>
      </c>
      <c r="E3262" t="s">
        <v>13</v>
      </c>
      <c r="F3262" t="s">
        <v>14</v>
      </c>
      <c r="G3262">
        <v>10000000</v>
      </c>
      <c r="H3262">
        <v>5.6</v>
      </c>
      <c r="I3262" t="s">
        <v>34</v>
      </c>
      <c r="J3262" t="s">
        <v>38</v>
      </c>
      <c r="K3262" t="s">
        <v>31</v>
      </c>
    </row>
    <row r="3263" spans="1:12" x14ac:dyDescent="0.25">
      <c r="A3263" t="s">
        <v>5074</v>
      </c>
      <c r="B3263">
        <v>84</v>
      </c>
      <c r="C3263">
        <v>6026908</v>
      </c>
      <c r="D3263" t="s">
        <v>5075</v>
      </c>
      <c r="E3263" t="s">
        <v>13</v>
      </c>
      <c r="F3263" t="s">
        <v>14</v>
      </c>
      <c r="G3263">
        <v>2000000</v>
      </c>
      <c r="H3263">
        <v>4.3</v>
      </c>
      <c r="I3263" t="s">
        <v>15</v>
      </c>
      <c r="J3263" t="s">
        <v>31</v>
      </c>
    </row>
    <row r="3264" spans="1:12" x14ac:dyDescent="0.25">
      <c r="A3264" t="s">
        <v>5076</v>
      </c>
      <c r="B3264">
        <v>101</v>
      </c>
      <c r="C3264">
        <v>6003587</v>
      </c>
      <c r="D3264" t="s">
        <v>5077</v>
      </c>
      <c r="E3264" t="s">
        <v>13</v>
      </c>
      <c r="F3264" t="s">
        <v>14</v>
      </c>
      <c r="G3264">
        <v>39751583.5</v>
      </c>
      <c r="H3264">
        <v>7.5</v>
      </c>
      <c r="I3264" t="s">
        <v>42</v>
      </c>
      <c r="J3264" t="s">
        <v>15</v>
      </c>
      <c r="K3264" t="s">
        <v>31</v>
      </c>
    </row>
    <row r="3265" spans="1:13" x14ac:dyDescent="0.25">
      <c r="A3265" t="s">
        <v>441</v>
      </c>
      <c r="B3265">
        <v>116</v>
      </c>
      <c r="C3265">
        <v>6002756</v>
      </c>
      <c r="D3265" t="s">
        <v>5078</v>
      </c>
      <c r="E3265" t="s">
        <v>13</v>
      </c>
      <c r="F3265" t="s">
        <v>14</v>
      </c>
      <c r="G3265">
        <v>20000000</v>
      </c>
      <c r="H3265">
        <v>7.2</v>
      </c>
      <c r="I3265" t="s">
        <v>42</v>
      </c>
      <c r="J3265" t="s">
        <v>31</v>
      </c>
      <c r="K3265" t="s">
        <v>41</v>
      </c>
    </row>
    <row r="3266" spans="1:13" x14ac:dyDescent="0.25">
      <c r="A3266" t="s">
        <v>5079</v>
      </c>
      <c r="B3266">
        <v>108</v>
      </c>
      <c r="C3266">
        <v>6000000</v>
      </c>
      <c r="D3266" t="s">
        <v>5080</v>
      </c>
      <c r="E3266" t="s">
        <v>13</v>
      </c>
      <c r="F3266" t="s">
        <v>14</v>
      </c>
      <c r="G3266">
        <v>18000000</v>
      </c>
      <c r="H3266">
        <v>6.7</v>
      </c>
      <c r="I3266" t="s">
        <v>34</v>
      </c>
      <c r="J3266" t="s">
        <v>28</v>
      </c>
      <c r="K3266" t="s">
        <v>17</v>
      </c>
    </row>
    <row r="3267" spans="1:13" x14ac:dyDescent="0.25">
      <c r="A3267" t="s">
        <v>3620</v>
      </c>
      <c r="B3267">
        <v>227</v>
      </c>
      <c r="C3267">
        <v>6000000</v>
      </c>
      <c r="D3267" t="s">
        <v>5081</v>
      </c>
      <c r="E3267" t="s">
        <v>13</v>
      </c>
      <c r="F3267" t="s">
        <v>82</v>
      </c>
      <c r="G3267">
        <v>15000000</v>
      </c>
      <c r="H3267">
        <v>8.4</v>
      </c>
      <c r="I3267" t="s">
        <v>28</v>
      </c>
      <c r="J3267" t="s">
        <v>42</v>
      </c>
      <c r="K3267" t="s">
        <v>31</v>
      </c>
      <c r="L3267" t="s">
        <v>64</v>
      </c>
      <c r="M3267" t="s">
        <v>83</v>
      </c>
    </row>
    <row r="3268" spans="1:13" x14ac:dyDescent="0.25">
      <c r="A3268" t="s">
        <v>5082</v>
      </c>
      <c r="B3268">
        <v>100</v>
      </c>
      <c r="C3268">
        <v>5998971</v>
      </c>
      <c r="D3268" t="s">
        <v>5083</v>
      </c>
      <c r="E3268" t="s">
        <v>13</v>
      </c>
      <c r="F3268" t="s">
        <v>82</v>
      </c>
      <c r="G3268">
        <v>39751583.5</v>
      </c>
      <c r="H3268">
        <v>6.6</v>
      </c>
      <c r="I3268" t="s">
        <v>15</v>
      </c>
      <c r="J3268" t="s">
        <v>19</v>
      </c>
      <c r="K3268" t="s">
        <v>41</v>
      </c>
    </row>
    <row r="3269" spans="1:13" x14ac:dyDescent="0.25">
      <c r="A3269" t="s">
        <v>5084</v>
      </c>
      <c r="B3269">
        <v>95</v>
      </c>
      <c r="C3269">
        <v>5997134</v>
      </c>
      <c r="D3269" t="s">
        <v>5085</v>
      </c>
      <c r="E3269" t="s">
        <v>13</v>
      </c>
      <c r="F3269" t="s">
        <v>14</v>
      </c>
      <c r="G3269">
        <v>1000000</v>
      </c>
      <c r="H3269">
        <v>7.2</v>
      </c>
      <c r="I3269" t="s">
        <v>42</v>
      </c>
      <c r="J3269" t="s">
        <v>15</v>
      </c>
      <c r="K3269" t="s">
        <v>31</v>
      </c>
      <c r="L3269" t="s">
        <v>19</v>
      </c>
    </row>
    <row r="3270" spans="1:13" x14ac:dyDescent="0.25">
      <c r="A3270" t="s">
        <v>5086</v>
      </c>
      <c r="B3270">
        <v>112</v>
      </c>
      <c r="C3270">
        <v>5990075</v>
      </c>
      <c r="D3270" t="s">
        <v>5087</v>
      </c>
      <c r="E3270" t="s">
        <v>473</v>
      </c>
      <c r="F3270" t="s">
        <v>295</v>
      </c>
      <c r="G3270">
        <v>39751583.5</v>
      </c>
      <c r="H3270">
        <v>8</v>
      </c>
      <c r="I3270" t="s">
        <v>42</v>
      </c>
      <c r="J3270" t="s">
        <v>31</v>
      </c>
    </row>
    <row r="3271" spans="1:13" x14ac:dyDescent="0.25">
      <c r="A3271" t="s">
        <v>1791</v>
      </c>
      <c r="B3271">
        <v>104</v>
      </c>
      <c r="C3271">
        <v>5974653</v>
      </c>
      <c r="D3271" t="s">
        <v>5088</v>
      </c>
      <c r="E3271" t="s">
        <v>13</v>
      </c>
      <c r="F3271" t="s">
        <v>14</v>
      </c>
      <c r="G3271">
        <v>22000000</v>
      </c>
      <c r="H3271">
        <v>4.0999999999999996</v>
      </c>
      <c r="I3271" t="s">
        <v>34</v>
      </c>
      <c r="J3271" t="s">
        <v>28</v>
      </c>
      <c r="K3271" t="s">
        <v>17</v>
      </c>
      <c r="L3271" t="s">
        <v>37</v>
      </c>
      <c r="M3271" t="s">
        <v>24</v>
      </c>
    </row>
    <row r="3272" spans="1:13" x14ac:dyDescent="0.25">
      <c r="A3272" t="s">
        <v>3182</v>
      </c>
      <c r="B3272">
        <v>106</v>
      </c>
      <c r="C3272">
        <v>5949693</v>
      </c>
      <c r="D3272" t="s">
        <v>5089</v>
      </c>
      <c r="E3272" t="s">
        <v>13</v>
      </c>
      <c r="F3272" t="s">
        <v>14</v>
      </c>
      <c r="G3272">
        <v>12000000</v>
      </c>
      <c r="H3272">
        <v>7.4</v>
      </c>
      <c r="I3272" t="s">
        <v>15</v>
      </c>
      <c r="J3272" t="s">
        <v>31</v>
      </c>
      <c r="K3272" t="s">
        <v>19</v>
      </c>
    </row>
    <row r="3273" spans="1:13" x14ac:dyDescent="0.25">
      <c r="A3273" t="s">
        <v>5090</v>
      </c>
      <c r="B3273">
        <v>102</v>
      </c>
      <c r="C3273">
        <v>5932060</v>
      </c>
      <c r="D3273" t="s">
        <v>5091</v>
      </c>
      <c r="E3273" t="s">
        <v>13</v>
      </c>
      <c r="F3273" t="s">
        <v>82</v>
      </c>
      <c r="G3273">
        <v>35000000</v>
      </c>
      <c r="H3273">
        <v>5.4</v>
      </c>
      <c r="I3273" t="s">
        <v>34</v>
      </c>
      <c r="J3273" t="s">
        <v>28</v>
      </c>
      <c r="K3273" t="s">
        <v>17</v>
      </c>
      <c r="L3273" t="s">
        <v>83</v>
      </c>
    </row>
    <row r="3274" spans="1:13" x14ac:dyDescent="0.25">
      <c r="A3274" t="s">
        <v>2577</v>
      </c>
      <c r="B3274">
        <v>37</v>
      </c>
      <c r="C3274">
        <v>5923044</v>
      </c>
      <c r="D3274" t="s">
        <v>5092</v>
      </c>
      <c r="E3274" t="s">
        <v>13</v>
      </c>
      <c r="F3274" t="s">
        <v>14</v>
      </c>
      <c r="G3274">
        <v>3600000</v>
      </c>
      <c r="H3274">
        <v>7.8</v>
      </c>
      <c r="I3274" t="s">
        <v>15</v>
      </c>
      <c r="J3274" t="s">
        <v>17</v>
      </c>
      <c r="K3274" t="s">
        <v>22</v>
      </c>
      <c r="L3274" t="s">
        <v>24</v>
      </c>
    </row>
    <row r="3275" spans="1:13" x14ac:dyDescent="0.25">
      <c r="A3275" t="s">
        <v>1139</v>
      </c>
      <c r="B3275">
        <v>110</v>
      </c>
      <c r="C3275">
        <v>5900000</v>
      </c>
      <c r="D3275" t="s">
        <v>5093</v>
      </c>
      <c r="E3275" t="s">
        <v>13</v>
      </c>
      <c r="F3275" t="s">
        <v>82</v>
      </c>
      <c r="G3275">
        <v>16000000</v>
      </c>
      <c r="H3275">
        <v>7.2</v>
      </c>
      <c r="I3275" t="s">
        <v>34</v>
      </c>
      <c r="J3275" t="s">
        <v>28</v>
      </c>
      <c r="K3275" t="s">
        <v>17</v>
      </c>
    </row>
    <row r="3276" spans="1:13" x14ac:dyDescent="0.25">
      <c r="A3276" t="s">
        <v>1129</v>
      </c>
      <c r="B3276">
        <v>147</v>
      </c>
      <c r="C3276">
        <v>5899797</v>
      </c>
      <c r="D3276" t="s">
        <v>5094</v>
      </c>
      <c r="E3276" t="s">
        <v>13</v>
      </c>
      <c r="F3276" t="s">
        <v>82</v>
      </c>
      <c r="G3276">
        <v>29000000</v>
      </c>
      <c r="H3276">
        <v>7.5</v>
      </c>
      <c r="I3276" t="s">
        <v>42</v>
      </c>
      <c r="J3276" t="s">
        <v>31</v>
      </c>
      <c r="K3276" t="s">
        <v>64</v>
      </c>
    </row>
    <row r="3277" spans="1:13" x14ac:dyDescent="0.25">
      <c r="A3277" t="s">
        <v>5095</v>
      </c>
      <c r="B3277">
        <v>84</v>
      </c>
      <c r="C3277">
        <v>5895238</v>
      </c>
      <c r="D3277" t="s">
        <v>5096</v>
      </c>
      <c r="E3277" t="s">
        <v>1498</v>
      </c>
      <c r="F3277" t="s">
        <v>14</v>
      </c>
      <c r="G3277">
        <v>6000000</v>
      </c>
      <c r="H3277">
        <v>5.5</v>
      </c>
      <c r="I3277" t="s">
        <v>15</v>
      </c>
      <c r="J3277" t="s">
        <v>69</v>
      </c>
    </row>
    <row r="3278" spans="1:13" x14ac:dyDescent="0.25">
      <c r="A3278" t="s">
        <v>554</v>
      </c>
      <c r="B3278">
        <v>127</v>
      </c>
      <c r="C3278">
        <v>5887457</v>
      </c>
      <c r="D3278" t="s">
        <v>5097</v>
      </c>
      <c r="E3278" t="s">
        <v>13</v>
      </c>
      <c r="F3278" t="s">
        <v>14</v>
      </c>
      <c r="G3278">
        <v>18000000</v>
      </c>
      <c r="H3278">
        <v>7.9</v>
      </c>
      <c r="I3278" t="s">
        <v>42</v>
      </c>
      <c r="J3278" t="s">
        <v>15</v>
      </c>
      <c r="K3278" t="s">
        <v>31</v>
      </c>
    </row>
    <row r="3279" spans="1:13" x14ac:dyDescent="0.25">
      <c r="A3279" t="s">
        <v>5098</v>
      </c>
      <c r="B3279">
        <v>110</v>
      </c>
      <c r="C3279">
        <v>5881504</v>
      </c>
      <c r="D3279" t="s">
        <v>5099</v>
      </c>
      <c r="E3279" t="s">
        <v>13</v>
      </c>
      <c r="F3279" t="s">
        <v>14</v>
      </c>
      <c r="G3279">
        <v>39000000</v>
      </c>
      <c r="H3279">
        <v>5.3</v>
      </c>
      <c r="I3279" t="s">
        <v>42</v>
      </c>
      <c r="J3279" t="s">
        <v>31</v>
      </c>
      <c r="K3279" t="s">
        <v>19</v>
      </c>
      <c r="L3279" t="s">
        <v>41</v>
      </c>
    </row>
    <row r="3280" spans="1:13" x14ac:dyDescent="0.25">
      <c r="A3280" t="s">
        <v>5100</v>
      </c>
      <c r="B3280">
        <v>99</v>
      </c>
      <c r="C3280">
        <v>5871603</v>
      </c>
      <c r="D3280" t="s">
        <v>5101</v>
      </c>
      <c r="E3280" t="s">
        <v>13</v>
      </c>
      <c r="F3280" t="s">
        <v>14</v>
      </c>
      <c r="G3280">
        <v>13000000</v>
      </c>
      <c r="H3280">
        <v>6</v>
      </c>
      <c r="I3280" t="s">
        <v>31</v>
      </c>
      <c r="J3280" t="s">
        <v>24</v>
      </c>
    </row>
    <row r="3281" spans="1:13" x14ac:dyDescent="0.25">
      <c r="A3281" t="s">
        <v>979</v>
      </c>
      <c r="B3281">
        <v>116</v>
      </c>
      <c r="C3281">
        <v>5851188</v>
      </c>
      <c r="D3281" t="s">
        <v>5102</v>
      </c>
      <c r="E3281" t="s">
        <v>13</v>
      </c>
      <c r="F3281" t="s">
        <v>82</v>
      </c>
      <c r="G3281">
        <v>70000000</v>
      </c>
      <c r="H3281">
        <v>4.2</v>
      </c>
      <c r="I3281" t="s">
        <v>38</v>
      </c>
      <c r="J3281" t="s">
        <v>23</v>
      </c>
      <c r="K3281" t="s">
        <v>24</v>
      </c>
    </row>
    <row r="3282" spans="1:13" x14ac:dyDescent="0.25">
      <c r="A3282" t="s">
        <v>2244</v>
      </c>
      <c r="B3282">
        <v>90</v>
      </c>
      <c r="C3282">
        <v>5844929</v>
      </c>
      <c r="D3282" t="s">
        <v>5103</v>
      </c>
      <c r="E3282" t="s">
        <v>13</v>
      </c>
      <c r="F3282" t="s">
        <v>14</v>
      </c>
      <c r="G3282">
        <v>3000000</v>
      </c>
      <c r="H3282">
        <v>7</v>
      </c>
      <c r="I3282" t="s">
        <v>15</v>
      </c>
      <c r="J3282" t="s">
        <v>31</v>
      </c>
    </row>
    <row r="3283" spans="1:13" x14ac:dyDescent="0.25">
      <c r="A3283" t="s">
        <v>403</v>
      </c>
      <c r="B3283">
        <v>80</v>
      </c>
      <c r="C3283">
        <v>5792822</v>
      </c>
      <c r="D3283" t="s">
        <v>5104</v>
      </c>
      <c r="E3283" t="s">
        <v>13</v>
      </c>
      <c r="F3283" t="s">
        <v>14</v>
      </c>
      <c r="G3283">
        <v>2700000</v>
      </c>
      <c r="H3283">
        <v>8</v>
      </c>
      <c r="I3283" t="s">
        <v>31</v>
      </c>
      <c r="J3283" t="s">
        <v>19</v>
      </c>
    </row>
    <row r="3284" spans="1:13" x14ac:dyDescent="0.25">
      <c r="A3284" t="s">
        <v>5105</v>
      </c>
      <c r="B3284">
        <v>105</v>
      </c>
      <c r="C3284">
        <v>5776314</v>
      </c>
      <c r="D3284" t="s">
        <v>5106</v>
      </c>
      <c r="E3284" t="s">
        <v>13</v>
      </c>
      <c r="F3284" t="s">
        <v>14</v>
      </c>
      <c r="G3284">
        <v>3200000</v>
      </c>
      <c r="H3284">
        <v>7.2</v>
      </c>
      <c r="I3284" t="s">
        <v>15</v>
      </c>
      <c r="J3284" t="s">
        <v>31</v>
      </c>
      <c r="K3284" t="s">
        <v>19</v>
      </c>
    </row>
    <row r="3285" spans="1:13" x14ac:dyDescent="0.25">
      <c r="A3285" t="s">
        <v>3869</v>
      </c>
      <c r="B3285">
        <v>110</v>
      </c>
      <c r="C3285">
        <v>5773519</v>
      </c>
      <c r="D3285" t="s">
        <v>5107</v>
      </c>
      <c r="E3285" t="s">
        <v>13</v>
      </c>
      <c r="F3285" t="s">
        <v>14</v>
      </c>
      <c r="G3285">
        <v>40000000</v>
      </c>
      <c r="H3285">
        <v>6</v>
      </c>
      <c r="I3285" t="s">
        <v>31</v>
      </c>
      <c r="J3285" t="s">
        <v>22</v>
      </c>
      <c r="K3285" t="s">
        <v>37</v>
      </c>
      <c r="L3285" t="s">
        <v>24</v>
      </c>
    </row>
    <row r="3286" spans="1:13" x14ac:dyDescent="0.25">
      <c r="A3286" t="s">
        <v>3869</v>
      </c>
      <c r="B3286">
        <v>110</v>
      </c>
      <c r="C3286">
        <v>5773519</v>
      </c>
      <c r="D3286" t="s">
        <v>5107</v>
      </c>
      <c r="E3286" t="s">
        <v>13</v>
      </c>
      <c r="F3286" t="s">
        <v>14</v>
      </c>
      <c r="G3286">
        <v>40000000</v>
      </c>
      <c r="H3286">
        <v>6</v>
      </c>
      <c r="I3286" t="s">
        <v>31</v>
      </c>
      <c r="J3286" t="s">
        <v>22</v>
      </c>
      <c r="K3286" t="s">
        <v>37</v>
      </c>
      <c r="L3286" t="s">
        <v>24</v>
      </c>
    </row>
    <row r="3287" spans="1:13" x14ac:dyDescent="0.25">
      <c r="A3287" t="s">
        <v>731</v>
      </c>
      <c r="B3287">
        <v>124</v>
      </c>
      <c r="C3287">
        <v>5755286</v>
      </c>
      <c r="D3287" t="s">
        <v>5108</v>
      </c>
      <c r="E3287" t="s">
        <v>13</v>
      </c>
      <c r="F3287" t="s">
        <v>14</v>
      </c>
      <c r="G3287">
        <v>55000000</v>
      </c>
      <c r="H3287">
        <v>5.9</v>
      </c>
      <c r="I3287" t="s">
        <v>31</v>
      </c>
      <c r="J3287" t="s">
        <v>19</v>
      </c>
      <c r="K3287" t="s">
        <v>41</v>
      </c>
    </row>
    <row r="3288" spans="1:13" x14ac:dyDescent="0.25">
      <c r="A3288" t="s">
        <v>5044</v>
      </c>
      <c r="B3288">
        <v>125</v>
      </c>
      <c r="C3288">
        <v>5749134</v>
      </c>
      <c r="D3288" t="s">
        <v>5109</v>
      </c>
      <c r="E3288" t="s">
        <v>13</v>
      </c>
      <c r="F3288" t="s">
        <v>14</v>
      </c>
      <c r="G3288">
        <v>20000000</v>
      </c>
      <c r="H3288">
        <v>7</v>
      </c>
      <c r="I3288" t="s">
        <v>34</v>
      </c>
      <c r="J3288" t="s">
        <v>38</v>
      </c>
      <c r="K3288" t="s">
        <v>31</v>
      </c>
      <c r="L3288" t="s">
        <v>24</v>
      </c>
    </row>
    <row r="3289" spans="1:13" x14ac:dyDescent="0.25">
      <c r="A3289" t="s">
        <v>2843</v>
      </c>
      <c r="B3289">
        <v>89</v>
      </c>
      <c r="C3289">
        <v>5739376</v>
      </c>
      <c r="D3289" t="s">
        <v>5110</v>
      </c>
      <c r="E3289" t="s">
        <v>13</v>
      </c>
      <c r="F3289" t="s">
        <v>14</v>
      </c>
      <c r="G3289">
        <v>500000</v>
      </c>
      <c r="H3289">
        <v>7.7</v>
      </c>
      <c r="I3289" t="s">
        <v>15</v>
      </c>
      <c r="J3289" t="s">
        <v>31</v>
      </c>
    </row>
    <row r="3290" spans="1:13" x14ac:dyDescent="0.25">
      <c r="A3290" t="s">
        <v>302</v>
      </c>
      <c r="B3290">
        <v>120</v>
      </c>
      <c r="C3290">
        <v>5731103</v>
      </c>
      <c r="D3290" t="s">
        <v>5111</v>
      </c>
      <c r="E3290" t="s">
        <v>13</v>
      </c>
      <c r="F3290" t="s">
        <v>14</v>
      </c>
      <c r="G3290">
        <v>2400000</v>
      </c>
      <c r="H3290">
        <v>6.8</v>
      </c>
      <c r="I3290" t="s">
        <v>31</v>
      </c>
      <c r="J3290" t="s">
        <v>64</v>
      </c>
    </row>
    <row r="3291" spans="1:13" x14ac:dyDescent="0.25">
      <c r="A3291" t="s">
        <v>5112</v>
      </c>
      <c r="B3291">
        <v>118</v>
      </c>
      <c r="C3291">
        <v>5709616</v>
      </c>
      <c r="D3291" t="s">
        <v>5113</v>
      </c>
      <c r="E3291" t="s">
        <v>1498</v>
      </c>
      <c r="F3291" t="s">
        <v>1901</v>
      </c>
      <c r="G3291">
        <v>1800000</v>
      </c>
      <c r="H3291">
        <v>6.8</v>
      </c>
      <c r="I3291" t="s">
        <v>31</v>
      </c>
      <c r="J3291" t="s">
        <v>19</v>
      </c>
    </row>
    <row r="3292" spans="1:13" x14ac:dyDescent="0.25">
      <c r="A3292" t="s">
        <v>1819</v>
      </c>
      <c r="B3292">
        <v>99</v>
      </c>
      <c r="C3292">
        <v>5702083</v>
      </c>
      <c r="D3292" t="s">
        <v>5114</v>
      </c>
      <c r="E3292" t="s">
        <v>13</v>
      </c>
      <c r="F3292" t="s">
        <v>82</v>
      </c>
      <c r="G3292">
        <v>15000000</v>
      </c>
      <c r="H3292">
        <v>6.5</v>
      </c>
      <c r="I3292" t="s">
        <v>42</v>
      </c>
      <c r="J3292" t="s">
        <v>31</v>
      </c>
      <c r="K3292" t="s">
        <v>24</v>
      </c>
    </row>
    <row r="3293" spans="1:13" x14ac:dyDescent="0.25">
      <c r="A3293" t="s">
        <v>5115</v>
      </c>
      <c r="B3293">
        <v>126</v>
      </c>
      <c r="C3293">
        <v>5701643</v>
      </c>
      <c r="D3293" t="s">
        <v>5116</v>
      </c>
      <c r="E3293" t="s">
        <v>5117</v>
      </c>
      <c r="F3293" t="s">
        <v>1610</v>
      </c>
      <c r="G3293">
        <v>20000000</v>
      </c>
      <c r="H3293">
        <v>7.3</v>
      </c>
      <c r="I3293" t="s">
        <v>28</v>
      </c>
      <c r="J3293" t="s">
        <v>42</v>
      </c>
      <c r="K3293" t="s">
        <v>31</v>
      </c>
      <c r="L3293" t="s">
        <v>64</v>
      </c>
      <c r="M3293" t="s">
        <v>83</v>
      </c>
    </row>
    <row r="3294" spans="1:13" x14ac:dyDescent="0.25">
      <c r="A3294" t="s">
        <v>2833</v>
      </c>
      <c r="B3294">
        <v>114</v>
      </c>
      <c r="C3294">
        <v>5694401</v>
      </c>
      <c r="D3294" t="s">
        <v>5118</v>
      </c>
      <c r="E3294" t="s">
        <v>13</v>
      </c>
      <c r="F3294" t="s">
        <v>82</v>
      </c>
      <c r="G3294">
        <v>18000000</v>
      </c>
      <c r="H3294">
        <v>7.3</v>
      </c>
      <c r="I3294" t="s">
        <v>34</v>
      </c>
      <c r="J3294" t="s">
        <v>38</v>
      </c>
      <c r="K3294" t="s">
        <v>24</v>
      </c>
    </row>
    <row r="3295" spans="1:13" x14ac:dyDescent="0.25">
      <c r="A3295" t="s">
        <v>4318</v>
      </c>
      <c r="B3295">
        <v>93</v>
      </c>
      <c r="C3295">
        <v>5694308</v>
      </c>
      <c r="D3295" t="s">
        <v>5119</v>
      </c>
      <c r="E3295" t="s">
        <v>13</v>
      </c>
      <c r="F3295" t="s">
        <v>14</v>
      </c>
      <c r="G3295">
        <v>7000000</v>
      </c>
      <c r="H3295">
        <v>2</v>
      </c>
      <c r="I3295" t="s">
        <v>15</v>
      </c>
      <c r="J3295" t="s">
        <v>41</v>
      </c>
    </row>
    <row r="3296" spans="1:13" x14ac:dyDescent="0.25">
      <c r="A3296" t="s">
        <v>5120</v>
      </c>
      <c r="B3296">
        <v>145</v>
      </c>
      <c r="C3296">
        <v>5669081</v>
      </c>
      <c r="D3296" t="s">
        <v>5121</v>
      </c>
      <c r="E3296" t="s">
        <v>1498</v>
      </c>
      <c r="F3296" t="s">
        <v>1901</v>
      </c>
      <c r="G3296">
        <v>10818775</v>
      </c>
      <c r="H3296">
        <v>6.6</v>
      </c>
      <c r="I3296" t="s">
        <v>31</v>
      </c>
      <c r="J3296" t="s">
        <v>64</v>
      </c>
      <c r="K3296" t="s">
        <v>83</v>
      </c>
    </row>
    <row r="3297" spans="1:14" x14ac:dyDescent="0.25">
      <c r="A3297" t="s">
        <v>5122</v>
      </c>
      <c r="B3297">
        <v>100</v>
      </c>
      <c r="C3297">
        <v>5664251</v>
      </c>
      <c r="D3297" t="s">
        <v>5123</v>
      </c>
      <c r="E3297" t="s">
        <v>13</v>
      </c>
      <c r="F3297" t="s">
        <v>1472</v>
      </c>
      <c r="G3297">
        <v>45000000</v>
      </c>
      <c r="H3297">
        <v>6.3</v>
      </c>
      <c r="I3297" t="s">
        <v>34</v>
      </c>
      <c r="J3297" t="s">
        <v>17</v>
      </c>
      <c r="K3297" t="s">
        <v>69</v>
      </c>
    </row>
    <row r="3298" spans="1:14" x14ac:dyDescent="0.25">
      <c r="A3298" t="s">
        <v>2860</v>
      </c>
      <c r="B3298">
        <v>121</v>
      </c>
      <c r="C3298">
        <v>5660084</v>
      </c>
      <c r="D3298" t="s">
        <v>5124</v>
      </c>
      <c r="E3298" t="s">
        <v>13</v>
      </c>
      <c r="F3298" t="s">
        <v>14</v>
      </c>
      <c r="G3298">
        <v>54000000</v>
      </c>
      <c r="H3298">
        <v>2.4</v>
      </c>
      <c r="I3298" t="s">
        <v>15</v>
      </c>
      <c r="J3298" t="s">
        <v>38</v>
      </c>
      <c r="K3298" t="s">
        <v>19</v>
      </c>
    </row>
    <row r="3299" spans="1:14" x14ac:dyDescent="0.25">
      <c r="A3299" t="s">
        <v>5125</v>
      </c>
      <c r="B3299">
        <v>95</v>
      </c>
      <c r="C3299">
        <v>5654777</v>
      </c>
      <c r="D3299" t="s">
        <v>5126</v>
      </c>
      <c r="E3299" t="s">
        <v>13</v>
      </c>
      <c r="F3299" t="s">
        <v>14</v>
      </c>
      <c r="G3299">
        <v>25000000</v>
      </c>
      <c r="H3299">
        <v>4.0999999999999996</v>
      </c>
      <c r="I3299" t="s">
        <v>34</v>
      </c>
      <c r="J3299" t="s">
        <v>15</v>
      </c>
      <c r="K3299" t="s">
        <v>38</v>
      </c>
      <c r="L3299" t="s">
        <v>31</v>
      </c>
      <c r="M3299" t="s">
        <v>24</v>
      </c>
    </row>
    <row r="3300" spans="1:14" x14ac:dyDescent="0.25">
      <c r="A3300" t="s">
        <v>932</v>
      </c>
      <c r="B3300">
        <v>108</v>
      </c>
      <c r="C3300">
        <v>5600000</v>
      </c>
      <c r="D3300" t="s">
        <v>5127</v>
      </c>
      <c r="E3300" t="s">
        <v>13</v>
      </c>
      <c r="F3300" t="s">
        <v>14</v>
      </c>
      <c r="G3300">
        <v>47000000</v>
      </c>
      <c r="H3300">
        <v>5.8</v>
      </c>
      <c r="I3300" t="s">
        <v>31</v>
      </c>
      <c r="J3300" t="s">
        <v>22</v>
      </c>
      <c r="K3300" t="s">
        <v>19</v>
      </c>
      <c r="L3300" t="s">
        <v>24</v>
      </c>
    </row>
    <row r="3301" spans="1:14" x14ac:dyDescent="0.25">
      <c r="A3301" t="s">
        <v>3723</v>
      </c>
      <c r="B3301">
        <v>113</v>
      </c>
      <c r="C3301">
        <v>5595428</v>
      </c>
      <c r="D3301" t="s">
        <v>5128</v>
      </c>
      <c r="E3301" t="s">
        <v>1568</v>
      </c>
      <c r="F3301" t="s">
        <v>1569</v>
      </c>
      <c r="G3301">
        <v>2900000</v>
      </c>
      <c r="H3301">
        <v>8</v>
      </c>
      <c r="I3301" t="s">
        <v>31</v>
      </c>
    </row>
    <row r="3302" spans="1:14" x14ac:dyDescent="0.25">
      <c r="A3302" t="s">
        <v>4090</v>
      </c>
      <c r="B3302">
        <v>86</v>
      </c>
      <c r="C3302">
        <v>5542025</v>
      </c>
      <c r="D3302" t="s">
        <v>5129</v>
      </c>
      <c r="E3302" t="s">
        <v>13</v>
      </c>
      <c r="F3302" t="s">
        <v>14</v>
      </c>
      <c r="G3302">
        <v>12000000</v>
      </c>
      <c r="H3302">
        <v>6.3</v>
      </c>
      <c r="I3302" t="s">
        <v>15</v>
      </c>
    </row>
    <row r="3303" spans="1:14" x14ac:dyDescent="0.25">
      <c r="A3303" t="s">
        <v>452</v>
      </c>
      <c r="B3303">
        <v>134</v>
      </c>
      <c r="C3303">
        <v>5532301</v>
      </c>
      <c r="D3303" t="s">
        <v>5130</v>
      </c>
      <c r="E3303" t="s">
        <v>13</v>
      </c>
      <c r="F3303" t="s">
        <v>14</v>
      </c>
      <c r="G3303">
        <v>28000000</v>
      </c>
      <c r="H3303">
        <v>7</v>
      </c>
      <c r="I3303" t="s">
        <v>42</v>
      </c>
      <c r="J3303" t="s">
        <v>31</v>
      </c>
      <c r="K3303" t="s">
        <v>64</v>
      </c>
      <c r="L3303" t="s">
        <v>83</v>
      </c>
    </row>
    <row r="3304" spans="1:14" x14ac:dyDescent="0.25">
      <c r="A3304" t="s">
        <v>5131</v>
      </c>
      <c r="B3304">
        <v>86</v>
      </c>
      <c r="C3304">
        <v>5518918</v>
      </c>
      <c r="D3304" t="s">
        <v>5132</v>
      </c>
      <c r="E3304" t="s">
        <v>13</v>
      </c>
      <c r="F3304" t="s">
        <v>14</v>
      </c>
      <c r="G3304">
        <v>750000</v>
      </c>
      <c r="H3304">
        <v>6.9</v>
      </c>
      <c r="I3304" t="s">
        <v>34</v>
      </c>
      <c r="J3304" t="s">
        <v>28</v>
      </c>
      <c r="K3304" t="s">
        <v>46</v>
      </c>
      <c r="L3304" t="s">
        <v>15</v>
      </c>
      <c r="M3304" t="s">
        <v>17</v>
      </c>
      <c r="N3304" t="s">
        <v>37</v>
      </c>
    </row>
    <row r="3305" spans="1:14" x14ac:dyDescent="0.25">
      <c r="A3305" t="s">
        <v>5133</v>
      </c>
      <c r="B3305">
        <v>95</v>
      </c>
      <c r="C3305">
        <v>5516708</v>
      </c>
      <c r="D3305" t="s">
        <v>5134</v>
      </c>
      <c r="E3305" t="s">
        <v>13</v>
      </c>
      <c r="F3305" t="s">
        <v>14</v>
      </c>
      <c r="G3305">
        <v>25000000</v>
      </c>
      <c r="H3305">
        <v>4.9000000000000004</v>
      </c>
      <c r="I3305" t="s">
        <v>15</v>
      </c>
      <c r="J3305" t="s">
        <v>19</v>
      </c>
    </row>
    <row r="3306" spans="1:14" x14ac:dyDescent="0.25">
      <c r="A3306" t="s">
        <v>4343</v>
      </c>
      <c r="B3306">
        <v>178</v>
      </c>
      <c r="C3306">
        <v>5501940</v>
      </c>
      <c r="D3306" t="s">
        <v>5135</v>
      </c>
      <c r="E3306" t="s">
        <v>1277</v>
      </c>
      <c r="F3306" t="s">
        <v>241</v>
      </c>
      <c r="G3306">
        <v>13500000</v>
      </c>
      <c r="H3306">
        <v>8.3000000000000007</v>
      </c>
      <c r="I3306" t="s">
        <v>42</v>
      </c>
      <c r="J3306" t="s">
        <v>31</v>
      </c>
      <c r="K3306" t="s">
        <v>64</v>
      </c>
      <c r="L3306" t="s">
        <v>83</v>
      </c>
    </row>
    <row r="3307" spans="1:14" x14ac:dyDescent="0.25">
      <c r="A3307" t="s">
        <v>5136</v>
      </c>
      <c r="B3307">
        <v>120</v>
      </c>
      <c r="C3307">
        <v>5484375</v>
      </c>
      <c r="D3307" t="s">
        <v>5137</v>
      </c>
      <c r="E3307" t="s">
        <v>13</v>
      </c>
      <c r="F3307" t="s">
        <v>14</v>
      </c>
      <c r="G3307">
        <v>10000000</v>
      </c>
      <c r="H3307">
        <v>7.3</v>
      </c>
      <c r="I3307" t="s">
        <v>28</v>
      </c>
      <c r="J3307" t="s">
        <v>42</v>
      </c>
      <c r="K3307" t="s">
        <v>31</v>
      </c>
      <c r="L3307" t="s">
        <v>83</v>
      </c>
    </row>
    <row r="3308" spans="1:14" x14ac:dyDescent="0.25">
      <c r="A3308" t="s">
        <v>403</v>
      </c>
      <c r="B3308">
        <v>100</v>
      </c>
      <c r="C3308">
        <v>5480996</v>
      </c>
      <c r="D3308" t="s">
        <v>5138</v>
      </c>
      <c r="E3308" t="s">
        <v>13</v>
      </c>
      <c r="F3308" t="s">
        <v>14</v>
      </c>
      <c r="G3308">
        <v>8700000</v>
      </c>
      <c r="H3308">
        <v>7.1</v>
      </c>
      <c r="I3308" t="s">
        <v>46</v>
      </c>
      <c r="J3308" t="s">
        <v>31</v>
      </c>
      <c r="K3308" t="s">
        <v>23</v>
      </c>
      <c r="L3308" t="s">
        <v>37</v>
      </c>
      <c r="M3308" t="s">
        <v>24</v>
      </c>
    </row>
    <row r="3309" spans="1:14" x14ac:dyDescent="0.25">
      <c r="A3309" t="s">
        <v>5005</v>
      </c>
      <c r="B3309">
        <v>91</v>
      </c>
      <c r="C3309">
        <v>5480318</v>
      </c>
      <c r="D3309" t="s">
        <v>5139</v>
      </c>
      <c r="E3309" t="s">
        <v>13</v>
      </c>
      <c r="F3309" t="s">
        <v>14</v>
      </c>
      <c r="G3309">
        <v>5000000</v>
      </c>
      <c r="H3309">
        <v>6.6</v>
      </c>
      <c r="I3309" t="s">
        <v>15</v>
      </c>
      <c r="J3309" t="s">
        <v>31</v>
      </c>
    </row>
    <row r="3310" spans="1:14" x14ac:dyDescent="0.25">
      <c r="A3310" t="s">
        <v>3208</v>
      </c>
      <c r="B3310">
        <v>137</v>
      </c>
      <c r="C3310">
        <v>5459824</v>
      </c>
      <c r="D3310" t="s">
        <v>5140</v>
      </c>
      <c r="E3310" t="s">
        <v>13</v>
      </c>
      <c r="F3310" t="s">
        <v>14</v>
      </c>
      <c r="G3310">
        <v>26000000</v>
      </c>
      <c r="H3310">
        <v>7.6</v>
      </c>
      <c r="I3310" t="s">
        <v>31</v>
      </c>
      <c r="J3310" t="s">
        <v>19</v>
      </c>
    </row>
    <row r="3311" spans="1:14" x14ac:dyDescent="0.25">
      <c r="A3311" t="s">
        <v>5141</v>
      </c>
      <c r="B3311">
        <v>96</v>
      </c>
      <c r="C3311">
        <v>5430822</v>
      </c>
      <c r="D3311" t="s">
        <v>5142</v>
      </c>
      <c r="E3311" t="s">
        <v>13</v>
      </c>
      <c r="F3311" t="s">
        <v>82</v>
      </c>
      <c r="G3311">
        <v>7000000</v>
      </c>
      <c r="H3311">
        <v>6.2</v>
      </c>
      <c r="I3311" t="s">
        <v>34</v>
      </c>
      <c r="J3311" t="s">
        <v>38</v>
      </c>
      <c r="K3311" t="s">
        <v>22</v>
      </c>
      <c r="L3311" t="s">
        <v>37</v>
      </c>
      <c r="M3311" t="s">
        <v>24</v>
      </c>
    </row>
    <row r="3312" spans="1:14" x14ac:dyDescent="0.25">
      <c r="A3312" t="s">
        <v>527</v>
      </c>
      <c r="B3312">
        <v>93</v>
      </c>
      <c r="C3312">
        <v>5409517</v>
      </c>
      <c r="D3312" t="s">
        <v>5143</v>
      </c>
      <c r="E3312" t="s">
        <v>13</v>
      </c>
      <c r="F3312" t="s">
        <v>14</v>
      </c>
      <c r="G3312">
        <v>75000000</v>
      </c>
      <c r="H3312">
        <v>4.7</v>
      </c>
      <c r="I3312" t="s">
        <v>46</v>
      </c>
      <c r="J3312" t="s">
        <v>15</v>
      </c>
      <c r="K3312" t="s">
        <v>17</v>
      </c>
    </row>
    <row r="3313" spans="1:13" x14ac:dyDescent="0.25">
      <c r="A3313" t="s">
        <v>403</v>
      </c>
      <c r="B3313">
        <v>105</v>
      </c>
      <c r="C3313">
        <v>5400000</v>
      </c>
      <c r="D3313" t="s">
        <v>5144</v>
      </c>
      <c r="E3313" t="s">
        <v>13</v>
      </c>
      <c r="F3313" t="s">
        <v>14</v>
      </c>
      <c r="G3313">
        <v>2500000</v>
      </c>
      <c r="H3313">
        <v>8.1</v>
      </c>
      <c r="I3313" t="s">
        <v>31</v>
      </c>
      <c r="J3313" t="s">
        <v>19</v>
      </c>
    </row>
    <row r="3314" spans="1:13" x14ac:dyDescent="0.25">
      <c r="A3314" t="s">
        <v>2940</v>
      </c>
      <c r="B3314">
        <v>115</v>
      </c>
      <c r="C3314">
        <v>5383834</v>
      </c>
      <c r="D3314" t="s">
        <v>5145</v>
      </c>
      <c r="E3314" t="s">
        <v>1498</v>
      </c>
      <c r="F3314" t="s">
        <v>1901</v>
      </c>
      <c r="G3314">
        <v>2000000</v>
      </c>
      <c r="H3314">
        <v>8.1</v>
      </c>
      <c r="I3314" t="s">
        <v>31</v>
      </c>
      <c r="J3314" t="s">
        <v>24</v>
      </c>
    </row>
    <row r="3315" spans="1:13" x14ac:dyDescent="0.25">
      <c r="A3315" t="s">
        <v>5146</v>
      </c>
      <c r="B3315">
        <v>96</v>
      </c>
      <c r="C3315">
        <v>5359774</v>
      </c>
      <c r="D3315" t="s">
        <v>5147</v>
      </c>
      <c r="E3315" t="s">
        <v>13</v>
      </c>
      <c r="F3315" t="s">
        <v>1465</v>
      </c>
      <c r="G3315">
        <v>6000000</v>
      </c>
      <c r="H3315">
        <v>7.3</v>
      </c>
      <c r="I3315" t="s">
        <v>15</v>
      </c>
      <c r="J3315" t="s">
        <v>38</v>
      </c>
      <c r="K3315" t="s">
        <v>24</v>
      </c>
    </row>
    <row r="3316" spans="1:13" x14ac:dyDescent="0.25">
      <c r="A3316" t="s">
        <v>4700</v>
      </c>
      <c r="B3316">
        <v>107</v>
      </c>
      <c r="C3316">
        <v>5355847</v>
      </c>
      <c r="D3316" t="s">
        <v>5148</v>
      </c>
      <c r="E3316" t="s">
        <v>13</v>
      </c>
      <c r="F3316" t="s">
        <v>14</v>
      </c>
      <c r="G3316">
        <v>39751583.5</v>
      </c>
      <c r="H3316">
        <v>6.8</v>
      </c>
      <c r="I3316" t="s">
        <v>31</v>
      </c>
    </row>
    <row r="3317" spans="1:13" x14ac:dyDescent="0.25">
      <c r="A3317" t="s">
        <v>452</v>
      </c>
      <c r="B3317">
        <v>122</v>
      </c>
      <c r="C3317">
        <v>5355376</v>
      </c>
      <c r="D3317" t="s">
        <v>5149</v>
      </c>
      <c r="E3317" t="s">
        <v>13</v>
      </c>
      <c r="F3317" t="s">
        <v>14</v>
      </c>
      <c r="G3317">
        <v>39751583.5</v>
      </c>
      <c r="H3317">
        <v>7.2</v>
      </c>
      <c r="I3317" t="s">
        <v>42</v>
      </c>
      <c r="J3317" t="s">
        <v>52</v>
      </c>
      <c r="K3317" t="s">
        <v>18</v>
      </c>
    </row>
    <row r="3318" spans="1:13" x14ac:dyDescent="0.25">
      <c r="A3318" t="s">
        <v>5044</v>
      </c>
      <c r="B3318">
        <v>107</v>
      </c>
      <c r="C3318">
        <v>5354039</v>
      </c>
      <c r="D3318" t="s">
        <v>5150</v>
      </c>
      <c r="E3318" t="s">
        <v>13</v>
      </c>
      <c r="F3318" t="s">
        <v>14</v>
      </c>
      <c r="G3318">
        <v>3500000</v>
      </c>
      <c r="H3318">
        <v>7.1</v>
      </c>
      <c r="I3318" t="s">
        <v>42</v>
      </c>
      <c r="J3318" t="s">
        <v>31</v>
      </c>
      <c r="K3318" t="s">
        <v>24</v>
      </c>
    </row>
    <row r="3319" spans="1:13" x14ac:dyDescent="0.25">
      <c r="A3319" t="s">
        <v>5151</v>
      </c>
      <c r="B3319">
        <v>106</v>
      </c>
      <c r="C3319">
        <v>5348317</v>
      </c>
      <c r="D3319" t="s">
        <v>5152</v>
      </c>
      <c r="E3319" t="s">
        <v>13</v>
      </c>
      <c r="F3319" t="s">
        <v>14</v>
      </c>
      <c r="G3319">
        <v>10000000</v>
      </c>
      <c r="H3319">
        <v>7.1</v>
      </c>
      <c r="I3319" t="s">
        <v>15</v>
      </c>
      <c r="J3319" t="s">
        <v>31</v>
      </c>
      <c r="K3319" t="s">
        <v>18</v>
      </c>
    </row>
    <row r="3320" spans="1:13" x14ac:dyDescent="0.25">
      <c r="A3320" t="s">
        <v>5153</v>
      </c>
      <c r="B3320">
        <v>99</v>
      </c>
      <c r="C3320">
        <v>5333658</v>
      </c>
      <c r="D3320" t="s">
        <v>5154</v>
      </c>
      <c r="E3320" t="s">
        <v>13</v>
      </c>
      <c r="F3320" t="s">
        <v>14</v>
      </c>
      <c r="G3320">
        <v>20000000</v>
      </c>
      <c r="H3320">
        <v>3.5</v>
      </c>
      <c r="I3320" t="s">
        <v>34</v>
      </c>
      <c r="J3320" t="s">
        <v>37</v>
      </c>
    </row>
    <row r="3321" spans="1:13" x14ac:dyDescent="0.25">
      <c r="A3321" t="s">
        <v>3578</v>
      </c>
      <c r="B3321">
        <v>95</v>
      </c>
      <c r="C3321">
        <v>5308707</v>
      </c>
      <c r="D3321" t="s">
        <v>5155</v>
      </c>
      <c r="E3321" t="s">
        <v>13</v>
      </c>
      <c r="F3321" t="s">
        <v>14</v>
      </c>
      <c r="G3321">
        <v>5000000</v>
      </c>
      <c r="H3321">
        <v>6.4</v>
      </c>
      <c r="I3321" t="s">
        <v>15</v>
      </c>
      <c r="J3321" t="s">
        <v>38</v>
      </c>
      <c r="K3321" t="s">
        <v>31</v>
      </c>
      <c r="L3321" t="s">
        <v>24</v>
      </c>
    </row>
    <row r="3322" spans="1:13" x14ac:dyDescent="0.25">
      <c r="A3322" t="s">
        <v>3589</v>
      </c>
      <c r="B3322">
        <v>121</v>
      </c>
      <c r="C3322">
        <v>5308553</v>
      </c>
      <c r="D3322" t="s">
        <v>5156</v>
      </c>
      <c r="E3322" t="s">
        <v>13</v>
      </c>
      <c r="F3322" t="s">
        <v>14</v>
      </c>
      <c r="G3322">
        <v>39751583.5</v>
      </c>
      <c r="H3322">
        <v>6.4</v>
      </c>
      <c r="I3322" t="s">
        <v>31</v>
      </c>
    </row>
    <row r="3323" spans="1:13" x14ac:dyDescent="0.25">
      <c r="A3323" t="s">
        <v>908</v>
      </c>
      <c r="B3323">
        <v>92</v>
      </c>
      <c r="C3323">
        <v>5306447</v>
      </c>
      <c r="D3323" t="s">
        <v>5157</v>
      </c>
      <c r="E3323" t="s">
        <v>13</v>
      </c>
      <c r="F3323" t="s">
        <v>14</v>
      </c>
      <c r="G3323">
        <v>15000000</v>
      </c>
      <c r="H3323">
        <v>7.2</v>
      </c>
      <c r="I3323" t="s">
        <v>15</v>
      </c>
      <c r="J3323" t="s">
        <v>19</v>
      </c>
    </row>
    <row r="3324" spans="1:13" x14ac:dyDescent="0.25">
      <c r="A3324" t="s">
        <v>1996</v>
      </c>
      <c r="B3324">
        <v>251</v>
      </c>
      <c r="C3324">
        <v>5300000</v>
      </c>
      <c r="D3324" t="s">
        <v>5158</v>
      </c>
      <c r="E3324" t="s">
        <v>13</v>
      </c>
      <c r="F3324" t="s">
        <v>1342</v>
      </c>
      <c r="G3324">
        <v>30000000</v>
      </c>
      <c r="H3324">
        <v>8.4</v>
      </c>
      <c r="I3324" t="s">
        <v>38</v>
      </c>
      <c r="J3324" t="s">
        <v>31</v>
      </c>
    </row>
    <row r="3325" spans="1:13" x14ac:dyDescent="0.25">
      <c r="A3325" t="s">
        <v>5159</v>
      </c>
      <c r="B3325">
        <v>93</v>
      </c>
      <c r="C3325">
        <v>5283379</v>
      </c>
      <c r="D3325" t="s">
        <v>5160</v>
      </c>
      <c r="E3325" t="s">
        <v>13</v>
      </c>
      <c r="F3325" t="s">
        <v>14</v>
      </c>
      <c r="G3325">
        <v>39751583.5</v>
      </c>
      <c r="H3325">
        <v>6.8</v>
      </c>
      <c r="I3325" t="s">
        <v>15</v>
      </c>
      <c r="J3325" t="s">
        <v>31</v>
      </c>
    </row>
    <row r="3326" spans="1:13" x14ac:dyDescent="0.25">
      <c r="A3326" t="s">
        <v>5161</v>
      </c>
      <c r="B3326">
        <v>81</v>
      </c>
      <c r="C3326">
        <v>5228617</v>
      </c>
      <c r="D3326" t="s">
        <v>5162</v>
      </c>
      <c r="E3326" t="s">
        <v>13</v>
      </c>
      <c r="F3326" t="s">
        <v>14</v>
      </c>
      <c r="G3326">
        <v>100000</v>
      </c>
      <c r="H3326">
        <v>7</v>
      </c>
      <c r="I3326" t="s">
        <v>15</v>
      </c>
    </row>
    <row r="3327" spans="1:13" x14ac:dyDescent="0.25">
      <c r="A3327" t="s">
        <v>892</v>
      </c>
      <c r="B3327">
        <v>105</v>
      </c>
      <c r="C3327">
        <v>5217498</v>
      </c>
      <c r="D3327" t="s">
        <v>5163</v>
      </c>
      <c r="E3327" t="s">
        <v>13</v>
      </c>
      <c r="F3327" t="s">
        <v>14</v>
      </c>
      <c r="G3327">
        <v>15000000</v>
      </c>
      <c r="H3327">
        <v>4.5999999999999996</v>
      </c>
      <c r="I3327" t="s">
        <v>31</v>
      </c>
      <c r="J3327" t="s">
        <v>23</v>
      </c>
      <c r="K3327" t="s">
        <v>24</v>
      </c>
    </row>
    <row r="3328" spans="1:13" x14ac:dyDescent="0.25">
      <c r="A3328" t="s">
        <v>3458</v>
      </c>
      <c r="B3328">
        <v>111</v>
      </c>
      <c r="C3328">
        <v>5205343</v>
      </c>
      <c r="D3328" t="s">
        <v>5164</v>
      </c>
      <c r="E3328" t="s">
        <v>13</v>
      </c>
      <c r="F3328" t="s">
        <v>14</v>
      </c>
      <c r="G3328">
        <v>20000000</v>
      </c>
      <c r="H3328">
        <v>6.4</v>
      </c>
      <c r="I3328" t="s">
        <v>15</v>
      </c>
      <c r="J3328" t="s">
        <v>31</v>
      </c>
      <c r="K3328" t="s">
        <v>16</v>
      </c>
      <c r="L3328" t="s">
        <v>18</v>
      </c>
      <c r="M3328" t="s">
        <v>19</v>
      </c>
    </row>
    <row r="3329" spans="1:13" x14ac:dyDescent="0.25">
      <c r="A3329" t="s">
        <v>393</v>
      </c>
      <c r="B3329">
        <v>93</v>
      </c>
      <c r="C3329">
        <v>5204007</v>
      </c>
      <c r="D3329" t="s">
        <v>5165</v>
      </c>
      <c r="E3329" t="s">
        <v>13</v>
      </c>
      <c r="F3329" t="s">
        <v>82</v>
      </c>
      <c r="G3329">
        <v>28000000</v>
      </c>
      <c r="H3329">
        <v>6.3</v>
      </c>
      <c r="I3329" t="s">
        <v>34</v>
      </c>
      <c r="J3329" t="s">
        <v>15</v>
      </c>
      <c r="K3329" t="s">
        <v>38</v>
      </c>
      <c r="L3329" t="s">
        <v>24</v>
      </c>
    </row>
    <row r="3330" spans="1:13" x14ac:dyDescent="0.25">
      <c r="A3330" t="s">
        <v>1575</v>
      </c>
      <c r="B3330">
        <v>94</v>
      </c>
      <c r="C3330">
        <v>5132655</v>
      </c>
      <c r="D3330" t="s">
        <v>5166</v>
      </c>
      <c r="E3330" t="s">
        <v>13</v>
      </c>
      <c r="F3330" t="s">
        <v>98</v>
      </c>
      <c r="G3330">
        <v>20000000</v>
      </c>
      <c r="H3330">
        <v>2.2999999999999998</v>
      </c>
      <c r="I3330" t="s">
        <v>22</v>
      </c>
      <c r="J3330" t="s">
        <v>37</v>
      </c>
    </row>
    <row r="3331" spans="1:13" x14ac:dyDescent="0.25">
      <c r="A3331" t="s">
        <v>5167</v>
      </c>
      <c r="B3331">
        <v>103</v>
      </c>
      <c r="C3331">
        <v>5132222</v>
      </c>
      <c r="D3331" t="s">
        <v>5168</v>
      </c>
      <c r="E3331" t="s">
        <v>13</v>
      </c>
      <c r="F3331" t="s">
        <v>98</v>
      </c>
      <c r="G3331">
        <v>2000000</v>
      </c>
      <c r="H3331">
        <v>7.2</v>
      </c>
      <c r="I3331" t="s">
        <v>31</v>
      </c>
      <c r="J3331" t="s">
        <v>23</v>
      </c>
      <c r="K3331" t="s">
        <v>19</v>
      </c>
    </row>
    <row r="3332" spans="1:13" x14ac:dyDescent="0.25">
      <c r="A3332" t="s">
        <v>828</v>
      </c>
      <c r="B3332">
        <v>127</v>
      </c>
      <c r="C3332">
        <v>5128124</v>
      </c>
      <c r="D3332" t="s">
        <v>5169</v>
      </c>
      <c r="E3332" t="s">
        <v>13</v>
      </c>
      <c r="F3332" t="s">
        <v>1472</v>
      </c>
      <c r="G3332">
        <v>25000000</v>
      </c>
      <c r="H3332">
        <v>7.9</v>
      </c>
      <c r="I3332" t="s">
        <v>42</v>
      </c>
      <c r="J3332" t="s">
        <v>31</v>
      </c>
      <c r="K3332" t="s">
        <v>41</v>
      </c>
    </row>
    <row r="3333" spans="1:13" x14ac:dyDescent="0.25">
      <c r="A3333" t="s">
        <v>3811</v>
      </c>
      <c r="B3333">
        <v>90</v>
      </c>
      <c r="C3333">
        <v>5108820</v>
      </c>
      <c r="D3333" t="s">
        <v>5170</v>
      </c>
      <c r="E3333" t="s">
        <v>13</v>
      </c>
      <c r="F3333" t="s">
        <v>14</v>
      </c>
      <c r="G3333">
        <v>24000000</v>
      </c>
      <c r="H3333">
        <v>5.9</v>
      </c>
      <c r="I3333" t="s">
        <v>31</v>
      </c>
      <c r="J3333" t="s">
        <v>23</v>
      </c>
      <c r="K3333" t="s">
        <v>24</v>
      </c>
    </row>
    <row r="3334" spans="1:13" x14ac:dyDescent="0.25">
      <c r="A3334" t="s">
        <v>2940</v>
      </c>
      <c r="B3334">
        <v>148</v>
      </c>
      <c r="C3334">
        <v>5100937</v>
      </c>
      <c r="D3334" t="s">
        <v>5171</v>
      </c>
      <c r="E3334" t="s">
        <v>1498</v>
      </c>
      <c r="F3334" t="s">
        <v>1901</v>
      </c>
      <c r="G3334">
        <v>39751583.5</v>
      </c>
      <c r="H3334">
        <v>7.5</v>
      </c>
      <c r="I3334" t="s">
        <v>31</v>
      </c>
    </row>
    <row r="3335" spans="1:13" x14ac:dyDescent="0.25">
      <c r="A3335" t="s">
        <v>2420</v>
      </c>
      <c r="B3335">
        <v>109</v>
      </c>
      <c r="C3335">
        <v>5100000</v>
      </c>
      <c r="D3335" t="s">
        <v>5172</v>
      </c>
      <c r="E3335" t="s">
        <v>13</v>
      </c>
      <c r="F3335" t="s">
        <v>82</v>
      </c>
      <c r="G3335">
        <v>7500000</v>
      </c>
      <c r="H3335">
        <v>6</v>
      </c>
      <c r="I3335" t="s">
        <v>15</v>
      </c>
      <c r="J3335" t="s">
        <v>31</v>
      </c>
      <c r="K3335" t="s">
        <v>19</v>
      </c>
    </row>
    <row r="3336" spans="1:13" x14ac:dyDescent="0.25">
      <c r="A3336" t="s">
        <v>908</v>
      </c>
      <c r="B3336">
        <v>113</v>
      </c>
      <c r="C3336">
        <v>5032496</v>
      </c>
      <c r="D3336" t="s">
        <v>5173</v>
      </c>
      <c r="E3336" t="s">
        <v>13</v>
      </c>
      <c r="F3336" t="s">
        <v>14</v>
      </c>
      <c r="G3336">
        <v>12000000</v>
      </c>
      <c r="H3336">
        <v>6.3</v>
      </c>
      <c r="I3336" t="s">
        <v>15</v>
      </c>
      <c r="J3336" t="s">
        <v>31</v>
      </c>
    </row>
    <row r="3337" spans="1:13" x14ac:dyDescent="0.25">
      <c r="A3337" t="s">
        <v>5174</v>
      </c>
      <c r="B3337">
        <v>107</v>
      </c>
      <c r="C3337">
        <v>5023275</v>
      </c>
      <c r="D3337" t="s">
        <v>5175</v>
      </c>
      <c r="E3337" t="s">
        <v>13</v>
      </c>
      <c r="F3337" t="s">
        <v>295</v>
      </c>
      <c r="G3337">
        <v>15000000</v>
      </c>
      <c r="H3337">
        <v>7.5</v>
      </c>
      <c r="I3337" t="s">
        <v>28</v>
      </c>
      <c r="J3337" t="s">
        <v>38</v>
      </c>
      <c r="K3337" t="s">
        <v>31</v>
      </c>
      <c r="L3337" t="s">
        <v>23</v>
      </c>
      <c r="M3337" t="s">
        <v>69</v>
      </c>
    </row>
    <row r="3338" spans="1:13" x14ac:dyDescent="0.25">
      <c r="A3338" t="s">
        <v>5176</v>
      </c>
      <c r="B3338">
        <v>92</v>
      </c>
      <c r="C3338">
        <v>5018450</v>
      </c>
      <c r="D3338" t="s">
        <v>5177</v>
      </c>
      <c r="E3338" t="s">
        <v>13</v>
      </c>
      <c r="F3338" t="s">
        <v>14</v>
      </c>
      <c r="G3338">
        <v>8000000</v>
      </c>
      <c r="H3338">
        <v>5.3</v>
      </c>
      <c r="I3338" t="s">
        <v>15</v>
      </c>
      <c r="J3338" t="s">
        <v>17</v>
      </c>
      <c r="K3338" t="s">
        <v>19</v>
      </c>
    </row>
    <row r="3339" spans="1:13" x14ac:dyDescent="0.25">
      <c r="A3339" t="s">
        <v>986</v>
      </c>
      <c r="B3339">
        <v>97</v>
      </c>
      <c r="C3339">
        <v>5009677</v>
      </c>
      <c r="D3339" t="s">
        <v>5178</v>
      </c>
      <c r="E3339" t="s">
        <v>13</v>
      </c>
      <c r="F3339" t="s">
        <v>82</v>
      </c>
      <c r="G3339">
        <v>5000000</v>
      </c>
      <c r="H3339">
        <v>7.9</v>
      </c>
      <c r="I3339" t="s">
        <v>31</v>
      </c>
      <c r="J3339" t="s">
        <v>23</v>
      </c>
      <c r="K3339" t="s">
        <v>37</v>
      </c>
    </row>
    <row r="3340" spans="1:13" x14ac:dyDescent="0.25">
      <c r="A3340" t="s">
        <v>4970</v>
      </c>
      <c r="B3340">
        <v>100</v>
      </c>
      <c r="C3340">
        <v>5005883</v>
      </c>
      <c r="D3340" t="s">
        <v>5179</v>
      </c>
      <c r="E3340" t="s">
        <v>13</v>
      </c>
      <c r="F3340" t="s">
        <v>14</v>
      </c>
      <c r="G3340">
        <v>20000000</v>
      </c>
      <c r="H3340">
        <v>6.1</v>
      </c>
      <c r="I3340" t="s">
        <v>31</v>
      </c>
      <c r="J3340" t="s">
        <v>23</v>
      </c>
      <c r="K3340" t="s">
        <v>19</v>
      </c>
      <c r="L3340" t="s">
        <v>24</v>
      </c>
    </row>
    <row r="3341" spans="1:13" x14ac:dyDescent="0.25">
      <c r="A3341" t="s">
        <v>5180</v>
      </c>
      <c r="B3341">
        <v>120</v>
      </c>
      <c r="C3341">
        <v>5004648</v>
      </c>
      <c r="D3341" t="s">
        <v>5181</v>
      </c>
      <c r="E3341" t="s">
        <v>1351</v>
      </c>
      <c r="F3341" t="s">
        <v>1342</v>
      </c>
      <c r="G3341">
        <v>10000000</v>
      </c>
      <c r="H3341">
        <v>7</v>
      </c>
      <c r="I3341" t="s">
        <v>31</v>
      </c>
      <c r="J3341" t="s">
        <v>19</v>
      </c>
    </row>
    <row r="3342" spans="1:13" x14ac:dyDescent="0.25">
      <c r="A3342" t="s">
        <v>5182</v>
      </c>
      <c r="B3342">
        <v>84</v>
      </c>
      <c r="C3342">
        <v>5002310</v>
      </c>
      <c r="D3342" t="s">
        <v>5183</v>
      </c>
      <c r="E3342" t="s">
        <v>13</v>
      </c>
      <c r="F3342" t="s">
        <v>14</v>
      </c>
      <c r="G3342">
        <v>13000000</v>
      </c>
      <c r="H3342">
        <v>5.6</v>
      </c>
      <c r="I3342" t="s">
        <v>28</v>
      </c>
      <c r="J3342" t="s">
        <v>15</v>
      </c>
      <c r="K3342" t="s">
        <v>19</v>
      </c>
      <c r="L3342" t="s">
        <v>37</v>
      </c>
    </row>
    <row r="3343" spans="1:13" x14ac:dyDescent="0.25">
      <c r="A3343" t="s">
        <v>1981</v>
      </c>
      <c r="B3343">
        <v>143</v>
      </c>
      <c r="C3343">
        <v>5000000</v>
      </c>
      <c r="D3343" t="s">
        <v>5184</v>
      </c>
      <c r="E3343" t="s">
        <v>13</v>
      </c>
      <c r="F3343" t="s">
        <v>14</v>
      </c>
      <c r="G3343">
        <v>25000000</v>
      </c>
      <c r="H3343">
        <v>6.2</v>
      </c>
      <c r="I3343" t="s">
        <v>15</v>
      </c>
      <c r="J3343" t="s">
        <v>31</v>
      </c>
      <c r="K3343" t="s">
        <v>59</v>
      </c>
      <c r="L3343" t="s">
        <v>19</v>
      </c>
      <c r="M3343" t="s">
        <v>83</v>
      </c>
    </row>
    <row r="3344" spans="1:13" x14ac:dyDescent="0.25">
      <c r="A3344" t="s">
        <v>5185</v>
      </c>
      <c r="B3344">
        <v>80</v>
      </c>
      <c r="C3344">
        <v>5000000</v>
      </c>
      <c r="D3344" t="s">
        <v>5186</v>
      </c>
      <c r="E3344" t="s">
        <v>13</v>
      </c>
      <c r="F3344" t="s">
        <v>14</v>
      </c>
      <c r="G3344">
        <v>210000</v>
      </c>
      <c r="H3344">
        <v>6.7</v>
      </c>
      <c r="I3344" t="s">
        <v>28</v>
      </c>
      <c r="J3344" t="s">
        <v>22</v>
      </c>
      <c r="K3344" t="s">
        <v>37</v>
      </c>
    </row>
    <row r="3345" spans="1:12" x14ac:dyDescent="0.25">
      <c r="A3345" t="s">
        <v>421</v>
      </c>
      <c r="B3345">
        <v>119</v>
      </c>
      <c r="C3345">
        <v>4992159</v>
      </c>
      <c r="D3345" t="s">
        <v>5187</v>
      </c>
      <c r="E3345" t="s">
        <v>13</v>
      </c>
      <c r="F3345" t="s">
        <v>14</v>
      </c>
      <c r="G3345">
        <v>8550000</v>
      </c>
      <c r="H3345">
        <v>5.6</v>
      </c>
      <c r="I3345" t="s">
        <v>15</v>
      </c>
      <c r="J3345" t="s">
        <v>22</v>
      </c>
      <c r="K3345" t="s">
        <v>24</v>
      </c>
    </row>
    <row r="3346" spans="1:12" x14ac:dyDescent="0.25">
      <c r="A3346" t="s">
        <v>5188</v>
      </c>
      <c r="B3346">
        <v>120</v>
      </c>
      <c r="C3346">
        <v>4956401</v>
      </c>
      <c r="D3346" t="s">
        <v>5189</v>
      </c>
      <c r="E3346" t="s">
        <v>13</v>
      </c>
      <c r="F3346" t="s">
        <v>295</v>
      </c>
      <c r="G3346">
        <v>15000000</v>
      </c>
      <c r="H3346">
        <v>6.5</v>
      </c>
      <c r="I3346" t="s">
        <v>31</v>
      </c>
      <c r="J3346" t="s">
        <v>83</v>
      </c>
    </row>
    <row r="3347" spans="1:12" x14ac:dyDescent="0.25">
      <c r="A3347" t="s">
        <v>5190</v>
      </c>
      <c r="B3347">
        <v>91</v>
      </c>
      <c r="C3347">
        <v>4946250</v>
      </c>
      <c r="D3347" t="s">
        <v>5191</v>
      </c>
      <c r="E3347" t="s">
        <v>13</v>
      </c>
      <c r="F3347" t="s">
        <v>14</v>
      </c>
      <c r="G3347">
        <v>1000000</v>
      </c>
      <c r="H3347">
        <v>7.4</v>
      </c>
      <c r="I3347" t="s">
        <v>52</v>
      </c>
      <c r="J3347" t="s">
        <v>18</v>
      </c>
    </row>
    <row r="3348" spans="1:12" x14ac:dyDescent="0.25">
      <c r="A3348" t="s">
        <v>5192</v>
      </c>
      <c r="B3348">
        <v>83</v>
      </c>
      <c r="C3348">
        <v>4930798</v>
      </c>
      <c r="D3348" t="s">
        <v>5193</v>
      </c>
      <c r="E3348" t="s">
        <v>13</v>
      </c>
      <c r="F3348" t="s">
        <v>14</v>
      </c>
      <c r="G3348">
        <v>17000000</v>
      </c>
      <c r="H3348">
        <v>4.0999999999999996</v>
      </c>
      <c r="I3348" t="s">
        <v>22</v>
      </c>
      <c r="J3348" t="s">
        <v>24</v>
      </c>
    </row>
    <row r="3349" spans="1:12" x14ac:dyDescent="0.25">
      <c r="A3349" t="s">
        <v>761</v>
      </c>
      <c r="B3349">
        <v>90</v>
      </c>
      <c r="C3349">
        <v>4922166</v>
      </c>
      <c r="D3349" t="s">
        <v>5194</v>
      </c>
      <c r="E3349" t="s">
        <v>13</v>
      </c>
      <c r="F3349" t="s">
        <v>14</v>
      </c>
      <c r="G3349">
        <v>12000000</v>
      </c>
      <c r="H3349">
        <v>2.1</v>
      </c>
      <c r="I3349" t="s">
        <v>15</v>
      </c>
      <c r="J3349" t="s">
        <v>59</v>
      </c>
      <c r="K3349" t="s">
        <v>19</v>
      </c>
    </row>
    <row r="3350" spans="1:12" x14ac:dyDescent="0.25">
      <c r="A3350" t="s">
        <v>5195</v>
      </c>
      <c r="B3350">
        <v>93</v>
      </c>
      <c r="C3350">
        <v>4919896</v>
      </c>
      <c r="D3350" t="s">
        <v>5196</v>
      </c>
      <c r="E3350" t="s">
        <v>13</v>
      </c>
      <c r="F3350" t="s">
        <v>82</v>
      </c>
      <c r="G3350">
        <v>13000000</v>
      </c>
      <c r="H3350">
        <v>6.1</v>
      </c>
      <c r="I3350" t="s">
        <v>15</v>
      </c>
      <c r="J3350" t="s">
        <v>38</v>
      </c>
      <c r="K3350" t="s">
        <v>24</v>
      </c>
    </row>
    <row r="3351" spans="1:12" x14ac:dyDescent="0.25">
      <c r="A3351" t="s">
        <v>302</v>
      </c>
      <c r="B3351">
        <v>108</v>
      </c>
      <c r="C3351">
        <v>4903000</v>
      </c>
      <c r="D3351" t="s">
        <v>5197</v>
      </c>
      <c r="E3351" t="s">
        <v>13</v>
      </c>
      <c r="F3351" t="s">
        <v>14</v>
      </c>
      <c r="G3351">
        <v>12000000</v>
      </c>
      <c r="H3351">
        <v>5</v>
      </c>
      <c r="I3351" t="s">
        <v>15</v>
      </c>
      <c r="J3351" t="s">
        <v>31</v>
      </c>
    </row>
    <row r="3352" spans="1:12" x14ac:dyDescent="0.25">
      <c r="A3352" t="s">
        <v>484</v>
      </c>
      <c r="B3352">
        <v>100</v>
      </c>
      <c r="C3352">
        <v>4884663</v>
      </c>
      <c r="D3352" t="s">
        <v>5198</v>
      </c>
      <c r="E3352" t="s">
        <v>13</v>
      </c>
      <c r="F3352" t="s">
        <v>14</v>
      </c>
      <c r="G3352">
        <v>12000000</v>
      </c>
      <c r="H3352">
        <v>5.5</v>
      </c>
      <c r="I3352" t="s">
        <v>22</v>
      </c>
      <c r="J3352" t="s">
        <v>37</v>
      </c>
    </row>
    <row r="3353" spans="1:12" x14ac:dyDescent="0.25">
      <c r="A3353" t="s">
        <v>3713</v>
      </c>
      <c r="B3353">
        <v>92</v>
      </c>
      <c r="C3353">
        <v>4881867</v>
      </c>
      <c r="D3353" t="s">
        <v>5199</v>
      </c>
      <c r="E3353" t="s">
        <v>13</v>
      </c>
      <c r="F3353" t="s">
        <v>14</v>
      </c>
      <c r="G3353">
        <v>9000000</v>
      </c>
      <c r="H3353">
        <v>6.4</v>
      </c>
      <c r="I3353" t="s">
        <v>15</v>
      </c>
      <c r="J3353" t="s">
        <v>18</v>
      </c>
    </row>
    <row r="3354" spans="1:12" x14ac:dyDescent="0.25">
      <c r="A3354" t="s">
        <v>2862</v>
      </c>
      <c r="B3354">
        <v>90</v>
      </c>
      <c r="C3354">
        <v>4859475</v>
      </c>
      <c r="D3354" t="s">
        <v>5200</v>
      </c>
      <c r="E3354" t="s">
        <v>13</v>
      </c>
      <c r="F3354" t="s">
        <v>14</v>
      </c>
      <c r="G3354">
        <v>6000000</v>
      </c>
      <c r="H3354">
        <v>7.2</v>
      </c>
      <c r="I3354" t="s">
        <v>31</v>
      </c>
      <c r="J3354" t="s">
        <v>19</v>
      </c>
    </row>
    <row r="3355" spans="1:12" x14ac:dyDescent="0.25">
      <c r="A3355" t="s">
        <v>5201</v>
      </c>
      <c r="B3355">
        <v>120</v>
      </c>
      <c r="C3355">
        <v>4857376</v>
      </c>
      <c r="D3355" t="s">
        <v>5202</v>
      </c>
      <c r="E3355" t="s">
        <v>473</v>
      </c>
      <c r="F3355" t="s">
        <v>295</v>
      </c>
      <c r="G3355">
        <v>13000000</v>
      </c>
      <c r="H3355">
        <v>7.3</v>
      </c>
      <c r="I3355" t="s">
        <v>15</v>
      </c>
      <c r="J3355" t="s">
        <v>31</v>
      </c>
      <c r="K3355" t="s">
        <v>19</v>
      </c>
    </row>
    <row r="3356" spans="1:12" x14ac:dyDescent="0.25">
      <c r="A3356" t="s">
        <v>908</v>
      </c>
      <c r="B3356">
        <v>112</v>
      </c>
      <c r="C3356">
        <v>4839383</v>
      </c>
      <c r="D3356" t="s">
        <v>5203</v>
      </c>
      <c r="E3356" t="s">
        <v>13</v>
      </c>
      <c r="F3356" t="s">
        <v>14</v>
      </c>
      <c r="G3356">
        <v>16000000</v>
      </c>
      <c r="H3356">
        <v>6.6</v>
      </c>
      <c r="I3356" t="s">
        <v>15</v>
      </c>
      <c r="J3356" t="s">
        <v>19</v>
      </c>
    </row>
    <row r="3357" spans="1:12" x14ac:dyDescent="0.25">
      <c r="A3357" t="s">
        <v>3491</v>
      </c>
      <c r="B3357">
        <v>93</v>
      </c>
      <c r="C3357">
        <v>4835968</v>
      </c>
      <c r="D3357" t="s">
        <v>5204</v>
      </c>
      <c r="E3357" t="s">
        <v>13</v>
      </c>
      <c r="F3357" t="s">
        <v>82</v>
      </c>
      <c r="G3357">
        <v>40000000</v>
      </c>
      <c r="H3357">
        <v>4.5</v>
      </c>
      <c r="I3357" t="s">
        <v>34</v>
      </c>
      <c r="J3357" t="s">
        <v>28</v>
      </c>
      <c r="K3357" t="s">
        <v>24</v>
      </c>
    </row>
    <row r="3358" spans="1:12" x14ac:dyDescent="0.25">
      <c r="A3358" t="s">
        <v>5205</v>
      </c>
      <c r="B3358">
        <v>114</v>
      </c>
      <c r="C3358">
        <v>4829497</v>
      </c>
      <c r="D3358" t="s">
        <v>5206</v>
      </c>
      <c r="E3358" t="s">
        <v>13</v>
      </c>
      <c r="F3358" t="s">
        <v>82</v>
      </c>
      <c r="G3358">
        <v>39751583.5</v>
      </c>
      <c r="H3358">
        <v>6.4</v>
      </c>
      <c r="I3358" t="s">
        <v>31</v>
      </c>
      <c r="J3358" t="s">
        <v>19</v>
      </c>
    </row>
    <row r="3359" spans="1:12" x14ac:dyDescent="0.25">
      <c r="A3359" t="s">
        <v>5207</v>
      </c>
      <c r="B3359">
        <v>86</v>
      </c>
      <c r="C3359">
        <v>4814244</v>
      </c>
      <c r="D3359" t="s">
        <v>5208</v>
      </c>
      <c r="E3359" t="s">
        <v>13</v>
      </c>
      <c r="F3359" t="s">
        <v>98</v>
      </c>
      <c r="G3359">
        <v>11000000</v>
      </c>
      <c r="H3359">
        <v>5.3</v>
      </c>
      <c r="I3359" t="s">
        <v>15</v>
      </c>
      <c r="J3359" t="s">
        <v>19</v>
      </c>
    </row>
    <row r="3360" spans="1:12" x14ac:dyDescent="0.25">
      <c r="A3360" t="s">
        <v>90</v>
      </c>
      <c r="B3360">
        <v>117</v>
      </c>
      <c r="C3360">
        <v>4806750</v>
      </c>
      <c r="D3360" t="s">
        <v>5209</v>
      </c>
      <c r="E3360" t="s">
        <v>13</v>
      </c>
      <c r="F3360" t="s">
        <v>45</v>
      </c>
      <c r="G3360">
        <v>39751583.5</v>
      </c>
      <c r="H3360">
        <v>7.4</v>
      </c>
      <c r="I3360" t="s">
        <v>42</v>
      </c>
      <c r="J3360" t="s">
        <v>31</v>
      </c>
      <c r="K3360" t="s">
        <v>18</v>
      </c>
      <c r="L3360" t="s">
        <v>19</v>
      </c>
    </row>
    <row r="3361" spans="1:12" x14ac:dyDescent="0.25">
      <c r="A3361" t="s">
        <v>5210</v>
      </c>
      <c r="B3361">
        <v>84</v>
      </c>
      <c r="C3361">
        <v>4777007</v>
      </c>
      <c r="D3361" t="s">
        <v>5211</v>
      </c>
      <c r="E3361" t="s">
        <v>13</v>
      </c>
      <c r="F3361" t="s">
        <v>295</v>
      </c>
      <c r="G3361">
        <v>40000000</v>
      </c>
      <c r="H3361">
        <v>5.8</v>
      </c>
      <c r="I3361" t="s">
        <v>15</v>
      </c>
      <c r="J3361" t="s">
        <v>17</v>
      </c>
      <c r="K3361" t="s">
        <v>37</v>
      </c>
    </row>
    <row r="3362" spans="1:12" x14ac:dyDescent="0.25">
      <c r="A3362" t="s">
        <v>5212</v>
      </c>
      <c r="B3362">
        <v>88</v>
      </c>
      <c r="C3362">
        <v>4771000</v>
      </c>
      <c r="D3362" t="s">
        <v>5213</v>
      </c>
      <c r="E3362" t="s">
        <v>13</v>
      </c>
      <c r="F3362" t="s">
        <v>14</v>
      </c>
      <c r="G3362">
        <v>800000</v>
      </c>
      <c r="H3362">
        <v>7.5</v>
      </c>
      <c r="I3362" t="s">
        <v>15</v>
      </c>
      <c r="J3362" t="s">
        <v>31</v>
      </c>
    </row>
    <row r="3363" spans="1:12" x14ac:dyDescent="0.25">
      <c r="A3363" t="s">
        <v>3613</v>
      </c>
      <c r="B3363">
        <v>107</v>
      </c>
      <c r="C3363">
        <v>4741987</v>
      </c>
      <c r="D3363" t="s">
        <v>5214</v>
      </c>
      <c r="E3363" t="s">
        <v>13</v>
      </c>
      <c r="F3363" t="s">
        <v>14</v>
      </c>
      <c r="G3363">
        <v>14000000</v>
      </c>
      <c r="H3363">
        <v>6.6</v>
      </c>
      <c r="I3363" t="s">
        <v>31</v>
      </c>
    </row>
    <row r="3364" spans="1:12" x14ac:dyDescent="0.25">
      <c r="A3364" t="s">
        <v>5215</v>
      </c>
      <c r="B3364">
        <v>112</v>
      </c>
      <c r="C3364">
        <v>4734235</v>
      </c>
      <c r="D3364" t="s">
        <v>5216</v>
      </c>
      <c r="E3364" t="s">
        <v>13</v>
      </c>
      <c r="F3364" t="s">
        <v>14</v>
      </c>
      <c r="G3364">
        <v>15000000</v>
      </c>
      <c r="H3364">
        <v>6</v>
      </c>
      <c r="I3364" t="s">
        <v>15</v>
      </c>
      <c r="J3364" t="s">
        <v>31</v>
      </c>
      <c r="K3364" t="s">
        <v>18</v>
      </c>
    </row>
    <row r="3365" spans="1:12" x14ac:dyDescent="0.25">
      <c r="A3365" t="s">
        <v>1395</v>
      </c>
      <c r="B3365">
        <v>113</v>
      </c>
      <c r="C3365">
        <v>4720371</v>
      </c>
      <c r="D3365" t="s">
        <v>5217</v>
      </c>
      <c r="E3365" t="s">
        <v>13</v>
      </c>
      <c r="F3365" t="s">
        <v>14</v>
      </c>
      <c r="G3365">
        <v>7000000</v>
      </c>
      <c r="H3365">
        <v>6.5</v>
      </c>
      <c r="I3365" t="s">
        <v>28</v>
      </c>
      <c r="J3365" t="s">
        <v>42</v>
      </c>
      <c r="K3365" t="s">
        <v>31</v>
      </c>
    </row>
    <row r="3366" spans="1:12" x14ac:dyDescent="0.25">
      <c r="A3366" t="s">
        <v>3012</v>
      </c>
      <c r="B3366">
        <v>113</v>
      </c>
      <c r="C3366">
        <v>4717455</v>
      </c>
      <c r="D3366" t="s">
        <v>5218</v>
      </c>
      <c r="E3366" t="s">
        <v>13</v>
      </c>
      <c r="F3366" t="s">
        <v>45</v>
      </c>
      <c r="G3366">
        <v>12000000</v>
      </c>
      <c r="H3366">
        <v>5.3</v>
      </c>
      <c r="I3366" t="s">
        <v>23</v>
      </c>
      <c r="J3366" t="s">
        <v>24</v>
      </c>
    </row>
    <row r="3367" spans="1:12" x14ac:dyDescent="0.25">
      <c r="A3367" t="s">
        <v>4341</v>
      </c>
      <c r="B3367">
        <v>119</v>
      </c>
      <c r="C3367">
        <v>4710455</v>
      </c>
      <c r="D3367" t="s">
        <v>5219</v>
      </c>
      <c r="E3367" t="s">
        <v>1226</v>
      </c>
      <c r="F3367" t="s">
        <v>27</v>
      </c>
      <c r="G3367">
        <v>24000000</v>
      </c>
      <c r="H3367">
        <v>8.1999999999999993</v>
      </c>
      <c r="I3367" t="s">
        <v>28</v>
      </c>
      <c r="J3367" t="s">
        <v>46</v>
      </c>
      <c r="K3367" t="s">
        <v>16</v>
      </c>
      <c r="L3367" t="s">
        <v>17</v>
      </c>
    </row>
    <row r="3368" spans="1:12" x14ac:dyDescent="0.25">
      <c r="A3368" t="s">
        <v>2183</v>
      </c>
      <c r="B3368">
        <v>121</v>
      </c>
      <c r="C3368">
        <v>4700361</v>
      </c>
      <c r="D3368" t="s">
        <v>5220</v>
      </c>
      <c r="E3368" t="s">
        <v>13</v>
      </c>
      <c r="F3368" t="s">
        <v>14</v>
      </c>
      <c r="G3368">
        <v>5000000</v>
      </c>
      <c r="H3368">
        <v>4.5999999999999996</v>
      </c>
      <c r="I3368" t="s">
        <v>31</v>
      </c>
    </row>
    <row r="3369" spans="1:12" x14ac:dyDescent="0.25">
      <c r="A3369" t="s">
        <v>5221</v>
      </c>
      <c r="B3369">
        <v>94</v>
      </c>
      <c r="C3369">
        <v>4693919</v>
      </c>
      <c r="D3369" t="s">
        <v>5222</v>
      </c>
      <c r="E3369" t="s">
        <v>13</v>
      </c>
      <c r="F3369" t="s">
        <v>14</v>
      </c>
      <c r="G3369">
        <v>6500000</v>
      </c>
      <c r="H3369">
        <v>4.5999999999999996</v>
      </c>
      <c r="I3369" t="s">
        <v>15</v>
      </c>
    </row>
    <row r="3370" spans="1:12" x14ac:dyDescent="0.25">
      <c r="A3370" t="s">
        <v>4830</v>
      </c>
      <c r="B3370">
        <v>89</v>
      </c>
      <c r="C3370">
        <v>4692814</v>
      </c>
      <c r="D3370" t="s">
        <v>5223</v>
      </c>
      <c r="E3370" t="s">
        <v>13</v>
      </c>
      <c r="F3370" t="s">
        <v>14</v>
      </c>
      <c r="G3370">
        <v>8000000</v>
      </c>
      <c r="H3370">
        <v>5.0999999999999996</v>
      </c>
      <c r="I3370" t="s">
        <v>15</v>
      </c>
    </row>
    <row r="3371" spans="1:12" x14ac:dyDescent="0.25">
      <c r="A3371" t="s">
        <v>746</v>
      </c>
      <c r="B3371">
        <v>99</v>
      </c>
      <c r="C3371">
        <v>4681503</v>
      </c>
      <c r="D3371" t="s">
        <v>5224</v>
      </c>
      <c r="E3371" t="s">
        <v>13</v>
      </c>
      <c r="F3371" t="s">
        <v>14</v>
      </c>
      <c r="G3371">
        <v>9000000</v>
      </c>
      <c r="H3371">
        <v>7</v>
      </c>
      <c r="I3371" t="s">
        <v>15</v>
      </c>
      <c r="J3371" t="s">
        <v>31</v>
      </c>
    </row>
    <row r="3372" spans="1:12" x14ac:dyDescent="0.25">
      <c r="A3372" t="s">
        <v>495</v>
      </c>
      <c r="B3372">
        <v>114</v>
      </c>
      <c r="C3372">
        <v>4651977</v>
      </c>
      <c r="D3372" t="s">
        <v>5225</v>
      </c>
      <c r="E3372" t="s">
        <v>13</v>
      </c>
      <c r="F3372" t="s">
        <v>14</v>
      </c>
      <c r="G3372">
        <v>35000000</v>
      </c>
      <c r="H3372">
        <v>6.9</v>
      </c>
      <c r="I3372" t="s">
        <v>31</v>
      </c>
    </row>
    <row r="3373" spans="1:12" x14ac:dyDescent="0.25">
      <c r="A3373" t="s">
        <v>5226</v>
      </c>
      <c r="B3373">
        <v>90</v>
      </c>
      <c r="C3373">
        <v>4613815</v>
      </c>
      <c r="D3373" t="s">
        <v>5227</v>
      </c>
      <c r="E3373" t="s">
        <v>13</v>
      </c>
      <c r="F3373" t="s">
        <v>14</v>
      </c>
      <c r="G3373">
        <v>39751583.5</v>
      </c>
      <c r="H3373">
        <v>6</v>
      </c>
      <c r="I3373" t="s">
        <v>15</v>
      </c>
      <c r="J3373" t="s">
        <v>38</v>
      </c>
    </row>
    <row r="3374" spans="1:12" x14ac:dyDescent="0.25">
      <c r="A3374" t="s">
        <v>5228</v>
      </c>
      <c r="B3374">
        <v>99</v>
      </c>
      <c r="C3374">
        <v>4600000</v>
      </c>
      <c r="D3374" t="s">
        <v>5229</v>
      </c>
      <c r="E3374" t="s">
        <v>13</v>
      </c>
      <c r="F3374" t="s">
        <v>14</v>
      </c>
      <c r="G3374">
        <v>1900000</v>
      </c>
      <c r="H3374">
        <v>7.1</v>
      </c>
      <c r="I3374" t="s">
        <v>38</v>
      </c>
      <c r="J3374" t="s">
        <v>31</v>
      </c>
    </row>
    <row r="3375" spans="1:12" x14ac:dyDescent="0.25">
      <c r="A3375" t="s">
        <v>3127</v>
      </c>
      <c r="B3375">
        <v>100</v>
      </c>
      <c r="C3375">
        <v>4599680</v>
      </c>
      <c r="D3375" t="s">
        <v>5230</v>
      </c>
      <c r="E3375" t="s">
        <v>13</v>
      </c>
      <c r="F3375" t="s">
        <v>14</v>
      </c>
      <c r="G3375">
        <v>1500000</v>
      </c>
      <c r="H3375">
        <v>6.8</v>
      </c>
      <c r="I3375" t="s">
        <v>31</v>
      </c>
    </row>
    <row r="3376" spans="1:12" x14ac:dyDescent="0.25">
      <c r="A3376" t="s">
        <v>4799</v>
      </c>
      <c r="B3376">
        <v>97</v>
      </c>
      <c r="C3376">
        <v>4595000</v>
      </c>
      <c r="D3376" t="s">
        <v>5231</v>
      </c>
      <c r="E3376" t="s">
        <v>13</v>
      </c>
      <c r="F3376" t="s">
        <v>82</v>
      </c>
      <c r="G3376">
        <v>39751583.5</v>
      </c>
      <c r="H3376">
        <v>7</v>
      </c>
      <c r="I3376" t="s">
        <v>15</v>
      </c>
      <c r="J3376" t="s">
        <v>31</v>
      </c>
      <c r="K3376" t="s">
        <v>18</v>
      </c>
      <c r="L3376" t="s">
        <v>19</v>
      </c>
    </row>
    <row r="3377" spans="1:12" x14ac:dyDescent="0.25">
      <c r="A3377" t="s">
        <v>752</v>
      </c>
      <c r="B3377">
        <v>139</v>
      </c>
      <c r="C3377">
        <v>4584886</v>
      </c>
      <c r="D3377" t="s">
        <v>5232</v>
      </c>
      <c r="E3377" t="s">
        <v>13</v>
      </c>
      <c r="F3377" t="s">
        <v>14</v>
      </c>
      <c r="G3377">
        <v>45000000</v>
      </c>
      <c r="H3377">
        <v>6.4</v>
      </c>
      <c r="I3377" t="s">
        <v>31</v>
      </c>
      <c r="J3377" t="s">
        <v>19</v>
      </c>
    </row>
    <row r="3378" spans="1:12" x14ac:dyDescent="0.25">
      <c r="A3378" t="s">
        <v>3166</v>
      </c>
      <c r="B3378">
        <v>106</v>
      </c>
      <c r="C3378">
        <v>4581222</v>
      </c>
      <c r="D3378" t="s">
        <v>5233</v>
      </c>
      <c r="E3378" t="s">
        <v>13</v>
      </c>
      <c r="F3378" t="s">
        <v>82</v>
      </c>
      <c r="G3378">
        <v>39751583.5</v>
      </c>
      <c r="H3378">
        <v>8.1</v>
      </c>
      <c r="I3378" t="s">
        <v>28</v>
      </c>
      <c r="J3378" t="s">
        <v>52</v>
      </c>
      <c r="K3378" t="s">
        <v>31</v>
      </c>
      <c r="L3378" t="s">
        <v>41</v>
      </c>
    </row>
    <row r="3379" spans="1:12" x14ac:dyDescent="0.25">
      <c r="A3379" t="s">
        <v>5234</v>
      </c>
      <c r="B3379">
        <v>126</v>
      </c>
      <c r="C3379">
        <v>4563029</v>
      </c>
      <c r="D3379" t="s">
        <v>5235</v>
      </c>
      <c r="E3379" t="s">
        <v>13</v>
      </c>
      <c r="F3379" t="s">
        <v>1216</v>
      </c>
      <c r="G3379">
        <v>39200000</v>
      </c>
      <c r="H3379">
        <v>7</v>
      </c>
      <c r="I3379" t="s">
        <v>34</v>
      </c>
      <c r="J3379" t="s">
        <v>31</v>
      </c>
      <c r="K3379" t="s">
        <v>37</v>
      </c>
      <c r="L3379" t="s">
        <v>24</v>
      </c>
    </row>
    <row r="3380" spans="1:12" x14ac:dyDescent="0.25">
      <c r="A3380" t="s">
        <v>3305</v>
      </c>
      <c r="B3380">
        <v>112</v>
      </c>
      <c r="C3380">
        <v>4554569</v>
      </c>
      <c r="D3380" t="s">
        <v>5236</v>
      </c>
      <c r="E3380" t="s">
        <v>13</v>
      </c>
      <c r="F3380" t="s">
        <v>14</v>
      </c>
      <c r="G3380">
        <v>28000000</v>
      </c>
      <c r="H3380">
        <v>6.9</v>
      </c>
      <c r="I3380" t="s">
        <v>15</v>
      </c>
      <c r="J3380" t="s">
        <v>31</v>
      </c>
    </row>
    <row r="3381" spans="1:12" x14ac:dyDescent="0.25">
      <c r="A3381" t="s">
        <v>5237</v>
      </c>
      <c r="B3381">
        <v>90</v>
      </c>
      <c r="C3381">
        <v>4542775</v>
      </c>
      <c r="D3381" t="s">
        <v>5238</v>
      </c>
      <c r="E3381" t="s">
        <v>13</v>
      </c>
      <c r="F3381" t="s">
        <v>14</v>
      </c>
      <c r="G3381">
        <v>6000000</v>
      </c>
      <c r="H3381">
        <v>5.0999999999999996</v>
      </c>
      <c r="I3381" t="s">
        <v>15</v>
      </c>
      <c r="J3381" t="s">
        <v>19</v>
      </c>
    </row>
    <row r="3382" spans="1:12" x14ac:dyDescent="0.25">
      <c r="A3382" t="s">
        <v>1575</v>
      </c>
      <c r="B3382">
        <v>156</v>
      </c>
      <c r="C3382">
        <v>4535117</v>
      </c>
      <c r="D3382" t="s">
        <v>5239</v>
      </c>
      <c r="E3382" t="s">
        <v>13</v>
      </c>
      <c r="F3382" t="s">
        <v>241</v>
      </c>
      <c r="G3382">
        <v>60000000</v>
      </c>
      <c r="H3382">
        <v>3.8</v>
      </c>
      <c r="I3382" t="s">
        <v>34</v>
      </c>
      <c r="J3382" t="s">
        <v>28</v>
      </c>
      <c r="K3382" t="s">
        <v>17</v>
      </c>
      <c r="L3382" t="s">
        <v>24</v>
      </c>
    </row>
    <row r="3383" spans="1:12" x14ac:dyDescent="0.25">
      <c r="A3383" t="s">
        <v>425</v>
      </c>
      <c r="B3383">
        <v>96</v>
      </c>
      <c r="C3383">
        <v>4505922</v>
      </c>
      <c r="D3383" t="s">
        <v>5240</v>
      </c>
      <c r="E3383" t="s">
        <v>13</v>
      </c>
      <c r="F3383" t="s">
        <v>14</v>
      </c>
      <c r="G3383">
        <v>200000</v>
      </c>
      <c r="H3383">
        <v>7.4</v>
      </c>
      <c r="I3383" t="s">
        <v>15</v>
      </c>
      <c r="J3383" t="s">
        <v>31</v>
      </c>
    </row>
    <row r="3384" spans="1:12" x14ac:dyDescent="0.25">
      <c r="A3384" t="s">
        <v>525</v>
      </c>
      <c r="B3384">
        <v>330</v>
      </c>
      <c r="C3384">
        <v>4496583</v>
      </c>
      <c r="D3384" t="s">
        <v>5241</v>
      </c>
      <c r="E3384" t="s">
        <v>13</v>
      </c>
      <c r="F3384" t="s">
        <v>14</v>
      </c>
      <c r="G3384">
        <v>35000000</v>
      </c>
      <c r="H3384">
        <v>8</v>
      </c>
      <c r="I3384" t="s">
        <v>38</v>
      </c>
      <c r="J3384" t="s">
        <v>31</v>
      </c>
    </row>
    <row r="3385" spans="1:12" x14ac:dyDescent="0.25">
      <c r="A3385" t="s">
        <v>50</v>
      </c>
      <c r="B3385">
        <v>112</v>
      </c>
      <c r="C3385">
        <v>4485485</v>
      </c>
      <c r="D3385" t="s">
        <v>5242</v>
      </c>
      <c r="E3385" t="s">
        <v>13</v>
      </c>
      <c r="F3385" t="s">
        <v>14</v>
      </c>
      <c r="G3385">
        <v>15000000</v>
      </c>
      <c r="H3385">
        <v>6.4</v>
      </c>
      <c r="I3385" t="s">
        <v>15</v>
      </c>
      <c r="J3385" t="s">
        <v>38</v>
      </c>
      <c r="K3385" t="s">
        <v>31</v>
      </c>
    </row>
    <row r="3386" spans="1:12" x14ac:dyDescent="0.25">
      <c r="A3386" t="s">
        <v>348</v>
      </c>
      <c r="B3386">
        <v>101</v>
      </c>
      <c r="C3386">
        <v>4476235</v>
      </c>
      <c r="D3386" t="s">
        <v>5243</v>
      </c>
      <c r="E3386" t="s">
        <v>13</v>
      </c>
      <c r="F3386" t="s">
        <v>14</v>
      </c>
      <c r="G3386">
        <v>27000000</v>
      </c>
      <c r="H3386">
        <v>6.4</v>
      </c>
      <c r="I3386" t="s">
        <v>38</v>
      </c>
      <c r="J3386" t="s">
        <v>22</v>
      </c>
      <c r="K3386" t="s">
        <v>23</v>
      </c>
      <c r="L3386" t="s">
        <v>24</v>
      </c>
    </row>
    <row r="3387" spans="1:12" x14ac:dyDescent="0.25">
      <c r="A3387" t="s">
        <v>5244</v>
      </c>
      <c r="B3387">
        <v>130</v>
      </c>
      <c r="C3387">
        <v>4463292</v>
      </c>
      <c r="D3387" t="s">
        <v>5245</v>
      </c>
      <c r="E3387" t="s">
        <v>13</v>
      </c>
      <c r="F3387" t="s">
        <v>82</v>
      </c>
      <c r="G3387">
        <v>30000000</v>
      </c>
      <c r="H3387">
        <v>6.9</v>
      </c>
      <c r="I3387" t="s">
        <v>31</v>
      </c>
      <c r="J3387" t="s">
        <v>64</v>
      </c>
      <c r="K3387" t="s">
        <v>24</v>
      </c>
    </row>
    <row r="3388" spans="1:12" x14ac:dyDescent="0.25">
      <c r="A3388" t="s">
        <v>5246</v>
      </c>
      <c r="B3388">
        <v>89</v>
      </c>
      <c r="C3388">
        <v>4443403</v>
      </c>
      <c r="D3388" t="s">
        <v>5247</v>
      </c>
      <c r="E3388" t="s">
        <v>473</v>
      </c>
      <c r="F3388" t="s">
        <v>295</v>
      </c>
      <c r="G3388">
        <v>7300000</v>
      </c>
      <c r="H3388">
        <v>8</v>
      </c>
      <c r="I3388" t="s">
        <v>46</v>
      </c>
      <c r="J3388" t="s">
        <v>42</v>
      </c>
      <c r="K3388" t="s">
        <v>31</v>
      </c>
      <c r="L3388" t="s">
        <v>83</v>
      </c>
    </row>
    <row r="3389" spans="1:12" x14ac:dyDescent="0.25">
      <c r="A3389" t="s">
        <v>3012</v>
      </c>
      <c r="B3389">
        <v>119</v>
      </c>
      <c r="C3389">
        <v>4440055</v>
      </c>
      <c r="D3389" t="s">
        <v>5248</v>
      </c>
      <c r="E3389" t="s">
        <v>13</v>
      </c>
      <c r="F3389" t="s">
        <v>82</v>
      </c>
      <c r="G3389">
        <v>8500000</v>
      </c>
      <c r="H3389">
        <v>7</v>
      </c>
      <c r="I3389" t="s">
        <v>42</v>
      </c>
      <c r="J3389" t="s">
        <v>31</v>
      </c>
      <c r="K3389" t="s">
        <v>19</v>
      </c>
    </row>
    <row r="3390" spans="1:12" x14ac:dyDescent="0.25">
      <c r="A3390" t="s">
        <v>5249</v>
      </c>
      <c r="B3390">
        <v>116</v>
      </c>
      <c r="C3390">
        <v>4435083</v>
      </c>
      <c r="D3390" t="s">
        <v>5250</v>
      </c>
      <c r="E3390" t="s">
        <v>13</v>
      </c>
      <c r="F3390" t="s">
        <v>45</v>
      </c>
      <c r="G3390">
        <v>18000000</v>
      </c>
      <c r="H3390">
        <v>7.1</v>
      </c>
      <c r="I3390" t="s">
        <v>42</v>
      </c>
      <c r="J3390" t="s">
        <v>31</v>
      </c>
      <c r="K3390" t="s">
        <v>19</v>
      </c>
      <c r="L3390" t="s">
        <v>83</v>
      </c>
    </row>
    <row r="3391" spans="1:12" x14ac:dyDescent="0.25">
      <c r="A3391" t="s">
        <v>87</v>
      </c>
      <c r="B3391">
        <v>127</v>
      </c>
      <c r="C3391">
        <v>4426297</v>
      </c>
      <c r="D3391" t="s">
        <v>5251</v>
      </c>
      <c r="E3391" t="s">
        <v>13</v>
      </c>
      <c r="F3391" t="s">
        <v>14</v>
      </c>
      <c r="G3391">
        <v>35000000</v>
      </c>
      <c r="H3391">
        <v>6.5</v>
      </c>
      <c r="I3391" t="s">
        <v>28</v>
      </c>
      <c r="J3391" t="s">
        <v>31</v>
      </c>
      <c r="K3391" t="s">
        <v>19</v>
      </c>
      <c r="L3391" t="s">
        <v>83</v>
      </c>
    </row>
    <row r="3392" spans="1:12" x14ac:dyDescent="0.25">
      <c r="A3392" t="s">
        <v>5252</v>
      </c>
      <c r="B3392">
        <v>94</v>
      </c>
      <c r="C3392">
        <v>4417124</v>
      </c>
      <c r="D3392" t="s">
        <v>5253</v>
      </c>
      <c r="E3392" t="s">
        <v>13</v>
      </c>
      <c r="F3392" t="s">
        <v>14</v>
      </c>
      <c r="G3392">
        <v>39751583.5</v>
      </c>
      <c r="H3392">
        <v>7.9</v>
      </c>
      <c r="I3392" t="s">
        <v>52</v>
      </c>
    </row>
    <row r="3393" spans="1:12" x14ac:dyDescent="0.25">
      <c r="A3393" t="s">
        <v>1144</v>
      </c>
      <c r="B3393">
        <v>150</v>
      </c>
      <c r="C3393">
        <v>4414535</v>
      </c>
      <c r="D3393" t="s">
        <v>5254</v>
      </c>
      <c r="E3393" t="s">
        <v>13</v>
      </c>
      <c r="F3393" t="s">
        <v>82</v>
      </c>
      <c r="G3393">
        <v>18000000</v>
      </c>
      <c r="H3393">
        <v>7.8</v>
      </c>
      <c r="I3393" t="s">
        <v>31</v>
      </c>
    </row>
    <row r="3394" spans="1:12" x14ac:dyDescent="0.25">
      <c r="A3394" t="s">
        <v>3993</v>
      </c>
      <c r="B3394">
        <v>145</v>
      </c>
      <c r="C3394">
        <v>4398392</v>
      </c>
      <c r="D3394" t="s">
        <v>5255</v>
      </c>
      <c r="E3394" t="s">
        <v>2200</v>
      </c>
      <c r="F3394" t="s">
        <v>1715</v>
      </c>
      <c r="G3394">
        <v>21000000</v>
      </c>
      <c r="H3394">
        <v>7.8</v>
      </c>
      <c r="I3394" t="s">
        <v>31</v>
      </c>
      <c r="J3394" t="s">
        <v>24</v>
      </c>
      <c r="K3394" t="s">
        <v>83</v>
      </c>
    </row>
    <row r="3395" spans="1:12" x14ac:dyDescent="0.25">
      <c r="A3395" t="s">
        <v>5256</v>
      </c>
      <c r="B3395">
        <v>96</v>
      </c>
      <c r="C3395">
        <v>4394936</v>
      </c>
      <c r="D3395" t="s">
        <v>5257</v>
      </c>
      <c r="E3395" t="s">
        <v>13</v>
      </c>
      <c r="F3395" t="s">
        <v>241</v>
      </c>
      <c r="G3395">
        <v>6000000</v>
      </c>
      <c r="H3395">
        <v>5.3</v>
      </c>
      <c r="I3395" t="s">
        <v>15</v>
      </c>
      <c r="J3395" t="s">
        <v>31</v>
      </c>
      <c r="K3395" t="s">
        <v>17</v>
      </c>
      <c r="L3395" t="s">
        <v>19</v>
      </c>
    </row>
    <row r="3396" spans="1:12" x14ac:dyDescent="0.25">
      <c r="A3396" t="s">
        <v>4614</v>
      </c>
      <c r="B3396">
        <v>90</v>
      </c>
      <c r="C3396">
        <v>4360548</v>
      </c>
      <c r="D3396" t="s">
        <v>5258</v>
      </c>
      <c r="E3396" t="s">
        <v>13</v>
      </c>
      <c r="F3396" t="s">
        <v>14</v>
      </c>
      <c r="G3396">
        <v>15000000</v>
      </c>
      <c r="H3396">
        <v>6.4</v>
      </c>
      <c r="I3396" t="s">
        <v>15</v>
      </c>
      <c r="J3396" t="s">
        <v>31</v>
      </c>
      <c r="K3396" t="s">
        <v>19</v>
      </c>
    </row>
    <row r="3397" spans="1:12" x14ac:dyDescent="0.25">
      <c r="A3397" t="s">
        <v>1137</v>
      </c>
      <c r="B3397">
        <v>110</v>
      </c>
      <c r="C3397">
        <v>4357000</v>
      </c>
      <c r="D3397" t="s">
        <v>5259</v>
      </c>
      <c r="E3397" t="s">
        <v>13</v>
      </c>
      <c r="F3397" t="s">
        <v>14</v>
      </c>
      <c r="G3397">
        <v>30000000</v>
      </c>
      <c r="H3397">
        <v>5.3</v>
      </c>
      <c r="I3397" t="s">
        <v>15</v>
      </c>
      <c r="J3397" t="s">
        <v>16</v>
      </c>
      <c r="K3397" t="s">
        <v>17</v>
      </c>
    </row>
    <row r="3398" spans="1:12" x14ac:dyDescent="0.25">
      <c r="A3398" t="s">
        <v>2008</v>
      </c>
      <c r="B3398">
        <v>85</v>
      </c>
      <c r="C3398">
        <v>4356743</v>
      </c>
      <c r="D3398" t="s">
        <v>5260</v>
      </c>
      <c r="E3398" t="s">
        <v>13</v>
      </c>
      <c r="F3398" t="s">
        <v>14</v>
      </c>
      <c r="G3398">
        <v>16000000</v>
      </c>
      <c r="H3398">
        <v>4.0999999999999996</v>
      </c>
      <c r="I3398" t="s">
        <v>15</v>
      </c>
      <c r="J3398" t="s">
        <v>16</v>
      </c>
      <c r="K3398" t="s">
        <v>19</v>
      </c>
    </row>
    <row r="3399" spans="1:12" x14ac:dyDescent="0.25">
      <c r="A3399" t="s">
        <v>5261</v>
      </c>
      <c r="B3399">
        <v>79</v>
      </c>
      <c r="C3399">
        <v>4350774</v>
      </c>
      <c r="D3399" t="s">
        <v>5262</v>
      </c>
      <c r="E3399" t="s">
        <v>13</v>
      </c>
      <c r="F3399" t="s">
        <v>14</v>
      </c>
      <c r="G3399">
        <v>8000000</v>
      </c>
      <c r="H3399">
        <v>6.5</v>
      </c>
      <c r="I3399" t="s">
        <v>15</v>
      </c>
    </row>
    <row r="3400" spans="1:12" x14ac:dyDescent="0.25">
      <c r="A3400" t="s">
        <v>5263</v>
      </c>
      <c r="B3400">
        <v>90</v>
      </c>
      <c r="C3400">
        <v>4328294</v>
      </c>
      <c r="D3400" t="s">
        <v>5264</v>
      </c>
      <c r="E3400" t="s">
        <v>13</v>
      </c>
      <c r="F3400" t="s">
        <v>14</v>
      </c>
      <c r="G3400">
        <v>39751583.5</v>
      </c>
      <c r="H3400">
        <v>5.4</v>
      </c>
      <c r="I3400" t="s">
        <v>15</v>
      </c>
    </row>
    <row r="3401" spans="1:12" x14ac:dyDescent="0.25">
      <c r="A3401" t="s">
        <v>5265</v>
      </c>
      <c r="B3401">
        <v>105</v>
      </c>
      <c r="C3401">
        <v>4311834</v>
      </c>
      <c r="D3401" t="s">
        <v>5266</v>
      </c>
      <c r="E3401" t="s">
        <v>13</v>
      </c>
      <c r="F3401" t="s">
        <v>14</v>
      </c>
      <c r="G3401">
        <v>39751583.5</v>
      </c>
      <c r="H3401">
        <v>8.3000000000000007</v>
      </c>
      <c r="I3401" t="s">
        <v>38</v>
      </c>
      <c r="J3401" t="s">
        <v>52</v>
      </c>
    </row>
    <row r="3402" spans="1:12" x14ac:dyDescent="0.25">
      <c r="A3402" t="s">
        <v>5267</v>
      </c>
      <c r="B3402">
        <v>93</v>
      </c>
      <c r="C3402">
        <v>4308981</v>
      </c>
      <c r="D3402" t="s">
        <v>5268</v>
      </c>
      <c r="E3402" t="s">
        <v>13</v>
      </c>
      <c r="F3402" t="s">
        <v>14</v>
      </c>
      <c r="G3402">
        <v>24000000</v>
      </c>
      <c r="H3402">
        <v>3.9</v>
      </c>
      <c r="I3402" t="s">
        <v>15</v>
      </c>
      <c r="J3402" t="s">
        <v>16</v>
      </c>
    </row>
    <row r="3403" spans="1:12" x14ac:dyDescent="0.25">
      <c r="A3403" t="s">
        <v>5167</v>
      </c>
      <c r="B3403">
        <v>112</v>
      </c>
      <c r="C3403">
        <v>4306697</v>
      </c>
      <c r="D3403" t="s">
        <v>5269</v>
      </c>
      <c r="E3403" t="s">
        <v>13</v>
      </c>
      <c r="F3403" t="s">
        <v>98</v>
      </c>
      <c r="G3403">
        <v>5000000</v>
      </c>
      <c r="H3403">
        <v>7.7</v>
      </c>
      <c r="I3403" t="s">
        <v>31</v>
      </c>
    </row>
    <row r="3404" spans="1:12" x14ac:dyDescent="0.25">
      <c r="A3404" t="s">
        <v>5270</v>
      </c>
      <c r="B3404">
        <v>110</v>
      </c>
      <c r="C3404">
        <v>4301331</v>
      </c>
      <c r="D3404" t="s">
        <v>5271</v>
      </c>
      <c r="E3404" t="s">
        <v>13</v>
      </c>
      <c r="F3404" t="s">
        <v>14</v>
      </c>
      <c r="G3404">
        <v>4000000</v>
      </c>
      <c r="H3404">
        <v>6.7</v>
      </c>
      <c r="I3404" t="s">
        <v>15</v>
      </c>
      <c r="J3404" t="s">
        <v>17</v>
      </c>
    </row>
    <row r="3405" spans="1:12" x14ac:dyDescent="0.25">
      <c r="A3405" t="s">
        <v>365</v>
      </c>
      <c r="B3405">
        <v>98</v>
      </c>
      <c r="C3405">
        <v>4291965</v>
      </c>
      <c r="D3405" t="s">
        <v>5272</v>
      </c>
      <c r="E3405" t="s">
        <v>13</v>
      </c>
      <c r="F3405" t="s">
        <v>295</v>
      </c>
      <c r="G3405">
        <v>14000000</v>
      </c>
      <c r="H3405">
        <v>6.7</v>
      </c>
      <c r="I3405" t="s">
        <v>42</v>
      </c>
      <c r="J3405" t="s">
        <v>31</v>
      </c>
      <c r="K3405" t="s">
        <v>64</v>
      </c>
    </row>
    <row r="3406" spans="1:12" x14ac:dyDescent="0.25">
      <c r="A3406" t="s">
        <v>3022</v>
      </c>
      <c r="B3406">
        <v>118</v>
      </c>
      <c r="C3406">
        <v>4280577</v>
      </c>
      <c r="D3406" t="s">
        <v>5273</v>
      </c>
      <c r="E3406" t="s">
        <v>13</v>
      </c>
      <c r="F3406" t="s">
        <v>14</v>
      </c>
      <c r="G3406">
        <v>10000000</v>
      </c>
      <c r="H3406">
        <v>6.8</v>
      </c>
      <c r="I3406" t="s">
        <v>31</v>
      </c>
      <c r="J3406" t="s">
        <v>19</v>
      </c>
      <c r="K3406" t="s">
        <v>41</v>
      </c>
    </row>
    <row r="3407" spans="1:12" x14ac:dyDescent="0.25">
      <c r="A3407" t="s">
        <v>5274</v>
      </c>
      <c r="B3407">
        <v>104</v>
      </c>
      <c r="C3407">
        <v>4273372</v>
      </c>
      <c r="D3407" t="s">
        <v>5275</v>
      </c>
      <c r="E3407" t="s">
        <v>13</v>
      </c>
      <c r="F3407" t="s">
        <v>14</v>
      </c>
      <c r="G3407">
        <v>22000000</v>
      </c>
      <c r="H3407">
        <v>2.1</v>
      </c>
      <c r="I3407" t="s">
        <v>31</v>
      </c>
      <c r="J3407" t="s">
        <v>18</v>
      </c>
      <c r="K3407" t="s">
        <v>19</v>
      </c>
    </row>
    <row r="3408" spans="1:12" x14ac:dyDescent="0.25">
      <c r="A3408" t="s">
        <v>371</v>
      </c>
      <c r="B3408">
        <v>109</v>
      </c>
      <c r="C3408">
        <v>4250320</v>
      </c>
      <c r="D3408" t="s">
        <v>5276</v>
      </c>
      <c r="E3408" t="s">
        <v>13</v>
      </c>
      <c r="F3408" t="s">
        <v>14</v>
      </c>
      <c r="G3408">
        <v>18000000</v>
      </c>
      <c r="H3408">
        <v>6.8</v>
      </c>
      <c r="I3408" t="s">
        <v>28</v>
      </c>
      <c r="J3408" t="s">
        <v>17</v>
      </c>
      <c r="K3408" t="s">
        <v>23</v>
      </c>
      <c r="L3408" t="s">
        <v>24</v>
      </c>
    </row>
    <row r="3409" spans="1:12" x14ac:dyDescent="0.25">
      <c r="A3409" t="s">
        <v>4924</v>
      </c>
      <c r="B3409">
        <v>83</v>
      </c>
      <c r="C3409">
        <v>4244155</v>
      </c>
      <c r="D3409" t="s">
        <v>5277</v>
      </c>
      <c r="E3409" t="s">
        <v>13</v>
      </c>
      <c r="F3409" t="s">
        <v>14</v>
      </c>
      <c r="G3409">
        <v>10000000</v>
      </c>
      <c r="H3409">
        <v>6.5</v>
      </c>
      <c r="I3409" t="s">
        <v>15</v>
      </c>
      <c r="J3409" t="s">
        <v>31</v>
      </c>
    </row>
    <row r="3410" spans="1:12" x14ac:dyDescent="0.25">
      <c r="A3410" t="s">
        <v>1676</v>
      </c>
      <c r="B3410">
        <v>102</v>
      </c>
      <c r="C3410">
        <v>4239767</v>
      </c>
      <c r="D3410" t="s">
        <v>5278</v>
      </c>
      <c r="E3410" t="s">
        <v>13</v>
      </c>
      <c r="F3410" t="s">
        <v>98</v>
      </c>
      <c r="G3410">
        <v>7500000</v>
      </c>
      <c r="H3410">
        <v>6</v>
      </c>
      <c r="I3410" t="s">
        <v>15</v>
      </c>
      <c r="J3410" t="s">
        <v>31</v>
      </c>
      <c r="K3410" t="s">
        <v>19</v>
      </c>
      <c r="L3410" t="s">
        <v>41</v>
      </c>
    </row>
    <row r="3411" spans="1:12" x14ac:dyDescent="0.25">
      <c r="A3411" t="s">
        <v>5279</v>
      </c>
      <c r="B3411">
        <v>103</v>
      </c>
      <c r="C3411">
        <v>4235837</v>
      </c>
      <c r="D3411" t="s">
        <v>5280</v>
      </c>
      <c r="E3411" t="s">
        <v>13</v>
      </c>
      <c r="F3411" t="s">
        <v>14</v>
      </c>
      <c r="G3411">
        <v>15000000</v>
      </c>
      <c r="H3411">
        <v>7.6</v>
      </c>
      <c r="I3411" t="s">
        <v>15</v>
      </c>
      <c r="J3411" t="s">
        <v>38</v>
      </c>
      <c r="K3411" t="s">
        <v>23</v>
      </c>
    </row>
    <row r="3412" spans="1:12" x14ac:dyDescent="0.25">
      <c r="A3412" t="s">
        <v>5281</v>
      </c>
      <c r="B3412">
        <v>119</v>
      </c>
      <c r="C3412">
        <v>4234040</v>
      </c>
      <c r="D3412" t="s">
        <v>5282</v>
      </c>
      <c r="E3412" t="s">
        <v>13</v>
      </c>
      <c r="F3412" t="s">
        <v>14</v>
      </c>
      <c r="G3412">
        <v>20000000</v>
      </c>
      <c r="H3412">
        <v>7</v>
      </c>
      <c r="I3412" t="s">
        <v>42</v>
      </c>
      <c r="J3412" t="s">
        <v>31</v>
      </c>
    </row>
    <row r="3413" spans="1:12" x14ac:dyDescent="0.25">
      <c r="A3413" t="s">
        <v>5283</v>
      </c>
      <c r="B3413">
        <v>104</v>
      </c>
      <c r="C3413">
        <v>4231500</v>
      </c>
      <c r="D3413" t="s">
        <v>5284</v>
      </c>
      <c r="E3413" t="s">
        <v>1409</v>
      </c>
      <c r="F3413" t="s">
        <v>1296</v>
      </c>
      <c r="G3413">
        <v>1000000</v>
      </c>
      <c r="H3413">
        <v>7.8</v>
      </c>
      <c r="I3413" t="s">
        <v>31</v>
      </c>
      <c r="J3413" t="s">
        <v>19</v>
      </c>
    </row>
    <row r="3414" spans="1:12" x14ac:dyDescent="0.25">
      <c r="A3414" t="s">
        <v>2622</v>
      </c>
      <c r="B3414">
        <v>95</v>
      </c>
      <c r="C3414">
        <v>4193025</v>
      </c>
      <c r="D3414" t="s">
        <v>5285</v>
      </c>
      <c r="E3414" t="s">
        <v>13</v>
      </c>
      <c r="F3414" t="s">
        <v>14</v>
      </c>
      <c r="G3414">
        <v>15000000</v>
      </c>
      <c r="H3414">
        <v>6.8</v>
      </c>
      <c r="I3414" t="s">
        <v>15</v>
      </c>
      <c r="J3414" t="s">
        <v>18</v>
      </c>
    </row>
    <row r="3415" spans="1:12" x14ac:dyDescent="0.25">
      <c r="A3415" t="s">
        <v>5286</v>
      </c>
      <c r="B3415">
        <v>111</v>
      </c>
      <c r="C3415">
        <v>4190530</v>
      </c>
      <c r="D3415" t="s">
        <v>5287</v>
      </c>
      <c r="E3415" t="s">
        <v>13</v>
      </c>
      <c r="F3415" t="s">
        <v>45</v>
      </c>
      <c r="G3415">
        <v>22500000</v>
      </c>
      <c r="H3415">
        <v>7.1</v>
      </c>
      <c r="I3415" t="s">
        <v>31</v>
      </c>
      <c r="J3415" t="s">
        <v>83</v>
      </c>
    </row>
    <row r="3416" spans="1:12" x14ac:dyDescent="0.25">
      <c r="A3416" t="s">
        <v>4155</v>
      </c>
      <c r="B3416">
        <v>91</v>
      </c>
      <c r="C3416">
        <v>4186931</v>
      </c>
      <c r="D3416" t="s">
        <v>5288</v>
      </c>
      <c r="E3416" t="s">
        <v>13</v>
      </c>
      <c r="F3416" t="s">
        <v>14</v>
      </c>
      <c r="G3416">
        <v>250000</v>
      </c>
      <c r="H3416">
        <v>6.9</v>
      </c>
      <c r="I3416" t="s">
        <v>15</v>
      </c>
      <c r="J3416" t="s">
        <v>31</v>
      </c>
      <c r="K3416" t="s">
        <v>19</v>
      </c>
    </row>
    <row r="3417" spans="1:12" x14ac:dyDescent="0.25">
      <c r="A3417" t="s">
        <v>5289</v>
      </c>
      <c r="B3417">
        <v>96</v>
      </c>
      <c r="C3417">
        <v>4170647</v>
      </c>
      <c r="D3417" t="s">
        <v>5290</v>
      </c>
      <c r="E3417" t="s">
        <v>13</v>
      </c>
      <c r="F3417" t="s">
        <v>82</v>
      </c>
      <c r="G3417">
        <v>1900000</v>
      </c>
      <c r="H3417">
        <v>6.9</v>
      </c>
      <c r="I3417" t="s">
        <v>15</v>
      </c>
      <c r="J3417" t="s">
        <v>31</v>
      </c>
    </row>
    <row r="3418" spans="1:12" x14ac:dyDescent="0.25">
      <c r="A3418" t="s">
        <v>5291</v>
      </c>
      <c r="B3418">
        <v>140</v>
      </c>
      <c r="C3418">
        <v>4157491</v>
      </c>
      <c r="D3418" t="s">
        <v>5292</v>
      </c>
      <c r="E3418" t="s">
        <v>13</v>
      </c>
      <c r="F3418" t="s">
        <v>1442</v>
      </c>
      <c r="G3418">
        <v>12800000</v>
      </c>
      <c r="H3418">
        <v>8</v>
      </c>
      <c r="I3418" t="s">
        <v>38</v>
      </c>
      <c r="J3418" t="s">
        <v>31</v>
      </c>
      <c r="K3418" t="s">
        <v>59</v>
      </c>
    </row>
    <row r="3419" spans="1:12" x14ac:dyDescent="0.25">
      <c r="A3419" t="s">
        <v>5293</v>
      </c>
      <c r="B3419">
        <v>82</v>
      </c>
      <c r="C3419">
        <v>4142507</v>
      </c>
      <c r="D3419" t="s">
        <v>5294</v>
      </c>
      <c r="E3419" t="s">
        <v>13</v>
      </c>
      <c r="F3419" t="s">
        <v>14</v>
      </c>
      <c r="G3419">
        <v>3000000</v>
      </c>
      <c r="H3419">
        <v>4.4000000000000004</v>
      </c>
      <c r="I3419" t="s">
        <v>15</v>
      </c>
      <c r="J3419" t="s">
        <v>19</v>
      </c>
    </row>
    <row r="3420" spans="1:12" x14ac:dyDescent="0.25">
      <c r="A3420" t="s">
        <v>5295</v>
      </c>
      <c r="B3420">
        <v>97</v>
      </c>
      <c r="C3420">
        <v>4131640</v>
      </c>
      <c r="D3420" t="s">
        <v>5296</v>
      </c>
      <c r="E3420" t="s">
        <v>13</v>
      </c>
      <c r="F3420" t="s">
        <v>14</v>
      </c>
      <c r="G3420">
        <v>7500000</v>
      </c>
      <c r="H3420">
        <v>3.1</v>
      </c>
      <c r="I3420" t="s">
        <v>15</v>
      </c>
      <c r="J3420" t="s">
        <v>38</v>
      </c>
    </row>
    <row r="3421" spans="1:12" x14ac:dyDescent="0.25">
      <c r="A3421" t="s">
        <v>4258</v>
      </c>
      <c r="B3421">
        <v>109</v>
      </c>
      <c r="C3421">
        <v>4109095</v>
      </c>
      <c r="D3421" t="s">
        <v>5297</v>
      </c>
      <c r="E3421" t="s">
        <v>13</v>
      </c>
      <c r="F3421" t="s">
        <v>14</v>
      </c>
      <c r="G3421">
        <v>3000000</v>
      </c>
      <c r="H3421">
        <v>6</v>
      </c>
      <c r="I3421" t="s">
        <v>38</v>
      </c>
      <c r="J3421" t="s">
        <v>31</v>
      </c>
      <c r="K3421" t="s">
        <v>64</v>
      </c>
      <c r="L3421" t="s">
        <v>19</v>
      </c>
    </row>
    <row r="3422" spans="1:12" x14ac:dyDescent="0.25">
      <c r="A3422" t="s">
        <v>5298</v>
      </c>
      <c r="B3422">
        <v>102</v>
      </c>
      <c r="C3422">
        <v>4105123</v>
      </c>
      <c r="D3422" t="s">
        <v>5299</v>
      </c>
      <c r="E3422" t="s">
        <v>5300</v>
      </c>
      <c r="F3422" t="s">
        <v>5301</v>
      </c>
      <c r="G3422">
        <v>1100000</v>
      </c>
      <c r="H3422">
        <v>7.6</v>
      </c>
      <c r="I3422" t="s">
        <v>34</v>
      </c>
      <c r="J3422" t="s">
        <v>38</v>
      </c>
      <c r="K3422" t="s">
        <v>24</v>
      </c>
    </row>
    <row r="3423" spans="1:12" x14ac:dyDescent="0.25">
      <c r="A3423" t="s">
        <v>5302</v>
      </c>
      <c r="B3423">
        <v>41</v>
      </c>
      <c r="C3423">
        <v>4074023</v>
      </c>
      <c r="D3423" t="s">
        <v>5303</v>
      </c>
      <c r="E3423" t="s">
        <v>13</v>
      </c>
      <c r="F3423" t="s">
        <v>82</v>
      </c>
      <c r="G3423">
        <v>5000000</v>
      </c>
      <c r="H3423">
        <v>6.9</v>
      </c>
      <c r="I3423" t="s">
        <v>52</v>
      </c>
    </row>
    <row r="3424" spans="1:12" x14ac:dyDescent="0.25">
      <c r="A3424" t="s">
        <v>5304</v>
      </c>
      <c r="B3424">
        <v>125</v>
      </c>
      <c r="C3424">
        <v>4068087</v>
      </c>
      <c r="D3424" t="s">
        <v>5305</v>
      </c>
      <c r="E3424" t="s">
        <v>13</v>
      </c>
      <c r="F3424" t="s">
        <v>98</v>
      </c>
      <c r="G3424">
        <v>17000000</v>
      </c>
      <c r="H3424">
        <v>7.7</v>
      </c>
      <c r="I3424" t="s">
        <v>42</v>
      </c>
      <c r="J3424" t="s">
        <v>31</v>
      </c>
      <c r="K3424" t="s">
        <v>64</v>
      </c>
    </row>
    <row r="3425" spans="1:12" x14ac:dyDescent="0.25">
      <c r="A3425" t="s">
        <v>3258</v>
      </c>
      <c r="B3425">
        <v>104</v>
      </c>
      <c r="C3425">
        <v>4064333</v>
      </c>
      <c r="D3425" t="s">
        <v>5306</v>
      </c>
      <c r="E3425" t="s">
        <v>13</v>
      </c>
      <c r="F3425" t="s">
        <v>14</v>
      </c>
      <c r="G3425">
        <v>25000000</v>
      </c>
      <c r="H3425">
        <v>5.2</v>
      </c>
      <c r="I3425" t="s">
        <v>34</v>
      </c>
      <c r="J3425" t="s">
        <v>15</v>
      </c>
      <c r="K3425" t="s">
        <v>37</v>
      </c>
    </row>
    <row r="3426" spans="1:12" x14ac:dyDescent="0.25">
      <c r="A3426" t="s">
        <v>5307</v>
      </c>
      <c r="B3426">
        <v>121</v>
      </c>
      <c r="C3426">
        <v>4063859</v>
      </c>
      <c r="D3426" t="s">
        <v>5308</v>
      </c>
      <c r="E3426" t="s">
        <v>1277</v>
      </c>
      <c r="F3426" t="s">
        <v>241</v>
      </c>
      <c r="G3426">
        <v>4800000</v>
      </c>
      <c r="H3426">
        <v>7.7</v>
      </c>
      <c r="I3426" t="s">
        <v>31</v>
      </c>
      <c r="J3426" t="s">
        <v>19</v>
      </c>
    </row>
    <row r="3427" spans="1:12" x14ac:dyDescent="0.25">
      <c r="A3427" t="s">
        <v>4907</v>
      </c>
      <c r="B3427">
        <v>86</v>
      </c>
      <c r="C3427">
        <v>4063238</v>
      </c>
      <c r="D3427" t="s">
        <v>5309</v>
      </c>
      <c r="E3427" t="s">
        <v>13</v>
      </c>
      <c r="F3427" t="s">
        <v>14</v>
      </c>
      <c r="G3427">
        <v>39751583.5</v>
      </c>
      <c r="H3427">
        <v>7.4</v>
      </c>
      <c r="I3427" t="s">
        <v>15</v>
      </c>
      <c r="J3427" t="s">
        <v>31</v>
      </c>
      <c r="K3427" t="s">
        <v>19</v>
      </c>
    </row>
    <row r="3428" spans="1:12" x14ac:dyDescent="0.25">
      <c r="A3428" t="s">
        <v>5310</v>
      </c>
      <c r="B3428">
        <v>104</v>
      </c>
      <c r="C3428">
        <v>4046737</v>
      </c>
      <c r="D3428" t="s">
        <v>5311</v>
      </c>
      <c r="E3428" t="s">
        <v>13</v>
      </c>
      <c r="F3428" t="s">
        <v>14</v>
      </c>
      <c r="G3428">
        <v>4000000</v>
      </c>
      <c r="H3428">
        <v>7.1</v>
      </c>
      <c r="I3428" t="s">
        <v>15</v>
      </c>
      <c r="J3428" t="s">
        <v>31</v>
      </c>
      <c r="K3428" t="s">
        <v>19</v>
      </c>
    </row>
    <row r="3429" spans="1:12" x14ac:dyDescent="0.25">
      <c r="A3429" t="s">
        <v>5312</v>
      </c>
      <c r="B3429">
        <v>110</v>
      </c>
      <c r="C3429">
        <v>4040588</v>
      </c>
      <c r="D3429" t="s">
        <v>5313</v>
      </c>
      <c r="E3429" t="s">
        <v>13</v>
      </c>
      <c r="F3429" t="s">
        <v>14</v>
      </c>
      <c r="G3429">
        <v>5000000</v>
      </c>
      <c r="H3429">
        <v>6.8</v>
      </c>
      <c r="I3429" t="s">
        <v>15</v>
      </c>
      <c r="J3429" t="s">
        <v>31</v>
      </c>
    </row>
    <row r="3430" spans="1:12" x14ac:dyDescent="0.25">
      <c r="A3430" t="s">
        <v>4155</v>
      </c>
      <c r="B3430">
        <v>90</v>
      </c>
      <c r="C3430">
        <v>4033268</v>
      </c>
      <c r="D3430" t="s">
        <v>5314</v>
      </c>
      <c r="E3430" t="s">
        <v>13</v>
      </c>
      <c r="F3430" t="s">
        <v>14</v>
      </c>
      <c r="G3430">
        <v>39751583.5</v>
      </c>
      <c r="H3430">
        <v>6.6</v>
      </c>
      <c r="I3430" t="s">
        <v>15</v>
      </c>
      <c r="J3430" t="s">
        <v>31</v>
      </c>
    </row>
    <row r="3431" spans="1:12" x14ac:dyDescent="0.25">
      <c r="A3431" t="s">
        <v>5315</v>
      </c>
      <c r="B3431">
        <v>128</v>
      </c>
      <c r="C3431">
        <v>4018695</v>
      </c>
      <c r="D3431" t="s">
        <v>5316</v>
      </c>
      <c r="E3431" t="s">
        <v>1409</v>
      </c>
      <c r="F3431" t="s">
        <v>1296</v>
      </c>
      <c r="G3431">
        <v>12000000</v>
      </c>
      <c r="H3431">
        <v>8</v>
      </c>
      <c r="I3431" t="s">
        <v>28</v>
      </c>
      <c r="J3431" t="s">
        <v>31</v>
      </c>
      <c r="K3431" t="s">
        <v>24</v>
      </c>
    </row>
    <row r="3432" spans="1:12" x14ac:dyDescent="0.25">
      <c r="A3432" t="s">
        <v>5317</v>
      </c>
      <c r="B3432">
        <v>86</v>
      </c>
      <c r="C3432">
        <v>4007792</v>
      </c>
      <c r="D3432" t="s">
        <v>5318</v>
      </c>
      <c r="E3432" t="s">
        <v>13</v>
      </c>
      <c r="F3432" t="s">
        <v>14</v>
      </c>
      <c r="G3432">
        <v>750000</v>
      </c>
      <c r="H3432">
        <v>7</v>
      </c>
      <c r="I3432" t="s">
        <v>15</v>
      </c>
      <c r="J3432" t="s">
        <v>31</v>
      </c>
      <c r="K3432" t="s">
        <v>19</v>
      </c>
    </row>
    <row r="3433" spans="1:12" x14ac:dyDescent="0.25">
      <c r="A3433" t="s">
        <v>5319</v>
      </c>
      <c r="B3433">
        <v>95</v>
      </c>
      <c r="C3433">
        <v>4006906</v>
      </c>
      <c r="D3433" t="s">
        <v>5320</v>
      </c>
      <c r="E3433" t="s">
        <v>13</v>
      </c>
      <c r="F3433" t="s">
        <v>14</v>
      </c>
      <c r="G3433">
        <v>15000000</v>
      </c>
      <c r="H3433">
        <v>4.0999999999999996</v>
      </c>
      <c r="I3433" t="s">
        <v>15</v>
      </c>
      <c r="J3433" t="s">
        <v>38</v>
      </c>
    </row>
    <row r="3434" spans="1:12" x14ac:dyDescent="0.25">
      <c r="A3434" t="s">
        <v>5321</v>
      </c>
      <c r="B3434">
        <v>92</v>
      </c>
      <c r="C3434">
        <v>4002955</v>
      </c>
      <c r="D3434" t="s">
        <v>5322</v>
      </c>
      <c r="E3434" t="s">
        <v>13</v>
      </c>
      <c r="F3434" t="s">
        <v>14</v>
      </c>
      <c r="G3434">
        <v>20000000</v>
      </c>
      <c r="H3434">
        <v>6.2</v>
      </c>
      <c r="I3434" t="s">
        <v>15</v>
      </c>
      <c r="J3434" t="s">
        <v>17</v>
      </c>
      <c r="K3434" t="s">
        <v>22</v>
      </c>
      <c r="L3434" t="s">
        <v>24</v>
      </c>
    </row>
    <row r="3435" spans="1:12" x14ac:dyDescent="0.25">
      <c r="A3435" t="s">
        <v>4282</v>
      </c>
      <c r="B3435">
        <v>135</v>
      </c>
      <c r="C3435">
        <v>4001121</v>
      </c>
      <c r="D3435" t="s">
        <v>5323</v>
      </c>
      <c r="E3435" t="s">
        <v>13</v>
      </c>
      <c r="F3435" t="s">
        <v>14</v>
      </c>
      <c r="G3435">
        <v>20000000</v>
      </c>
      <c r="H3435">
        <v>7</v>
      </c>
      <c r="I3435" t="s">
        <v>42</v>
      </c>
      <c r="J3435" t="s">
        <v>31</v>
      </c>
      <c r="K3435" t="s">
        <v>18</v>
      </c>
    </row>
    <row r="3436" spans="1:12" x14ac:dyDescent="0.25">
      <c r="A3436" t="s">
        <v>921</v>
      </c>
      <c r="B3436">
        <v>101</v>
      </c>
      <c r="C3436">
        <v>4000304</v>
      </c>
      <c r="D3436" t="s">
        <v>5324</v>
      </c>
      <c r="E3436" t="s">
        <v>13</v>
      </c>
      <c r="F3436" t="s">
        <v>82</v>
      </c>
      <c r="G3436">
        <v>6500000</v>
      </c>
      <c r="H3436">
        <v>7.3</v>
      </c>
      <c r="I3436" t="s">
        <v>31</v>
      </c>
    </row>
    <row r="3437" spans="1:12" x14ac:dyDescent="0.25">
      <c r="A3437" t="s">
        <v>5325</v>
      </c>
      <c r="B3437">
        <v>90</v>
      </c>
      <c r="C3437">
        <v>4000000</v>
      </c>
      <c r="D3437" t="s">
        <v>5326</v>
      </c>
      <c r="E3437" t="s">
        <v>13</v>
      </c>
      <c r="F3437" t="s">
        <v>14</v>
      </c>
      <c r="G3437">
        <v>350000</v>
      </c>
      <c r="H3437">
        <v>4.7</v>
      </c>
      <c r="I3437" t="s">
        <v>34</v>
      </c>
      <c r="J3437" t="s">
        <v>31</v>
      </c>
    </row>
    <row r="3438" spans="1:12" x14ac:dyDescent="0.25">
      <c r="A3438" t="s">
        <v>5049</v>
      </c>
      <c r="B3438">
        <v>150</v>
      </c>
      <c r="C3438">
        <v>3958500</v>
      </c>
      <c r="D3438" t="s">
        <v>5327</v>
      </c>
      <c r="E3438" t="s">
        <v>13</v>
      </c>
      <c r="F3438" t="s">
        <v>82</v>
      </c>
      <c r="G3438">
        <v>8200000</v>
      </c>
      <c r="H3438">
        <v>6.8</v>
      </c>
      <c r="I3438" t="s">
        <v>42</v>
      </c>
      <c r="J3438" t="s">
        <v>31</v>
      </c>
      <c r="K3438" t="s">
        <v>64</v>
      </c>
    </row>
    <row r="3439" spans="1:12" x14ac:dyDescent="0.25">
      <c r="A3439" t="s">
        <v>5328</v>
      </c>
      <c r="B3439">
        <v>97</v>
      </c>
      <c r="C3439">
        <v>3950294</v>
      </c>
      <c r="D3439" t="s">
        <v>5329</v>
      </c>
      <c r="E3439" t="s">
        <v>13</v>
      </c>
      <c r="F3439" t="s">
        <v>14</v>
      </c>
      <c r="G3439">
        <v>12000000</v>
      </c>
      <c r="H3439">
        <v>7</v>
      </c>
      <c r="I3439" t="s">
        <v>15</v>
      </c>
      <c r="J3439" t="s">
        <v>31</v>
      </c>
      <c r="K3439" t="s">
        <v>19</v>
      </c>
    </row>
    <row r="3440" spans="1:12" x14ac:dyDescent="0.25">
      <c r="A3440" t="s">
        <v>5330</v>
      </c>
      <c r="B3440">
        <v>122</v>
      </c>
      <c r="C3440">
        <v>3950029</v>
      </c>
      <c r="D3440" t="s">
        <v>5331</v>
      </c>
      <c r="E3440" t="s">
        <v>473</v>
      </c>
      <c r="F3440" t="s">
        <v>295</v>
      </c>
      <c r="G3440">
        <v>4000000</v>
      </c>
      <c r="H3440">
        <v>7.2</v>
      </c>
      <c r="I3440" t="s">
        <v>31</v>
      </c>
    </row>
    <row r="3441" spans="1:13" x14ac:dyDescent="0.25">
      <c r="A3441" t="s">
        <v>4358</v>
      </c>
      <c r="B3441">
        <v>160</v>
      </c>
      <c r="C3441">
        <v>3904982</v>
      </c>
      <c r="D3441" t="s">
        <v>5332</v>
      </c>
      <c r="E3441" t="s">
        <v>13</v>
      </c>
      <c r="F3441" t="s">
        <v>14</v>
      </c>
      <c r="G3441">
        <v>30000000</v>
      </c>
      <c r="H3441">
        <v>7.5</v>
      </c>
      <c r="I3441" t="s">
        <v>42</v>
      </c>
      <c r="J3441" t="s">
        <v>38</v>
      </c>
      <c r="K3441" t="s">
        <v>31</v>
      </c>
      <c r="L3441" t="s">
        <v>64</v>
      </c>
      <c r="M3441" t="s">
        <v>69</v>
      </c>
    </row>
    <row r="3442" spans="1:13" x14ac:dyDescent="0.25">
      <c r="A3442" t="s">
        <v>5333</v>
      </c>
      <c r="B3442">
        <v>98</v>
      </c>
      <c r="C3442">
        <v>3902679</v>
      </c>
      <c r="D3442" t="s">
        <v>5334</v>
      </c>
      <c r="E3442" t="s">
        <v>13</v>
      </c>
      <c r="F3442" t="s">
        <v>14</v>
      </c>
      <c r="G3442">
        <v>3000000</v>
      </c>
      <c r="H3442">
        <v>5.3</v>
      </c>
      <c r="I3442" t="s">
        <v>17</v>
      </c>
      <c r="J3442" t="s">
        <v>22</v>
      </c>
    </row>
    <row r="3443" spans="1:13" x14ac:dyDescent="0.25">
      <c r="A3443" t="s">
        <v>5335</v>
      </c>
      <c r="B3443">
        <v>111</v>
      </c>
      <c r="C3443">
        <v>3895664</v>
      </c>
      <c r="D3443" t="s">
        <v>5336</v>
      </c>
      <c r="E3443" t="s">
        <v>473</v>
      </c>
      <c r="F3443" t="s">
        <v>295</v>
      </c>
      <c r="G3443">
        <v>5300000</v>
      </c>
      <c r="H3443">
        <v>7.3</v>
      </c>
      <c r="I3443" t="s">
        <v>15</v>
      </c>
      <c r="J3443" t="s">
        <v>31</v>
      </c>
    </row>
    <row r="3444" spans="1:13" x14ac:dyDescent="0.25">
      <c r="A3444" t="s">
        <v>5337</v>
      </c>
      <c r="B3444">
        <v>91</v>
      </c>
      <c r="C3444">
        <v>3885134</v>
      </c>
      <c r="D3444" t="s">
        <v>5338</v>
      </c>
      <c r="E3444" t="s">
        <v>13</v>
      </c>
      <c r="F3444" t="s">
        <v>14</v>
      </c>
      <c r="G3444">
        <v>2000000</v>
      </c>
      <c r="H3444">
        <v>7.4</v>
      </c>
      <c r="I3444" t="s">
        <v>15</v>
      </c>
      <c r="J3444" t="s">
        <v>31</v>
      </c>
    </row>
    <row r="3445" spans="1:13" x14ac:dyDescent="0.25">
      <c r="A3445" t="s">
        <v>5339</v>
      </c>
      <c r="B3445">
        <v>160</v>
      </c>
      <c r="C3445">
        <v>3827466</v>
      </c>
      <c r="D3445" t="s">
        <v>5340</v>
      </c>
      <c r="E3445" t="s">
        <v>1409</v>
      </c>
      <c r="F3445" t="s">
        <v>1296</v>
      </c>
      <c r="G3445">
        <v>39751583.5</v>
      </c>
      <c r="H3445">
        <v>6.9</v>
      </c>
      <c r="I3445" t="s">
        <v>15</v>
      </c>
      <c r="J3445" t="s">
        <v>31</v>
      </c>
      <c r="K3445" t="s">
        <v>59</v>
      </c>
      <c r="L3445" t="s">
        <v>19</v>
      </c>
    </row>
    <row r="3446" spans="1:13" x14ac:dyDescent="0.25">
      <c r="A3446" t="s">
        <v>5341</v>
      </c>
      <c r="B3446">
        <v>82</v>
      </c>
      <c r="C3446">
        <v>3826455</v>
      </c>
      <c r="D3446" t="s">
        <v>5342</v>
      </c>
      <c r="E3446" t="s">
        <v>1329</v>
      </c>
      <c r="F3446" t="s">
        <v>1330</v>
      </c>
      <c r="G3446">
        <v>39751583.5</v>
      </c>
      <c r="H3446">
        <v>7.4</v>
      </c>
      <c r="I3446" t="s">
        <v>31</v>
      </c>
    </row>
    <row r="3447" spans="1:13" x14ac:dyDescent="0.25">
      <c r="A3447" t="s">
        <v>779</v>
      </c>
      <c r="B3447">
        <v>98</v>
      </c>
      <c r="C3447">
        <v>3799339</v>
      </c>
      <c r="D3447" t="s">
        <v>5343</v>
      </c>
      <c r="E3447" t="s">
        <v>13</v>
      </c>
      <c r="F3447" t="s">
        <v>14</v>
      </c>
      <c r="G3447">
        <v>250000</v>
      </c>
      <c r="H3447">
        <v>7.2</v>
      </c>
      <c r="I3447" t="s">
        <v>38</v>
      </c>
      <c r="J3447" t="s">
        <v>31</v>
      </c>
      <c r="K3447" t="s">
        <v>19</v>
      </c>
    </row>
    <row r="3448" spans="1:13" x14ac:dyDescent="0.25">
      <c r="A3448" t="s">
        <v>5344</v>
      </c>
      <c r="B3448">
        <v>109</v>
      </c>
      <c r="C3448">
        <v>3798532</v>
      </c>
      <c r="D3448" t="s">
        <v>5345</v>
      </c>
      <c r="E3448" t="s">
        <v>13</v>
      </c>
      <c r="F3448" t="s">
        <v>14</v>
      </c>
      <c r="G3448">
        <v>4500000</v>
      </c>
      <c r="H3448">
        <v>7.4</v>
      </c>
      <c r="I3448" t="s">
        <v>38</v>
      </c>
      <c r="J3448" t="s">
        <v>31</v>
      </c>
      <c r="K3448" t="s">
        <v>19</v>
      </c>
      <c r="L3448" t="s">
        <v>24</v>
      </c>
    </row>
    <row r="3449" spans="1:13" x14ac:dyDescent="0.25">
      <c r="A3449" t="s">
        <v>5346</v>
      </c>
      <c r="B3449">
        <v>120</v>
      </c>
      <c r="C3449">
        <v>3773863</v>
      </c>
      <c r="D3449" t="s">
        <v>5347</v>
      </c>
      <c r="E3449" t="s">
        <v>13</v>
      </c>
      <c r="F3449" t="s">
        <v>14</v>
      </c>
      <c r="G3449">
        <v>1000000</v>
      </c>
      <c r="H3449">
        <v>7.1</v>
      </c>
      <c r="I3449" t="s">
        <v>31</v>
      </c>
    </row>
    <row r="3450" spans="1:13" x14ac:dyDescent="0.25">
      <c r="A3450" t="s">
        <v>5348</v>
      </c>
      <c r="B3450">
        <v>128</v>
      </c>
      <c r="C3450">
        <v>3766595</v>
      </c>
      <c r="D3450" t="s">
        <v>5349</v>
      </c>
      <c r="E3450" t="s">
        <v>473</v>
      </c>
      <c r="F3450" t="s">
        <v>295</v>
      </c>
      <c r="G3450">
        <v>39751583.5</v>
      </c>
      <c r="H3450">
        <v>7.5</v>
      </c>
      <c r="I3450" t="s">
        <v>31</v>
      </c>
    </row>
    <row r="3451" spans="1:13" x14ac:dyDescent="0.25">
      <c r="A3451" t="s">
        <v>5049</v>
      </c>
      <c r="B3451">
        <v>125</v>
      </c>
      <c r="C3451">
        <v>3753806</v>
      </c>
      <c r="D3451" t="s">
        <v>5350</v>
      </c>
      <c r="E3451" t="s">
        <v>13</v>
      </c>
      <c r="F3451" t="s">
        <v>82</v>
      </c>
      <c r="G3451">
        <v>11000000</v>
      </c>
      <c r="H3451">
        <v>7.7</v>
      </c>
      <c r="I3451" t="s">
        <v>38</v>
      </c>
      <c r="J3451" t="s">
        <v>31</v>
      </c>
    </row>
    <row r="3452" spans="1:13" x14ac:dyDescent="0.25">
      <c r="A3452" t="s">
        <v>1830</v>
      </c>
      <c r="B3452">
        <v>131</v>
      </c>
      <c r="C3452">
        <v>3752725</v>
      </c>
      <c r="D3452" t="s">
        <v>5351</v>
      </c>
      <c r="E3452" t="s">
        <v>13</v>
      </c>
      <c r="F3452" t="s">
        <v>14</v>
      </c>
      <c r="G3452">
        <v>18000000</v>
      </c>
      <c r="H3452">
        <v>7.1</v>
      </c>
      <c r="I3452" t="s">
        <v>31</v>
      </c>
      <c r="J3452" t="s">
        <v>19</v>
      </c>
    </row>
    <row r="3453" spans="1:13" x14ac:dyDescent="0.25">
      <c r="A3453" t="s">
        <v>5352</v>
      </c>
      <c r="B3453">
        <v>93</v>
      </c>
      <c r="C3453">
        <v>3749061</v>
      </c>
      <c r="D3453" t="s">
        <v>5353</v>
      </c>
      <c r="E3453" t="s">
        <v>13</v>
      </c>
      <c r="F3453" t="s">
        <v>14</v>
      </c>
      <c r="G3453">
        <v>20000000</v>
      </c>
      <c r="H3453">
        <v>4.9000000000000004</v>
      </c>
      <c r="I3453" t="s">
        <v>34</v>
      </c>
      <c r="J3453" t="s">
        <v>24</v>
      </c>
    </row>
    <row r="3454" spans="1:13" x14ac:dyDescent="0.25">
      <c r="A3454" t="s">
        <v>5354</v>
      </c>
      <c r="B3454">
        <v>96</v>
      </c>
      <c r="C3454">
        <v>3713002</v>
      </c>
      <c r="D3454" t="s">
        <v>5355</v>
      </c>
      <c r="E3454" t="s">
        <v>13</v>
      </c>
      <c r="F3454" t="s">
        <v>14</v>
      </c>
      <c r="G3454">
        <v>8000000</v>
      </c>
      <c r="H3454">
        <v>2.7</v>
      </c>
      <c r="I3454" t="s">
        <v>52</v>
      </c>
    </row>
    <row r="3455" spans="1:13" x14ac:dyDescent="0.25">
      <c r="A3455" t="s">
        <v>3906</v>
      </c>
      <c r="B3455">
        <v>112</v>
      </c>
      <c r="C3455">
        <v>3707794</v>
      </c>
      <c r="D3455" t="s">
        <v>5356</v>
      </c>
      <c r="E3455" t="s">
        <v>13</v>
      </c>
      <c r="F3455" t="s">
        <v>5357</v>
      </c>
      <c r="G3455">
        <v>18000000</v>
      </c>
      <c r="H3455">
        <v>6.7</v>
      </c>
      <c r="I3455" t="s">
        <v>28</v>
      </c>
      <c r="J3455" t="s">
        <v>31</v>
      </c>
      <c r="K3455" t="s">
        <v>37</v>
      </c>
      <c r="L3455" t="s">
        <v>24</v>
      </c>
    </row>
    <row r="3456" spans="1:13" x14ac:dyDescent="0.25">
      <c r="A3456" t="s">
        <v>2840</v>
      </c>
      <c r="B3456">
        <v>107</v>
      </c>
      <c r="C3456">
        <v>3675072</v>
      </c>
      <c r="D3456" t="s">
        <v>5358</v>
      </c>
      <c r="E3456" t="s">
        <v>13</v>
      </c>
      <c r="F3456" t="s">
        <v>82</v>
      </c>
      <c r="G3456">
        <v>26000000</v>
      </c>
      <c r="H3456">
        <v>7.3</v>
      </c>
      <c r="I3456" t="s">
        <v>28</v>
      </c>
      <c r="J3456" t="s">
        <v>37</v>
      </c>
      <c r="K3456" t="s">
        <v>24</v>
      </c>
    </row>
    <row r="3457" spans="1:13" x14ac:dyDescent="0.25">
      <c r="A3457" t="s">
        <v>2833</v>
      </c>
      <c r="B3457">
        <v>120</v>
      </c>
      <c r="C3457">
        <v>3650677</v>
      </c>
      <c r="D3457" t="s">
        <v>5359</v>
      </c>
      <c r="E3457" t="s">
        <v>13</v>
      </c>
      <c r="F3457" t="s">
        <v>82</v>
      </c>
      <c r="G3457">
        <v>960000</v>
      </c>
      <c r="H3457">
        <v>8.1999999999999993</v>
      </c>
      <c r="I3457" t="s">
        <v>15</v>
      </c>
      <c r="J3457" t="s">
        <v>38</v>
      </c>
    </row>
    <row r="3458" spans="1:13" x14ac:dyDescent="0.25">
      <c r="A3458" t="s">
        <v>2962</v>
      </c>
      <c r="B3458">
        <v>89</v>
      </c>
      <c r="C3458">
        <v>3645438</v>
      </c>
      <c r="D3458" t="s">
        <v>5360</v>
      </c>
      <c r="E3458" t="s">
        <v>473</v>
      </c>
      <c r="F3458" t="s">
        <v>295</v>
      </c>
      <c r="G3458">
        <v>2200000</v>
      </c>
      <c r="H3458">
        <v>6.8</v>
      </c>
      <c r="I3458" t="s">
        <v>22</v>
      </c>
    </row>
    <row r="3459" spans="1:13" x14ac:dyDescent="0.25">
      <c r="A3459" t="s">
        <v>5361</v>
      </c>
      <c r="B3459">
        <v>97</v>
      </c>
      <c r="C3459">
        <v>3629758</v>
      </c>
      <c r="D3459" t="s">
        <v>5362</v>
      </c>
      <c r="E3459" t="s">
        <v>473</v>
      </c>
      <c r="F3459" t="s">
        <v>295</v>
      </c>
      <c r="G3459">
        <v>5500000</v>
      </c>
      <c r="H3459">
        <v>7.9</v>
      </c>
      <c r="I3459" t="s">
        <v>31</v>
      </c>
      <c r="J3459" t="s">
        <v>18</v>
      </c>
    </row>
    <row r="3460" spans="1:13" x14ac:dyDescent="0.25">
      <c r="A3460" t="s">
        <v>76</v>
      </c>
      <c r="B3460">
        <v>102</v>
      </c>
      <c r="C3460">
        <v>3609278</v>
      </c>
      <c r="D3460" t="s">
        <v>5363</v>
      </c>
      <c r="E3460" t="s">
        <v>13</v>
      </c>
      <c r="F3460" t="s">
        <v>14</v>
      </c>
      <c r="G3460">
        <v>4500000</v>
      </c>
      <c r="H3460">
        <v>8.4</v>
      </c>
      <c r="I3460" t="s">
        <v>31</v>
      </c>
    </row>
    <row r="3461" spans="1:13" x14ac:dyDescent="0.25">
      <c r="A3461" t="s">
        <v>5364</v>
      </c>
      <c r="B3461">
        <v>96</v>
      </c>
      <c r="C3461">
        <v>3590010</v>
      </c>
      <c r="D3461" t="s">
        <v>5365</v>
      </c>
      <c r="E3461" t="s">
        <v>13</v>
      </c>
      <c r="F3461" t="s">
        <v>82</v>
      </c>
      <c r="G3461">
        <v>2000000</v>
      </c>
      <c r="H3461">
        <v>6.1</v>
      </c>
      <c r="I3461" t="s">
        <v>31</v>
      </c>
      <c r="J3461" t="s">
        <v>18</v>
      </c>
      <c r="K3461" t="s">
        <v>19</v>
      </c>
    </row>
    <row r="3462" spans="1:13" x14ac:dyDescent="0.25">
      <c r="A3462" t="s">
        <v>3642</v>
      </c>
      <c r="B3462">
        <v>106</v>
      </c>
      <c r="C3462">
        <v>3588432</v>
      </c>
      <c r="D3462" t="s">
        <v>5366</v>
      </c>
      <c r="E3462" t="s">
        <v>13</v>
      </c>
      <c r="F3462" t="s">
        <v>14</v>
      </c>
      <c r="G3462">
        <v>6000000</v>
      </c>
      <c r="H3462">
        <v>6.7</v>
      </c>
      <c r="I3462" t="s">
        <v>15</v>
      </c>
      <c r="J3462" t="s">
        <v>31</v>
      </c>
    </row>
    <row r="3463" spans="1:13" x14ac:dyDescent="0.25">
      <c r="A3463" t="s">
        <v>5367</v>
      </c>
      <c r="B3463">
        <v>106</v>
      </c>
      <c r="C3463">
        <v>3571735</v>
      </c>
      <c r="D3463" t="s">
        <v>5368</v>
      </c>
      <c r="E3463" t="s">
        <v>13</v>
      </c>
      <c r="F3463" t="s">
        <v>14</v>
      </c>
      <c r="G3463">
        <v>10000000</v>
      </c>
      <c r="H3463">
        <v>6.6</v>
      </c>
      <c r="I3463" t="s">
        <v>42</v>
      </c>
      <c r="J3463" t="s">
        <v>31</v>
      </c>
      <c r="K3463" t="s">
        <v>18</v>
      </c>
    </row>
    <row r="3464" spans="1:13" x14ac:dyDescent="0.25">
      <c r="A3464" t="s">
        <v>5369</v>
      </c>
      <c r="B3464">
        <v>75</v>
      </c>
      <c r="C3464">
        <v>3562749</v>
      </c>
      <c r="D3464" t="s">
        <v>5370</v>
      </c>
      <c r="E3464" t="s">
        <v>13</v>
      </c>
      <c r="F3464" t="s">
        <v>14</v>
      </c>
      <c r="G3464">
        <v>32000000</v>
      </c>
      <c r="H3464">
        <v>6.9</v>
      </c>
      <c r="I3464" t="s">
        <v>46</v>
      </c>
      <c r="J3464" t="s">
        <v>15</v>
      </c>
      <c r="K3464" t="s">
        <v>16</v>
      </c>
      <c r="L3464" t="s">
        <v>17</v>
      </c>
      <c r="M3464" t="s">
        <v>59</v>
      </c>
    </row>
    <row r="3465" spans="1:13" x14ac:dyDescent="0.25">
      <c r="A3465" t="s">
        <v>5371</v>
      </c>
      <c r="B3465">
        <v>95</v>
      </c>
      <c r="C3465">
        <v>3559990</v>
      </c>
      <c r="D3465" t="s">
        <v>5372</v>
      </c>
      <c r="E3465" t="s">
        <v>13</v>
      </c>
      <c r="F3465" t="s">
        <v>14</v>
      </c>
      <c r="G3465">
        <v>3000000</v>
      </c>
      <c r="H3465">
        <v>5.3</v>
      </c>
      <c r="I3465" t="s">
        <v>15</v>
      </c>
      <c r="J3465" t="s">
        <v>38</v>
      </c>
    </row>
    <row r="3466" spans="1:13" x14ac:dyDescent="0.25">
      <c r="A3466" t="s">
        <v>5373</v>
      </c>
      <c r="B3466">
        <v>98</v>
      </c>
      <c r="C3466">
        <v>3525161</v>
      </c>
      <c r="D3466" t="s">
        <v>5374</v>
      </c>
      <c r="E3466" t="s">
        <v>13</v>
      </c>
      <c r="F3466" t="s">
        <v>14</v>
      </c>
      <c r="G3466">
        <v>39751583.5</v>
      </c>
      <c r="H3466">
        <v>5.5</v>
      </c>
      <c r="I3466" t="s">
        <v>31</v>
      </c>
      <c r="J3466" t="s">
        <v>17</v>
      </c>
      <c r="K3466" t="s">
        <v>22</v>
      </c>
      <c r="L3466" t="s">
        <v>19</v>
      </c>
    </row>
    <row r="3467" spans="1:13" x14ac:dyDescent="0.25">
      <c r="A3467" t="s">
        <v>696</v>
      </c>
      <c r="B3467">
        <v>114</v>
      </c>
      <c r="C3467">
        <v>3519627</v>
      </c>
      <c r="D3467" t="s">
        <v>5375</v>
      </c>
      <c r="E3467" t="s">
        <v>13</v>
      </c>
      <c r="F3467" t="s">
        <v>14</v>
      </c>
      <c r="G3467">
        <v>20000000</v>
      </c>
      <c r="H3467">
        <v>6.9</v>
      </c>
      <c r="I3467" t="s">
        <v>28</v>
      </c>
      <c r="J3467" t="s">
        <v>15</v>
      </c>
      <c r="K3467" t="s">
        <v>31</v>
      </c>
      <c r="L3467" t="s">
        <v>19</v>
      </c>
    </row>
    <row r="3468" spans="1:13" x14ac:dyDescent="0.25">
      <c r="A3468" t="s">
        <v>101</v>
      </c>
      <c r="B3468">
        <v>109</v>
      </c>
      <c r="C3468">
        <v>3517797</v>
      </c>
      <c r="D3468" t="s">
        <v>5376</v>
      </c>
      <c r="E3468" t="s">
        <v>13</v>
      </c>
      <c r="F3468" t="s">
        <v>295</v>
      </c>
      <c r="G3468">
        <v>25000000</v>
      </c>
      <c r="H3468">
        <v>6.6</v>
      </c>
      <c r="I3468" t="s">
        <v>34</v>
      </c>
      <c r="J3468" t="s">
        <v>38</v>
      </c>
      <c r="K3468" t="s">
        <v>31</v>
      </c>
      <c r="L3468" t="s">
        <v>19</v>
      </c>
      <c r="M3468" t="s">
        <v>24</v>
      </c>
    </row>
    <row r="3469" spans="1:13" x14ac:dyDescent="0.25">
      <c r="A3469" t="s">
        <v>5377</v>
      </c>
      <c r="B3469">
        <v>93</v>
      </c>
      <c r="C3469">
        <v>3500000</v>
      </c>
      <c r="D3469" t="s">
        <v>5378</v>
      </c>
      <c r="E3469" t="s">
        <v>13</v>
      </c>
      <c r="F3469" t="s">
        <v>14</v>
      </c>
      <c r="G3469">
        <v>2700000</v>
      </c>
      <c r="H3469">
        <v>5.9</v>
      </c>
      <c r="I3469" t="s">
        <v>34</v>
      </c>
      <c r="J3469" t="s">
        <v>22</v>
      </c>
      <c r="K3469" t="s">
        <v>19</v>
      </c>
      <c r="L3469" t="s">
        <v>37</v>
      </c>
      <c r="M3469" t="s">
        <v>24</v>
      </c>
    </row>
    <row r="3470" spans="1:13" x14ac:dyDescent="0.25">
      <c r="A3470" t="s">
        <v>1996</v>
      </c>
      <c r="B3470">
        <v>99</v>
      </c>
      <c r="C3470">
        <v>3500000</v>
      </c>
      <c r="D3470" t="s">
        <v>5379</v>
      </c>
      <c r="E3470" t="s">
        <v>1351</v>
      </c>
      <c r="F3470" t="s">
        <v>1342</v>
      </c>
      <c r="G3470">
        <v>200000</v>
      </c>
      <c r="H3470">
        <v>8</v>
      </c>
      <c r="I3470" t="s">
        <v>34</v>
      </c>
      <c r="J3470" t="s">
        <v>31</v>
      </c>
      <c r="K3470" t="s">
        <v>69</v>
      </c>
    </row>
    <row r="3471" spans="1:13" x14ac:dyDescent="0.25">
      <c r="A3471" t="s">
        <v>519</v>
      </c>
      <c r="B3471">
        <v>110</v>
      </c>
      <c r="C3471">
        <v>3468572</v>
      </c>
      <c r="D3471" t="s">
        <v>5380</v>
      </c>
      <c r="E3471" t="s">
        <v>13</v>
      </c>
      <c r="F3471" t="s">
        <v>14</v>
      </c>
      <c r="G3471">
        <v>4000000</v>
      </c>
      <c r="H3471">
        <v>7.3</v>
      </c>
      <c r="I3471" t="s">
        <v>31</v>
      </c>
    </row>
    <row r="3472" spans="1:13" x14ac:dyDescent="0.25">
      <c r="A3472" t="s">
        <v>5381</v>
      </c>
      <c r="B3472">
        <v>104</v>
      </c>
      <c r="C3472">
        <v>3447339</v>
      </c>
      <c r="D3472" t="s">
        <v>5382</v>
      </c>
      <c r="E3472" t="s">
        <v>13</v>
      </c>
      <c r="F3472" t="s">
        <v>14</v>
      </c>
      <c r="G3472">
        <v>1500000</v>
      </c>
      <c r="H3472">
        <v>5.8</v>
      </c>
      <c r="I3472" t="s">
        <v>15</v>
      </c>
      <c r="J3472" t="s">
        <v>19</v>
      </c>
    </row>
    <row r="3473" spans="1:13" x14ac:dyDescent="0.25">
      <c r="A3473" t="s">
        <v>5383</v>
      </c>
      <c r="B3473">
        <v>90</v>
      </c>
      <c r="C3473">
        <v>3442820</v>
      </c>
      <c r="D3473" t="s">
        <v>5384</v>
      </c>
      <c r="E3473" t="s">
        <v>13</v>
      </c>
      <c r="F3473" t="s">
        <v>14</v>
      </c>
      <c r="G3473">
        <v>8000000</v>
      </c>
      <c r="H3473">
        <v>7.3</v>
      </c>
      <c r="I3473" t="s">
        <v>46</v>
      </c>
      <c r="J3473" t="s">
        <v>15</v>
      </c>
      <c r="K3473" t="s">
        <v>31</v>
      </c>
      <c r="L3473" t="s">
        <v>19</v>
      </c>
    </row>
    <row r="3474" spans="1:13" x14ac:dyDescent="0.25">
      <c r="A3474" t="s">
        <v>5385</v>
      </c>
      <c r="B3474">
        <v>112</v>
      </c>
      <c r="C3474">
        <v>3432342</v>
      </c>
      <c r="D3474" t="s">
        <v>5386</v>
      </c>
      <c r="E3474" t="s">
        <v>473</v>
      </c>
      <c r="F3474" t="s">
        <v>98</v>
      </c>
      <c r="G3474">
        <v>6000000</v>
      </c>
      <c r="H3474">
        <v>7.7</v>
      </c>
      <c r="I3474" t="s">
        <v>15</v>
      </c>
      <c r="J3474" t="s">
        <v>38</v>
      </c>
      <c r="K3474" t="s">
        <v>31</v>
      </c>
      <c r="L3474" t="s">
        <v>23</v>
      </c>
      <c r="M3474" t="s">
        <v>19</v>
      </c>
    </row>
    <row r="3475" spans="1:13" x14ac:dyDescent="0.25">
      <c r="A3475" t="s">
        <v>4479</v>
      </c>
      <c r="B3475">
        <v>114</v>
      </c>
      <c r="C3475">
        <v>3420871</v>
      </c>
      <c r="D3475" t="s">
        <v>5387</v>
      </c>
      <c r="E3475" t="s">
        <v>13</v>
      </c>
      <c r="F3475" t="s">
        <v>14</v>
      </c>
      <c r="G3475">
        <v>39751583.5</v>
      </c>
      <c r="H3475">
        <v>7.4</v>
      </c>
      <c r="I3475" t="s">
        <v>31</v>
      </c>
      <c r="J3475" t="s">
        <v>16</v>
      </c>
      <c r="K3475" t="s">
        <v>19</v>
      </c>
    </row>
    <row r="3476" spans="1:13" x14ac:dyDescent="0.25">
      <c r="A3476" t="s">
        <v>1071</v>
      </c>
      <c r="B3476">
        <v>93</v>
      </c>
      <c r="C3476">
        <v>3419967</v>
      </c>
      <c r="D3476" t="s">
        <v>5388</v>
      </c>
      <c r="E3476" t="s">
        <v>13</v>
      </c>
      <c r="F3476" t="s">
        <v>14</v>
      </c>
      <c r="G3476">
        <v>39751583.5</v>
      </c>
      <c r="H3476">
        <v>7.2</v>
      </c>
      <c r="I3476" t="s">
        <v>18</v>
      </c>
    </row>
    <row r="3477" spans="1:13" x14ac:dyDescent="0.25">
      <c r="A3477" t="s">
        <v>5389</v>
      </c>
      <c r="B3477">
        <v>90</v>
      </c>
      <c r="C3477">
        <v>3388210</v>
      </c>
      <c r="D3477" t="s">
        <v>5390</v>
      </c>
      <c r="E3477" t="s">
        <v>13</v>
      </c>
      <c r="F3477" t="s">
        <v>14</v>
      </c>
      <c r="G3477">
        <v>250000</v>
      </c>
      <c r="H3477">
        <v>6.7</v>
      </c>
      <c r="I3477" t="s">
        <v>31</v>
      </c>
      <c r="J3477" t="s">
        <v>19</v>
      </c>
    </row>
    <row r="3478" spans="1:13" x14ac:dyDescent="0.25">
      <c r="A3478" t="s">
        <v>1073</v>
      </c>
      <c r="B3478">
        <v>104</v>
      </c>
      <c r="C3478">
        <v>3386698</v>
      </c>
      <c r="D3478" t="s">
        <v>5391</v>
      </c>
      <c r="E3478" t="s">
        <v>13</v>
      </c>
      <c r="F3478" t="s">
        <v>14</v>
      </c>
      <c r="G3478">
        <v>1000000</v>
      </c>
      <c r="H3478">
        <v>6.7</v>
      </c>
      <c r="I3478" t="s">
        <v>15</v>
      </c>
      <c r="J3478" t="s">
        <v>31</v>
      </c>
      <c r="K3478" t="s">
        <v>19</v>
      </c>
    </row>
    <row r="3479" spans="1:13" x14ac:dyDescent="0.25">
      <c r="A3479" t="s">
        <v>5392</v>
      </c>
      <c r="B3479">
        <v>118</v>
      </c>
      <c r="C3479">
        <v>3347439</v>
      </c>
      <c r="D3479" t="s">
        <v>5393</v>
      </c>
      <c r="E3479" t="s">
        <v>13</v>
      </c>
      <c r="F3479" t="s">
        <v>14</v>
      </c>
      <c r="G3479">
        <v>7500000</v>
      </c>
      <c r="H3479">
        <v>6.9</v>
      </c>
      <c r="I3479" t="s">
        <v>31</v>
      </c>
      <c r="J3479" t="s">
        <v>19</v>
      </c>
    </row>
    <row r="3480" spans="1:13" x14ac:dyDescent="0.25">
      <c r="A3480" t="s">
        <v>325</v>
      </c>
      <c r="B3480">
        <v>116</v>
      </c>
      <c r="C3480">
        <v>3335839</v>
      </c>
      <c r="D3480" t="s">
        <v>5394</v>
      </c>
      <c r="E3480" t="s">
        <v>13</v>
      </c>
      <c r="F3480" t="s">
        <v>14</v>
      </c>
      <c r="G3480">
        <v>2000000</v>
      </c>
      <c r="H3480">
        <v>7</v>
      </c>
      <c r="I3480" t="s">
        <v>34</v>
      </c>
      <c r="J3480" t="s">
        <v>38</v>
      </c>
      <c r="K3480" t="s">
        <v>31</v>
      </c>
      <c r="L3480" t="s">
        <v>24</v>
      </c>
    </row>
    <row r="3481" spans="1:13" x14ac:dyDescent="0.25">
      <c r="A3481" t="s">
        <v>5395</v>
      </c>
      <c r="B3481">
        <v>111</v>
      </c>
      <c r="C3481">
        <v>3333823</v>
      </c>
      <c r="D3481" t="s">
        <v>5396</v>
      </c>
      <c r="E3481" t="s">
        <v>13</v>
      </c>
      <c r="F3481" t="s">
        <v>14</v>
      </c>
      <c r="G3481">
        <v>10000000</v>
      </c>
      <c r="H3481">
        <v>5.5</v>
      </c>
      <c r="I3481" t="s">
        <v>31</v>
      </c>
      <c r="J3481" t="s">
        <v>23</v>
      </c>
      <c r="K3481" t="s">
        <v>37</v>
      </c>
    </row>
    <row r="3482" spans="1:13" x14ac:dyDescent="0.25">
      <c r="A3482" t="s">
        <v>3400</v>
      </c>
      <c r="B3482">
        <v>89</v>
      </c>
      <c r="C3482">
        <v>3325638</v>
      </c>
      <c r="D3482" t="s">
        <v>5397</v>
      </c>
      <c r="E3482" t="s">
        <v>13</v>
      </c>
      <c r="F3482" t="s">
        <v>14</v>
      </c>
      <c r="G3482">
        <v>2500000</v>
      </c>
      <c r="H3482">
        <v>7.1</v>
      </c>
      <c r="I3482" t="s">
        <v>15</v>
      </c>
      <c r="J3482" t="s">
        <v>38</v>
      </c>
      <c r="K3482" t="s">
        <v>31</v>
      </c>
      <c r="L3482" t="s">
        <v>37</v>
      </c>
    </row>
    <row r="3483" spans="1:13" x14ac:dyDescent="0.25">
      <c r="A3483" t="s">
        <v>5398</v>
      </c>
      <c r="B3483">
        <v>116</v>
      </c>
      <c r="C3483">
        <v>3300230</v>
      </c>
      <c r="D3483" t="s">
        <v>5399</v>
      </c>
      <c r="E3483" t="s">
        <v>13</v>
      </c>
      <c r="F3483" t="s">
        <v>295</v>
      </c>
      <c r="G3483">
        <v>39751583.5</v>
      </c>
      <c r="H3483">
        <v>7.5</v>
      </c>
      <c r="I3483" t="s">
        <v>34</v>
      </c>
      <c r="J3483" t="s">
        <v>38</v>
      </c>
      <c r="K3483" t="s">
        <v>31</v>
      </c>
      <c r="L3483" t="s">
        <v>24</v>
      </c>
    </row>
    <row r="3484" spans="1:13" x14ac:dyDescent="0.25">
      <c r="A3484" t="s">
        <v>5400</v>
      </c>
      <c r="B3484">
        <v>81</v>
      </c>
      <c r="C3484">
        <v>3293258</v>
      </c>
      <c r="D3484" t="s">
        <v>5401</v>
      </c>
      <c r="E3484" t="s">
        <v>13</v>
      </c>
      <c r="F3484" t="s">
        <v>14</v>
      </c>
      <c r="G3484">
        <v>3000000</v>
      </c>
      <c r="H3484">
        <v>5.2</v>
      </c>
      <c r="I3484" t="s">
        <v>34</v>
      </c>
      <c r="J3484" t="s">
        <v>28</v>
      </c>
      <c r="K3484" t="s">
        <v>15</v>
      </c>
      <c r="L3484" t="s">
        <v>59</v>
      </c>
    </row>
    <row r="3485" spans="1:13" x14ac:dyDescent="0.25">
      <c r="A3485" t="s">
        <v>5402</v>
      </c>
      <c r="B3485">
        <v>104</v>
      </c>
      <c r="C3485">
        <v>3287435</v>
      </c>
      <c r="D3485" t="s">
        <v>5403</v>
      </c>
      <c r="E3485" t="s">
        <v>13</v>
      </c>
      <c r="F3485" t="s">
        <v>14</v>
      </c>
      <c r="G3485">
        <v>4500000</v>
      </c>
      <c r="H3485">
        <v>7.1</v>
      </c>
      <c r="I3485" t="s">
        <v>31</v>
      </c>
    </row>
    <row r="3486" spans="1:13" x14ac:dyDescent="0.25">
      <c r="A3486" t="s">
        <v>5404</v>
      </c>
      <c r="B3486">
        <v>86</v>
      </c>
      <c r="C3486">
        <v>3278611</v>
      </c>
      <c r="D3486" t="s">
        <v>5405</v>
      </c>
      <c r="E3486" t="s">
        <v>13</v>
      </c>
      <c r="F3486" t="s">
        <v>14</v>
      </c>
      <c r="G3486">
        <v>39751583.5</v>
      </c>
      <c r="H3486">
        <v>7.1</v>
      </c>
      <c r="I3486" t="s">
        <v>52</v>
      </c>
      <c r="J3486" t="s">
        <v>18</v>
      </c>
    </row>
    <row r="3487" spans="1:13" x14ac:dyDescent="0.25">
      <c r="A3487" t="s">
        <v>5406</v>
      </c>
      <c r="B3487">
        <v>100</v>
      </c>
      <c r="C3487">
        <v>3275585</v>
      </c>
      <c r="D3487" t="s">
        <v>5407</v>
      </c>
      <c r="E3487" t="s">
        <v>13</v>
      </c>
      <c r="F3487" t="s">
        <v>82</v>
      </c>
      <c r="G3487">
        <v>11500000</v>
      </c>
      <c r="H3487">
        <v>6.6</v>
      </c>
      <c r="I3487" t="s">
        <v>34</v>
      </c>
      <c r="J3487" t="s">
        <v>38</v>
      </c>
      <c r="K3487" t="s">
        <v>31</v>
      </c>
      <c r="L3487" t="s">
        <v>24</v>
      </c>
    </row>
    <row r="3488" spans="1:13" x14ac:dyDescent="0.25">
      <c r="A3488" t="s">
        <v>3497</v>
      </c>
      <c r="B3488">
        <v>99</v>
      </c>
      <c r="C3488">
        <v>3273588</v>
      </c>
      <c r="D3488" t="s">
        <v>5408</v>
      </c>
      <c r="E3488" t="s">
        <v>13</v>
      </c>
      <c r="F3488" t="s">
        <v>14</v>
      </c>
      <c r="G3488">
        <v>6000000</v>
      </c>
      <c r="H3488">
        <v>6.7</v>
      </c>
      <c r="I3488" t="s">
        <v>34</v>
      </c>
      <c r="J3488" t="s">
        <v>31</v>
      </c>
    </row>
    <row r="3489" spans="1:12" x14ac:dyDescent="0.25">
      <c r="A3489" t="s">
        <v>117</v>
      </c>
      <c r="B3489">
        <v>128</v>
      </c>
      <c r="C3489">
        <v>3254172</v>
      </c>
      <c r="D3489" t="s">
        <v>5409</v>
      </c>
      <c r="E3489" t="s">
        <v>13</v>
      </c>
      <c r="F3489" t="s">
        <v>14</v>
      </c>
      <c r="G3489">
        <v>28000000</v>
      </c>
      <c r="H3489">
        <v>6.2</v>
      </c>
      <c r="I3489" t="s">
        <v>42</v>
      </c>
      <c r="J3489" t="s">
        <v>31</v>
      </c>
      <c r="K3489" t="s">
        <v>24</v>
      </c>
    </row>
    <row r="3490" spans="1:12" x14ac:dyDescent="0.25">
      <c r="A3490" t="s">
        <v>908</v>
      </c>
      <c r="B3490">
        <v>98</v>
      </c>
      <c r="C3490">
        <v>3247816</v>
      </c>
      <c r="D3490" t="s">
        <v>5410</v>
      </c>
      <c r="E3490" t="s">
        <v>13</v>
      </c>
      <c r="F3490" t="s">
        <v>14</v>
      </c>
      <c r="G3490">
        <v>22000000</v>
      </c>
      <c r="H3490">
        <v>6.3</v>
      </c>
      <c r="I3490" t="s">
        <v>15</v>
      </c>
      <c r="J3490" t="s">
        <v>31</v>
      </c>
      <c r="K3490" t="s">
        <v>19</v>
      </c>
    </row>
    <row r="3491" spans="1:12" x14ac:dyDescent="0.25">
      <c r="A3491" t="s">
        <v>5411</v>
      </c>
      <c r="B3491">
        <v>117</v>
      </c>
      <c r="C3491">
        <v>3222857</v>
      </c>
      <c r="D3491" t="s">
        <v>5412</v>
      </c>
      <c r="E3491" t="s">
        <v>1409</v>
      </c>
      <c r="F3491" t="s">
        <v>98</v>
      </c>
      <c r="G3491">
        <v>39751583.5</v>
      </c>
      <c r="H3491">
        <v>7.8</v>
      </c>
      <c r="I3491" t="s">
        <v>31</v>
      </c>
      <c r="J3491" t="s">
        <v>19</v>
      </c>
    </row>
    <row r="3492" spans="1:12" x14ac:dyDescent="0.25">
      <c r="A3492" t="s">
        <v>5413</v>
      </c>
      <c r="B3492">
        <v>95</v>
      </c>
      <c r="C3492">
        <v>3219029</v>
      </c>
      <c r="D3492" t="s">
        <v>5414</v>
      </c>
      <c r="E3492" t="s">
        <v>13</v>
      </c>
      <c r="F3492" t="s">
        <v>14</v>
      </c>
      <c r="G3492">
        <v>5000000</v>
      </c>
      <c r="H3492">
        <v>7.1</v>
      </c>
      <c r="I3492" t="s">
        <v>38</v>
      </c>
      <c r="J3492" t="s">
        <v>22</v>
      </c>
      <c r="K3492" t="s">
        <v>18</v>
      </c>
      <c r="L3492" t="s">
        <v>24</v>
      </c>
    </row>
    <row r="3493" spans="1:12" x14ac:dyDescent="0.25">
      <c r="A3493" t="s">
        <v>76</v>
      </c>
      <c r="B3493">
        <v>84</v>
      </c>
      <c r="C3493">
        <v>3216970</v>
      </c>
      <c r="D3493" t="s">
        <v>5415</v>
      </c>
      <c r="E3493" t="s">
        <v>13</v>
      </c>
      <c r="F3493" t="s">
        <v>14</v>
      </c>
      <c r="G3493">
        <v>60000</v>
      </c>
      <c r="H3493">
        <v>7.5</v>
      </c>
      <c r="I3493" t="s">
        <v>31</v>
      </c>
      <c r="J3493" t="s">
        <v>23</v>
      </c>
      <c r="K3493" t="s">
        <v>24</v>
      </c>
    </row>
    <row r="3494" spans="1:12" x14ac:dyDescent="0.25">
      <c r="A3494" t="s">
        <v>5049</v>
      </c>
      <c r="B3494">
        <v>129</v>
      </c>
      <c r="C3494">
        <v>3205244</v>
      </c>
      <c r="D3494" t="s">
        <v>5416</v>
      </c>
      <c r="E3494" t="s">
        <v>13</v>
      </c>
      <c r="F3494" t="s">
        <v>82</v>
      </c>
      <c r="G3494">
        <v>10000000</v>
      </c>
      <c r="H3494">
        <v>7.3</v>
      </c>
      <c r="I3494" t="s">
        <v>15</v>
      </c>
      <c r="J3494" t="s">
        <v>31</v>
      </c>
    </row>
    <row r="3495" spans="1:12" x14ac:dyDescent="0.25">
      <c r="A3495" t="s">
        <v>908</v>
      </c>
      <c r="B3495">
        <v>108</v>
      </c>
      <c r="C3495">
        <v>3203044</v>
      </c>
      <c r="D3495" t="s">
        <v>5417</v>
      </c>
      <c r="E3495" t="s">
        <v>13</v>
      </c>
      <c r="F3495" t="s">
        <v>14</v>
      </c>
      <c r="G3495">
        <v>18000000</v>
      </c>
      <c r="H3495">
        <v>6.4</v>
      </c>
      <c r="I3495" t="s">
        <v>15</v>
      </c>
      <c r="J3495" t="s">
        <v>19</v>
      </c>
    </row>
    <row r="3496" spans="1:12" x14ac:dyDescent="0.25">
      <c r="A3496" t="s">
        <v>505</v>
      </c>
      <c r="B3496">
        <v>89</v>
      </c>
      <c r="C3496">
        <v>3193102</v>
      </c>
      <c r="D3496" t="s">
        <v>5418</v>
      </c>
      <c r="E3496" t="s">
        <v>13</v>
      </c>
      <c r="F3496" t="s">
        <v>14</v>
      </c>
      <c r="G3496">
        <v>9000000</v>
      </c>
      <c r="H3496">
        <v>7.1</v>
      </c>
      <c r="I3496" t="s">
        <v>38</v>
      </c>
      <c r="J3496" t="s">
        <v>31</v>
      </c>
      <c r="K3496" t="s">
        <v>23</v>
      </c>
      <c r="L3496" t="s">
        <v>24</v>
      </c>
    </row>
    <row r="3497" spans="1:12" x14ac:dyDescent="0.25">
      <c r="A3497" t="s">
        <v>4119</v>
      </c>
      <c r="B3497">
        <v>112</v>
      </c>
      <c r="C3497">
        <v>3169424</v>
      </c>
      <c r="D3497" t="s">
        <v>5419</v>
      </c>
      <c r="E3497" t="s">
        <v>13</v>
      </c>
      <c r="F3497" t="s">
        <v>14</v>
      </c>
      <c r="G3497">
        <v>13000000</v>
      </c>
      <c r="H3497">
        <v>6.8</v>
      </c>
      <c r="I3497" t="s">
        <v>31</v>
      </c>
      <c r="J3497" t="s">
        <v>41</v>
      </c>
    </row>
    <row r="3498" spans="1:12" x14ac:dyDescent="0.25">
      <c r="A3498" t="s">
        <v>2019</v>
      </c>
      <c r="B3498">
        <v>102</v>
      </c>
      <c r="C3498">
        <v>3151130</v>
      </c>
      <c r="D3498" t="s">
        <v>5420</v>
      </c>
      <c r="E3498" t="s">
        <v>13</v>
      </c>
      <c r="F3498" t="s">
        <v>14</v>
      </c>
      <c r="G3498">
        <v>230000</v>
      </c>
      <c r="H3498">
        <v>7.8</v>
      </c>
      <c r="I3498" t="s">
        <v>15</v>
      </c>
    </row>
    <row r="3499" spans="1:12" x14ac:dyDescent="0.25">
      <c r="A3499" t="s">
        <v>3560</v>
      </c>
      <c r="B3499">
        <v>110</v>
      </c>
      <c r="C3499">
        <v>3148482</v>
      </c>
      <c r="D3499" t="s">
        <v>5421</v>
      </c>
      <c r="E3499" t="s">
        <v>13</v>
      </c>
      <c r="F3499" t="s">
        <v>14</v>
      </c>
      <c r="G3499">
        <v>12000000</v>
      </c>
      <c r="H3499">
        <v>7.1</v>
      </c>
      <c r="I3499" t="s">
        <v>31</v>
      </c>
      <c r="J3499" t="s">
        <v>19</v>
      </c>
    </row>
    <row r="3500" spans="1:12" x14ac:dyDescent="0.25">
      <c r="A3500" t="s">
        <v>1895</v>
      </c>
      <c r="B3500">
        <v>140</v>
      </c>
      <c r="C3500">
        <v>3130592</v>
      </c>
      <c r="D3500" t="s">
        <v>5422</v>
      </c>
      <c r="E3500" t="s">
        <v>13</v>
      </c>
      <c r="F3500" t="s">
        <v>82</v>
      </c>
      <c r="G3500">
        <v>2600000</v>
      </c>
      <c r="H3500">
        <v>7.8</v>
      </c>
      <c r="I3500" t="s">
        <v>31</v>
      </c>
      <c r="J3500" t="s">
        <v>19</v>
      </c>
    </row>
    <row r="3501" spans="1:12" x14ac:dyDescent="0.25">
      <c r="A3501" t="s">
        <v>5423</v>
      </c>
      <c r="B3501">
        <v>105</v>
      </c>
      <c r="C3501">
        <v>3123749</v>
      </c>
      <c r="D3501" t="s">
        <v>5424</v>
      </c>
      <c r="E3501" t="s">
        <v>13</v>
      </c>
      <c r="F3501" t="s">
        <v>14</v>
      </c>
      <c r="G3501">
        <v>1500000</v>
      </c>
      <c r="H3501">
        <v>6.5</v>
      </c>
      <c r="I3501" t="s">
        <v>15</v>
      </c>
      <c r="J3501" t="s">
        <v>19</v>
      </c>
    </row>
    <row r="3502" spans="1:12" x14ac:dyDescent="0.25">
      <c r="A3502" t="s">
        <v>5425</v>
      </c>
      <c r="B3502">
        <v>84</v>
      </c>
      <c r="C3502">
        <v>3122616</v>
      </c>
      <c r="D3502" t="s">
        <v>5426</v>
      </c>
      <c r="E3502" t="s">
        <v>13</v>
      </c>
      <c r="F3502" t="s">
        <v>14</v>
      </c>
      <c r="G3502">
        <v>39751583.5</v>
      </c>
      <c r="H3502">
        <v>6.8</v>
      </c>
      <c r="I3502" t="s">
        <v>15</v>
      </c>
      <c r="J3502" t="s">
        <v>31</v>
      </c>
    </row>
    <row r="3503" spans="1:12" x14ac:dyDescent="0.25">
      <c r="A3503" t="s">
        <v>5427</v>
      </c>
      <c r="B3503">
        <v>94</v>
      </c>
      <c r="C3503">
        <v>3117666</v>
      </c>
      <c r="D3503" t="s">
        <v>5428</v>
      </c>
      <c r="E3503" t="s">
        <v>13</v>
      </c>
      <c r="F3503" t="s">
        <v>14</v>
      </c>
      <c r="G3503">
        <v>39751583.5</v>
      </c>
      <c r="H3503">
        <v>7.4</v>
      </c>
      <c r="I3503" t="s">
        <v>52</v>
      </c>
    </row>
    <row r="3504" spans="1:12" x14ac:dyDescent="0.25">
      <c r="A3504" t="s">
        <v>3538</v>
      </c>
      <c r="B3504">
        <v>108</v>
      </c>
      <c r="C3504">
        <v>3108216</v>
      </c>
      <c r="D3504" t="s">
        <v>5429</v>
      </c>
      <c r="E3504" t="s">
        <v>13</v>
      </c>
      <c r="F3504" t="s">
        <v>82</v>
      </c>
      <c r="G3504">
        <v>39751583.5</v>
      </c>
      <c r="H3504">
        <v>6.4</v>
      </c>
      <c r="I3504" t="s">
        <v>24</v>
      </c>
    </row>
    <row r="3505" spans="1:13" x14ac:dyDescent="0.25">
      <c r="A3505" t="s">
        <v>5430</v>
      </c>
      <c r="B3505">
        <v>101</v>
      </c>
      <c r="C3505">
        <v>3105269</v>
      </c>
      <c r="D3505" t="s">
        <v>5431</v>
      </c>
      <c r="E3505" t="s">
        <v>13</v>
      </c>
      <c r="F3505" t="s">
        <v>1901</v>
      </c>
      <c r="G3505">
        <v>3000000</v>
      </c>
      <c r="H3505">
        <v>5</v>
      </c>
      <c r="I3505" t="s">
        <v>34</v>
      </c>
      <c r="J3505" t="s">
        <v>15</v>
      </c>
    </row>
    <row r="3506" spans="1:13" x14ac:dyDescent="0.25">
      <c r="A3506" t="s">
        <v>5267</v>
      </c>
      <c r="B3506">
        <v>80</v>
      </c>
      <c r="C3506">
        <v>3101301</v>
      </c>
      <c r="D3506" t="s">
        <v>5432</v>
      </c>
      <c r="E3506" t="s">
        <v>13</v>
      </c>
      <c r="F3506" t="s">
        <v>14</v>
      </c>
      <c r="G3506">
        <v>39751583.5</v>
      </c>
      <c r="H3506">
        <v>4</v>
      </c>
      <c r="I3506" t="s">
        <v>34</v>
      </c>
      <c r="J3506" t="s">
        <v>31</v>
      </c>
      <c r="K3506" t="s">
        <v>19</v>
      </c>
      <c r="L3506" t="s">
        <v>41</v>
      </c>
    </row>
    <row r="3507" spans="1:13" x14ac:dyDescent="0.25">
      <c r="A3507" t="s">
        <v>5433</v>
      </c>
      <c r="B3507">
        <v>84</v>
      </c>
      <c r="C3507">
        <v>3100650</v>
      </c>
      <c r="D3507" t="s">
        <v>5434</v>
      </c>
      <c r="E3507" t="s">
        <v>13</v>
      </c>
      <c r="F3507" t="s">
        <v>14</v>
      </c>
      <c r="G3507">
        <v>14000000</v>
      </c>
      <c r="H3507">
        <v>3.9</v>
      </c>
      <c r="I3507" t="s">
        <v>31</v>
      </c>
      <c r="J3507" t="s">
        <v>22</v>
      </c>
      <c r="K3507" t="s">
        <v>23</v>
      </c>
      <c r="L3507" t="s">
        <v>24</v>
      </c>
    </row>
    <row r="3508" spans="1:13" x14ac:dyDescent="0.25">
      <c r="A3508" t="s">
        <v>2933</v>
      </c>
      <c r="B3508">
        <v>92</v>
      </c>
      <c r="C3508">
        <v>3094687</v>
      </c>
      <c r="D3508" t="s">
        <v>5435</v>
      </c>
      <c r="E3508" t="s">
        <v>13</v>
      </c>
      <c r="F3508" t="s">
        <v>14</v>
      </c>
      <c r="G3508">
        <v>39751583.5</v>
      </c>
      <c r="H3508">
        <v>6.7</v>
      </c>
      <c r="I3508" t="s">
        <v>15</v>
      </c>
      <c r="J3508" t="s">
        <v>31</v>
      </c>
      <c r="K3508" t="s">
        <v>19</v>
      </c>
    </row>
    <row r="3509" spans="1:13" x14ac:dyDescent="0.25">
      <c r="A3509" t="s">
        <v>5436</v>
      </c>
      <c r="B3509">
        <v>103</v>
      </c>
      <c r="C3509">
        <v>3093491</v>
      </c>
      <c r="D3509" t="s">
        <v>5437</v>
      </c>
      <c r="E3509" t="s">
        <v>13</v>
      </c>
      <c r="F3509" t="s">
        <v>14</v>
      </c>
      <c r="G3509">
        <v>5000000</v>
      </c>
      <c r="H3509">
        <v>6.6</v>
      </c>
      <c r="I3509" t="s">
        <v>42</v>
      </c>
      <c r="J3509" t="s">
        <v>31</v>
      </c>
    </row>
    <row r="3510" spans="1:13" x14ac:dyDescent="0.25">
      <c r="A3510" t="s">
        <v>5438</v>
      </c>
      <c r="B3510">
        <v>124</v>
      </c>
      <c r="C3510">
        <v>3081925</v>
      </c>
      <c r="D3510" t="s">
        <v>5439</v>
      </c>
      <c r="E3510" t="s">
        <v>13</v>
      </c>
      <c r="F3510" t="s">
        <v>14</v>
      </c>
      <c r="G3510">
        <v>21000000</v>
      </c>
      <c r="H3510">
        <v>7.5</v>
      </c>
      <c r="I3510" t="s">
        <v>15</v>
      </c>
      <c r="J3510" t="s">
        <v>31</v>
      </c>
      <c r="K3510" t="s">
        <v>19</v>
      </c>
    </row>
    <row r="3511" spans="1:13" x14ac:dyDescent="0.25">
      <c r="A3511" t="s">
        <v>4738</v>
      </c>
      <c r="B3511">
        <v>111</v>
      </c>
      <c r="C3511">
        <v>3076425</v>
      </c>
      <c r="D3511" t="s">
        <v>5440</v>
      </c>
      <c r="E3511" t="s">
        <v>473</v>
      </c>
      <c r="F3511" t="s">
        <v>295</v>
      </c>
      <c r="G3511">
        <v>8000000</v>
      </c>
      <c r="H3511">
        <v>7.1</v>
      </c>
      <c r="I3511" t="s">
        <v>15</v>
      </c>
      <c r="J3511" t="s">
        <v>38</v>
      </c>
      <c r="K3511" t="s">
        <v>59</v>
      </c>
      <c r="L3511" t="s">
        <v>19</v>
      </c>
    </row>
    <row r="3512" spans="1:13" x14ac:dyDescent="0.25">
      <c r="A3512" t="s">
        <v>5167</v>
      </c>
      <c r="B3512">
        <v>96</v>
      </c>
      <c r="C3512">
        <v>3074838</v>
      </c>
      <c r="D3512" t="s">
        <v>5441</v>
      </c>
      <c r="E3512" t="s">
        <v>13</v>
      </c>
      <c r="F3512" t="s">
        <v>14</v>
      </c>
      <c r="G3512">
        <v>11000000</v>
      </c>
      <c r="H3512">
        <v>6.3</v>
      </c>
      <c r="I3512" t="s">
        <v>31</v>
      </c>
      <c r="J3512" t="s">
        <v>23</v>
      </c>
      <c r="K3512" t="s">
        <v>19</v>
      </c>
      <c r="L3512" t="s">
        <v>24</v>
      </c>
    </row>
    <row r="3513" spans="1:13" x14ac:dyDescent="0.25">
      <c r="A3513" t="s">
        <v>3315</v>
      </c>
      <c r="B3513">
        <v>121</v>
      </c>
      <c r="C3513">
        <v>3073392</v>
      </c>
      <c r="D3513" t="s">
        <v>5442</v>
      </c>
      <c r="E3513" t="s">
        <v>13</v>
      </c>
      <c r="F3513" t="s">
        <v>98</v>
      </c>
      <c r="G3513">
        <v>25000000</v>
      </c>
      <c r="H3513">
        <v>6.6</v>
      </c>
      <c r="I3513" t="s">
        <v>31</v>
      </c>
      <c r="J3513" t="s">
        <v>23</v>
      </c>
      <c r="K3513" t="s">
        <v>37</v>
      </c>
      <c r="L3513" t="s">
        <v>24</v>
      </c>
    </row>
    <row r="3514" spans="1:13" x14ac:dyDescent="0.25">
      <c r="A3514" t="s">
        <v>5443</v>
      </c>
      <c r="B3514">
        <v>87</v>
      </c>
      <c r="C3514">
        <v>3071947</v>
      </c>
      <c r="D3514" t="s">
        <v>5444</v>
      </c>
      <c r="E3514" t="s">
        <v>13</v>
      </c>
      <c r="F3514" t="s">
        <v>14</v>
      </c>
      <c r="G3514">
        <v>3500000</v>
      </c>
      <c r="H3514">
        <v>5.4</v>
      </c>
      <c r="I3514" t="s">
        <v>15</v>
      </c>
      <c r="J3514" t="s">
        <v>38</v>
      </c>
      <c r="K3514" t="s">
        <v>24</v>
      </c>
    </row>
    <row r="3515" spans="1:13" x14ac:dyDescent="0.25">
      <c r="A3515" t="s">
        <v>4492</v>
      </c>
      <c r="B3515">
        <v>141</v>
      </c>
      <c r="C3515">
        <v>3064356</v>
      </c>
      <c r="D3515" t="s">
        <v>5445</v>
      </c>
      <c r="E3515" t="s">
        <v>13</v>
      </c>
      <c r="F3515" t="s">
        <v>14</v>
      </c>
      <c r="G3515">
        <v>5600000</v>
      </c>
      <c r="H3515">
        <v>6.9</v>
      </c>
      <c r="I3515" t="s">
        <v>31</v>
      </c>
      <c r="J3515" t="s">
        <v>19</v>
      </c>
    </row>
    <row r="3516" spans="1:13" x14ac:dyDescent="0.25">
      <c r="A3516" t="s">
        <v>5446</v>
      </c>
      <c r="B3516">
        <v>92</v>
      </c>
      <c r="C3516">
        <v>3060858</v>
      </c>
      <c r="D3516" t="s">
        <v>5447</v>
      </c>
      <c r="E3516" t="s">
        <v>13</v>
      </c>
      <c r="F3516" t="s">
        <v>14</v>
      </c>
      <c r="G3516">
        <v>10000000</v>
      </c>
      <c r="H3516">
        <v>5.6</v>
      </c>
      <c r="I3516" t="s">
        <v>34</v>
      </c>
      <c r="J3516" t="s">
        <v>31</v>
      </c>
      <c r="K3516" t="s">
        <v>24</v>
      </c>
    </row>
    <row r="3517" spans="1:13" x14ac:dyDescent="0.25">
      <c r="A3517" t="s">
        <v>5448</v>
      </c>
      <c r="B3517">
        <v>109</v>
      </c>
      <c r="C3517">
        <v>3050934</v>
      </c>
      <c r="D3517" t="s">
        <v>5449</v>
      </c>
      <c r="E3517" t="s">
        <v>13</v>
      </c>
      <c r="F3517" t="s">
        <v>14</v>
      </c>
      <c r="G3517">
        <v>1800000</v>
      </c>
      <c r="H3517">
        <v>7.3</v>
      </c>
      <c r="I3517" t="s">
        <v>31</v>
      </c>
      <c r="J3517" t="s">
        <v>18</v>
      </c>
    </row>
    <row r="3518" spans="1:13" x14ac:dyDescent="0.25">
      <c r="A3518" t="s">
        <v>2879</v>
      </c>
      <c r="B3518">
        <v>108</v>
      </c>
      <c r="C3518">
        <v>3049135</v>
      </c>
      <c r="D3518" t="s">
        <v>5450</v>
      </c>
      <c r="E3518" t="s">
        <v>13</v>
      </c>
      <c r="F3518" t="s">
        <v>1472</v>
      </c>
      <c r="G3518">
        <v>5000000</v>
      </c>
      <c r="H3518">
        <v>7.4</v>
      </c>
      <c r="I3518" t="s">
        <v>42</v>
      </c>
      <c r="J3518" t="s">
        <v>38</v>
      </c>
      <c r="K3518" t="s">
        <v>31</v>
      </c>
      <c r="L3518" t="s">
        <v>19</v>
      </c>
      <c r="M3518" t="s">
        <v>24</v>
      </c>
    </row>
    <row r="3519" spans="1:13" x14ac:dyDescent="0.25">
      <c r="A3519" t="s">
        <v>5451</v>
      </c>
      <c r="B3519">
        <v>176</v>
      </c>
      <c r="C3519">
        <v>3047539</v>
      </c>
      <c r="D3519" t="s">
        <v>5452</v>
      </c>
      <c r="E3519" t="s">
        <v>1409</v>
      </c>
      <c r="F3519" t="s">
        <v>1296</v>
      </c>
      <c r="G3519">
        <v>7217600</v>
      </c>
      <c r="H3519">
        <v>6.9</v>
      </c>
      <c r="I3519" t="s">
        <v>31</v>
      </c>
      <c r="J3519" t="s">
        <v>19</v>
      </c>
    </row>
    <row r="3520" spans="1:13" x14ac:dyDescent="0.25">
      <c r="A3520" t="s">
        <v>5453</v>
      </c>
      <c r="B3520">
        <v>135</v>
      </c>
      <c r="C3520">
        <v>3041803</v>
      </c>
      <c r="D3520" t="s">
        <v>5454</v>
      </c>
      <c r="E3520" t="s">
        <v>13</v>
      </c>
      <c r="F3520" t="s">
        <v>82</v>
      </c>
      <c r="G3520">
        <v>10000000</v>
      </c>
      <c r="H3520">
        <v>7.1</v>
      </c>
      <c r="I3520" t="s">
        <v>31</v>
      </c>
      <c r="J3520" t="s">
        <v>19</v>
      </c>
    </row>
    <row r="3521" spans="1:13" x14ac:dyDescent="0.25">
      <c r="A3521" t="s">
        <v>4867</v>
      </c>
      <c r="B3521">
        <v>94</v>
      </c>
      <c r="C3521">
        <v>3034181</v>
      </c>
      <c r="D3521" t="s">
        <v>5455</v>
      </c>
      <c r="E3521" t="s">
        <v>13</v>
      </c>
      <c r="F3521" t="s">
        <v>82</v>
      </c>
      <c r="G3521">
        <v>11000000</v>
      </c>
      <c r="H3521">
        <v>5.4</v>
      </c>
      <c r="I3521" t="s">
        <v>15</v>
      </c>
      <c r="J3521" t="s">
        <v>18</v>
      </c>
      <c r="K3521" t="s">
        <v>19</v>
      </c>
    </row>
    <row r="3522" spans="1:13" x14ac:dyDescent="0.25">
      <c r="A3522" t="s">
        <v>5291</v>
      </c>
      <c r="B3522">
        <v>130</v>
      </c>
      <c r="C3522">
        <v>3029870</v>
      </c>
      <c r="D3522" t="s">
        <v>5456</v>
      </c>
      <c r="E3522" t="s">
        <v>13</v>
      </c>
      <c r="F3522" t="s">
        <v>1442</v>
      </c>
      <c r="G3522">
        <v>7400000</v>
      </c>
      <c r="H3522">
        <v>7.1</v>
      </c>
      <c r="I3522" t="s">
        <v>31</v>
      </c>
      <c r="J3522" t="s">
        <v>37</v>
      </c>
    </row>
    <row r="3523" spans="1:13" x14ac:dyDescent="0.25">
      <c r="A3523" t="s">
        <v>5457</v>
      </c>
      <c r="B3523">
        <v>95</v>
      </c>
      <c r="C3523">
        <v>3029081</v>
      </c>
      <c r="D3523" t="s">
        <v>5458</v>
      </c>
      <c r="E3523" t="s">
        <v>13</v>
      </c>
      <c r="F3523" t="s">
        <v>14</v>
      </c>
      <c r="G3523">
        <v>6000000</v>
      </c>
      <c r="H3523">
        <v>7.8</v>
      </c>
      <c r="I3523" t="s">
        <v>15</v>
      </c>
      <c r="J3523" t="s">
        <v>31</v>
      </c>
      <c r="K3523" t="s">
        <v>18</v>
      </c>
      <c r="L3523" t="s">
        <v>59</v>
      </c>
    </row>
    <row r="3524" spans="1:13" x14ac:dyDescent="0.25">
      <c r="A3524" t="s">
        <v>5459</v>
      </c>
      <c r="B3524">
        <v>113</v>
      </c>
      <c r="C3524">
        <v>3014541</v>
      </c>
      <c r="D3524" t="s">
        <v>5460</v>
      </c>
      <c r="E3524" t="s">
        <v>13</v>
      </c>
      <c r="F3524" t="s">
        <v>82</v>
      </c>
      <c r="G3524">
        <v>8000000</v>
      </c>
      <c r="H3524">
        <v>6.7</v>
      </c>
      <c r="I3524" t="s">
        <v>31</v>
      </c>
    </row>
    <row r="3525" spans="1:13" x14ac:dyDescent="0.25">
      <c r="A3525" t="s">
        <v>5212</v>
      </c>
      <c r="B3525">
        <v>134</v>
      </c>
      <c r="C3525">
        <v>3000000</v>
      </c>
      <c r="D3525" t="s">
        <v>5461</v>
      </c>
      <c r="E3525" t="s">
        <v>13</v>
      </c>
      <c r="F3525" t="s">
        <v>14</v>
      </c>
      <c r="G3525">
        <v>3000000</v>
      </c>
      <c r="H3525">
        <v>7.8</v>
      </c>
      <c r="I3525" t="s">
        <v>15</v>
      </c>
      <c r="J3525" t="s">
        <v>31</v>
      </c>
    </row>
    <row r="3526" spans="1:13" x14ac:dyDescent="0.25">
      <c r="A3526" t="s">
        <v>5462</v>
      </c>
      <c r="B3526">
        <v>81</v>
      </c>
      <c r="C3526">
        <v>3000000</v>
      </c>
      <c r="D3526" t="s">
        <v>5463</v>
      </c>
      <c r="E3526" t="s">
        <v>13</v>
      </c>
      <c r="F3526" t="s">
        <v>14</v>
      </c>
      <c r="G3526">
        <v>609000</v>
      </c>
      <c r="H3526">
        <v>7.8</v>
      </c>
      <c r="I3526" t="s">
        <v>15</v>
      </c>
      <c r="J3526" t="s">
        <v>59</v>
      </c>
      <c r="K3526" t="s">
        <v>19</v>
      </c>
    </row>
    <row r="3527" spans="1:13" x14ac:dyDescent="0.25">
      <c r="A3527" t="s">
        <v>5464</v>
      </c>
      <c r="B3527">
        <v>110</v>
      </c>
      <c r="C3527">
        <v>3000000</v>
      </c>
      <c r="D3527" t="s">
        <v>5465</v>
      </c>
      <c r="E3527" t="s">
        <v>13</v>
      </c>
      <c r="F3527" t="s">
        <v>14</v>
      </c>
      <c r="G3527">
        <v>100000</v>
      </c>
      <c r="H3527">
        <v>4.8</v>
      </c>
      <c r="I3527" t="s">
        <v>38</v>
      </c>
      <c r="J3527" t="s">
        <v>31</v>
      </c>
    </row>
    <row r="3528" spans="1:13" x14ac:dyDescent="0.25">
      <c r="A3528" t="s">
        <v>5466</v>
      </c>
      <c r="B3528">
        <v>102</v>
      </c>
      <c r="C3528">
        <v>2981638</v>
      </c>
      <c r="D3528" t="s">
        <v>5467</v>
      </c>
      <c r="E3528" t="s">
        <v>13</v>
      </c>
      <c r="F3528" t="s">
        <v>14</v>
      </c>
      <c r="G3528">
        <v>39751583.5</v>
      </c>
      <c r="H3528">
        <v>6.9</v>
      </c>
      <c r="I3528" t="s">
        <v>31</v>
      </c>
      <c r="J3528" t="s">
        <v>23</v>
      </c>
      <c r="K3528" t="s">
        <v>24</v>
      </c>
    </row>
    <row r="3529" spans="1:13" x14ac:dyDescent="0.25">
      <c r="A3529" t="s">
        <v>690</v>
      </c>
      <c r="B3529">
        <v>88</v>
      </c>
      <c r="C3529">
        <v>2975649</v>
      </c>
      <c r="D3529" t="s">
        <v>5468</v>
      </c>
      <c r="E3529" t="s">
        <v>13</v>
      </c>
      <c r="F3529" t="s">
        <v>82</v>
      </c>
      <c r="G3529">
        <v>30000000</v>
      </c>
      <c r="H3529">
        <v>7</v>
      </c>
      <c r="I3529" t="s">
        <v>42</v>
      </c>
      <c r="J3529" t="s">
        <v>31</v>
      </c>
      <c r="K3529" t="s">
        <v>19</v>
      </c>
    </row>
    <row r="3530" spans="1:13" x14ac:dyDescent="0.25">
      <c r="A3530" t="s">
        <v>1793</v>
      </c>
      <c r="B3530">
        <v>92</v>
      </c>
      <c r="C3530">
        <v>2963012</v>
      </c>
      <c r="D3530" t="s">
        <v>5469</v>
      </c>
      <c r="E3530" t="s">
        <v>13</v>
      </c>
      <c r="F3530" t="s">
        <v>82</v>
      </c>
      <c r="G3530">
        <v>22000000</v>
      </c>
      <c r="H3530">
        <v>6.3</v>
      </c>
      <c r="I3530" t="s">
        <v>31</v>
      </c>
      <c r="J3530" t="s">
        <v>23</v>
      </c>
      <c r="K3530" t="s">
        <v>24</v>
      </c>
    </row>
    <row r="3531" spans="1:13" x14ac:dyDescent="0.25">
      <c r="A3531" t="s">
        <v>5086</v>
      </c>
      <c r="B3531">
        <v>108</v>
      </c>
      <c r="C3531">
        <v>2961991</v>
      </c>
      <c r="D3531" t="s">
        <v>5470</v>
      </c>
      <c r="E3531" t="s">
        <v>13</v>
      </c>
      <c r="F3531" t="s">
        <v>14</v>
      </c>
      <c r="G3531">
        <v>3300000</v>
      </c>
      <c r="H3531">
        <v>6.9</v>
      </c>
      <c r="I3531" t="s">
        <v>42</v>
      </c>
      <c r="J3531" t="s">
        <v>31</v>
      </c>
    </row>
    <row r="3532" spans="1:13" x14ac:dyDescent="0.25">
      <c r="A3532" t="s">
        <v>3210</v>
      </c>
      <c r="B3532">
        <v>90</v>
      </c>
      <c r="C3532">
        <v>2957978</v>
      </c>
      <c r="D3532" t="s">
        <v>5471</v>
      </c>
      <c r="E3532" t="s">
        <v>13</v>
      </c>
      <c r="F3532" t="s">
        <v>82</v>
      </c>
      <c r="G3532">
        <v>1000000</v>
      </c>
      <c r="H3532">
        <v>7.8</v>
      </c>
      <c r="I3532" t="s">
        <v>42</v>
      </c>
      <c r="J3532" t="s">
        <v>38</v>
      </c>
      <c r="K3532" t="s">
        <v>52</v>
      </c>
      <c r="L3532" t="s">
        <v>64</v>
      </c>
      <c r="M3532" t="s">
        <v>24</v>
      </c>
    </row>
    <row r="3533" spans="1:13" x14ac:dyDescent="0.25">
      <c r="A3533" t="s">
        <v>5472</v>
      </c>
      <c r="B3533">
        <v>102</v>
      </c>
      <c r="C3533">
        <v>2956000</v>
      </c>
      <c r="D3533" t="s">
        <v>5473</v>
      </c>
      <c r="E3533" t="s">
        <v>13</v>
      </c>
      <c r="F3533" t="s">
        <v>14</v>
      </c>
      <c r="G3533">
        <v>3700000</v>
      </c>
      <c r="H3533">
        <v>7.1</v>
      </c>
      <c r="I3533" t="s">
        <v>28</v>
      </c>
      <c r="J3533" t="s">
        <v>15</v>
      </c>
      <c r="K3533" t="s">
        <v>59</v>
      </c>
      <c r="L3533" t="s">
        <v>19</v>
      </c>
    </row>
    <row r="3534" spans="1:13" x14ac:dyDescent="0.25">
      <c r="A3534" t="s">
        <v>3811</v>
      </c>
      <c r="B3534">
        <v>95</v>
      </c>
      <c r="C3534">
        <v>2955039</v>
      </c>
      <c r="D3534" t="s">
        <v>5474</v>
      </c>
      <c r="E3534" t="s">
        <v>13</v>
      </c>
      <c r="F3534" t="s">
        <v>14</v>
      </c>
      <c r="G3534">
        <v>9000000</v>
      </c>
      <c r="H3534">
        <v>6.2</v>
      </c>
      <c r="I3534" t="s">
        <v>42</v>
      </c>
      <c r="J3534" t="s">
        <v>31</v>
      </c>
      <c r="K3534" t="s">
        <v>41</v>
      </c>
    </row>
    <row r="3535" spans="1:13" x14ac:dyDescent="0.25">
      <c r="A3535" t="s">
        <v>3350</v>
      </c>
      <c r="B3535">
        <v>95</v>
      </c>
      <c r="C3535">
        <v>2954405</v>
      </c>
      <c r="D3535" t="s">
        <v>5475</v>
      </c>
      <c r="E3535" t="s">
        <v>13</v>
      </c>
      <c r="F3535" t="s">
        <v>14</v>
      </c>
      <c r="G3535">
        <v>36000000</v>
      </c>
      <c r="H3535">
        <v>5.3</v>
      </c>
      <c r="I3535" t="s">
        <v>42</v>
      </c>
      <c r="J3535" t="s">
        <v>15</v>
      </c>
      <c r="K3535" t="s">
        <v>19</v>
      </c>
    </row>
    <row r="3536" spans="1:13" x14ac:dyDescent="0.25">
      <c r="A3536" t="s">
        <v>5476</v>
      </c>
      <c r="B3536">
        <v>98</v>
      </c>
      <c r="C3536">
        <v>2938208</v>
      </c>
      <c r="D3536" t="s">
        <v>5477</v>
      </c>
      <c r="E3536" t="s">
        <v>13</v>
      </c>
      <c r="F3536" t="s">
        <v>14</v>
      </c>
      <c r="G3536">
        <v>225000</v>
      </c>
      <c r="H3536">
        <v>7.5</v>
      </c>
      <c r="I3536" t="s">
        <v>15</v>
      </c>
      <c r="J3536" t="s">
        <v>31</v>
      </c>
      <c r="K3536" t="s">
        <v>19</v>
      </c>
    </row>
    <row r="3537" spans="1:11" x14ac:dyDescent="0.25">
      <c r="A3537" t="s">
        <v>5478</v>
      </c>
      <c r="B3537">
        <v>92</v>
      </c>
      <c r="C3537">
        <v>2926565</v>
      </c>
      <c r="D3537" t="s">
        <v>5479</v>
      </c>
      <c r="E3537" t="s">
        <v>13</v>
      </c>
      <c r="F3537" t="s">
        <v>14</v>
      </c>
      <c r="G3537">
        <v>3000000</v>
      </c>
      <c r="H3537">
        <v>6.5</v>
      </c>
      <c r="I3537" t="s">
        <v>15</v>
      </c>
      <c r="J3537" t="s">
        <v>31</v>
      </c>
    </row>
    <row r="3538" spans="1:11" x14ac:dyDescent="0.25">
      <c r="A3538" t="s">
        <v>5451</v>
      </c>
      <c r="B3538">
        <v>192</v>
      </c>
      <c r="C3538">
        <v>2921738</v>
      </c>
      <c r="D3538" t="s">
        <v>5480</v>
      </c>
      <c r="E3538" t="s">
        <v>1409</v>
      </c>
      <c r="F3538" t="s">
        <v>1296</v>
      </c>
      <c r="G3538">
        <v>7000000</v>
      </c>
      <c r="H3538">
        <v>7.9</v>
      </c>
      <c r="I3538" t="s">
        <v>31</v>
      </c>
      <c r="J3538" t="s">
        <v>59</v>
      </c>
      <c r="K3538" t="s">
        <v>19</v>
      </c>
    </row>
    <row r="3539" spans="1:11" x14ac:dyDescent="0.25">
      <c r="A3539" t="s">
        <v>4759</v>
      </c>
      <c r="B3539">
        <v>94</v>
      </c>
      <c r="C3539">
        <v>2912363</v>
      </c>
      <c r="D3539" t="s">
        <v>5481</v>
      </c>
      <c r="E3539" t="s">
        <v>1863</v>
      </c>
      <c r="F3539" t="s">
        <v>82</v>
      </c>
      <c r="G3539">
        <v>3000000</v>
      </c>
      <c r="H3539">
        <v>7.3</v>
      </c>
      <c r="I3539" t="s">
        <v>38</v>
      </c>
      <c r="J3539" t="s">
        <v>31</v>
      </c>
    </row>
    <row r="3540" spans="1:11" x14ac:dyDescent="0.25">
      <c r="A3540" t="s">
        <v>3064</v>
      </c>
      <c r="B3540">
        <v>132</v>
      </c>
      <c r="C3540">
        <v>2899970</v>
      </c>
      <c r="D3540" t="s">
        <v>5482</v>
      </c>
      <c r="E3540" t="s">
        <v>13</v>
      </c>
      <c r="F3540" t="s">
        <v>14</v>
      </c>
      <c r="G3540">
        <v>32000000</v>
      </c>
      <c r="H3540">
        <v>6.9</v>
      </c>
      <c r="I3540" t="s">
        <v>31</v>
      </c>
    </row>
    <row r="3541" spans="1:11" x14ac:dyDescent="0.25">
      <c r="A3541" t="s">
        <v>4090</v>
      </c>
      <c r="B3541">
        <v>84</v>
      </c>
      <c r="C3541">
        <v>2892582</v>
      </c>
      <c r="D3541" t="s">
        <v>5483</v>
      </c>
      <c r="E3541" t="s">
        <v>13</v>
      </c>
      <c r="F3541" t="s">
        <v>14</v>
      </c>
      <c r="G3541">
        <v>4000000</v>
      </c>
      <c r="H3541">
        <v>7.6</v>
      </c>
      <c r="I3541" t="s">
        <v>15</v>
      </c>
    </row>
    <row r="3542" spans="1:11" x14ac:dyDescent="0.25">
      <c r="A3542" t="s">
        <v>382</v>
      </c>
      <c r="B3542">
        <v>78</v>
      </c>
      <c r="C3542">
        <v>2882062</v>
      </c>
      <c r="D3542" t="s">
        <v>5484</v>
      </c>
      <c r="E3542" t="s">
        <v>13</v>
      </c>
      <c r="F3542" t="s">
        <v>14</v>
      </c>
      <c r="G3542">
        <v>150000</v>
      </c>
      <c r="H3542">
        <v>6.3</v>
      </c>
      <c r="I3542" t="s">
        <v>15</v>
      </c>
      <c r="J3542" t="s">
        <v>31</v>
      </c>
      <c r="K3542" t="s">
        <v>19</v>
      </c>
    </row>
    <row r="3543" spans="1:11" x14ac:dyDescent="0.25">
      <c r="A3543" t="s">
        <v>2829</v>
      </c>
      <c r="B3543">
        <v>111</v>
      </c>
      <c r="C3543">
        <v>2869369</v>
      </c>
      <c r="D3543" t="s">
        <v>5485</v>
      </c>
      <c r="E3543" t="s">
        <v>13</v>
      </c>
      <c r="F3543" t="s">
        <v>82</v>
      </c>
      <c r="G3543">
        <v>30000000</v>
      </c>
      <c r="H3543">
        <v>7.3</v>
      </c>
      <c r="I3543" t="s">
        <v>15</v>
      </c>
      <c r="J3543" t="s">
        <v>17</v>
      </c>
    </row>
    <row r="3544" spans="1:11" x14ac:dyDescent="0.25">
      <c r="A3544" t="s">
        <v>5486</v>
      </c>
      <c r="B3544">
        <v>113</v>
      </c>
      <c r="C3544">
        <v>2859955</v>
      </c>
      <c r="D3544" t="s">
        <v>5487</v>
      </c>
      <c r="E3544" t="s">
        <v>13</v>
      </c>
      <c r="F3544" t="s">
        <v>14</v>
      </c>
      <c r="G3544">
        <v>1200000</v>
      </c>
      <c r="H3544">
        <v>6</v>
      </c>
      <c r="I3544" t="s">
        <v>31</v>
      </c>
      <c r="J3544" t="s">
        <v>41</v>
      </c>
    </row>
    <row r="3545" spans="1:11" x14ac:dyDescent="0.25">
      <c r="A3545" t="s">
        <v>3052</v>
      </c>
      <c r="B3545">
        <v>97</v>
      </c>
      <c r="C3545">
        <v>2856622</v>
      </c>
      <c r="D3545" t="s">
        <v>5488</v>
      </c>
      <c r="E3545" t="s">
        <v>13</v>
      </c>
      <c r="F3545" t="s">
        <v>98</v>
      </c>
      <c r="G3545">
        <v>25000</v>
      </c>
      <c r="H3545">
        <v>7.3</v>
      </c>
      <c r="I3545" t="s">
        <v>15</v>
      </c>
      <c r="J3545" t="s">
        <v>31</v>
      </c>
    </row>
    <row r="3546" spans="1:11" x14ac:dyDescent="0.25">
      <c r="A3546" t="s">
        <v>352</v>
      </c>
      <c r="B3546">
        <v>91</v>
      </c>
      <c r="C3546">
        <v>2850263</v>
      </c>
      <c r="D3546" t="s">
        <v>5489</v>
      </c>
      <c r="E3546" t="s">
        <v>13</v>
      </c>
      <c r="F3546" t="s">
        <v>14</v>
      </c>
      <c r="G3546">
        <v>2600000</v>
      </c>
      <c r="H3546">
        <v>6.2</v>
      </c>
      <c r="I3546" t="s">
        <v>28</v>
      </c>
      <c r="J3546" t="s">
        <v>15</v>
      </c>
      <c r="K3546" t="s">
        <v>41</v>
      </c>
    </row>
    <row r="3547" spans="1:11" x14ac:dyDescent="0.25">
      <c r="A3547" t="s">
        <v>5490</v>
      </c>
      <c r="B3547">
        <v>118</v>
      </c>
      <c r="C3547">
        <v>2849142</v>
      </c>
      <c r="D3547" t="s">
        <v>5491</v>
      </c>
      <c r="E3547" t="s">
        <v>13</v>
      </c>
      <c r="F3547" t="s">
        <v>14</v>
      </c>
      <c r="G3547">
        <v>16000000</v>
      </c>
      <c r="H3547">
        <v>7.2</v>
      </c>
      <c r="I3547" t="s">
        <v>31</v>
      </c>
    </row>
    <row r="3548" spans="1:11" x14ac:dyDescent="0.25">
      <c r="A3548" t="s">
        <v>5492</v>
      </c>
      <c r="B3548">
        <v>110</v>
      </c>
      <c r="C3548">
        <v>2848578</v>
      </c>
      <c r="D3548" t="s">
        <v>5493</v>
      </c>
      <c r="E3548" t="s">
        <v>13</v>
      </c>
      <c r="F3548" t="s">
        <v>14</v>
      </c>
      <c r="G3548">
        <v>3500000</v>
      </c>
      <c r="H3548">
        <v>6.3</v>
      </c>
      <c r="I3548" t="s">
        <v>31</v>
      </c>
      <c r="J3548" t="s">
        <v>16</v>
      </c>
    </row>
    <row r="3549" spans="1:11" x14ac:dyDescent="0.25">
      <c r="A3549" t="s">
        <v>1819</v>
      </c>
      <c r="B3549">
        <v>115</v>
      </c>
      <c r="C3549">
        <v>2840417</v>
      </c>
      <c r="D3549" t="s">
        <v>5494</v>
      </c>
      <c r="E3549" t="s">
        <v>13</v>
      </c>
      <c r="F3549" t="s">
        <v>98</v>
      </c>
      <c r="G3549">
        <v>31000000</v>
      </c>
      <c r="H3549">
        <v>6.8</v>
      </c>
      <c r="I3549" t="s">
        <v>22</v>
      </c>
      <c r="J3549" t="s">
        <v>37</v>
      </c>
      <c r="K3549" t="s">
        <v>24</v>
      </c>
    </row>
    <row r="3550" spans="1:11" x14ac:dyDescent="0.25">
      <c r="A3550" t="s">
        <v>5495</v>
      </c>
      <c r="B3550">
        <v>172</v>
      </c>
      <c r="C3550">
        <v>2835886</v>
      </c>
      <c r="D3550" t="s">
        <v>5496</v>
      </c>
      <c r="E3550" t="s">
        <v>1351</v>
      </c>
      <c r="F3550" t="s">
        <v>1342</v>
      </c>
      <c r="G3550">
        <v>9200000</v>
      </c>
      <c r="H3550">
        <v>7.7</v>
      </c>
      <c r="I3550" t="s">
        <v>31</v>
      </c>
    </row>
    <row r="3551" spans="1:11" x14ac:dyDescent="0.25">
      <c r="A3551" t="s">
        <v>2493</v>
      </c>
      <c r="B3551">
        <v>80</v>
      </c>
      <c r="C3551">
        <v>2833383</v>
      </c>
      <c r="D3551" t="s">
        <v>5497</v>
      </c>
      <c r="E3551" t="s">
        <v>13</v>
      </c>
      <c r="F3551" t="s">
        <v>14</v>
      </c>
      <c r="G3551">
        <v>427000</v>
      </c>
      <c r="H3551">
        <v>5.7</v>
      </c>
      <c r="I3551" t="s">
        <v>31</v>
      </c>
      <c r="J3551" t="s">
        <v>18</v>
      </c>
    </row>
    <row r="3552" spans="1:11" x14ac:dyDescent="0.25">
      <c r="A3552" t="s">
        <v>4258</v>
      </c>
      <c r="B3552">
        <v>113</v>
      </c>
      <c r="C3552">
        <v>2832826</v>
      </c>
      <c r="D3552" t="s">
        <v>5498</v>
      </c>
      <c r="E3552" t="s">
        <v>13</v>
      </c>
      <c r="F3552" t="s">
        <v>14</v>
      </c>
      <c r="G3552">
        <v>11000000</v>
      </c>
      <c r="H3552">
        <v>6.2</v>
      </c>
      <c r="I3552" t="s">
        <v>15</v>
      </c>
      <c r="J3552" t="s">
        <v>31</v>
      </c>
      <c r="K3552" t="s">
        <v>19</v>
      </c>
    </row>
    <row r="3553" spans="1:12" x14ac:dyDescent="0.25">
      <c r="A3553" t="s">
        <v>62</v>
      </c>
      <c r="B3553">
        <v>99</v>
      </c>
      <c r="C3553">
        <v>2812029</v>
      </c>
      <c r="D3553" t="s">
        <v>5499</v>
      </c>
      <c r="E3553" t="s">
        <v>13</v>
      </c>
      <c r="F3553" t="s">
        <v>14</v>
      </c>
      <c r="G3553">
        <v>1200000</v>
      </c>
      <c r="H3553">
        <v>8.4</v>
      </c>
      <c r="I3553" t="s">
        <v>38</v>
      </c>
      <c r="J3553" t="s">
        <v>31</v>
      </c>
      <c r="K3553" t="s">
        <v>24</v>
      </c>
    </row>
    <row r="3554" spans="1:12" x14ac:dyDescent="0.25">
      <c r="A3554" t="s">
        <v>5500</v>
      </c>
      <c r="B3554">
        <v>100</v>
      </c>
      <c r="C3554">
        <v>2808000</v>
      </c>
      <c r="D3554" t="s">
        <v>5501</v>
      </c>
      <c r="E3554" t="s">
        <v>13</v>
      </c>
      <c r="F3554" t="s">
        <v>14</v>
      </c>
      <c r="G3554">
        <v>379000</v>
      </c>
      <c r="H3554">
        <v>6.3</v>
      </c>
      <c r="I3554" t="s">
        <v>59</v>
      </c>
      <c r="J3554" t="s">
        <v>19</v>
      </c>
    </row>
    <row r="3555" spans="1:12" x14ac:dyDescent="0.25">
      <c r="A3555" t="s">
        <v>5502</v>
      </c>
      <c r="B3555">
        <v>102</v>
      </c>
      <c r="C3555">
        <v>2807854</v>
      </c>
      <c r="D3555" t="s">
        <v>5503</v>
      </c>
      <c r="E3555" t="s">
        <v>13</v>
      </c>
      <c r="F3555" t="s">
        <v>14</v>
      </c>
      <c r="G3555">
        <v>11000000</v>
      </c>
      <c r="H3555">
        <v>5.0999999999999996</v>
      </c>
      <c r="I3555" t="s">
        <v>28</v>
      </c>
      <c r="J3555" t="s">
        <v>31</v>
      </c>
      <c r="K3555" t="s">
        <v>19</v>
      </c>
    </row>
    <row r="3556" spans="1:12" x14ac:dyDescent="0.25">
      <c r="A3556" t="s">
        <v>5504</v>
      </c>
      <c r="B3556">
        <v>94</v>
      </c>
      <c r="C3556">
        <v>2800000</v>
      </c>
      <c r="D3556" t="s">
        <v>5505</v>
      </c>
      <c r="E3556" t="s">
        <v>13</v>
      </c>
      <c r="F3556" t="s">
        <v>14</v>
      </c>
      <c r="G3556">
        <v>4000000</v>
      </c>
      <c r="H3556">
        <v>5.8</v>
      </c>
      <c r="I3556" t="s">
        <v>15</v>
      </c>
    </row>
    <row r="3557" spans="1:12" x14ac:dyDescent="0.25">
      <c r="A3557" t="s">
        <v>5506</v>
      </c>
      <c r="B3557">
        <v>110</v>
      </c>
      <c r="C3557">
        <v>2775593</v>
      </c>
      <c r="D3557" t="s">
        <v>5507</v>
      </c>
      <c r="E3557" t="s">
        <v>13</v>
      </c>
      <c r="F3557" t="s">
        <v>82</v>
      </c>
      <c r="G3557">
        <v>27000000</v>
      </c>
      <c r="H3557">
        <v>6.5</v>
      </c>
      <c r="I3557" t="s">
        <v>15</v>
      </c>
      <c r="J3557" t="s">
        <v>31</v>
      </c>
      <c r="K3557" t="s">
        <v>19</v>
      </c>
    </row>
    <row r="3558" spans="1:12" x14ac:dyDescent="0.25">
      <c r="A3558" t="s">
        <v>4810</v>
      </c>
      <c r="B3558">
        <v>91</v>
      </c>
      <c r="C3558">
        <v>2712293</v>
      </c>
      <c r="D3558" t="s">
        <v>5508</v>
      </c>
      <c r="E3558" t="s">
        <v>13</v>
      </c>
      <c r="F3558" t="s">
        <v>14</v>
      </c>
      <c r="G3558">
        <v>450000</v>
      </c>
      <c r="H3558">
        <v>5.9</v>
      </c>
      <c r="I3558" t="s">
        <v>38</v>
      </c>
      <c r="J3558" t="s">
        <v>31</v>
      </c>
    </row>
    <row r="3559" spans="1:12" x14ac:dyDescent="0.25">
      <c r="A3559" t="s">
        <v>5509</v>
      </c>
      <c r="B3559">
        <v>97</v>
      </c>
      <c r="C3559">
        <v>2711210</v>
      </c>
      <c r="D3559" t="s">
        <v>5510</v>
      </c>
      <c r="E3559" t="s">
        <v>13</v>
      </c>
      <c r="F3559" t="s">
        <v>14</v>
      </c>
      <c r="G3559">
        <v>5000000</v>
      </c>
      <c r="H3559">
        <v>6.4</v>
      </c>
      <c r="I3559" t="s">
        <v>15</v>
      </c>
      <c r="J3559" t="s">
        <v>31</v>
      </c>
    </row>
    <row r="3560" spans="1:12" x14ac:dyDescent="0.25">
      <c r="A3560" t="s">
        <v>932</v>
      </c>
      <c r="B3560">
        <v>100</v>
      </c>
      <c r="C3560">
        <v>2708188</v>
      </c>
      <c r="D3560" t="s">
        <v>5511</v>
      </c>
      <c r="E3560" t="s">
        <v>13</v>
      </c>
      <c r="F3560" t="s">
        <v>82</v>
      </c>
      <c r="G3560">
        <v>23000000</v>
      </c>
      <c r="H3560">
        <v>6.2</v>
      </c>
      <c r="I3560" t="s">
        <v>15</v>
      </c>
      <c r="J3560" t="s">
        <v>31</v>
      </c>
      <c r="K3560" t="s">
        <v>19</v>
      </c>
    </row>
    <row r="3561" spans="1:12" x14ac:dyDescent="0.25">
      <c r="A3561" t="s">
        <v>3534</v>
      </c>
      <c r="B3561">
        <v>109</v>
      </c>
      <c r="C3561">
        <v>2706659</v>
      </c>
      <c r="D3561" t="s">
        <v>5512</v>
      </c>
      <c r="E3561" t="s">
        <v>13</v>
      </c>
      <c r="F3561" t="s">
        <v>82</v>
      </c>
      <c r="G3561">
        <v>2000000</v>
      </c>
      <c r="H3561">
        <v>6.9</v>
      </c>
      <c r="I3561" t="s">
        <v>15</v>
      </c>
      <c r="J3561" t="s">
        <v>31</v>
      </c>
    </row>
    <row r="3562" spans="1:12" x14ac:dyDescent="0.25">
      <c r="A3562" t="s">
        <v>5513</v>
      </c>
      <c r="B3562">
        <v>106</v>
      </c>
      <c r="C3562">
        <v>2694973</v>
      </c>
      <c r="D3562" t="s">
        <v>5514</v>
      </c>
      <c r="E3562" t="s">
        <v>13</v>
      </c>
      <c r="F3562" t="s">
        <v>14</v>
      </c>
      <c r="G3562">
        <v>700000</v>
      </c>
      <c r="H3562">
        <v>7.2</v>
      </c>
      <c r="I3562" t="s">
        <v>31</v>
      </c>
    </row>
    <row r="3563" spans="1:12" x14ac:dyDescent="0.25">
      <c r="A3563" t="s">
        <v>3503</v>
      </c>
      <c r="B3563">
        <v>128</v>
      </c>
      <c r="C3563">
        <v>2694071</v>
      </c>
      <c r="D3563" t="s">
        <v>5515</v>
      </c>
      <c r="E3563" t="s">
        <v>13</v>
      </c>
      <c r="F3563" t="s">
        <v>14</v>
      </c>
      <c r="G3563">
        <v>39751583.5</v>
      </c>
      <c r="H3563">
        <v>6.7</v>
      </c>
      <c r="I3563" t="s">
        <v>42</v>
      </c>
      <c r="J3563" t="s">
        <v>31</v>
      </c>
      <c r="K3563" t="s">
        <v>19</v>
      </c>
      <c r="L3563" t="s">
        <v>41</v>
      </c>
    </row>
    <row r="3564" spans="1:12" x14ac:dyDescent="0.25">
      <c r="A3564" t="s">
        <v>4232</v>
      </c>
      <c r="B3564">
        <v>97</v>
      </c>
      <c r="C3564">
        <v>2656324</v>
      </c>
      <c r="D3564" t="s">
        <v>5516</v>
      </c>
      <c r="E3564" t="s">
        <v>13</v>
      </c>
      <c r="F3564" t="s">
        <v>82</v>
      </c>
      <c r="G3564">
        <v>39751583.5</v>
      </c>
      <c r="H3564">
        <v>6.7</v>
      </c>
      <c r="I3564" t="s">
        <v>15</v>
      </c>
      <c r="J3564" t="s">
        <v>19</v>
      </c>
    </row>
    <row r="3565" spans="1:12" x14ac:dyDescent="0.25">
      <c r="A3565" t="s">
        <v>448</v>
      </c>
      <c r="B3565">
        <v>100</v>
      </c>
      <c r="C3565">
        <v>2643689</v>
      </c>
      <c r="D3565" t="s">
        <v>5517</v>
      </c>
      <c r="E3565" t="s">
        <v>13</v>
      </c>
      <c r="F3565" t="s">
        <v>14</v>
      </c>
      <c r="G3565">
        <v>39751583.5</v>
      </c>
      <c r="H3565">
        <v>7.3</v>
      </c>
      <c r="I3565" t="s">
        <v>15</v>
      </c>
      <c r="J3565" t="s">
        <v>31</v>
      </c>
    </row>
    <row r="3566" spans="1:12" x14ac:dyDescent="0.25">
      <c r="A3566" t="s">
        <v>4970</v>
      </c>
      <c r="B3566">
        <v>108</v>
      </c>
      <c r="C3566">
        <v>2605039</v>
      </c>
      <c r="D3566" t="s">
        <v>5518</v>
      </c>
      <c r="E3566" t="s">
        <v>13</v>
      </c>
      <c r="F3566" t="s">
        <v>82</v>
      </c>
      <c r="G3566">
        <v>39751583.5</v>
      </c>
      <c r="H3566">
        <v>6.3</v>
      </c>
      <c r="I3566" t="s">
        <v>31</v>
      </c>
      <c r="J3566" t="s">
        <v>22</v>
      </c>
      <c r="K3566" t="s">
        <v>37</v>
      </c>
      <c r="L3566" t="s">
        <v>24</v>
      </c>
    </row>
    <row r="3567" spans="1:12" x14ac:dyDescent="0.25">
      <c r="A3567" t="s">
        <v>5519</v>
      </c>
      <c r="B3567">
        <v>102</v>
      </c>
      <c r="C3567">
        <v>2601847</v>
      </c>
      <c r="D3567" t="s">
        <v>5520</v>
      </c>
      <c r="E3567" t="s">
        <v>13</v>
      </c>
      <c r="F3567" t="s">
        <v>14</v>
      </c>
      <c r="G3567">
        <v>4000000</v>
      </c>
      <c r="H3567">
        <v>8.5</v>
      </c>
      <c r="I3567" t="s">
        <v>52</v>
      </c>
      <c r="J3567" t="s">
        <v>18</v>
      </c>
    </row>
    <row r="3568" spans="1:12" x14ac:dyDescent="0.25">
      <c r="A3568" t="s">
        <v>1192</v>
      </c>
      <c r="B3568">
        <v>104</v>
      </c>
      <c r="C3568">
        <v>2600000</v>
      </c>
      <c r="D3568" t="s">
        <v>5521</v>
      </c>
      <c r="E3568" t="s">
        <v>13</v>
      </c>
      <c r="F3568" t="s">
        <v>82</v>
      </c>
      <c r="G3568">
        <v>6000000</v>
      </c>
      <c r="H3568">
        <v>7.5</v>
      </c>
      <c r="I3568" t="s">
        <v>31</v>
      </c>
      <c r="J3568" t="s">
        <v>83</v>
      </c>
    </row>
    <row r="3569" spans="1:13" x14ac:dyDescent="0.25">
      <c r="A3569" t="s">
        <v>5522</v>
      </c>
      <c r="B3569">
        <v>107</v>
      </c>
      <c r="C3569">
        <v>2592808</v>
      </c>
      <c r="D3569" t="s">
        <v>5523</v>
      </c>
      <c r="E3569" t="s">
        <v>13</v>
      </c>
      <c r="F3569" t="s">
        <v>14</v>
      </c>
      <c r="G3569">
        <v>39751583.5</v>
      </c>
      <c r="H3569">
        <v>3.5</v>
      </c>
      <c r="I3569" t="s">
        <v>38</v>
      </c>
      <c r="J3569" t="s">
        <v>31</v>
      </c>
      <c r="K3569" t="s">
        <v>24</v>
      </c>
    </row>
    <row r="3570" spans="1:13" x14ac:dyDescent="0.25">
      <c r="A3570" t="s">
        <v>4965</v>
      </c>
      <c r="B3570">
        <v>97</v>
      </c>
      <c r="C3570">
        <v>2557668</v>
      </c>
      <c r="D3570" t="s">
        <v>5524</v>
      </c>
      <c r="E3570" t="s">
        <v>13</v>
      </c>
      <c r="F3570" t="s">
        <v>14</v>
      </c>
      <c r="G3570">
        <v>2000000</v>
      </c>
      <c r="H3570">
        <v>5.3</v>
      </c>
      <c r="I3570" t="s">
        <v>38</v>
      </c>
      <c r="J3570" t="s">
        <v>31</v>
      </c>
      <c r="K3570" t="s">
        <v>24</v>
      </c>
    </row>
    <row r="3571" spans="1:13" x14ac:dyDescent="0.25">
      <c r="A3571" t="s">
        <v>5525</v>
      </c>
      <c r="B3571">
        <v>93</v>
      </c>
      <c r="C3571">
        <v>2542264</v>
      </c>
      <c r="D3571" t="s">
        <v>5526</v>
      </c>
      <c r="E3571" t="s">
        <v>13</v>
      </c>
      <c r="F3571" t="s">
        <v>82</v>
      </c>
      <c r="G3571">
        <v>39751583.5</v>
      </c>
      <c r="H3571">
        <v>7.1</v>
      </c>
      <c r="I3571" t="s">
        <v>15</v>
      </c>
      <c r="J3571" t="s">
        <v>31</v>
      </c>
    </row>
    <row r="3572" spans="1:13" x14ac:dyDescent="0.25">
      <c r="A3572" t="s">
        <v>5527</v>
      </c>
      <c r="B3572">
        <v>97</v>
      </c>
      <c r="C3572">
        <v>2508841</v>
      </c>
      <c r="D3572" t="s">
        <v>5528</v>
      </c>
      <c r="E3572" t="s">
        <v>13</v>
      </c>
      <c r="F3572" t="s">
        <v>14</v>
      </c>
      <c r="G3572">
        <v>1000000</v>
      </c>
      <c r="H3572">
        <v>7.2</v>
      </c>
      <c r="I3572" t="s">
        <v>38</v>
      </c>
      <c r="J3572" t="s">
        <v>31</v>
      </c>
    </row>
    <row r="3573" spans="1:13" x14ac:dyDescent="0.25">
      <c r="A3573" t="s">
        <v>5529</v>
      </c>
      <c r="B3573">
        <v>102</v>
      </c>
      <c r="C3573">
        <v>2507106</v>
      </c>
      <c r="D3573" t="s">
        <v>5530</v>
      </c>
      <c r="E3573" t="s">
        <v>13</v>
      </c>
      <c r="F3573" t="s">
        <v>14</v>
      </c>
      <c r="G3573">
        <v>39751583.5</v>
      </c>
      <c r="H3573">
        <v>6.1</v>
      </c>
      <c r="I3573" t="s">
        <v>31</v>
      </c>
      <c r="J3573" t="s">
        <v>18</v>
      </c>
    </row>
    <row r="3574" spans="1:13" x14ac:dyDescent="0.25">
      <c r="A3574" t="s">
        <v>505</v>
      </c>
      <c r="B3574">
        <v>101</v>
      </c>
      <c r="C3574">
        <v>2506446</v>
      </c>
      <c r="D3574" t="s">
        <v>5531</v>
      </c>
      <c r="E3574" t="s">
        <v>13</v>
      </c>
      <c r="F3574" t="s">
        <v>14</v>
      </c>
      <c r="G3574">
        <v>2000000</v>
      </c>
      <c r="H3574">
        <v>4.7</v>
      </c>
      <c r="I3574" t="s">
        <v>15</v>
      </c>
      <c r="J3574" t="s">
        <v>19</v>
      </c>
    </row>
    <row r="3575" spans="1:13" x14ac:dyDescent="0.25">
      <c r="A3575" t="s">
        <v>5532</v>
      </c>
      <c r="B3575">
        <v>144</v>
      </c>
      <c r="C3575">
        <v>2483955</v>
      </c>
      <c r="D3575" t="s">
        <v>5533</v>
      </c>
      <c r="E3575" t="s">
        <v>13</v>
      </c>
      <c r="F3575" t="s">
        <v>14</v>
      </c>
      <c r="G3575">
        <v>9600000</v>
      </c>
      <c r="H3575">
        <v>6.7</v>
      </c>
      <c r="I3575" t="s">
        <v>31</v>
      </c>
      <c r="J3575" t="s">
        <v>19</v>
      </c>
    </row>
    <row r="3576" spans="1:13" x14ac:dyDescent="0.25">
      <c r="A3576" t="s">
        <v>1895</v>
      </c>
      <c r="B3576">
        <v>139</v>
      </c>
      <c r="C3576">
        <v>2474000</v>
      </c>
      <c r="D3576" t="s">
        <v>5534</v>
      </c>
      <c r="E3576" t="s">
        <v>13</v>
      </c>
      <c r="F3576" t="s">
        <v>295</v>
      </c>
      <c r="G3576">
        <v>14000000</v>
      </c>
      <c r="H3576">
        <v>5.7</v>
      </c>
      <c r="I3576" t="s">
        <v>42</v>
      </c>
      <c r="J3576" t="s">
        <v>31</v>
      </c>
      <c r="K3576" t="s">
        <v>64</v>
      </c>
      <c r="L3576" t="s">
        <v>19</v>
      </c>
    </row>
    <row r="3577" spans="1:13" x14ac:dyDescent="0.25">
      <c r="A3577" t="s">
        <v>5535</v>
      </c>
      <c r="B3577">
        <v>112</v>
      </c>
      <c r="C3577">
        <v>2445646</v>
      </c>
      <c r="D3577" t="s">
        <v>5536</v>
      </c>
      <c r="E3577" t="s">
        <v>13</v>
      </c>
      <c r="F3577" t="s">
        <v>14</v>
      </c>
      <c r="G3577">
        <v>5000000</v>
      </c>
      <c r="H3577">
        <v>7</v>
      </c>
      <c r="I3577" t="s">
        <v>42</v>
      </c>
      <c r="J3577" t="s">
        <v>38</v>
      </c>
      <c r="K3577" t="s">
        <v>31</v>
      </c>
      <c r="L3577" t="s">
        <v>23</v>
      </c>
      <c r="M3577" t="s">
        <v>24</v>
      </c>
    </row>
    <row r="3578" spans="1:13" x14ac:dyDescent="0.25">
      <c r="A3578" t="s">
        <v>5174</v>
      </c>
      <c r="B3578">
        <v>122</v>
      </c>
      <c r="C3578">
        <v>2428883</v>
      </c>
      <c r="D3578" t="s">
        <v>5537</v>
      </c>
      <c r="E3578" t="s">
        <v>13</v>
      </c>
      <c r="F3578" t="s">
        <v>14</v>
      </c>
      <c r="G3578">
        <v>16000000</v>
      </c>
      <c r="H3578">
        <v>6.6</v>
      </c>
      <c r="I3578" t="s">
        <v>31</v>
      </c>
      <c r="J3578" t="s">
        <v>69</v>
      </c>
    </row>
    <row r="3579" spans="1:13" x14ac:dyDescent="0.25">
      <c r="A3579" t="s">
        <v>5538</v>
      </c>
      <c r="B3579">
        <v>101</v>
      </c>
      <c r="C3579">
        <v>2428241</v>
      </c>
      <c r="D3579" t="s">
        <v>5539</v>
      </c>
      <c r="E3579" t="s">
        <v>13</v>
      </c>
      <c r="F3579" t="s">
        <v>14</v>
      </c>
      <c r="G3579">
        <v>200000</v>
      </c>
      <c r="H3579">
        <v>6.4</v>
      </c>
      <c r="I3579" t="s">
        <v>31</v>
      </c>
    </row>
    <row r="3580" spans="1:13" x14ac:dyDescent="0.25">
      <c r="A3580" t="s">
        <v>3850</v>
      </c>
      <c r="B3580">
        <v>93</v>
      </c>
      <c r="C3580">
        <v>2426851</v>
      </c>
      <c r="D3580" t="s">
        <v>5540</v>
      </c>
      <c r="E3580" t="s">
        <v>13</v>
      </c>
      <c r="F3580" t="s">
        <v>14</v>
      </c>
      <c r="G3580">
        <v>4000000</v>
      </c>
      <c r="H3580">
        <v>6.5</v>
      </c>
      <c r="I3580" t="s">
        <v>15</v>
      </c>
      <c r="J3580" t="s">
        <v>38</v>
      </c>
      <c r="K3580" t="s">
        <v>19</v>
      </c>
      <c r="L3580" t="s">
        <v>24</v>
      </c>
    </row>
    <row r="3581" spans="1:13" x14ac:dyDescent="0.25">
      <c r="A3581" t="s">
        <v>3422</v>
      </c>
      <c r="B3581">
        <v>103</v>
      </c>
      <c r="C3581">
        <v>2412045</v>
      </c>
      <c r="D3581" t="s">
        <v>5541</v>
      </c>
      <c r="E3581" t="s">
        <v>13</v>
      </c>
      <c r="F3581" t="s">
        <v>82</v>
      </c>
      <c r="G3581">
        <v>15000000</v>
      </c>
      <c r="H3581">
        <v>7.2</v>
      </c>
      <c r="I3581" t="s">
        <v>31</v>
      </c>
      <c r="J3581" t="s">
        <v>19</v>
      </c>
      <c r="K3581" t="s">
        <v>37</v>
      </c>
    </row>
    <row r="3582" spans="1:13" x14ac:dyDescent="0.25">
      <c r="A3582" t="s">
        <v>5542</v>
      </c>
      <c r="B3582">
        <v>101</v>
      </c>
      <c r="C3582">
        <v>2408553</v>
      </c>
      <c r="D3582" t="s">
        <v>5543</v>
      </c>
      <c r="E3582" t="s">
        <v>5544</v>
      </c>
      <c r="F3582" t="s">
        <v>5545</v>
      </c>
      <c r="G3582">
        <v>39751583.5</v>
      </c>
      <c r="H3582">
        <v>7.6</v>
      </c>
      <c r="I3582" t="s">
        <v>52</v>
      </c>
      <c r="J3582" t="s">
        <v>83</v>
      </c>
    </row>
    <row r="3583" spans="1:13" x14ac:dyDescent="0.25">
      <c r="A3583" t="s">
        <v>5546</v>
      </c>
      <c r="B3583">
        <v>110</v>
      </c>
      <c r="C3583">
        <v>2365931</v>
      </c>
      <c r="D3583" t="s">
        <v>5547</v>
      </c>
      <c r="E3583" t="s">
        <v>13</v>
      </c>
      <c r="F3583" t="s">
        <v>14</v>
      </c>
      <c r="G3583">
        <v>1500000</v>
      </c>
      <c r="H3583">
        <v>7.5</v>
      </c>
      <c r="I3583" t="s">
        <v>15</v>
      </c>
      <c r="J3583" t="s">
        <v>38</v>
      </c>
      <c r="K3583" t="s">
        <v>31</v>
      </c>
      <c r="L3583" t="s">
        <v>19</v>
      </c>
    </row>
    <row r="3584" spans="1:13" x14ac:dyDescent="0.25">
      <c r="A3584" t="s">
        <v>1075</v>
      </c>
      <c r="B3584">
        <v>80</v>
      </c>
      <c r="C3584">
        <v>2360184</v>
      </c>
      <c r="D3584" t="s">
        <v>5548</v>
      </c>
      <c r="E3584" t="s">
        <v>13</v>
      </c>
      <c r="F3584" t="s">
        <v>14</v>
      </c>
      <c r="G3584">
        <v>300000</v>
      </c>
      <c r="H3584">
        <v>7.1</v>
      </c>
      <c r="I3584" t="s">
        <v>15</v>
      </c>
      <c r="J3584" t="s">
        <v>31</v>
      </c>
    </row>
    <row r="3585" spans="1:14" x14ac:dyDescent="0.25">
      <c r="A3585" t="s">
        <v>5549</v>
      </c>
      <c r="B3585">
        <v>114</v>
      </c>
      <c r="C3585">
        <v>2353728</v>
      </c>
      <c r="D3585" t="s">
        <v>5550</v>
      </c>
      <c r="E3585" t="s">
        <v>473</v>
      </c>
      <c r="F3585" t="s">
        <v>295</v>
      </c>
      <c r="G3585">
        <v>20000000</v>
      </c>
      <c r="H3585">
        <v>6.9</v>
      </c>
      <c r="I3585" t="s">
        <v>15</v>
      </c>
      <c r="J3585" t="s">
        <v>31</v>
      </c>
      <c r="K3585" t="s">
        <v>23</v>
      </c>
      <c r="L3585" t="s">
        <v>19</v>
      </c>
      <c r="M3585" t="s">
        <v>24</v>
      </c>
      <c r="N3585" t="s">
        <v>83</v>
      </c>
    </row>
    <row r="3586" spans="1:14" x14ac:dyDescent="0.25">
      <c r="A3586" t="s">
        <v>4720</v>
      </c>
      <c r="B3586">
        <v>99</v>
      </c>
      <c r="C3586">
        <v>2344847</v>
      </c>
      <c r="D3586" t="s">
        <v>5551</v>
      </c>
      <c r="E3586" t="s">
        <v>13</v>
      </c>
      <c r="F3586" t="s">
        <v>14</v>
      </c>
      <c r="G3586">
        <v>7000000</v>
      </c>
      <c r="H3586">
        <v>6.8</v>
      </c>
      <c r="I3586" t="s">
        <v>31</v>
      </c>
      <c r="J3586" t="s">
        <v>41</v>
      </c>
    </row>
    <row r="3587" spans="1:14" x14ac:dyDescent="0.25">
      <c r="A3587" t="s">
        <v>2754</v>
      </c>
      <c r="B3587">
        <v>105</v>
      </c>
      <c r="C3587">
        <v>2338695</v>
      </c>
      <c r="D3587" t="s">
        <v>5552</v>
      </c>
      <c r="E3587" t="s">
        <v>13</v>
      </c>
      <c r="F3587" t="s">
        <v>82</v>
      </c>
      <c r="G3587">
        <v>4000000</v>
      </c>
      <c r="H3587">
        <v>7.4</v>
      </c>
      <c r="I3587" t="s">
        <v>38</v>
      </c>
      <c r="J3587" t="s">
        <v>31</v>
      </c>
      <c r="K3587" t="s">
        <v>24</v>
      </c>
    </row>
    <row r="3588" spans="1:14" x14ac:dyDescent="0.25">
      <c r="A3588" t="s">
        <v>5553</v>
      </c>
      <c r="B3588">
        <v>97</v>
      </c>
      <c r="C3588">
        <v>2331318</v>
      </c>
      <c r="D3588" t="s">
        <v>5554</v>
      </c>
      <c r="E3588" t="s">
        <v>13</v>
      </c>
      <c r="F3588" t="s">
        <v>14</v>
      </c>
      <c r="G3588">
        <v>10000000</v>
      </c>
      <c r="H3588">
        <v>3.3</v>
      </c>
      <c r="I3588" t="s">
        <v>15</v>
      </c>
    </row>
    <row r="3589" spans="1:14" x14ac:dyDescent="0.25">
      <c r="A3589" t="s">
        <v>5555</v>
      </c>
      <c r="B3589">
        <v>109</v>
      </c>
      <c r="C3589">
        <v>2326407</v>
      </c>
      <c r="D3589" t="s">
        <v>5556</v>
      </c>
      <c r="E3589" t="s">
        <v>13</v>
      </c>
      <c r="F3589" t="s">
        <v>82</v>
      </c>
      <c r="G3589">
        <v>12000000</v>
      </c>
      <c r="H3589">
        <v>7</v>
      </c>
      <c r="I3589" t="s">
        <v>31</v>
      </c>
    </row>
    <row r="3590" spans="1:14" x14ac:dyDescent="0.25">
      <c r="A3590" t="s">
        <v>2840</v>
      </c>
      <c r="B3590">
        <v>101</v>
      </c>
      <c r="C3590">
        <v>2319187</v>
      </c>
      <c r="D3590" t="s">
        <v>5557</v>
      </c>
      <c r="E3590" t="s">
        <v>13</v>
      </c>
      <c r="F3590" t="s">
        <v>82</v>
      </c>
      <c r="G3590">
        <v>20000000</v>
      </c>
      <c r="H3590">
        <v>7</v>
      </c>
      <c r="I3590" t="s">
        <v>38</v>
      </c>
      <c r="J3590" t="s">
        <v>31</v>
      </c>
      <c r="K3590" t="s">
        <v>23</v>
      </c>
      <c r="L3590" t="s">
        <v>24</v>
      </c>
    </row>
    <row r="3591" spans="1:14" x14ac:dyDescent="0.25">
      <c r="A3591" t="s">
        <v>5558</v>
      </c>
      <c r="B3591">
        <v>97</v>
      </c>
      <c r="C3591">
        <v>2315683</v>
      </c>
      <c r="D3591" t="s">
        <v>5559</v>
      </c>
      <c r="E3591" t="s">
        <v>13</v>
      </c>
      <c r="F3591" t="s">
        <v>82</v>
      </c>
      <c r="G3591">
        <v>17000000</v>
      </c>
      <c r="H3591">
        <v>3</v>
      </c>
      <c r="I3591" t="s">
        <v>28</v>
      </c>
      <c r="J3591" t="s">
        <v>38</v>
      </c>
      <c r="K3591" t="s">
        <v>31</v>
      </c>
      <c r="L3591" t="s">
        <v>19</v>
      </c>
    </row>
    <row r="3592" spans="1:14" x14ac:dyDescent="0.25">
      <c r="A3592" t="s">
        <v>5560</v>
      </c>
      <c r="B3592">
        <v>84</v>
      </c>
      <c r="C3592">
        <v>2301777</v>
      </c>
      <c r="D3592" t="s">
        <v>5561</v>
      </c>
      <c r="E3592" t="s">
        <v>13</v>
      </c>
      <c r="F3592" t="s">
        <v>14</v>
      </c>
      <c r="G3592">
        <v>650000</v>
      </c>
      <c r="H3592">
        <v>6.5</v>
      </c>
      <c r="I3592" t="s">
        <v>15</v>
      </c>
    </row>
    <row r="3593" spans="1:14" x14ac:dyDescent="0.25">
      <c r="A3593" t="s">
        <v>5562</v>
      </c>
      <c r="B3593">
        <v>89</v>
      </c>
      <c r="C3593">
        <v>2300000</v>
      </c>
      <c r="D3593" t="s">
        <v>5563</v>
      </c>
      <c r="E3593" t="s">
        <v>13</v>
      </c>
      <c r="F3593" t="s">
        <v>14</v>
      </c>
      <c r="G3593">
        <v>439000</v>
      </c>
      <c r="H3593">
        <v>7.7</v>
      </c>
      <c r="I3593" t="s">
        <v>15</v>
      </c>
      <c r="J3593" t="s">
        <v>59</v>
      </c>
      <c r="K3593" t="s">
        <v>19</v>
      </c>
    </row>
    <row r="3594" spans="1:14" x14ac:dyDescent="0.25">
      <c r="A3594" t="s">
        <v>5564</v>
      </c>
      <c r="B3594">
        <v>90</v>
      </c>
      <c r="C3594">
        <v>2283276</v>
      </c>
      <c r="D3594" t="s">
        <v>5565</v>
      </c>
      <c r="E3594" t="s">
        <v>5544</v>
      </c>
      <c r="F3594" t="s">
        <v>5545</v>
      </c>
      <c r="G3594">
        <v>1500000</v>
      </c>
      <c r="H3594">
        <v>8</v>
      </c>
      <c r="I3594" t="s">
        <v>46</v>
      </c>
      <c r="J3594" t="s">
        <v>42</v>
      </c>
      <c r="K3594" t="s">
        <v>52</v>
      </c>
      <c r="L3594" t="s">
        <v>31</v>
      </c>
      <c r="M3594" t="s">
        <v>64</v>
      </c>
      <c r="N3594" t="s">
        <v>83</v>
      </c>
    </row>
    <row r="3595" spans="1:14" x14ac:dyDescent="0.25">
      <c r="A3595" t="s">
        <v>5566</v>
      </c>
      <c r="B3595">
        <v>99</v>
      </c>
      <c r="C3595">
        <v>2277396</v>
      </c>
      <c r="D3595" t="s">
        <v>5567</v>
      </c>
      <c r="E3595" t="s">
        <v>13</v>
      </c>
      <c r="F3595" t="s">
        <v>14</v>
      </c>
      <c r="G3595">
        <v>39751583.5</v>
      </c>
      <c r="H3595">
        <v>7.2</v>
      </c>
      <c r="I3595" t="s">
        <v>31</v>
      </c>
      <c r="J3595" t="s">
        <v>19</v>
      </c>
    </row>
    <row r="3596" spans="1:14" x14ac:dyDescent="0.25">
      <c r="A3596" t="s">
        <v>5568</v>
      </c>
      <c r="B3596">
        <v>105</v>
      </c>
      <c r="C3596">
        <v>2276368</v>
      </c>
      <c r="D3596" t="s">
        <v>5569</v>
      </c>
      <c r="E3596" t="s">
        <v>13</v>
      </c>
      <c r="F3596" t="s">
        <v>14</v>
      </c>
      <c r="G3596">
        <v>39751583.5</v>
      </c>
      <c r="H3596">
        <v>7.9</v>
      </c>
      <c r="I3596" t="s">
        <v>52</v>
      </c>
      <c r="J3596" t="s">
        <v>64</v>
      </c>
      <c r="K3596" t="s">
        <v>41</v>
      </c>
    </row>
    <row r="3597" spans="1:14" x14ac:dyDescent="0.25">
      <c r="A3597" t="s">
        <v>1817</v>
      </c>
      <c r="B3597">
        <v>79</v>
      </c>
      <c r="C3597">
        <v>2275557</v>
      </c>
      <c r="D3597" t="s">
        <v>5570</v>
      </c>
      <c r="E3597" t="s">
        <v>13</v>
      </c>
      <c r="F3597" t="s">
        <v>14</v>
      </c>
      <c r="G3597">
        <v>8000000</v>
      </c>
      <c r="H3597">
        <v>6</v>
      </c>
      <c r="I3597" t="s">
        <v>34</v>
      </c>
      <c r="J3597" t="s">
        <v>15</v>
      </c>
      <c r="K3597" t="s">
        <v>38</v>
      </c>
      <c r="L3597" t="s">
        <v>24</v>
      </c>
    </row>
    <row r="3598" spans="1:14" x14ac:dyDescent="0.25">
      <c r="A3598" t="s">
        <v>5571</v>
      </c>
      <c r="B3598">
        <v>116</v>
      </c>
      <c r="C3598">
        <v>2268296</v>
      </c>
      <c r="D3598" t="s">
        <v>5572</v>
      </c>
      <c r="E3598" t="s">
        <v>13</v>
      </c>
      <c r="F3598" t="s">
        <v>82</v>
      </c>
      <c r="G3598">
        <v>6500000</v>
      </c>
      <c r="H3598">
        <v>6.9</v>
      </c>
      <c r="I3598" t="s">
        <v>31</v>
      </c>
      <c r="J3598" t="s">
        <v>24</v>
      </c>
    </row>
    <row r="3599" spans="1:14" x14ac:dyDescent="0.25">
      <c r="A3599" t="s">
        <v>5573</v>
      </c>
      <c r="B3599">
        <v>118</v>
      </c>
      <c r="C3599">
        <v>2246000</v>
      </c>
      <c r="D3599" t="s">
        <v>5574</v>
      </c>
      <c r="E3599" t="s">
        <v>13</v>
      </c>
      <c r="F3599" t="s">
        <v>14</v>
      </c>
      <c r="G3599">
        <v>20000000</v>
      </c>
      <c r="H3599">
        <v>7</v>
      </c>
      <c r="I3599" t="s">
        <v>42</v>
      </c>
      <c r="J3599" t="s">
        <v>31</v>
      </c>
      <c r="K3599" t="s">
        <v>41</v>
      </c>
    </row>
    <row r="3600" spans="1:14" x14ac:dyDescent="0.25">
      <c r="A3600" t="s">
        <v>5575</v>
      </c>
      <c r="B3600">
        <v>89</v>
      </c>
      <c r="C3600">
        <v>2223990</v>
      </c>
      <c r="D3600" t="s">
        <v>5576</v>
      </c>
      <c r="E3600" t="s">
        <v>13</v>
      </c>
      <c r="F3600" t="s">
        <v>14</v>
      </c>
      <c r="G3600">
        <v>3000000</v>
      </c>
      <c r="H3600">
        <v>6.6</v>
      </c>
      <c r="I3600" t="s">
        <v>15</v>
      </c>
      <c r="J3600" t="s">
        <v>52</v>
      </c>
    </row>
    <row r="3601" spans="1:12" x14ac:dyDescent="0.25">
      <c r="A3601" t="s">
        <v>5577</v>
      </c>
      <c r="B3601">
        <v>144</v>
      </c>
      <c r="C3601">
        <v>2222647</v>
      </c>
      <c r="D3601" t="s">
        <v>5578</v>
      </c>
      <c r="E3601" t="s">
        <v>1277</v>
      </c>
      <c r="F3601" t="s">
        <v>241</v>
      </c>
      <c r="G3601">
        <v>12000000</v>
      </c>
      <c r="H3601">
        <v>7.8</v>
      </c>
      <c r="I3601" t="s">
        <v>31</v>
      </c>
      <c r="J3601" t="s">
        <v>23</v>
      </c>
    </row>
    <row r="3602" spans="1:12" x14ac:dyDescent="0.25">
      <c r="A3602" t="s">
        <v>1602</v>
      </c>
      <c r="B3602">
        <v>121</v>
      </c>
      <c r="C3602">
        <v>2221994</v>
      </c>
      <c r="D3602" t="s">
        <v>5579</v>
      </c>
      <c r="E3602" t="s">
        <v>13</v>
      </c>
      <c r="F3602" t="s">
        <v>1442</v>
      </c>
      <c r="G3602">
        <v>35000000</v>
      </c>
      <c r="H3602">
        <v>6.4</v>
      </c>
      <c r="I3602" t="s">
        <v>34</v>
      </c>
      <c r="J3602" t="s">
        <v>31</v>
      </c>
      <c r="K3602" t="s">
        <v>37</v>
      </c>
      <c r="L3602" t="s">
        <v>24</v>
      </c>
    </row>
    <row r="3603" spans="1:12" x14ac:dyDescent="0.25">
      <c r="A3603" t="s">
        <v>5457</v>
      </c>
      <c r="B3603">
        <v>91</v>
      </c>
      <c r="C3603">
        <v>2221809</v>
      </c>
      <c r="D3603" t="s">
        <v>5580</v>
      </c>
      <c r="E3603" t="s">
        <v>13</v>
      </c>
      <c r="F3603" t="s">
        <v>14</v>
      </c>
      <c r="G3603">
        <v>5000000</v>
      </c>
      <c r="H3603">
        <v>7</v>
      </c>
      <c r="I3603" t="s">
        <v>31</v>
      </c>
    </row>
    <row r="3604" spans="1:12" x14ac:dyDescent="0.25">
      <c r="A3604" t="s">
        <v>5581</v>
      </c>
      <c r="B3604">
        <v>100</v>
      </c>
      <c r="C3604">
        <v>2209479</v>
      </c>
      <c r="D3604" t="s">
        <v>5582</v>
      </c>
      <c r="E3604" t="s">
        <v>13</v>
      </c>
      <c r="F3604" t="s">
        <v>82</v>
      </c>
      <c r="G3604">
        <v>39751583.5</v>
      </c>
      <c r="H3604">
        <v>5.8</v>
      </c>
      <c r="I3604" t="s">
        <v>31</v>
      </c>
      <c r="J3604" t="s">
        <v>16</v>
      </c>
    </row>
    <row r="3605" spans="1:12" x14ac:dyDescent="0.25">
      <c r="A3605" t="s">
        <v>3727</v>
      </c>
      <c r="B3605">
        <v>147</v>
      </c>
      <c r="C3605">
        <v>2208939</v>
      </c>
      <c r="D3605" t="s">
        <v>5583</v>
      </c>
      <c r="E3605" t="s">
        <v>13</v>
      </c>
      <c r="F3605" t="s">
        <v>241</v>
      </c>
      <c r="G3605">
        <v>50000000</v>
      </c>
      <c r="H3605">
        <v>7.5</v>
      </c>
      <c r="I3605" t="s">
        <v>38</v>
      </c>
      <c r="J3605" t="s">
        <v>31</v>
      </c>
      <c r="K3605" t="s">
        <v>17</v>
      </c>
    </row>
    <row r="3606" spans="1:12" x14ac:dyDescent="0.25">
      <c r="A3606" t="s">
        <v>1691</v>
      </c>
      <c r="B3606">
        <v>99</v>
      </c>
      <c r="C3606">
        <v>2207975</v>
      </c>
      <c r="D3606" t="s">
        <v>5584</v>
      </c>
      <c r="E3606" t="s">
        <v>13</v>
      </c>
      <c r="F3606" t="s">
        <v>14</v>
      </c>
      <c r="G3606">
        <v>6000000</v>
      </c>
      <c r="H3606">
        <v>7.2</v>
      </c>
      <c r="I3606" t="s">
        <v>31</v>
      </c>
      <c r="J3606" t="s">
        <v>64</v>
      </c>
    </row>
    <row r="3607" spans="1:12" x14ac:dyDescent="0.25">
      <c r="A3607" t="s">
        <v>1073</v>
      </c>
      <c r="B3607">
        <v>111</v>
      </c>
      <c r="C3607">
        <v>2203641</v>
      </c>
      <c r="D3607" t="s">
        <v>5585</v>
      </c>
      <c r="E3607" t="s">
        <v>13</v>
      </c>
      <c r="F3607" t="s">
        <v>910</v>
      </c>
      <c r="G3607">
        <v>15000000</v>
      </c>
      <c r="H3607">
        <v>6.7</v>
      </c>
      <c r="I3607" t="s">
        <v>38</v>
      </c>
      <c r="J3607" t="s">
        <v>31</v>
      </c>
      <c r="K3607" t="s">
        <v>23</v>
      </c>
      <c r="L3607" t="s">
        <v>24</v>
      </c>
    </row>
    <row r="3608" spans="1:12" x14ac:dyDescent="0.25">
      <c r="A3608" t="s">
        <v>5586</v>
      </c>
      <c r="B3608">
        <v>85</v>
      </c>
      <c r="C3608">
        <v>2199853</v>
      </c>
      <c r="D3608" t="s">
        <v>5587</v>
      </c>
      <c r="E3608" t="s">
        <v>13</v>
      </c>
      <c r="F3608" t="s">
        <v>14</v>
      </c>
      <c r="G3608">
        <v>1200000</v>
      </c>
      <c r="H3608">
        <v>6.6</v>
      </c>
      <c r="I3608" t="s">
        <v>15</v>
      </c>
      <c r="J3608" t="s">
        <v>31</v>
      </c>
    </row>
    <row r="3609" spans="1:12" x14ac:dyDescent="0.25">
      <c r="A3609" t="s">
        <v>5588</v>
      </c>
      <c r="B3609">
        <v>157</v>
      </c>
      <c r="C3609">
        <v>2197331</v>
      </c>
      <c r="D3609" t="s">
        <v>5589</v>
      </c>
      <c r="E3609" t="s">
        <v>1409</v>
      </c>
      <c r="F3609" t="s">
        <v>1296</v>
      </c>
      <c r="G3609">
        <v>39751583.5</v>
      </c>
      <c r="H3609">
        <v>8.4</v>
      </c>
      <c r="I3609" t="s">
        <v>15</v>
      </c>
      <c r="J3609" t="s">
        <v>31</v>
      </c>
      <c r="K3609" t="s">
        <v>64</v>
      </c>
      <c r="L3609" t="s">
        <v>19</v>
      </c>
    </row>
    <row r="3610" spans="1:12" x14ac:dyDescent="0.25">
      <c r="A3610" t="s">
        <v>302</v>
      </c>
      <c r="B3610">
        <v>135</v>
      </c>
      <c r="C3610">
        <v>2185266</v>
      </c>
      <c r="D3610" t="s">
        <v>5590</v>
      </c>
      <c r="E3610" t="s">
        <v>13</v>
      </c>
      <c r="F3610" t="s">
        <v>14</v>
      </c>
      <c r="G3610">
        <v>10000000</v>
      </c>
      <c r="H3610">
        <v>6.5</v>
      </c>
      <c r="I3610" t="s">
        <v>15</v>
      </c>
      <c r="J3610" t="s">
        <v>31</v>
      </c>
      <c r="K3610" t="s">
        <v>18</v>
      </c>
    </row>
    <row r="3611" spans="1:12" x14ac:dyDescent="0.25">
      <c r="A3611" t="s">
        <v>5591</v>
      </c>
      <c r="B3611">
        <v>120</v>
      </c>
      <c r="C3611">
        <v>2181290</v>
      </c>
      <c r="D3611" t="s">
        <v>5592</v>
      </c>
      <c r="E3611" t="s">
        <v>1312</v>
      </c>
      <c r="F3611" t="s">
        <v>1216</v>
      </c>
      <c r="G3611">
        <v>3000000</v>
      </c>
      <c r="H3611">
        <v>8.4</v>
      </c>
      <c r="I3611" t="s">
        <v>31</v>
      </c>
      <c r="J3611" t="s">
        <v>23</v>
      </c>
      <c r="K3611" t="s">
        <v>24</v>
      </c>
    </row>
    <row r="3612" spans="1:12" x14ac:dyDescent="0.25">
      <c r="A3612" t="s">
        <v>168</v>
      </c>
      <c r="B3612">
        <v>143</v>
      </c>
      <c r="C3612">
        <v>2175312</v>
      </c>
      <c r="D3612" t="s">
        <v>5593</v>
      </c>
      <c r="E3612" t="s">
        <v>13</v>
      </c>
      <c r="F3612" t="s">
        <v>14</v>
      </c>
      <c r="G3612">
        <v>50000000</v>
      </c>
      <c r="H3612">
        <v>6.3</v>
      </c>
      <c r="I3612" t="s">
        <v>15</v>
      </c>
    </row>
    <row r="3613" spans="1:12" x14ac:dyDescent="0.25">
      <c r="A3613" t="s">
        <v>929</v>
      </c>
      <c r="B3613">
        <v>103</v>
      </c>
      <c r="C3613">
        <v>2154540</v>
      </c>
      <c r="D3613" t="s">
        <v>5594</v>
      </c>
      <c r="E3613" t="s">
        <v>13</v>
      </c>
      <c r="F3613" t="s">
        <v>14</v>
      </c>
      <c r="G3613">
        <v>45000000</v>
      </c>
      <c r="H3613">
        <v>4.9000000000000004</v>
      </c>
      <c r="I3613" t="s">
        <v>34</v>
      </c>
      <c r="J3613" t="s">
        <v>24</v>
      </c>
    </row>
    <row r="3614" spans="1:12" x14ac:dyDescent="0.25">
      <c r="A3614" t="s">
        <v>5595</v>
      </c>
      <c r="B3614">
        <v>100</v>
      </c>
      <c r="C3614">
        <v>2148212</v>
      </c>
      <c r="D3614" t="s">
        <v>5596</v>
      </c>
      <c r="E3614" t="s">
        <v>13</v>
      </c>
      <c r="F3614" t="s">
        <v>14</v>
      </c>
      <c r="G3614">
        <v>7000000</v>
      </c>
      <c r="H3614">
        <v>6.3</v>
      </c>
      <c r="I3614" t="s">
        <v>31</v>
      </c>
      <c r="J3614" t="s">
        <v>16</v>
      </c>
    </row>
    <row r="3615" spans="1:12" x14ac:dyDescent="0.25">
      <c r="A3615" t="s">
        <v>5597</v>
      </c>
      <c r="B3615">
        <v>105</v>
      </c>
      <c r="C3615">
        <v>2126511</v>
      </c>
      <c r="D3615" t="s">
        <v>5598</v>
      </c>
      <c r="E3615" t="s">
        <v>1946</v>
      </c>
      <c r="F3615" t="s">
        <v>1007</v>
      </c>
      <c r="G3615">
        <v>36000000</v>
      </c>
      <c r="H3615">
        <v>7.2</v>
      </c>
      <c r="I3615" t="s">
        <v>34</v>
      </c>
      <c r="J3615" t="s">
        <v>42</v>
      </c>
      <c r="K3615" t="s">
        <v>31</v>
      </c>
      <c r="L3615" t="s">
        <v>64</v>
      </c>
    </row>
    <row r="3616" spans="1:12" x14ac:dyDescent="0.25">
      <c r="A3616" t="s">
        <v>2019</v>
      </c>
      <c r="B3616">
        <v>123</v>
      </c>
      <c r="C3616">
        <v>2122561</v>
      </c>
      <c r="D3616" t="s">
        <v>5599</v>
      </c>
      <c r="E3616" t="s">
        <v>13</v>
      </c>
      <c r="F3616" t="s">
        <v>14</v>
      </c>
      <c r="G3616">
        <v>6000000</v>
      </c>
      <c r="H3616">
        <v>7.2</v>
      </c>
      <c r="I3616" t="s">
        <v>15</v>
      </c>
      <c r="J3616" t="s">
        <v>19</v>
      </c>
    </row>
    <row r="3617" spans="1:13" x14ac:dyDescent="0.25">
      <c r="A3617" t="s">
        <v>5600</v>
      </c>
      <c r="B3617">
        <v>92</v>
      </c>
      <c r="C3617">
        <v>2119994</v>
      </c>
      <c r="D3617" t="s">
        <v>5601</v>
      </c>
      <c r="E3617" t="s">
        <v>13</v>
      </c>
      <c r="F3617" t="s">
        <v>14</v>
      </c>
      <c r="G3617">
        <v>19000000</v>
      </c>
      <c r="H3617">
        <v>5.7</v>
      </c>
      <c r="I3617" t="s">
        <v>16</v>
      </c>
      <c r="J3617" t="s">
        <v>17</v>
      </c>
      <c r="K3617" t="s">
        <v>18</v>
      </c>
    </row>
    <row r="3618" spans="1:13" x14ac:dyDescent="0.25">
      <c r="A3618" t="s">
        <v>5602</v>
      </c>
      <c r="B3618">
        <v>91</v>
      </c>
      <c r="C3618">
        <v>2104000</v>
      </c>
      <c r="D3618" t="s">
        <v>5603</v>
      </c>
      <c r="E3618" t="s">
        <v>13</v>
      </c>
      <c r="F3618" t="s">
        <v>14</v>
      </c>
      <c r="G3618">
        <v>13000000</v>
      </c>
      <c r="H3618">
        <v>5.9</v>
      </c>
      <c r="I3618" t="s">
        <v>15</v>
      </c>
      <c r="J3618" t="s">
        <v>38</v>
      </c>
      <c r="K3618" t="s">
        <v>31</v>
      </c>
    </row>
    <row r="3619" spans="1:13" x14ac:dyDescent="0.25">
      <c r="A3619" t="s">
        <v>194</v>
      </c>
      <c r="B3619">
        <v>125</v>
      </c>
      <c r="C3619">
        <v>2086345</v>
      </c>
      <c r="D3619" t="s">
        <v>5604</v>
      </c>
      <c r="E3619" t="s">
        <v>1498</v>
      </c>
      <c r="F3619" t="s">
        <v>910</v>
      </c>
      <c r="G3619">
        <v>10000000</v>
      </c>
      <c r="H3619">
        <v>8.1</v>
      </c>
      <c r="I3619" t="s">
        <v>42</v>
      </c>
      <c r="J3619" t="s">
        <v>31</v>
      </c>
      <c r="K3619" t="s">
        <v>19</v>
      </c>
    </row>
    <row r="3620" spans="1:13" x14ac:dyDescent="0.25">
      <c r="A3620" t="s">
        <v>702</v>
      </c>
      <c r="B3620">
        <v>99</v>
      </c>
      <c r="C3620">
        <v>2077046</v>
      </c>
      <c r="D3620" t="s">
        <v>5605</v>
      </c>
      <c r="E3620" t="s">
        <v>13</v>
      </c>
      <c r="F3620" t="s">
        <v>14</v>
      </c>
      <c r="G3620">
        <v>6000000</v>
      </c>
      <c r="H3620">
        <v>7</v>
      </c>
      <c r="I3620" t="s">
        <v>15</v>
      </c>
      <c r="J3620" t="s">
        <v>31</v>
      </c>
      <c r="K3620" t="s">
        <v>19</v>
      </c>
    </row>
    <row r="3621" spans="1:13" x14ac:dyDescent="0.25">
      <c r="A3621" t="s">
        <v>3438</v>
      </c>
      <c r="B3621">
        <v>88</v>
      </c>
      <c r="C3621">
        <v>2073984</v>
      </c>
      <c r="D3621" t="s">
        <v>5606</v>
      </c>
      <c r="E3621" t="s">
        <v>13</v>
      </c>
      <c r="F3621" t="s">
        <v>295</v>
      </c>
      <c r="G3621">
        <v>800000</v>
      </c>
      <c r="H3621">
        <v>7.2</v>
      </c>
      <c r="I3621" t="s">
        <v>31</v>
      </c>
      <c r="J3621" t="s">
        <v>19</v>
      </c>
    </row>
    <row r="3622" spans="1:13" x14ac:dyDescent="0.25">
      <c r="A3622" t="s">
        <v>1711</v>
      </c>
      <c r="B3622">
        <v>105</v>
      </c>
      <c r="C3622">
        <v>2062066</v>
      </c>
      <c r="D3622" t="s">
        <v>5607</v>
      </c>
      <c r="E3622" t="s">
        <v>13</v>
      </c>
      <c r="F3622" t="s">
        <v>14</v>
      </c>
      <c r="G3622">
        <v>7000000</v>
      </c>
      <c r="H3622">
        <v>6.6</v>
      </c>
      <c r="I3622" t="s">
        <v>42</v>
      </c>
      <c r="J3622" t="s">
        <v>38</v>
      </c>
      <c r="K3622" t="s">
        <v>31</v>
      </c>
    </row>
    <row r="3623" spans="1:13" x14ac:dyDescent="0.25">
      <c r="A3623" t="s">
        <v>5608</v>
      </c>
      <c r="B3623">
        <v>101</v>
      </c>
      <c r="C3623">
        <v>2060953</v>
      </c>
      <c r="D3623" t="s">
        <v>5609</v>
      </c>
      <c r="E3623" t="s">
        <v>13</v>
      </c>
      <c r="F3623" t="s">
        <v>5610</v>
      </c>
      <c r="G3623">
        <v>12000000</v>
      </c>
      <c r="H3623">
        <v>7.1</v>
      </c>
      <c r="I3623" t="s">
        <v>17</v>
      </c>
      <c r="J3623" t="s">
        <v>22</v>
      </c>
      <c r="K3623" t="s">
        <v>24</v>
      </c>
    </row>
    <row r="3624" spans="1:13" x14ac:dyDescent="0.25">
      <c r="A3624" t="s">
        <v>5611</v>
      </c>
      <c r="B3624">
        <v>108</v>
      </c>
      <c r="C3624">
        <v>2047570</v>
      </c>
      <c r="D3624" t="s">
        <v>5612</v>
      </c>
      <c r="E3624" t="s">
        <v>13</v>
      </c>
      <c r="F3624" t="s">
        <v>14</v>
      </c>
      <c r="G3624">
        <v>500000</v>
      </c>
      <c r="H3624">
        <v>7.6</v>
      </c>
      <c r="I3624" t="s">
        <v>42</v>
      </c>
      <c r="J3624" t="s">
        <v>52</v>
      </c>
      <c r="K3624" t="s">
        <v>41</v>
      </c>
    </row>
    <row r="3625" spans="1:13" x14ac:dyDescent="0.25">
      <c r="A3625" t="s">
        <v>327</v>
      </c>
      <c r="B3625">
        <v>81</v>
      </c>
      <c r="C3625">
        <v>2040920</v>
      </c>
      <c r="D3625" t="s">
        <v>5613</v>
      </c>
      <c r="E3625" t="s">
        <v>1498</v>
      </c>
      <c r="F3625" t="s">
        <v>14</v>
      </c>
      <c r="G3625">
        <v>7000</v>
      </c>
      <c r="H3625">
        <v>6.9</v>
      </c>
      <c r="I3625" t="s">
        <v>34</v>
      </c>
      <c r="J3625" t="s">
        <v>38</v>
      </c>
      <c r="K3625" t="s">
        <v>31</v>
      </c>
      <c r="L3625" t="s">
        <v>19</v>
      </c>
      <c r="M3625" t="s">
        <v>24</v>
      </c>
    </row>
    <row r="3626" spans="1:13" x14ac:dyDescent="0.25">
      <c r="A3626" t="s">
        <v>344</v>
      </c>
      <c r="B3626">
        <v>102</v>
      </c>
      <c r="C3626">
        <v>2035566</v>
      </c>
      <c r="D3626" t="s">
        <v>5614</v>
      </c>
      <c r="E3626" t="s">
        <v>13</v>
      </c>
      <c r="F3626" t="s">
        <v>295</v>
      </c>
      <c r="G3626">
        <v>13000000</v>
      </c>
      <c r="H3626">
        <v>6.6</v>
      </c>
      <c r="I3626" t="s">
        <v>42</v>
      </c>
      <c r="J3626" t="s">
        <v>15</v>
      </c>
      <c r="K3626" t="s">
        <v>38</v>
      </c>
      <c r="L3626" t="s">
        <v>31</v>
      </c>
      <c r="M3626" t="s">
        <v>19</v>
      </c>
    </row>
    <row r="3627" spans="1:13" x14ac:dyDescent="0.25">
      <c r="A3627" t="s">
        <v>5615</v>
      </c>
      <c r="B3627">
        <v>95</v>
      </c>
      <c r="C3627">
        <v>2025238</v>
      </c>
      <c r="D3627" t="s">
        <v>5616</v>
      </c>
      <c r="E3627" t="s">
        <v>13</v>
      </c>
      <c r="F3627" t="s">
        <v>14</v>
      </c>
      <c r="G3627">
        <v>6000000</v>
      </c>
      <c r="H3627">
        <v>5.8</v>
      </c>
      <c r="I3627" t="s">
        <v>15</v>
      </c>
      <c r="J3627" t="s">
        <v>38</v>
      </c>
      <c r="K3627" t="s">
        <v>31</v>
      </c>
      <c r="L3627" t="s">
        <v>24</v>
      </c>
    </row>
    <row r="3628" spans="1:13" x14ac:dyDescent="0.25">
      <c r="A3628" t="s">
        <v>5617</v>
      </c>
      <c r="B3628">
        <v>100</v>
      </c>
      <c r="C3628">
        <v>2024854</v>
      </c>
      <c r="D3628" t="s">
        <v>5618</v>
      </c>
      <c r="E3628" t="s">
        <v>13</v>
      </c>
      <c r="F3628" t="s">
        <v>14</v>
      </c>
      <c r="G3628">
        <v>6500000</v>
      </c>
      <c r="H3628">
        <v>6.6</v>
      </c>
      <c r="I3628" t="s">
        <v>31</v>
      </c>
      <c r="J3628" t="s">
        <v>69</v>
      </c>
    </row>
    <row r="3629" spans="1:13" x14ac:dyDescent="0.25">
      <c r="A3629" t="s">
        <v>5619</v>
      </c>
      <c r="B3629">
        <v>124</v>
      </c>
      <c r="C3629">
        <v>2000000</v>
      </c>
      <c r="D3629" t="s">
        <v>5620</v>
      </c>
      <c r="E3629" t="s">
        <v>13</v>
      </c>
      <c r="F3629" t="s">
        <v>14</v>
      </c>
      <c r="G3629">
        <v>20000000</v>
      </c>
      <c r="H3629">
        <v>4.5</v>
      </c>
      <c r="I3629" t="s">
        <v>42</v>
      </c>
      <c r="J3629" t="s">
        <v>15</v>
      </c>
      <c r="K3629" t="s">
        <v>59</v>
      </c>
    </row>
    <row r="3630" spans="1:13" x14ac:dyDescent="0.25">
      <c r="A3630" t="s">
        <v>5621</v>
      </c>
      <c r="B3630">
        <v>102</v>
      </c>
      <c r="C3630">
        <v>2000000</v>
      </c>
      <c r="D3630" t="s">
        <v>5622</v>
      </c>
      <c r="E3630" t="s">
        <v>13</v>
      </c>
      <c r="F3630" t="s">
        <v>14</v>
      </c>
      <c r="G3630">
        <v>17000000</v>
      </c>
      <c r="H3630">
        <v>6.4</v>
      </c>
      <c r="I3630" t="s">
        <v>28</v>
      </c>
      <c r="J3630" t="s">
        <v>22</v>
      </c>
      <c r="K3630" t="s">
        <v>24</v>
      </c>
    </row>
    <row r="3631" spans="1:13" x14ac:dyDescent="0.25">
      <c r="A3631" t="s">
        <v>4492</v>
      </c>
      <c r="B3631">
        <v>126</v>
      </c>
      <c r="C3631">
        <v>1997807</v>
      </c>
      <c r="D3631" t="s">
        <v>5623</v>
      </c>
      <c r="E3631" t="s">
        <v>13</v>
      </c>
      <c r="F3631" t="s">
        <v>14</v>
      </c>
      <c r="G3631">
        <v>8000000</v>
      </c>
      <c r="H3631">
        <v>7.1</v>
      </c>
      <c r="I3631" t="s">
        <v>28</v>
      </c>
      <c r="J3631" t="s">
        <v>31</v>
      </c>
      <c r="K3631" t="s">
        <v>24</v>
      </c>
    </row>
    <row r="3632" spans="1:13" x14ac:dyDescent="0.25">
      <c r="A3632" t="s">
        <v>1770</v>
      </c>
      <c r="B3632">
        <v>98</v>
      </c>
      <c r="C3632">
        <v>1987762</v>
      </c>
      <c r="D3632" t="s">
        <v>5624</v>
      </c>
      <c r="E3632" t="s">
        <v>13</v>
      </c>
      <c r="F3632" t="s">
        <v>14</v>
      </c>
      <c r="G3632">
        <v>11000000</v>
      </c>
      <c r="H3632">
        <v>6.7</v>
      </c>
      <c r="I3632" t="s">
        <v>38</v>
      </c>
      <c r="J3632" t="s">
        <v>31</v>
      </c>
      <c r="K3632" t="s">
        <v>19</v>
      </c>
      <c r="L3632" t="s">
        <v>24</v>
      </c>
    </row>
    <row r="3633" spans="1:13" x14ac:dyDescent="0.25">
      <c r="A3633" t="s">
        <v>1639</v>
      </c>
      <c r="B3633">
        <v>130</v>
      </c>
      <c r="C3633">
        <v>1987287</v>
      </c>
      <c r="D3633" t="s">
        <v>5625</v>
      </c>
      <c r="E3633" t="s">
        <v>13</v>
      </c>
      <c r="F3633" t="s">
        <v>82</v>
      </c>
      <c r="G3633">
        <v>50000000</v>
      </c>
      <c r="H3633">
        <v>6.9</v>
      </c>
      <c r="I3633" t="s">
        <v>38</v>
      </c>
      <c r="J3633" t="s">
        <v>31</v>
      </c>
    </row>
    <row r="3634" spans="1:13" x14ac:dyDescent="0.25">
      <c r="A3634" t="s">
        <v>3560</v>
      </c>
      <c r="B3634">
        <v>120</v>
      </c>
      <c r="C3634">
        <v>1984743</v>
      </c>
      <c r="D3634" t="s">
        <v>5626</v>
      </c>
      <c r="E3634" t="s">
        <v>13</v>
      </c>
      <c r="F3634" t="s">
        <v>14</v>
      </c>
      <c r="G3634">
        <v>16000000</v>
      </c>
      <c r="H3634">
        <v>6.6</v>
      </c>
      <c r="I3634" t="s">
        <v>31</v>
      </c>
      <c r="J3634" t="s">
        <v>19</v>
      </c>
    </row>
    <row r="3635" spans="1:13" x14ac:dyDescent="0.25">
      <c r="A3635" t="s">
        <v>5457</v>
      </c>
      <c r="B3635">
        <v>101</v>
      </c>
      <c r="C3635">
        <v>1984378</v>
      </c>
      <c r="D3635" t="s">
        <v>5627</v>
      </c>
      <c r="E3635" t="s">
        <v>13</v>
      </c>
      <c r="F3635" t="s">
        <v>14</v>
      </c>
      <c r="G3635">
        <v>2000000</v>
      </c>
      <c r="H3635">
        <v>6.5</v>
      </c>
      <c r="I3635" t="s">
        <v>15</v>
      </c>
      <c r="J3635" t="s">
        <v>31</v>
      </c>
      <c r="K3635" t="s">
        <v>19</v>
      </c>
    </row>
    <row r="3636" spans="1:13" x14ac:dyDescent="0.25">
      <c r="A3636" t="s">
        <v>175</v>
      </c>
      <c r="B3636">
        <v>116</v>
      </c>
      <c r="C3636">
        <v>1980338</v>
      </c>
      <c r="D3636" t="s">
        <v>5628</v>
      </c>
      <c r="E3636" t="s">
        <v>13</v>
      </c>
      <c r="F3636" t="s">
        <v>14</v>
      </c>
      <c r="G3636">
        <v>5000000</v>
      </c>
      <c r="H3636">
        <v>7</v>
      </c>
      <c r="I3636" t="s">
        <v>15</v>
      </c>
      <c r="J3636" t="s">
        <v>38</v>
      </c>
      <c r="K3636" t="s">
        <v>31</v>
      </c>
      <c r="L3636" t="s">
        <v>23</v>
      </c>
      <c r="M3636" t="s">
        <v>24</v>
      </c>
    </row>
    <row r="3637" spans="1:13" x14ac:dyDescent="0.25">
      <c r="A3637" t="s">
        <v>5629</v>
      </c>
      <c r="B3637">
        <v>94</v>
      </c>
      <c r="C3637">
        <v>1977544</v>
      </c>
      <c r="D3637" t="s">
        <v>5630</v>
      </c>
      <c r="E3637" t="s">
        <v>13</v>
      </c>
      <c r="F3637" t="s">
        <v>14</v>
      </c>
      <c r="G3637">
        <v>250000</v>
      </c>
      <c r="H3637">
        <v>6.5</v>
      </c>
      <c r="I3637" t="s">
        <v>15</v>
      </c>
      <c r="J3637" t="s">
        <v>31</v>
      </c>
      <c r="K3637" t="s">
        <v>19</v>
      </c>
    </row>
    <row r="3638" spans="1:13" x14ac:dyDescent="0.25">
      <c r="A3638" t="s">
        <v>5631</v>
      </c>
      <c r="B3638">
        <v>111</v>
      </c>
      <c r="C3638">
        <v>1954202</v>
      </c>
      <c r="D3638" t="s">
        <v>5632</v>
      </c>
      <c r="E3638" t="s">
        <v>13</v>
      </c>
      <c r="F3638" t="s">
        <v>14</v>
      </c>
      <c r="G3638">
        <v>15000000</v>
      </c>
      <c r="H3638">
        <v>6.3</v>
      </c>
      <c r="I3638" t="s">
        <v>15</v>
      </c>
      <c r="J3638" t="s">
        <v>38</v>
      </c>
      <c r="K3638" t="s">
        <v>31</v>
      </c>
    </row>
    <row r="3639" spans="1:13" x14ac:dyDescent="0.25">
      <c r="A3639" t="s">
        <v>5633</v>
      </c>
      <c r="B3639">
        <v>98</v>
      </c>
      <c r="C3639">
        <v>1953732</v>
      </c>
      <c r="D3639" t="s">
        <v>5634</v>
      </c>
      <c r="E3639" t="s">
        <v>13</v>
      </c>
      <c r="F3639" t="s">
        <v>14</v>
      </c>
      <c r="G3639">
        <v>15000000</v>
      </c>
      <c r="H3639">
        <v>5.3</v>
      </c>
      <c r="I3639" t="s">
        <v>28</v>
      </c>
      <c r="J3639" t="s">
        <v>31</v>
      </c>
      <c r="K3639" t="s">
        <v>17</v>
      </c>
    </row>
    <row r="3640" spans="1:13" x14ac:dyDescent="0.25">
      <c r="A3640" t="s">
        <v>5635</v>
      </c>
      <c r="B3640">
        <v>84</v>
      </c>
      <c r="C3640">
        <v>1950218</v>
      </c>
      <c r="D3640" t="s">
        <v>5636</v>
      </c>
      <c r="E3640" t="s">
        <v>13</v>
      </c>
      <c r="F3640" t="s">
        <v>14</v>
      </c>
      <c r="G3640">
        <v>1000000</v>
      </c>
      <c r="H3640">
        <v>5.6</v>
      </c>
      <c r="I3640" t="s">
        <v>15</v>
      </c>
      <c r="J3640" t="s">
        <v>31</v>
      </c>
    </row>
    <row r="3641" spans="1:13" x14ac:dyDescent="0.25">
      <c r="A3641" t="s">
        <v>5637</v>
      </c>
      <c r="B3641">
        <v>98</v>
      </c>
      <c r="C3641">
        <v>1943649</v>
      </c>
      <c r="D3641" t="s">
        <v>5638</v>
      </c>
      <c r="E3641" t="s">
        <v>13</v>
      </c>
      <c r="F3641" t="s">
        <v>14</v>
      </c>
      <c r="G3641">
        <v>1700000</v>
      </c>
      <c r="H3641">
        <v>6.3</v>
      </c>
      <c r="I3641" t="s">
        <v>15</v>
      </c>
      <c r="J3641" t="s">
        <v>38</v>
      </c>
      <c r="K3641" t="s">
        <v>19</v>
      </c>
    </row>
    <row r="3642" spans="1:13" x14ac:dyDescent="0.25">
      <c r="A3642" t="s">
        <v>4405</v>
      </c>
      <c r="B3642">
        <v>106</v>
      </c>
      <c r="C3642">
        <v>1939441</v>
      </c>
      <c r="D3642" t="s">
        <v>5639</v>
      </c>
      <c r="E3642" t="s">
        <v>13</v>
      </c>
      <c r="F3642" t="s">
        <v>14</v>
      </c>
      <c r="G3642">
        <v>10000000</v>
      </c>
      <c r="H3642">
        <v>6.9</v>
      </c>
      <c r="I3642" t="s">
        <v>42</v>
      </c>
      <c r="J3642" t="s">
        <v>38</v>
      </c>
      <c r="K3642" t="s">
        <v>31</v>
      </c>
    </row>
    <row r="3643" spans="1:13" x14ac:dyDescent="0.25">
      <c r="A3643" t="s">
        <v>4545</v>
      </c>
      <c r="B3643">
        <v>104</v>
      </c>
      <c r="C3643">
        <v>1900725</v>
      </c>
      <c r="D3643" t="s">
        <v>5640</v>
      </c>
      <c r="E3643" t="s">
        <v>13</v>
      </c>
      <c r="F3643" t="s">
        <v>45</v>
      </c>
      <c r="G3643">
        <v>2000000</v>
      </c>
      <c r="H3643">
        <v>7.4</v>
      </c>
      <c r="I3643" t="s">
        <v>38</v>
      </c>
      <c r="J3643" t="s">
        <v>31</v>
      </c>
      <c r="K3643" t="s">
        <v>69</v>
      </c>
    </row>
    <row r="3644" spans="1:13" x14ac:dyDescent="0.25">
      <c r="A3644" t="s">
        <v>679</v>
      </c>
      <c r="B3644">
        <v>102</v>
      </c>
      <c r="C3644">
        <v>1891821</v>
      </c>
      <c r="D3644" t="s">
        <v>5641</v>
      </c>
      <c r="E3644" t="s">
        <v>13</v>
      </c>
      <c r="F3644" t="s">
        <v>82</v>
      </c>
      <c r="G3644">
        <v>52000000</v>
      </c>
      <c r="H3644">
        <v>4.2</v>
      </c>
      <c r="I3644" t="s">
        <v>34</v>
      </c>
      <c r="J3644" t="s">
        <v>28</v>
      </c>
      <c r="K3644" t="s">
        <v>22</v>
      </c>
      <c r="L3644" t="s">
        <v>37</v>
      </c>
      <c r="M3644" t="s">
        <v>24</v>
      </c>
    </row>
    <row r="3645" spans="1:13" x14ac:dyDescent="0.25">
      <c r="A3645" t="s">
        <v>5642</v>
      </c>
      <c r="B3645">
        <v>99</v>
      </c>
      <c r="C3645">
        <v>1889522</v>
      </c>
      <c r="D3645" t="s">
        <v>5643</v>
      </c>
      <c r="E3645" t="s">
        <v>13</v>
      </c>
      <c r="F3645" t="s">
        <v>14</v>
      </c>
      <c r="G3645">
        <v>7000000</v>
      </c>
      <c r="H3645">
        <v>6.5</v>
      </c>
      <c r="I3645" t="s">
        <v>31</v>
      </c>
      <c r="J3645" t="s">
        <v>41</v>
      </c>
    </row>
    <row r="3646" spans="1:13" x14ac:dyDescent="0.25">
      <c r="A3646" t="s">
        <v>5549</v>
      </c>
      <c r="B3646">
        <v>135</v>
      </c>
      <c r="C3646">
        <v>1877179</v>
      </c>
      <c r="D3646" t="s">
        <v>5644</v>
      </c>
      <c r="E3646" t="s">
        <v>473</v>
      </c>
      <c r="F3646" t="s">
        <v>295</v>
      </c>
      <c r="G3646">
        <v>39751583.5</v>
      </c>
      <c r="H3646">
        <v>7.1</v>
      </c>
      <c r="I3646" t="s">
        <v>28</v>
      </c>
      <c r="J3646" t="s">
        <v>31</v>
      </c>
      <c r="K3646" t="s">
        <v>19</v>
      </c>
      <c r="L3646" t="s">
        <v>83</v>
      </c>
    </row>
    <row r="3647" spans="1:13" x14ac:dyDescent="0.25">
      <c r="A3647" t="s">
        <v>208</v>
      </c>
      <c r="B3647">
        <v>132</v>
      </c>
      <c r="C3647">
        <v>1865774</v>
      </c>
      <c r="D3647" t="s">
        <v>5645</v>
      </c>
      <c r="E3647" t="s">
        <v>13</v>
      </c>
      <c r="F3647" t="s">
        <v>82</v>
      </c>
      <c r="G3647">
        <v>30000000</v>
      </c>
      <c r="H3647">
        <v>7</v>
      </c>
      <c r="I3647" t="s">
        <v>42</v>
      </c>
      <c r="J3647" t="s">
        <v>38</v>
      </c>
      <c r="K3647" t="s">
        <v>31</v>
      </c>
      <c r="L3647" t="s">
        <v>64</v>
      </c>
      <c r="M3647" t="s">
        <v>24</v>
      </c>
    </row>
    <row r="3648" spans="1:13" x14ac:dyDescent="0.25">
      <c r="A3648" t="s">
        <v>5646</v>
      </c>
      <c r="B3648">
        <v>127</v>
      </c>
      <c r="C3648">
        <v>1829142</v>
      </c>
      <c r="D3648" t="s">
        <v>5647</v>
      </c>
      <c r="E3648" t="s">
        <v>13</v>
      </c>
      <c r="F3648" t="s">
        <v>1465</v>
      </c>
      <c r="G3648">
        <v>39751583.5</v>
      </c>
      <c r="H3648">
        <v>7.5</v>
      </c>
      <c r="I3648" t="s">
        <v>31</v>
      </c>
      <c r="J3648" t="s">
        <v>83</v>
      </c>
    </row>
    <row r="3649" spans="1:12" x14ac:dyDescent="0.25">
      <c r="A3649" t="s">
        <v>2019</v>
      </c>
      <c r="B3649">
        <v>102</v>
      </c>
      <c r="C3649">
        <v>1821983</v>
      </c>
      <c r="D3649" t="s">
        <v>5648</v>
      </c>
      <c r="E3649" t="s">
        <v>13</v>
      </c>
      <c r="F3649" t="s">
        <v>14</v>
      </c>
      <c r="G3649">
        <v>3000000</v>
      </c>
      <c r="H3649">
        <v>5.4</v>
      </c>
      <c r="I3649" t="s">
        <v>15</v>
      </c>
      <c r="J3649" t="s">
        <v>31</v>
      </c>
      <c r="K3649" t="s">
        <v>22</v>
      </c>
    </row>
    <row r="3650" spans="1:12" x14ac:dyDescent="0.25">
      <c r="A3650" t="s">
        <v>5649</v>
      </c>
      <c r="B3650">
        <v>97</v>
      </c>
      <c r="C3650">
        <v>1818681</v>
      </c>
      <c r="D3650" t="s">
        <v>5650</v>
      </c>
      <c r="E3650" t="s">
        <v>13</v>
      </c>
      <c r="F3650" t="s">
        <v>82</v>
      </c>
      <c r="G3650">
        <v>7300000</v>
      </c>
      <c r="H3650">
        <v>7.2</v>
      </c>
      <c r="I3650" t="s">
        <v>34</v>
      </c>
      <c r="J3650" t="s">
        <v>38</v>
      </c>
      <c r="K3650" t="s">
        <v>31</v>
      </c>
      <c r="L3650" t="s">
        <v>24</v>
      </c>
    </row>
    <row r="3651" spans="1:12" x14ac:dyDescent="0.25">
      <c r="A3651" t="s">
        <v>4863</v>
      </c>
      <c r="B3651">
        <v>105</v>
      </c>
      <c r="C3651">
        <v>1796024</v>
      </c>
      <c r="D3651" t="s">
        <v>5651</v>
      </c>
      <c r="E3651" t="s">
        <v>13</v>
      </c>
      <c r="F3651" t="s">
        <v>14</v>
      </c>
      <c r="G3651">
        <v>22000000</v>
      </c>
      <c r="H3651">
        <v>5.4</v>
      </c>
      <c r="I3651" t="s">
        <v>31</v>
      </c>
      <c r="J3651" t="s">
        <v>24</v>
      </c>
    </row>
    <row r="3652" spans="1:12" x14ac:dyDescent="0.25">
      <c r="A3652" t="s">
        <v>813</v>
      </c>
      <c r="B3652">
        <v>104</v>
      </c>
      <c r="C3652">
        <v>1789892</v>
      </c>
      <c r="D3652" t="s">
        <v>5652</v>
      </c>
      <c r="E3652" t="s">
        <v>13</v>
      </c>
      <c r="F3652" t="s">
        <v>241</v>
      </c>
      <c r="G3652">
        <v>8000000</v>
      </c>
      <c r="H3652">
        <v>6.6</v>
      </c>
      <c r="I3652" t="s">
        <v>15</v>
      </c>
      <c r="J3652" t="s">
        <v>38</v>
      </c>
    </row>
    <row r="3653" spans="1:12" x14ac:dyDescent="0.25">
      <c r="A3653" t="s">
        <v>5653</v>
      </c>
      <c r="B3653">
        <v>104</v>
      </c>
      <c r="C3653">
        <v>1779284</v>
      </c>
      <c r="D3653" t="s">
        <v>5654</v>
      </c>
      <c r="E3653" t="s">
        <v>13</v>
      </c>
      <c r="F3653" t="s">
        <v>14</v>
      </c>
      <c r="G3653">
        <v>12000000</v>
      </c>
      <c r="H3653">
        <v>7.1</v>
      </c>
      <c r="I3653" t="s">
        <v>15</v>
      </c>
      <c r="J3653" t="s">
        <v>31</v>
      </c>
    </row>
    <row r="3654" spans="1:12" x14ac:dyDescent="0.25">
      <c r="A3654" t="s">
        <v>2862</v>
      </c>
      <c r="B3654">
        <v>97</v>
      </c>
      <c r="C3654">
        <v>1768416</v>
      </c>
      <c r="D3654" t="s">
        <v>5655</v>
      </c>
      <c r="E3654" t="s">
        <v>13</v>
      </c>
      <c r="F3654" t="s">
        <v>14</v>
      </c>
      <c r="G3654">
        <v>7000000</v>
      </c>
      <c r="H3654">
        <v>6.3</v>
      </c>
      <c r="I3654" t="s">
        <v>15</v>
      </c>
      <c r="J3654" t="s">
        <v>31</v>
      </c>
    </row>
    <row r="3655" spans="1:12" x14ac:dyDescent="0.25">
      <c r="A3655" t="s">
        <v>744</v>
      </c>
      <c r="B3655">
        <v>98</v>
      </c>
      <c r="C3655">
        <v>1754319</v>
      </c>
      <c r="D3655" t="s">
        <v>5656</v>
      </c>
      <c r="E3655" t="s">
        <v>13</v>
      </c>
      <c r="F3655" t="s">
        <v>14</v>
      </c>
      <c r="G3655">
        <v>10000000</v>
      </c>
      <c r="H3655">
        <v>7.2</v>
      </c>
      <c r="I3655" t="s">
        <v>31</v>
      </c>
      <c r="J3655" t="s">
        <v>19</v>
      </c>
    </row>
    <row r="3656" spans="1:12" x14ac:dyDescent="0.25">
      <c r="A3656" t="s">
        <v>231</v>
      </c>
      <c r="B3656">
        <v>90</v>
      </c>
      <c r="C3656">
        <v>1752214</v>
      </c>
      <c r="D3656" t="s">
        <v>5657</v>
      </c>
      <c r="E3656" t="s">
        <v>13</v>
      </c>
      <c r="F3656" t="s">
        <v>14</v>
      </c>
      <c r="G3656">
        <v>14000000</v>
      </c>
      <c r="H3656">
        <v>7.7</v>
      </c>
      <c r="I3656" t="s">
        <v>15</v>
      </c>
      <c r="J3656" t="s">
        <v>31</v>
      </c>
      <c r="K3656" t="s">
        <v>19</v>
      </c>
    </row>
    <row r="3657" spans="1:12" x14ac:dyDescent="0.25">
      <c r="A3657" t="s">
        <v>5658</v>
      </c>
      <c r="B3657">
        <v>94</v>
      </c>
      <c r="C3657">
        <v>1744858</v>
      </c>
      <c r="D3657" t="s">
        <v>5659</v>
      </c>
      <c r="E3657" t="s">
        <v>13</v>
      </c>
      <c r="F3657" t="s">
        <v>14</v>
      </c>
      <c r="G3657">
        <v>1000000</v>
      </c>
      <c r="H3657">
        <v>7</v>
      </c>
      <c r="I3657" t="s">
        <v>15</v>
      </c>
      <c r="J3657" t="s">
        <v>31</v>
      </c>
      <c r="K3657" t="s">
        <v>19</v>
      </c>
      <c r="L3657" t="s">
        <v>41</v>
      </c>
    </row>
    <row r="3658" spans="1:12" x14ac:dyDescent="0.25">
      <c r="A3658" t="s">
        <v>5660</v>
      </c>
      <c r="B3658">
        <v>112</v>
      </c>
      <c r="C3658">
        <v>1738692</v>
      </c>
      <c r="D3658" t="s">
        <v>5661</v>
      </c>
      <c r="E3658" t="s">
        <v>13</v>
      </c>
      <c r="F3658" t="s">
        <v>82</v>
      </c>
      <c r="G3658">
        <v>7000000</v>
      </c>
      <c r="H3658">
        <v>7.5</v>
      </c>
      <c r="I3658" t="s">
        <v>31</v>
      </c>
      <c r="J3658" t="s">
        <v>24</v>
      </c>
    </row>
    <row r="3659" spans="1:12" x14ac:dyDescent="0.25">
      <c r="A3659" t="s">
        <v>3906</v>
      </c>
      <c r="B3659">
        <v>121</v>
      </c>
      <c r="C3659">
        <v>1729969</v>
      </c>
      <c r="D3659" t="s">
        <v>5662</v>
      </c>
      <c r="E3659" t="s">
        <v>13</v>
      </c>
      <c r="F3659" t="s">
        <v>14</v>
      </c>
      <c r="G3659">
        <v>5000000</v>
      </c>
      <c r="H3659">
        <v>7.4</v>
      </c>
      <c r="I3659" t="s">
        <v>31</v>
      </c>
      <c r="J3659" t="s">
        <v>24</v>
      </c>
    </row>
    <row r="3660" spans="1:12" x14ac:dyDescent="0.25">
      <c r="A3660" t="s">
        <v>1078</v>
      </c>
      <c r="B3660">
        <v>91</v>
      </c>
      <c r="C3660">
        <v>1712111</v>
      </c>
      <c r="D3660" t="s">
        <v>5663</v>
      </c>
      <c r="E3660" t="s">
        <v>13</v>
      </c>
      <c r="F3660" t="s">
        <v>14</v>
      </c>
      <c r="G3660">
        <v>8495000</v>
      </c>
      <c r="H3660">
        <v>4.5</v>
      </c>
      <c r="I3660" t="s">
        <v>22</v>
      </c>
      <c r="J3660" t="s">
        <v>24</v>
      </c>
    </row>
    <row r="3661" spans="1:12" x14ac:dyDescent="0.25">
      <c r="A3661" t="s">
        <v>5664</v>
      </c>
      <c r="B3661">
        <v>118</v>
      </c>
      <c r="C3661">
        <v>1705139</v>
      </c>
      <c r="D3661" t="s">
        <v>5665</v>
      </c>
      <c r="E3661" t="s">
        <v>13</v>
      </c>
      <c r="F3661" t="s">
        <v>14</v>
      </c>
      <c r="G3661">
        <v>4700000</v>
      </c>
      <c r="H3661">
        <v>6.7</v>
      </c>
      <c r="I3661" t="s">
        <v>17</v>
      </c>
      <c r="J3661" t="s">
        <v>22</v>
      </c>
      <c r="K3661" t="s">
        <v>23</v>
      </c>
      <c r="L3661" t="s">
        <v>24</v>
      </c>
    </row>
    <row r="3662" spans="1:12" x14ac:dyDescent="0.25">
      <c r="A3662" t="s">
        <v>5591</v>
      </c>
      <c r="B3662">
        <v>99</v>
      </c>
      <c r="C3662">
        <v>1702277</v>
      </c>
      <c r="D3662" t="s">
        <v>5666</v>
      </c>
      <c r="E3662" t="s">
        <v>13</v>
      </c>
      <c r="F3662" t="s">
        <v>82</v>
      </c>
      <c r="G3662">
        <v>12000000</v>
      </c>
      <c r="H3662">
        <v>6.8</v>
      </c>
      <c r="I3662" t="s">
        <v>31</v>
      </c>
      <c r="J3662" t="s">
        <v>24</v>
      </c>
    </row>
    <row r="3663" spans="1:12" x14ac:dyDescent="0.25">
      <c r="A3663" t="s">
        <v>5136</v>
      </c>
      <c r="B3663">
        <v>122</v>
      </c>
      <c r="C3663">
        <v>1697956</v>
      </c>
      <c r="D3663" t="s">
        <v>5667</v>
      </c>
      <c r="E3663" t="s">
        <v>13</v>
      </c>
      <c r="F3663" t="s">
        <v>14</v>
      </c>
      <c r="G3663">
        <v>20000000</v>
      </c>
      <c r="H3663">
        <v>6.7</v>
      </c>
      <c r="I3663" t="s">
        <v>38</v>
      </c>
      <c r="J3663" t="s">
        <v>31</v>
      </c>
    </row>
    <row r="3664" spans="1:12" x14ac:dyDescent="0.25">
      <c r="A3664" t="s">
        <v>4083</v>
      </c>
      <c r="B3664">
        <v>90</v>
      </c>
      <c r="C3664">
        <v>1689999</v>
      </c>
      <c r="D3664" t="s">
        <v>5668</v>
      </c>
      <c r="E3664" t="s">
        <v>1498</v>
      </c>
      <c r="F3664" t="s">
        <v>14</v>
      </c>
      <c r="G3664">
        <v>400000</v>
      </c>
      <c r="H3664">
        <v>7.1</v>
      </c>
      <c r="I3664" t="s">
        <v>31</v>
      </c>
    </row>
    <row r="3665" spans="1:12" x14ac:dyDescent="0.25">
      <c r="A3665" t="s">
        <v>5669</v>
      </c>
      <c r="B3665">
        <v>97</v>
      </c>
      <c r="C3665">
        <v>1686429</v>
      </c>
      <c r="D3665" t="s">
        <v>5670</v>
      </c>
      <c r="E3665" t="s">
        <v>13</v>
      </c>
      <c r="F3665" t="s">
        <v>14</v>
      </c>
      <c r="G3665">
        <v>16000000</v>
      </c>
      <c r="H3665">
        <v>2.8</v>
      </c>
      <c r="I3665" t="s">
        <v>34</v>
      </c>
      <c r="J3665" t="s">
        <v>38</v>
      </c>
      <c r="K3665" t="s">
        <v>37</v>
      </c>
    </row>
    <row r="3666" spans="1:12" x14ac:dyDescent="0.25">
      <c r="A3666" t="s">
        <v>5671</v>
      </c>
      <c r="B3666">
        <v>92</v>
      </c>
      <c r="C3666">
        <v>1677838</v>
      </c>
      <c r="D3666" t="s">
        <v>5672</v>
      </c>
      <c r="E3666" t="s">
        <v>13</v>
      </c>
      <c r="F3666" t="s">
        <v>14</v>
      </c>
      <c r="G3666">
        <v>1000000</v>
      </c>
      <c r="H3666">
        <v>7.7</v>
      </c>
      <c r="I3666" t="s">
        <v>52</v>
      </c>
    </row>
    <row r="3667" spans="1:12" x14ac:dyDescent="0.25">
      <c r="A3667" t="s">
        <v>1895</v>
      </c>
      <c r="B3667">
        <v>135</v>
      </c>
      <c r="C3667">
        <v>1666262</v>
      </c>
      <c r="D3667" t="s">
        <v>5673</v>
      </c>
      <c r="E3667" t="s">
        <v>13</v>
      </c>
      <c r="F3667" t="s">
        <v>82</v>
      </c>
      <c r="G3667">
        <v>16000000</v>
      </c>
      <c r="H3667">
        <v>6.7</v>
      </c>
      <c r="I3667" t="s">
        <v>31</v>
      </c>
      <c r="J3667" t="s">
        <v>64</v>
      </c>
      <c r="K3667" t="s">
        <v>19</v>
      </c>
      <c r="L3667" t="s">
        <v>83</v>
      </c>
    </row>
    <row r="3668" spans="1:12" x14ac:dyDescent="0.25">
      <c r="A3668" t="s">
        <v>5674</v>
      </c>
      <c r="B3668">
        <v>99</v>
      </c>
      <c r="C3668">
        <v>1654367</v>
      </c>
      <c r="D3668" t="s">
        <v>5675</v>
      </c>
      <c r="E3668" t="s">
        <v>13</v>
      </c>
      <c r="F3668" t="s">
        <v>14</v>
      </c>
      <c r="G3668">
        <v>7000000</v>
      </c>
      <c r="H3668">
        <v>6.4</v>
      </c>
      <c r="I3668" t="s">
        <v>42</v>
      </c>
      <c r="J3668" t="s">
        <v>31</v>
      </c>
    </row>
    <row r="3669" spans="1:12" x14ac:dyDescent="0.25">
      <c r="A3669" t="s">
        <v>5335</v>
      </c>
      <c r="B3669">
        <v>91</v>
      </c>
      <c r="C3669">
        <v>1652472</v>
      </c>
      <c r="D3669" t="s">
        <v>5676</v>
      </c>
      <c r="E3669" t="s">
        <v>473</v>
      </c>
      <c r="F3669" t="s">
        <v>295</v>
      </c>
      <c r="G3669">
        <v>300000</v>
      </c>
      <c r="H3669">
        <v>6.9</v>
      </c>
      <c r="I3669" t="s">
        <v>15</v>
      </c>
      <c r="J3669" t="s">
        <v>19</v>
      </c>
    </row>
    <row r="3670" spans="1:12" x14ac:dyDescent="0.25">
      <c r="A3670" t="s">
        <v>5677</v>
      </c>
      <c r="B3670">
        <v>105</v>
      </c>
      <c r="C3670">
        <v>1647780</v>
      </c>
      <c r="D3670" t="s">
        <v>5678</v>
      </c>
      <c r="E3670" t="s">
        <v>1441</v>
      </c>
      <c r="F3670" t="s">
        <v>1442</v>
      </c>
      <c r="G3670">
        <v>1300000</v>
      </c>
      <c r="H3670">
        <v>8.1</v>
      </c>
      <c r="I3670" t="s">
        <v>31</v>
      </c>
    </row>
    <row r="3671" spans="1:12" x14ac:dyDescent="0.25">
      <c r="A3671" t="s">
        <v>4440</v>
      </c>
      <c r="B3671">
        <v>80</v>
      </c>
      <c r="C3671">
        <v>1646664</v>
      </c>
      <c r="D3671" t="s">
        <v>5679</v>
      </c>
      <c r="E3671" t="s">
        <v>13</v>
      </c>
      <c r="F3671" t="s">
        <v>14</v>
      </c>
      <c r="G3671">
        <v>20000000</v>
      </c>
      <c r="H3671">
        <v>2.8</v>
      </c>
      <c r="I3671" t="s">
        <v>15</v>
      </c>
      <c r="J3671" t="s">
        <v>18</v>
      </c>
    </row>
    <row r="3672" spans="1:12" x14ac:dyDescent="0.25">
      <c r="A3672" t="s">
        <v>1819</v>
      </c>
      <c r="B3672">
        <v>98</v>
      </c>
      <c r="C3672">
        <v>1641788</v>
      </c>
      <c r="D3672" t="s">
        <v>5680</v>
      </c>
      <c r="E3672" t="s">
        <v>13</v>
      </c>
      <c r="F3672" t="s">
        <v>98</v>
      </c>
      <c r="G3672">
        <v>8000000</v>
      </c>
      <c r="H3672">
        <v>6.8</v>
      </c>
      <c r="I3672" t="s">
        <v>31</v>
      </c>
      <c r="J3672" t="s">
        <v>23</v>
      </c>
      <c r="K3672" t="s">
        <v>24</v>
      </c>
    </row>
    <row r="3673" spans="1:12" x14ac:dyDescent="0.25">
      <c r="A3673" t="s">
        <v>5681</v>
      </c>
      <c r="B3673">
        <v>101</v>
      </c>
      <c r="C3673">
        <v>1631839</v>
      </c>
      <c r="D3673" t="s">
        <v>5682</v>
      </c>
      <c r="E3673" t="s">
        <v>13</v>
      </c>
      <c r="F3673" t="s">
        <v>14</v>
      </c>
      <c r="G3673">
        <v>10000000</v>
      </c>
      <c r="H3673">
        <v>5.7</v>
      </c>
      <c r="I3673" t="s">
        <v>15</v>
      </c>
      <c r="J3673" t="s">
        <v>38</v>
      </c>
      <c r="K3673" t="s">
        <v>19</v>
      </c>
    </row>
    <row r="3674" spans="1:12" x14ac:dyDescent="0.25">
      <c r="A3674" t="s">
        <v>5683</v>
      </c>
      <c r="B3674">
        <v>90</v>
      </c>
      <c r="C3674">
        <v>1573712</v>
      </c>
      <c r="D3674" t="s">
        <v>5684</v>
      </c>
      <c r="E3674" t="s">
        <v>13</v>
      </c>
      <c r="F3674" t="s">
        <v>14</v>
      </c>
      <c r="G3674">
        <v>125000</v>
      </c>
      <c r="H3674">
        <v>6.7</v>
      </c>
      <c r="I3674" t="s">
        <v>15</v>
      </c>
      <c r="J3674" t="s">
        <v>31</v>
      </c>
    </row>
    <row r="3675" spans="1:12" x14ac:dyDescent="0.25">
      <c r="A3675" t="s">
        <v>50</v>
      </c>
      <c r="B3675">
        <v>98</v>
      </c>
      <c r="C3675">
        <v>1569918</v>
      </c>
      <c r="D3675" t="s">
        <v>5685</v>
      </c>
      <c r="E3675" t="s">
        <v>13</v>
      </c>
      <c r="F3675" t="s">
        <v>1465</v>
      </c>
      <c r="G3675">
        <v>17000000</v>
      </c>
      <c r="H3675">
        <v>6.9</v>
      </c>
      <c r="I3675" t="s">
        <v>42</v>
      </c>
      <c r="J3675" t="s">
        <v>38</v>
      </c>
      <c r="K3675" t="s">
        <v>31</v>
      </c>
      <c r="L3675" t="s">
        <v>24</v>
      </c>
    </row>
    <row r="3676" spans="1:12" x14ac:dyDescent="0.25">
      <c r="A3676" t="s">
        <v>5167</v>
      </c>
      <c r="B3676">
        <v>115</v>
      </c>
      <c r="C3676">
        <v>1554566</v>
      </c>
      <c r="D3676" t="s">
        <v>5686</v>
      </c>
      <c r="E3676" t="s">
        <v>13</v>
      </c>
      <c r="F3676" t="s">
        <v>98</v>
      </c>
      <c r="G3676">
        <v>39751583.5</v>
      </c>
      <c r="H3676">
        <v>6.6</v>
      </c>
      <c r="I3676" t="s">
        <v>31</v>
      </c>
      <c r="J3676" t="s">
        <v>83</v>
      </c>
    </row>
    <row r="3677" spans="1:12" x14ac:dyDescent="0.25">
      <c r="A3677" t="s">
        <v>1575</v>
      </c>
      <c r="B3677">
        <v>92</v>
      </c>
      <c r="C3677">
        <v>1550000</v>
      </c>
      <c r="D3677" t="s">
        <v>5687</v>
      </c>
      <c r="E3677" t="s">
        <v>13</v>
      </c>
      <c r="F3677" t="s">
        <v>14</v>
      </c>
      <c r="G3677">
        <v>25000000</v>
      </c>
      <c r="H3677">
        <v>2.9</v>
      </c>
      <c r="I3677" t="s">
        <v>34</v>
      </c>
      <c r="J3677" t="s">
        <v>28</v>
      </c>
      <c r="K3677" t="s">
        <v>17</v>
      </c>
      <c r="L3677" t="s">
        <v>22</v>
      </c>
    </row>
    <row r="3678" spans="1:12" x14ac:dyDescent="0.25">
      <c r="A3678" t="s">
        <v>4218</v>
      </c>
      <c r="B3678">
        <v>103</v>
      </c>
      <c r="C3678">
        <v>1530535</v>
      </c>
      <c r="D3678" t="s">
        <v>5688</v>
      </c>
      <c r="E3678" t="s">
        <v>13</v>
      </c>
      <c r="F3678" t="s">
        <v>14</v>
      </c>
      <c r="G3678">
        <v>9000000</v>
      </c>
      <c r="H3678">
        <v>5.7</v>
      </c>
      <c r="I3678" t="s">
        <v>15</v>
      </c>
      <c r="J3678" t="s">
        <v>31</v>
      </c>
      <c r="K3678" t="s">
        <v>19</v>
      </c>
    </row>
    <row r="3679" spans="1:12" x14ac:dyDescent="0.25">
      <c r="A3679" t="s">
        <v>5689</v>
      </c>
      <c r="B3679">
        <v>88</v>
      </c>
      <c r="C3679">
        <v>1523883</v>
      </c>
      <c r="D3679" t="s">
        <v>5690</v>
      </c>
      <c r="E3679" t="s">
        <v>13</v>
      </c>
      <c r="F3679" t="s">
        <v>14</v>
      </c>
      <c r="G3679">
        <v>1750211</v>
      </c>
      <c r="H3679">
        <v>7.8</v>
      </c>
      <c r="I3679" t="s">
        <v>52</v>
      </c>
      <c r="J3679" t="s">
        <v>41</v>
      </c>
    </row>
    <row r="3680" spans="1:12" x14ac:dyDescent="0.25">
      <c r="A3680" t="s">
        <v>737</v>
      </c>
      <c r="B3680">
        <v>98</v>
      </c>
      <c r="C3680">
        <v>1512815</v>
      </c>
      <c r="D3680" t="s">
        <v>5691</v>
      </c>
      <c r="E3680" t="s">
        <v>13</v>
      </c>
      <c r="F3680" t="s">
        <v>14</v>
      </c>
      <c r="G3680">
        <v>25000000</v>
      </c>
      <c r="H3680">
        <v>5.8</v>
      </c>
      <c r="I3680" t="s">
        <v>34</v>
      </c>
      <c r="J3680" t="s">
        <v>31</v>
      </c>
      <c r="K3680" t="s">
        <v>69</v>
      </c>
    </row>
    <row r="3681" spans="1:12" x14ac:dyDescent="0.25">
      <c r="A3681" t="s">
        <v>1166</v>
      </c>
      <c r="B3681">
        <v>132</v>
      </c>
      <c r="C3681">
        <v>1508689</v>
      </c>
      <c r="D3681" t="s">
        <v>5692</v>
      </c>
      <c r="E3681" t="s">
        <v>13</v>
      </c>
      <c r="F3681" t="s">
        <v>14</v>
      </c>
      <c r="G3681">
        <v>16000000</v>
      </c>
      <c r="H3681">
        <v>6.7</v>
      </c>
      <c r="I3681" t="s">
        <v>31</v>
      </c>
      <c r="J3681" t="s">
        <v>19</v>
      </c>
    </row>
    <row r="3682" spans="1:12" x14ac:dyDescent="0.25">
      <c r="A3682" t="s">
        <v>2341</v>
      </c>
      <c r="B3682">
        <v>91</v>
      </c>
      <c r="C3682">
        <v>1506998</v>
      </c>
      <c r="D3682" t="s">
        <v>5693</v>
      </c>
      <c r="E3682" t="s">
        <v>13</v>
      </c>
      <c r="F3682" t="s">
        <v>14</v>
      </c>
      <c r="G3682">
        <v>12000000</v>
      </c>
      <c r="H3682">
        <v>6.3</v>
      </c>
      <c r="I3682" t="s">
        <v>38</v>
      </c>
      <c r="J3682" t="s">
        <v>31</v>
      </c>
      <c r="K3682" t="s">
        <v>19</v>
      </c>
    </row>
    <row r="3683" spans="1:12" x14ac:dyDescent="0.25">
      <c r="A3683" t="s">
        <v>1733</v>
      </c>
      <c r="B3683">
        <v>325</v>
      </c>
      <c r="C3683">
        <v>1500000</v>
      </c>
      <c r="D3683" t="s">
        <v>5694</v>
      </c>
      <c r="E3683" t="s">
        <v>13</v>
      </c>
      <c r="F3683" t="s">
        <v>14</v>
      </c>
      <c r="G3683">
        <v>44000000</v>
      </c>
      <c r="H3683">
        <v>6.8</v>
      </c>
      <c r="I3683" t="s">
        <v>28</v>
      </c>
      <c r="J3683" t="s">
        <v>31</v>
      </c>
      <c r="K3683" t="s">
        <v>69</v>
      </c>
    </row>
    <row r="3684" spans="1:12" x14ac:dyDescent="0.25">
      <c r="A3684" t="s">
        <v>1234</v>
      </c>
      <c r="B3684">
        <v>104</v>
      </c>
      <c r="C3684">
        <v>1487477</v>
      </c>
      <c r="D3684" t="s">
        <v>5695</v>
      </c>
      <c r="E3684" t="s">
        <v>1609</v>
      </c>
      <c r="F3684" t="s">
        <v>1610</v>
      </c>
      <c r="G3684">
        <v>4200000</v>
      </c>
      <c r="H3684">
        <v>6.5</v>
      </c>
      <c r="I3684" t="s">
        <v>17</v>
      </c>
      <c r="J3684" t="s">
        <v>24</v>
      </c>
    </row>
    <row r="3685" spans="1:12" x14ac:dyDescent="0.25">
      <c r="A3685" t="s">
        <v>5696</v>
      </c>
      <c r="B3685">
        <v>102</v>
      </c>
      <c r="C3685">
        <v>1477002</v>
      </c>
      <c r="D3685" t="s">
        <v>5697</v>
      </c>
      <c r="E3685" t="s">
        <v>13</v>
      </c>
      <c r="F3685" t="s">
        <v>14</v>
      </c>
      <c r="G3685">
        <v>2000000</v>
      </c>
      <c r="H3685">
        <v>6.9</v>
      </c>
      <c r="I3685" t="s">
        <v>31</v>
      </c>
      <c r="J3685" t="s">
        <v>19</v>
      </c>
    </row>
    <row r="3686" spans="1:12" x14ac:dyDescent="0.25">
      <c r="A3686" t="s">
        <v>5698</v>
      </c>
      <c r="B3686">
        <v>96</v>
      </c>
      <c r="C3686">
        <v>1474508</v>
      </c>
      <c r="D3686" t="s">
        <v>5699</v>
      </c>
      <c r="E3686" t="s">
        <v>13</v>
      </c>
      <c r="F3686" t="s">
        <v>14</v>
      </c>
      <c r="G3686">
        <v>5000000</v>
      </c>
      <c r="H3686">
        <v>6.5</v>
      </c>
      <c r="I3686" t="s">
        <v>15</v>
      </c>
      <c r="J3686" t="s">
        <v>31</v>
      </c>
    </row>
    <row r="3687" spans="1:12" x14ac:dyDescent="0.25">
      <c r="A3687" t="s">
        <v>5700</v>
      </c>
      <c r="B3687">
        <v>98</v>
      </c>
      <c r="C3687">
        <v>1445366</v>
      </c>
      <c r="D3687" t="s">
        <v>5701</v>
      </c>
      <c r="E3687" t="s">
        <v>13</v>
      </c>
      <c r="F3687" t="s">
        <v>82</v>
      </c>
      <c r="G3687">
        <v>39751583.5</v>
      </c>
      <c r="H3687">
        <v>7.2</v>
      </c>
      <c r="I3687" t="s">
        <v>42</v>
      </c>
      <c r="J3687" t="s">
        <v>31</v>
      </c>
      <c r="K3687" t="s">
        <v>18</v>
      </c>
    </row>
    <row r="3688" spans="1:12" x14ac:dyDescent="0.25">
      <c r="A3688" t="s">
        <v>5265</v>
      </c>
      <c r="B3688">
        <v>102</v>
      </c>
      <c r="C3688">
        <v>1430185</v>
      </c>
      <c r="D3688" t="s">
        <v>5702</v>
      </c>
      <c r="E3688" t="s">
        <v>13</v>
      </c>
      <c r="F3688" t="s">
        <v>14</v>
      </c>
      <c r="G3688">
        <v>2000000</v>
      </c>
      <c r="H3688">
        <v>8.3000000000000007</v>
      </c>
      <c r="I3688" t="s">
        <v>52</v>
      </c>
      <c r="J3688" t="s">
        <v>83</v>
      </c>
    </row>
    <row r="3689" spans="1:12" x14ac:dyDescent="0.25">
      <c r="A3689" t="s">
        <v>5703</v>
      </c>
      <c r="B3689">
        <v>83</v>
      </c>
      <c r="C3689">
        <v>1429260</v>
      </c>
      <c r="D3689" t="s">
        <v>5704</v>
      </c>
      <c r="E3689" t="s">
        <v>13</v>
      </c>
      <c r="F3689" t="s">
        <v>14</v>
      </c>
      <c r="G3689">
        <v>39751583.5</v>
      </c>
      <c r="H3689">
        <v>6.6</v>
      </c>
      <c r="I3689" t="s">
        <v>31</v>
      </c>
      <c r="J3689" t="s">
        <v>19</v>
      </c>
    </row>
    <row r="3690" spans="1:12" x14ac:dyDescent="0.25">
      <c r="A3690" t="s">
        <v>5705</v>
      </c>
      <c r="B3690">
        <v>105</v>
      </c>
      <c r="C3690">
        <v>1425993</v>
      </c>
      <c r="D3690" t="s">
        <v>5706</v>
      </c>
      <c r="E3690" t="s">
        <v>13</v>
      </c>
      <c r="F3690" t="s">
        <v>14</v>
      </c>
      <c r="G3690">
        <v>39751583.5</v>
      </c>
      <c r="H3690">
        <v>5.3</v>
      </c>
      <c r="I3690" t="s">
        <v>15</v>
      </c>
    </row>
    <row r="3691" spans="1:12" x14ac:dyDescent="0.25">
      <c r="A3691" t="s">
        <v>2183</v>
      </c>
      <c r="B3691">
        <v>103</v>
      </c>
      <c r="C3691">
        <v>1420578</v>
      </c>
      <c r="D3691" t="s">
        <v>5707</v>
      </c>
      <c r="E3691" t="s">
        <v>13</v>
      </c>
      <c r="F3691" t="s">
        <v>14</v>
      </c>
      <c r="G3691">
        <v>1900000</v>
      </c>
      <c r="H3691">
        <v>6.4</v>
      </c>
      <c r="I3691" t="s">
        <v>31</v>
      </c>
      <c r="J3691" t="s">
        <v>17</v>
      </c>
    </row>
    <row r="3692" spans="1:12" x14ac:dyDescent="0.25">
      <c r="A3692" t="s">
        <v>5708</v>
      </c>
      <c r="B3692">
        <v>92</v>
      </c>
      <c r="C3692">
        <v>1400000</v>
      </c>
      <c r="D3692" t="s">
        <v>5709</v>
      </c>
      <c r="E3692" t="s">
        <v>13</v>
      </c>
      <c r="F3692" t="s">
        <v>14</v>
      </c>
      <c r="G3692">
        <v>1100000</v>
      </c>
      <c r="H3692">
        <v>5.9</v>
      </c>
      <c r="I3692" t="s">
        <v>34</v>
      </c>
      <c r="J3692" t="s">
        <v>31</v>
      </c>
      <c r="K3692" t="s">
        <v>22</v>
      </c>
      <c r="L3692" t="s">
        <v>24</v>
      </c>
    </row>
    <row r="3693" spans="1:12" x14ac:dyDescent="0.25">
      <c r="A3693" t="s">
        <v>5710</v>
      </c>
      <c r="B3693">
        <v>105</v>
      </c>
      <c r="C3693">
        <v>1391770</v>
      </c>
      <c r="D3693" t="s">
        <v>5711</v>
      </c>
      <c r="E3693" t="s">
        <v>1498</v>
      </c>
      <c r="F3693" t="s">
        <v>1901</v>
      </c>
      <c r="G3693">
        <v>39751583.5</v>
      </c>
      <c r="H3693">
        <v>6</v>
      </c>
      <c r="I3693" t="s">
        <v>28</v>
      </c>
      <c r="J3693" t="s">
        <v>15</v>
      </c>
      <c r="K3693" t="s">
        <v>69</v>
      </c>
    </row>
    <row r="3694" spans="1:12" x14ac:dyDescent="0.25">
      <c r="A3694" t="s">
        <v>547</v>
      </c>
      <c r="B3694">
        <v>109</v>
      </c>
      <c r="C3694">
        <v>1357042</v>
      </c>
      <c r="D3694" t="s">
        <v>5712</v>
      </c>
      <c r="E3694" t="s">
        <v>13</v>
      </c>
      <c r="F3694" t="s">
        <v>1223</v>
      </c>
      <c r="G3694">
        <v>15000000</v>
      </c>
      <c r="H3694">
        <v>7.1</v>
      </c>
      <c r="I3694" t="s">
        <v>42</v>
      </c>
      <c r="J3694" t="s">
        <v>31</v>
      </c>
      <c r="K3694" t="s">
        <v>24</v>
      </c>
    </row>
    <row r="3695" spans="1:12" x14ac:dyDescent="0.25">
      <c r="A3695" t="s">
        <v>223</v>
      </c>
      <c r="B3695">
        <v>104</v>
      </c>
      <c r="C3695">
        <v>1346503</v>
      </c>
      <c r="D3695" t="s">
        <v>5713</v>
      </c>
      <c r="E3695" t="s">
        <v>13</v>
      </c>
      <c r="F3695" t="s">
        <v>1206</v>
      </c>
      <c r="G3695">
        <v>6000000</v>
      </c>
      <c r="H3695">
        <v>6.1</v>
      </c>
      <c r="I3695" t="s">
        <v>31</v>
      </c>
      <c r="J3695" t="s">
        <v>64</v>
      </c>
    </row>
    <row r="3696" spans="1:12" x14ac:dyDescent="0.25">
      <c r="A3696" t="s">
        <v>5714</v>
      </c>
      <c r="B3696">
        <v>105</v>
      </c>
      <c r="C3696">
        <v>1340891</v>
      </c>
      <c r="D3696" t="s">
        <v>5715</v>
      </c>
      <c r="E3696" t="s">
        <v>13</v>
      </c>
      <c r="F3696" t="s">
        <v>82</v>
      </c>
      <c r="G3696">
        <v>39751583.5</v>
      </c>
      <c r="H3696">
        <v>7.8</v>
      </c>
      <c r="I3696" t="s">
        <v>31</v>
      </c>
      <c r="J3696" t="s">
        <v>19</v>
      </c>
    </row>
    <row r="3697" spans="1:13" x14ac:dyDescent="0.25">
      <c r="A3697" t="s">
        <v>5716</v>
      </c>
      <c r="B3697">
        <v>108</v>
      </c>
      <c r="C3697">
        <v>1339152</v>
      </c>
      <c r="D3697" t="s">
        <v>5717</v>
      </c>
      <c r="E3697" t="s">
        <v>13</v>
      </c>
      <c r="F3697" t="s">
        <v>295</v>
      </c>
      <c r="G3697">
        <v>81200000</v>
      </c>
      <c r="H3697">
        <v>7.8</v>
      </c>
      <c r="I3697" t="s">
        <v>28</v>
      </c>
      <c r="J3697" t="s">
        <v>46</v>
      </c>
      <c r="K3697" t="s">
        <v>31</v>
      </c>
      <c r="L3697" t="s">
        <v>16</v>
      </c>
      <c r="M3697" t="s">
        <v>17</v>
      </c>
    </row>
    <row r="3698" spans="1:13" x14ac:dyDescent="0.25">
      <c r="A3698" t="s">
        <v>3247</v>
      </c>
      <c r="B3698">
        <v>118</v>
      </c>
      <c r="C3698">
        <v>1330827</v>
      </c>
      <c r="D3698" t="s">
        <v>5718</v>
      </c>
      <c r="E3698" t="s">
        <v>13</v>
      </c>
      <c r="F3698" t="s">
        <v>295</v>
      </c>
      <c r="G3698">
        <v>7000000</v>
      </c>
      <c r="H3698">
        <v>7</v>
      </c>
      <c r="I3698" t="s">
        <v>22</v>
      </c>
      <c r="J3698" t="s">
        <v>24</v>
      </c>
    </row>
    <row r="3699" spans="1:13" x14ac:dyDescent="0.25">
      <c r="A3699" t="s">
        <v>5105</v>
      </c>
      <c r="B3699">
        <v>96</v>
      </c>
      <c r="C3699">
        <v>1325073</v>
      </c>
      <c r="D3699" t="s">
        <v>5719</v>
      </c>
      <c r="E3699" t="s">
        <v>13</v>
      </c>
      <c r="F3699" t="s">
        <v>14</v>
      </c>
      <c r="G3699">
        <v>4000000</v>
      </c>
      <c r="H3699">
        <v>6.6</v>
      </c>
      <c r="I3699" t="s">
        <v>15</v>
      </c>
      <c r="J3699" t="s">
        <v>31</v>
      </c>
    </row>
    <row r="3700" spans="1:13" x14ac:dyDescent="0.25">
      <c r="A3700" t="s">
        <v>5720</v>
      </c>
      <c r="B3700">
        <v>92</v>
      </c>
      <c r="C3700">
        <v>1316074</v>
      </c>
      <c r="D3700" t="s">
        <v>5721</v>
      </c>
      <c r="E3700" t="s">
        <v>13</v>
      </c>
      <c r="F3700" t="s">
        <v>14</v>
      </c>
      <c r="G3700">
        <v>100000</v>
      </c>
      <c r="H3700">
        <v>7</v>
      </c>
      <c r="I3700" t="s">
        <v>31</v>
      </c>
      <c r="J3700" t="s">
        <v>19</v>
      </c>
      <c r="K3700" t="s">
        <v>37</v>
      </c>
    </row>
    <row r="3701" spans="1:13" x14ac:dyDescent="0.25">
      <c r="A3701" t="s">
        <v>5722</v>
      </c>
      <c r="B3701">
        <v>90</v>
      </c>
      <c r="C3701">
        <v>1310270</v>
      </c>
      <c r="D3701" t="s">
        <v>5723</v>
      </c>
      <c r="E3701" t="s">
        <v>13</v>
      </c>
      <c r="F3701" t="s">
        <v>14</v>
      </c>
      <c r="G3701">
        <v>780000</v>
      </c>
      <c r="H3701">
        <v>6.8</v>
      </c>
      <c r="I3701" t="s">
        <v>34</v>
      </c>
      <c r="J3701" t="s">
        <v>28</v>
      </c>
      <c r="K3701" t="s">
        <v>31</v>
      </c>
      <c r="L3701" t="s">
        <v>83</v>
      </c>
    </row>
    <row r="3702" spans="1:13" x14ac:dyDescent="0.25">
      <c r="A3702" t="s">
        <v>4763</v>
      </c>
      <c r="B3702">
        <v>132</v>
      </c>
      <c r="C3702">
        <v>1309849</v>
      </c>
      <c r="D3702" t="s">
        <v>5724</v>
      </c>
      <c r="E3702" t="s">
        <v>13</v>
      </c>
      <c r="F3702" t="s">
        <v>82</v>
      </c>
      <c r="G3702">
        <v>10000000</v>
      </c>
      <c r="H3702">
        <v>7.2</v>
      </c>
      <c r="I3702" t="s">
        <v>31</v>
      </c>
      <c r="J3702" t="s">
        <v>19</v>
      </c>
    </row>
    <row r="3703" spans="1:13" x14ac:dyDescent="0.25">
      <c r="A3703" t="s">
        <v>505</v>
      </c>
      <c r="B3703">
        <v>105</v>
      </c>
      <c r="C3703">
        <v>1304837</v>
      </c>
      <c r="D3703" t="s">
        <v>5725</v>
      </c>
      <c r="E3703" t="s">
        <v>13</v>
      </c>
      <c r="F3703" t="s">
        <v>14</v>
      </c>
      <c r="G3703">
        <v>32000000</v>
      </c>
      <c r="H3703">
        <v>6.1</v>
      </c>
      <c r="I3703" t="s">
        <v>31</v>
      </c>
      <c r="J3703" t="s">
        <v>23</v>
      </c>
      <c r="K3703" t="s">
        <v>24</v>
      </c>
    </row>
    <row r="3704" spans="1:13" x14ac:dyDescent="0.25">
      <c r="A3704" t="s">
        <v>5577</v>
      </c>
      <c r="B3704">
        <v>111</v>
      </c>
      <c r="C3704">
        <v>1294640</v>
      </c>
      <c r="D3704" t="s">
        <v>5726</v>
      </c>
      <c r="E3704" t="s">
        <v>13</v>
      </c>
      <c r="F3704" t="s">
        <v>14</v>
      </c>
      <c r="G3704">
        <v>15000000</v>
      </c>
      <c r="H3704">
        <v>6.5</v>
      </c>
      <c r="I3704" t="s">
        <v>38</v>
      </c>
      <c r="J3704" t="s">
        <v>31</v>
      </c>
      <c r="K3704" t="s">
        <v>22</v>
      </c>
      <c r="L3704" t="s">
        <v>24</v>
      </c>
    </row>
    <row r="3705" spans="1:13" x14ac:dyDescent="0.25">
      <c r="A3705" t="s">
        <v>5568</v>
      </c>
      <c r="B3705">
        <v>91</v>
      </c>
      <c r="C3705">
        <v>1293295</v>
      </c>
      <c r="D3705" t="s">
        <v>5727</v>
      </c>
      <c r="E3705" t="s">
        <v>13</v>
      </c>
      <c r="F3705" t="s">
        <v>14</v>
      </c>
      <c r="G3705">
        <v>39751583.5</v>
      </c>
      <c r="H3705">
        <v>7.7</v>
      </c>
      <c r="I3705" t="s">
        <v>52</v>
      </c>
      <c r="J3705" t="s">
        <v>41</v>
      </c>
    </row>
    <row r="3706" spans="1:13" x14ac:dyDescent="0.25">
      <c r="A3706" t="s">
        <v>2976</v>
      </c>
      <c r="B3706">
        <v>116</v>
      </c>
      <c r="C3706">
        <v>1292527</v>
      </c>
      <c r="D3706" t="s">
        <v>5728</v>
      </c>
      <c r="E3706" t="s">
        <v>13</v>
      </c>
      <c r="F3706" t="s">
        <v>295</v>
      </c>
      <c r="G3706">
        <v>19000000</v>
      </c>
      <c r="H3706">
        <v>6.3</v>
      </c>
      <c r="I3706" t="s">
        <v>38</v>
      </c>
      <c r="J3706" t="s">
        <v>31</v>
      </c>
      <c r="K3706" t="s">
        <v>18</v>
      </c>
      <c r="L3706" t="s">
        <v>24</v>
      </c>
    </row>
    <row r="3707" spans="1:13" x14ac:dyDescent="0.25">
      <c r="A3707" t="s">
        <v>4161</v>
      </c>
      <c r="B3707">
        <v>91</v>
      </c>
      <c r="C3707">
        <v>1292119</v>
      </c>
      <c r="D3707" t="s">
        <v>5729</v>
      </c>
      <c r="E3707" t="s">
        <v>13</v>
      </c>
      <c r="F3707" t="s">
        <v>82</v>
      </c>
      <c r="G3707">
        <v>5500000</v>
      </c>
      <c r="H3707">
        <v>7.1</v>
      </c>
      <c r="I3707" t="s">
        <v>42</v>
      </c>
      <c r="J3707" t="s">
        <v>31</v>
      </c>
      <c r="K3707" t="s">
        <v>19</v>
      </c>
    </row>
    <row r="3708" spans="1:13" x14ac:dyDescent="0.25">
      <c r="A3708" t="s">
        <v>5730</v>
      </c>
      <c r="B3708">
        <v>107</v>
      </c>
      <c r="C3708">
        <v>1282084</v>
      </c>
      <c r="D3708" t="s">
        <v>5731</v>
      </c>
      <c r="E3708" t="s">
        <v>13</v>
      </c>
      <c r="F3708" t="s">
        <v>14</v>
      </c>
      <c r="G3708">
        <v>2500000</v>
      </c>
      <c r="H3708">
        <v>7</v>
      </c>
      <c r="I3708" t="s">
        <v>31</v>
      </c>
    </row>
    <row r="3709" spans="1:13" x14ac:dyDescent="0.25">
      <c r="A3709" t="s">
        <v>737</v>
      </c>
      <c r="B3709">
        <v>102</v>
      </c>
      <c r="C3709">
        <v>1281176</v>
      </c>
      <c r="D3709" t="s">
        <v>5732</v>
      </c>
      <c r="E3709" t="s">
        <v>13</v>
      </c>
      <c r="F3709" t="s">
        <v>14</v>
      </c>
      <c r="G3709">
        <v>312000</v>
      </c>
      <c r="H3709">
        <v>6.7</v>
      </c>
      <c r="I3709" t="s">
        <v>15</v>
      </c>
      <c r="J3709" t="s">
        <v>31</v>
      </c>
    </row>
    <row r="3710" spans="1:13" x14ac:dyDescent="0.25">
      <c r="A3710" t="s">
        <v>4155</v>
      </c>
      <c r="B3710">
        <v>86</v>
      </c>
      <c r="C3710">
        <v>1277257</v>
      </c>
      <c r="D3710" t="s">
        <v>5733</v>
      </c>
      <c r="E3710" t="s">
        <v>13</v>
      </c>
      <c r="F3710" t="s">
        <v>82</v>
      </c>
      <c r="G3710">
        <v>1000000</v>
      </c>
      <c r="H3710">
        <v>6.8</v>
      </c>
      <c r="I3710" t="s">
        <v>15</v>
      </c>
      <c r="J3710" t="s">
        <v>31</v>
      </c>
      <c r="K3710" t="s">
        <v>19</v>
      </c>
    </row>
    <row r="3711" spans="1:13" x14ac:dyDescent="0.25">
      <c r="A3711" t="s">
        <v>4884</v>
      </c>
      <c r="B3711">
        <v>87</v>
      </c>
      <c r="C3711">
        <v>1276984</v>
      </c>
      <c r="D3711" t="s">
        <v>5734</v>
      </c>
      <c r="E3711" t="s">
        <v>13</v>
      </c>
      <c r="F3711" t="s">
        <v>295</v>
      </c>
      <c r="G3711">
        <v>10000000</v>
      </c>
      <c r="H3711">
        <v>6.2</v>
      </c>
      <c r="I3711" t="s">
        <v>15</v>
      </c>
      <c r="J3711" t="s">
        <v>38</v>
      </c>
      <c r="K3711" t="s">
        <v>24</v>
      </c>
    </row>
    <row r="3712" spans="1:13" x14ac:dyDescent="0.25">
      <c r="A3712" t="s">
        <v>2767</v>
      </c>
      <c r="B3712">
        <v>105</v>
      </c>
      <c r="C3712">
        <v>1260917</v>
      </c>
      <c r="D3712" t="s">
        <v>5735</v>
      </c>
      <c r="E3712" t="s">
        <v>473</v>
      </c>
      <c r="F3712" t="s">
        <v>295</v>
      </c>
      <c r="G3712">
        <v>27000000</v>
      </c>
      <c r="H3712">
        <v>7.2</v>
      </c>
      <c r="I3712" t="s">
        <v>34</v>
      </c>
      <c r="J3712" t="s">
        <v>15</v>
      </c>
      <c r="K3712" t="s">
        <v>38</v>
      </c>
    </row>
    <row r="3713" spans="1:12" x14ac:dyDescent="0.25">
      <c r="A3713" t="s">
        <v>5736</v>
      </c>
      <c r="B3713">
        <v>102</v>
      </c>
      <c r="C3713">
        <v>1250798</v>
      </c>
      <c r="D3713" t="s">
        <v>5737</v>
      </c>
      <c r="E3713" t="s">
        <v>13</v>
      </c>
      <c r="F3713" t="s">
        <v>14</v>
      </c>
      <c r="G3713">
        <v>500000</v>
      </c>
      <c r="H3713">
        <v>6.4</v>
      </c>
      <c r="I3713" t="s">
        <v>15</v>
      </c>
      <c r="J3713" t="s">
        <v>31</v>
      </c>
      <c r="K3713" t="s">
        <v>19</v>
      </c>
    </row>
    <row r="3714" spans="1:12" x14ac:dyDescent="0.25">
      <c r="A3714" t="s">
        <v>1282</v>
      </c>
      <c r="B3714">
        <v>94</v>
      </c>
      <c r="C3714">
        <v>1247453</v>
      </c>
      <c r="D3714" t="s">
        <v>5738</v>
      </c>
      <c r="E3714" t="s">
        <v>13</v>
      </c>
      <c r="F3714" t="s">
        <v>82</v>
      </c>
      <c r="G3714">
        <v>2800000</v>
      </c>
      <c r="H3714">
        <v>6.8</v>
      </c>
      <c r="I3714" t="s">
        <v>15</v>
      </c>
      <c r="J3714" t="s">
        <v>31</v>
      </c>
    </row>
    <row r="3715" spans="1:12" x14ac:dyDescent="0.25">
      <c r="A3715" t="s">
        <v>5739</v>
      </c>
      <c r="B3715">
        <v>88</v>
      </c>
      <c r="C3715">
        <v>1243961</v>
      </c>
      <c r="D3715" t="s">
        <v>5740</v>
      </c>
      <c r="E3715" t="s">
        <v>13</v>
      </c>
      <c r="F3715" t="s">
        <v>14</v>
      </c>
      <c r="G3715">
        <v>850000</v>
      </c>
      <c r="H3715">
        <v>6</v>
      </c>
      <c r="I3715" t="s">
        <v>15</v>
      </c>
    </row>
    <row r="3716" spans="1:12" x14ac:dyDescent="0.25">
      <c r="A3716" t="s">
        <v>2937</v>
      </c>
      <c r="B3716">
        <v>91</v>
      </c>
      <c r="C3716">
        <v>1229197</v>
      </c>
      <c r="D3716" t="s">
        <v>5741</v>
      </c>
      <c r="E3716" t="s">
        <v>13</v>
      </c>
      <c r="F3716" t="s">
        <v>82</v>
      </c>
      <c r="G3716">
        <v>229575</v>
      </c>
      <c r="H3716">
        <v>8.3000000000000007</v>
      </c>
      <c r="I3716" t="s">
        <v>28</v>
      </c>
      <c r="J3716" t="s">
        <v>15</v>
      </c>
      <c r="K3716" t="s">
        <v>17</v>
      </c>
    </row>
    <row r="3717" spans="1:12" x14ac:dyDescent="0.25">
      <c r="A3717" t="s">
        <v>403</v>
      </c>
      <c r="B3717">
        <v>100</v>
      </c>
      <c r="C3717">
        <v>1227508</v>
      </c>
      <c r="D3717" t="s">
        <v>5742</v>
      </c>
      <c r="E3717" t="s">
        <v>13</v>
      </c>
      <c r="F3717" t="s">
        <v>14</v>
      </c>
      <c r="G3717">
        <v>23000</v>
      </c>
      <c r="H3717">
        <v>7.1</v>
      </c>
      <c r="I3717" t="s">
        <v>15</v>
      </c>
      <c r="J3717" t="s">
        <v>31</v>
      </c>
    </row>
    <row r="3718" spans="1:12" x14ac:dyDescent="0.25">
      <c r="A3718" t="s">
        <v>5743</v>
      </c>
      <c r="B3718">
        <v>99</v>
      </c>
      <c r="C3718">
        <v>1227324</v>
      </c>
      <c r="D3718" t="s">
        <v>5744</v>
      </c>
      <c r="E3718" t="s">
        <v>13</v>
      </c>
      <c r="F3718" t="s">
        <v>14</v>
      </c>
      <c r="G3718">
        <v>12500000</v>
      </c>
      <c r="H3718">
        <v>6.6</v>
      </c>
      <c r="I3718" t="s">
        <v>38</v>
      </c>
      <c r="J3718" t="s">
        <v>31</v>
      </c>
    </row>
    <row r="3719" spans="1:12" x14ac:dyDescent="0.25">
      <c r="A3719" t="s">
        <v>5745</v>
      </c>
      <c r="B3719">
        <v>114</v>
      </c>
      <c r="C3719">
        <v>1221261</v>
      </c>
      <c r="D3719" t="s">
        <v>5746</v>
      </c>
      <c r="E3719" t="s">
        <v>1498</v>
      </c>
      <c r="F3719" t="s">
        <v>2497</v>
      </c>
      <c r="G3719">
        <v>1500000</v>
      </c>
      <c r="H3719">
        <v>7.9</v>
      </c>
      <c r="I3719" t="s">
        <v>38</v>
      </c>
      <c r="J3719" t="s">
        <v>31</v>
      </c>
      <c r="K3719" t="s">
        <v>24</v>
      </c>
    </row>
    <row r="3720" spans="1:12" x14ac:dyDescent="0.25">
      <c r="A3720" t="s">
        <v>5747</v>
      </c>
      <c r="B3720">
        <v>128</v>
      </c>
      <c r="C3720">
        <v>1207007</v>
      </c>
      <c r="D3720" t="s">
        <v>5748</v>
      </c>
      <c r="E3720" t="s">
        <v>1409</v>
      </c>
      <c r="F3720" t="s">
        <v>1296</v>
      </c>
      <c r="G3720">
        <v>39751583.5</v>
      </c>
      <c r="H3720">
        <v>7.3</v>
      </c>
      <c r="I3720" t="s">
        <v>15</v>
      </c>
      <c r="J3720" t="s">
        <v>31</v>
      </c>
      <c r="K3720" t="s">
        <v>19</v>
      </c>
    </row>
    <row r="3721" spans="1:12" x14ac:dyDescent="0.25">
      <c r="A3721" t="s">
        <v>5749</v>
      </c>
      <c r="B3721">
        <v>137</v>
      </c>
      <c r="C3721">
        <v>1206135</v>
      </c>
      <c r="D3721" t="s">
        <v>5750</v>
      </c>
      <c r="E3721" t="s">
        <v>13</v>
      </c>
      <c r="F3721" t="s">
        <v>5610</v>
      </c>
      <c r="G3721">
        <v>50000000</v>
      </c>
      <c r="H3721">
        <v>6.4</v>
      </c>
      <c r="I3721" t="s">
        <v>38</v>
      </c>
      <c r="J3721" t="s">
        <v>31</v>
      </c>
      <c r="K3721" t="s">
        <v>24</v>
      </c>
    </row>
    <row r="3722" spans="1:12" x14ac:dyDescent="0.25">
      <c r="A3722" t="s">
        <v>5751</v>
      </c>
      <c r="B3722">
        <v>87</v>
      </c>
      <c r="C3722">
        <v>1200000</v>
      </c>
      <c r="D3722" t="s">
        <v>5752</v>
      </c>
      <c r="E3722" t="s">
        <v>13</v>
      </c>
      <c r="F3722" t="s">
        <v>14</v>
      </c>
      <c r="G3722">
        <v>3000000</v>
      </c>
      <c r="H3722">
        <v>5.0999999999999996</v>
      </c>
      <c r="I3722" t="s">
        <v>34</v>
      </c>
    </row>
    <row r="3723" spans="1:12" x14ac:dyDescent="0.25">
      <c r="A3723" t="s">
        <v>3822</v>
      </c>
      <c r="B3723">
        <v>84</v>
      </c>
      <c r="C3723">
        <v>1197786</v>
      </c>
      <c r="D3723" t="s">
        <v>5753</v>
      </c>
      <c r="E3723" t="s">
        <v>473</v>
      </c>
      <c r="F3723" t="s">
        <v>295</v>
      </c>
      <c r="G3723">
        <v>12000000</v>
      </c>
      <c r="H3723">
        <v>7.2</v>
      </c>
      <c r="I3723" t="s">
        <v>34</v>
      </c>
      <c r="J3723" t="s">
        <v>38</v>
      </c>
      <c r="K3723" t="s">
        <v>24</v>
      </c>
    </row>
    <row r="3724" spans="1:12" x14ac:dyDescent="0.25">
      <c r="A3724" t="s">
        <v>260</v>
      </c>
      <c r="B3724">
        <v>100</v>
      </c>
      <c r="C3724">
        <v>1196752</v>
      </c>
      <c r="D3724" t="s">
        <v>5754</v>
      </c>
      <c r="E3724" t="s">
        <v>5755</v>
      </c>
      <c r="F3724" t="s">
        <v>1213</v>
      </c>
      <c r="G3724">
        <v>30300000</v>
      </c>
      <c r="H3724">
        <v>7.6</v>
      </c>
      <c r="I3724" t="s">
        <v>38</v>
      </c>
      <c r="J3724" t="s">
        <v>31</v>
      </c>
      <c r="K3724" t="s">
        <v>24</v>
      </c>
    </row>
    <row r="3725" spans="1:12" x14ac:dyDescent="0.25">
      <c r="A3725" t="s">
        <v>4098</v>
      </c>
      <c r="B3725">
        <v>107</v>
      </c>
      <c r="C3725">
        <v>1190018</v>
      </c>
      <c r="D3725" t="s">
        <v>5756</v>
      </c>
      <c r="E3725" t="s">
        <v>13</v>
      </c>
      <c r="F3725" t="s">
        <v>14</v>
      </c>
      <c r="G3725">
        <v>20000000</v>
      </c>
      <c r="H3725">
        <v>7.5</v>
      </c>
      <c r="I3725" t="s">
        <v>34</v>
      </c>
      <c r="J3725" t="s">
        <v>31</v>
      </c>
      <c r="K3725" t="s">
        <v>37</v>
      </c>
      <c r="L3725" t="s">
        <v>24</v>
      </c>
    </row>
    <row r="3726" spans="1:12" x14ac:dyDescent="0.25">
      <c r="A3726" t="s">
        <v>403</v>
      </c>
      <c r="B3726">
        <v>107</v>
      </c>
      <c r="C3726">
        <v>1186957</v>
      </c>
      <c r="D3726" t="s">
        <v>5757</v>
      </c>
      <c r="E3726" t="s">
        <v>13</v>
      </c>
      <c r="F3726" t="s">
        <v>82</v>
      </c>
      <c r="G3726">
        <v>25000000</v>
      </c>
      <c r="H3726">
        <v>6.8</v>
      </c>
      <c r="I3726" t="s">
        <v>31</v>
      </c>
    </row>
    <row r="3727" spans="1:12" x14ac:dyDescent="0.25">
      <c r="A3727" t="s">
        <v>5758</v>
      </c>
      <c r="B3727">
        <v>96</v>
      </c>
      <c r="C3727">
        <v>1186323</v>
      </c>
      <c r="D3727" t="s">
        <v>5759</v>
      </c>
      <c r="E3727" t="s">
        <v>13</v>
      </c>
      <c r="F3727" t="s">
        <v>14</v>
      </c>
      <c r="G3727">
        <v>39751583.5</v>
      </c>
      <c r="H3727">
        <v>7.6</v>
      </c>
      <c r="I3727" t="s">
        <v>15</v>
      </c>
      <c r="J3727" t="s">
        <v>31</v>
      </c>
      <c r="K3727" t="s">
        <v>19</v>
      </c>
    </row>
    <row r="3728" spans="1:12" x14ac:dyDescent="0.25">
      <c r="A3728" t="s">
        <v>5760</v>
      </c>
      <c r="B3728">
        <v>113</v>
      </c>
      <c r="C3728">
        <v>1185783</v>
      </c>
      <c r="D3728" t="s">
        <v>5761</v>
      </c>
      <c r="E3728" t="s">
        <v>2647</v>
      </c>
      <c r="F3728" t="s">
        <v>2029</v>
      </c>
      <c r="G3728">
        <v>590000</v>
      </c>
      <c r="H3728">
        <v>7.9</v>
      </c>
      <c r="I3728" t="s">
        <v>31</v>
      </c>
    </row>
    <row r="3729" spans="1:15" x14ac:dyDescent="0.25">
      <c r="A3729" t="s">
        <v>1005</v>
      </c>
      <c r="B3729">
        <v>107</v>
      </c>
      <c r="C3729">
        <v>1183354</v>
      </c>
      <c r="D3729" t="s">
        <v>5762</v>
      </c>
      <c r="E3729" t="s">
        <v>13</v>
      </c>
      <c r="F3729" t="s">
        <v>14</v>
      </c>
      <c r="G3729">
        <v>20000000</v>
      </c>
      <c r="H3729">
        <v>5.0999999999999996</v>
      </c>
      <c r="I3729" t="s">
        <v>34</v>
      </c>
      <c r="J3729" t="s">
        <v>15</v>
      </c>
      <c r="K3729" t="s">
        <v>38</v>
      </c>
      <c r="L3729" t="s">
        <v>17</v>
      </c>
      <c r="M3729" t="s">
        <v>22</v>
      </c>
      <c r="N3729" t="s">
        <v>23</v>
      </c>
      <c r="O3729" t="s">
        <v>37</v>
      </c>
    </row>
    <row r="3730" spans="1:15" x14ac:dyDescent="0.25">
      <c r="A3730" t="s">
        <v>5763</v>
      </c>
      <c r="B3730">
        <v>93</v>
      </c>
      <c r="C3730">
        <v>1181197</v>
      </c>
      <c r="D3730" t="s">
        <v>5764</v>
      </c>
      <c r="E3730" t="s">
        <v>13</v>
      </c>
      <c r="F3730" t="s">
        <v>14</v>
      </c>
      <c r="G3730">
        <v>15500000</v>
      </c>
      <c r="H3730">
        <v>5.9</v>
      </c>
      <c r="I3730" t="s">
        <v>31</v>
      </c>
      <c r="J3730" t="s">
        <v>23</v>
      </c>
      <c r="K3730" t="s">
        <v>24</v>
      </c>
    </row>
    <row r="3731" spans="1:15" x14ac:dyDescent="0.25">
      <c r="A3731" t="s">
        <v>1011</v>
      </c>
      <c r="B3731">
        <v>125</v>
      </c>
      <c r="C3731">
        <v>1172769</v>
      </c>
      <c r="D3731" t="s">
        <v>5765</v>
      </c>
      <c r="E3731" t="s">
        <v>13</v>
      </c>
      <c r="F3731" t="s">
        <v>241</v>
      </c>
      <c r="G3731">
        <v>13000000</v>
      </c>
      <c r="H3731">
        <v>7.1</v>
      </c>
      <c r="I3731" t="s">
        <v>42</v>
      </c>
      <c r="J3731" t="s">
        <v>15</v>
      </c>
      <c r="K3731" t="s">
        <v>38</v>
      </c>
      <c r="L3731" t="s">
        <v>31</v>
      </c>
    </row>
    <row r="3732" spans="1:15" x14ac:dyDescent="0.25">
      <c r="A3732" t="s">
        <v>5766</v>
      </c>
      <c r="B3732">
        <v>144</v>
      </c>
      <c r="C3732">
        <v>1165104</v>
      </c>
      <c r="D3732" t="s">
        <v>5767</v>
      </c>
      <c r="E3732" t="s">
        <v>1409</v>
      </c>
      <c r="F3732" t="s">
        <v>1296</v>
      </c>
      <c r="G3732">
        <v>39751583.5</v>
      </c>
      <c r="H3732">
        <v>5.3</v>
      </c>
      <c r="I3732" t="s">
        <v>15</v>
      </c>
    </row>
    <row r="3733" spans="1:15" x14ac:dyDescent="0.25">
      <c r="A3733" t="s">
        <v>3327</v>
      </c>
      <c r="B3733">
        <v>101</v>
      </c>
      <c r="C3733">
        <v>1163508</v>
      </c>
      <c r="D3733" t="s">
        <v>5768</v>
      </c>
      <c r="E3733" t="s">
        <v>13</v>
      </c>
      <c r="F3733" t="s">
        <v>14</v>
      </c>
      <c r="G3733">
        <v>2500000</v>
      </c>
      <c r="H3733">
        <v>5.0999999999999996</v>
      </c>
      <c r="I3733" t="s">
        <v>31</v>
      </c>
      <c r="J3733" t="s">
        <v>17</v>
      </c>
      <c r="K3733" t="s">
        <v>22</v>
      </c>
      <c r="L3733" t="s">
        <v>24</v>
      </c>
    </row>
    <row r="3734" spans="1:15" x14ac:dyDescent="0.25">
      <c r="A3734" t="s">
        <v>4763</v>
      </c>
      <c r="B3734">
        <v>118</v>
      </c>
      <c r="C3734">
        <v>1150403</v>
      </c>
      <c r="D3734" t="s">
        <v>5769</v>
      </c>
      <c r="E3734" t="s">
        <v>13</v>
      </c>
      <c r="F3734" t="s">
        <v>14</v>
      </c>
      <c r="G3734">
        <v>13000000</v>
      </c>
      <c r="H3734">
        <v>7.1</v>
      </c>
      <c r="I3734" t="s">
        <v>42</v>
      </c>
      <c r="J3734" t="s">
        <v>38</v>
      </c>
      <c r="K3734" t="s">
        <v>31</v>
      </c>
    </row>
    <row r="3735" spans="1:15" x14ac:dyDescent="0.25">
      <c r="A3735" t="s">
        <v>5535</v>
      </c>
      <c r="B3735">
        <v>97</v>
      </c>
      <c r="C3735">
        <v>1141829</v>
      </c>
      <c r="D3735" t="s">
        <v>5770</v>
      </c>
      <c r="E3735" t="s">
        <v>13</v>
      </c>
      <c r="F3735" t="s">
        <v>14</v>
      </c>
      <c r="G3735">
        <v>700000</v>
      </c>
      <c r="H3735">
        <v>7.2</v>
      </c>
      <c r="I3735" t="s">
        <v>38</v>
      </c>
      <c r="J3735" t="s">
        <v>31</v>
      </c>
    </row>
    <row r="3736" spans="1:15" x14ac:dyDescent="0.25">
      <c r="A3736" t="s">
        <v>5771</v>
      </c>
      <c r="B3736">
        <v>100</v>
      </c>
      <c r="C3736">
        <v>1134049</v>
      </c>
      <c r="D3736" t="s">
        <v>5772</v>
      </c>
      <c r="E3736" t="s">
        <v>13</v>
      </c>
      <c r="F3736" t="s">
        <v>82</v>
      </c>
      <c r="G3736">
        <v>2000000</v>
      </c>
      <c r="H3736">
        <v>8.1</v>
      </c>
      <c r="I3736" t="s">
        <v>52</v>
      </c>
      <c r="J3736" t="s">
        <v>64</v>
      </c>
    </row>
    <row r="3737" spans="1:15" x14ac:dyDescent="0.25">
      <c r="A3737" t="s">
        <v>5773</v>
      </c>
      <c r="B3737">
        <v>83</v>
      </c>
      <c r="C3737">
        <v>1127331</v>
      </c>
      <c r="D3737" t="s">
        <v>5774</v>
      </c>
      <c r="E3737" t="s">
        <v>4287</v>
      </c>
      <c r="F3737" t="s">
        <v>5775</v>
      </c>
      <c r="G3737">
        <v>46000</v>
      </c>
      <c r="H3737">
        <v>7.4</v>
      </c>
      <c r="I3737" t="s">
        <v>31</v>
      </c>
    </row>
    <row r="3738" spans="1:15" x14ac:dyDescent="0.25">
      <c r="A3738" t="s">
        <v>5776</v>
      </c>
      <c r="B3738">
        <v>86</v>
      </c>
      <c r="C3738">
        <v>1114943</v>
      </c>
      <c r="D3738" t="s">
        <v>5777</v>
      </c>
      <c r="E3738" t="s">
        <v>13</v>
      </c>
      <c r="F3738" t="s">
        <v>14</v>
      </c>
      <c r="G3738">
        <v>500000</v>
      </c>
      <c r="H3738">
        <v>6.5</v>
      </c>
      <c r="I3738" t="s">
        <v>31</v>
      </c>
      <c r="J3738" t="s">
        <v>18</v>
      </c>
    </row>
    <row r="3739" spans="1:15" x14ac:dyDescent="0.25">
      <c r="A3739" t="s">
        <v>5736</v>
      </c>
      <c r="B3739">
        <v>101</v>
      </c>
      <c r="C3739">
        <v>1111615</v>
      </c>
      <c r="D3739" t="s">
        <v>5778</v>
      </c>
      <c r="E3739" t="s">
        <v>13</v>
      </c>
      <c r="F3739" t="s">
        <v>14</v>
      </c>
      <c r="G3739">
        <v>500000</v>
      </c>
      <c r="H3739">
        <v>6</v>
      </c>
      <c r="I3739" t="s">
        <v>15</v>
      </c>
      <c r="J3739" t="s">
        <v>38</v>
      </c>
      <c r="K3739" t="s">
        <v>16</v>
      </c>
    </row>
    <row r="3740" spans="1:15" x14ac:dyDescent="0.25">
      <c r="A3740" t="s">
        <v>5459</v>
      </c>
      <c r="B3740">
        <v>125</v>
      </c>
      <c r="C3740">
        <v>1110286</v>
      </c>
      <c r="D3740" t="s">
        <v>5779</v>
      </c>
      <c r="E3740" t="s">
        <v>13</v>
      </c>
      <c r="F3740" t="s">
        <v>14</v>
      </c>
      <c r="G3740">
        <v>4825000</v>
      </c>
      <c r="H3740">
        <v>7.2</v>
      </c>
      <c r="I3740" t="s">
        <v>31</v>
      </c>
      <c r="J3740" t="s">
        <v>19</v>
      </c>
    </row>
    <row r="3741" spans="1:15" x14ac:dyDescent="0.25">
      <c r="A3741" t="s">
        <v>5780</v>
      </c>
      <c r="B3741">
        <v>148</v>
      </c>
      <c r="C3741">
        <v>1110186</v>
      </c>
      <c r="D3741" t="s">
        <v>5781</v>
      </c>
      <c r="E3741" t="s">
        <v>1312</v>
      </c>
      <c r="F3741" t="s">
        <v>1216</v>
      </c>
      <c r="G3741">
        <v>12800000</v>
      </c>
      <c r="H3741">
        <v>8.1</v>
      </c>
      <c r="I3741" t="s">
        <v>34</v>
      </c>
      <c r="J3741" t="s">
        <v>31</v>
      </c>
      <c r="K3741" t="s">
        <v>83</v>
      </c>
    </row>
    <row r="3742" spans="1:15" x14ac:dyDescent="0.25">
      <c r="A3742" t="s">
        <v>1711</v>
      </c>
      <c r="B3742">
        <v>103</v>
      </c>
      <c r="C3742">
        <v>1100000</v>
      </c>
      <c r="D3742" t="s">
        <v>5782</v>
      </c>
      <c r="E3742" t="s">
        <v>13</v>
      </c>
      <c r="F3742" t="s">
        <v>14</v>
      </c>
      <c r="G3742">
        <v>5000000</v>
      </c>
      <c r="H3742">
        <v>6.8</v>
      </c>
      <c r="I3742" t="s">
        <v>38</v>
      </c>
      <c r="J3742" t="s">
        <v>31</v>
      </c>
    </row>
    <row r="3743" spans="1:15" x14ac:dyDescent="0.25">
      <c r="A3743" t="s">
        <v>5783</v>
      </c>
      <c r="B3743">
        <v>120</v>
      </c>
      <c r="C3743">
        <v>1098224</v>
      </c>
      <c r="D3743" t="s">
        <v>5784</v>
      </c>
      <c r="E3743" t="s">
        <v>13</v>
      </c>
      <c r="F3743" t="s">
        <v>14</v>
      </c>
      <c r="G3743">
        <v>2000000</v>
      </c>
      <c r="H3743">
        <v>3.3</v>
      </c>
      <c r="I3743" t="s">
        <v>28</v>
      </c>
    </row>
    <row r="3744" spans="1:15" x14ac:dyDescent="0.25">
      <c r="A3744" t="s">
        <v>5785</v>
      </c>
      <c r="B3744">
        <v>101</v>
      </c>
      <c r="C3744">
        <v>1094998</v>
      </c>
      <c r="D3744" t="s">
        <v>5786</v>
      </c>
      <c r="E3744" t="s">
        <v>13</v>
      </c>
      <c r="F3744" t="s">
        <v>82</v>
      </c>
      <c r="G3744">
        <v>39751583.5</v>
      </c>
      <c r="H3744">
        <v>6.7</v>
      </c>
      <c r="I3744" t="s">
        <v>31</v>
      </c>
    </row>
    <row r="3745" spans="1:13" x14ac:dyDescent="0.25">
      <c r="A3745" t="s">
        <v>3901</v>
      </c>
      <c r="B3745">
        <v>113</v>
      </c>
      <c r="C3745">
        <v>1094798</v>
      </c>
      <c r="D3745" t="s">
        <v>5787</v>
      </c>
      <c r="E3745" t="s">
        <v>13</v>
      </c>
      <c r="F3745" t="s">
        <v>82</v>
      </c>
      <c r="G3745">
        <v>7200000</v>
      </c>
      <c r="H3745">
        <v>7.2</v>
      </c>
      <c r="I3745" t="s">
        <v>42</v>
      </c>
      <c r="J3745" t="s">
        <v>15</v>
      </c>
      <c r="K3745" t="s">
        <v>31</v>
      </c>
      <c r="L3745" t="s">
        <v>64</v>
      </c>
    </row>
    <row r="3746" spans="1:13" x14ac:dyDescent="0.25">
      <c r="A3746" t="s">
        <v>5788</v>
      </c>
      <c r="B3746">
        <v>118</v>
      </c>
      <c r="C3746">
        <v>1089445</v>
      </c>
      <c r="D3746" t="s">
        <v>5789</v>
      </c>
      <c r="E3746" t="s">
        <v>13</v>
      </c>
      <c r="F3746" t="s">
        <v>98</v>
      </c>
      <c r="G3746">
        <v>12500000</v>
      </c>
      <c r="H3746">
        <v>7</v>
      </c>
      <c r="I3746" t="s">
        <v>15</v>
      </c>
      <c r="J3746" t="s">
        <v>31</v>
      </c>
      <c r="K3746" t="s">
        <v>16</v>
      </c>
      <c r="L3746" t="s">
        <v>41</v>
      </c>
    </row>
    <row r="3747" spans="1:13" x14ac:dyDescent="0.25">
      <c r="A3747" t="s">
        <v>371</v>
      </c>
      <c r="B3747">
        <v>104</v>
      </c>
      <c r="C3747">
        <v>1089365</v>
      </c>
      <c r="D3747" t="s">
        <v>5790</v>
      </c>
      <c r="E3747" t="s">
        <v>13</v>
      </c>
      <c r="F3747" t="s">
        <v>14</v>
      </c>
      <c r="G3747">
        <v>25000000</v>
      </c>
      <c r="H3747">
        <v>5.7</v>
      </c>
      <c r="I3747" t="s">
        <v>15</v>
      </c>
      <c r="J3747" t="s">
        <v>31</v>
      </c>
    </row>
    <row r="3748" spans="1:13" x14ac:dyDescent="0.25">
      <c r="A3748" t="s">
        <v>1073</v>
      </c>
      <c r="B3748">
        <v>94</v>
      </c>
      <c r="C3748">
        <v>1082044</v>
      </c>
      <c r="D3748" t="s">
        <v>5791</v>
      </c>
      <c r="E3748" t="s">
        <v>13</v>
      </c>
      <c r="F3748" t="s">
        <v>910</v>
      </c>
      <c r="G3748">
        <v>5000000</v>
      </c>
      <c r="H3748">
        <v>7.7</v>
      </c>
      <c r="I3748" t="s">
        <v>31</v>
      </c>
      <c r="J3748" t="s">
        <v>24</v>
      </c>
    </row>
    <row r="3749" spans="1:13" x14ac:dyDescent="0.25">
      <c r="A3749" t="s">
        <v>1779</v>
      </c>
      <c r="B3749">
        <v>101</v>
      </c>
      <c r="C3749">
        <v>1075288</v>
      </c>
      <c r="D3749" t="s">
        <v>5792</v>
      </c>
      <c r="E3749" t="s">
        <v>13</v>
      </c>
      <c r="F3749" t="s">
        <v>14</v>
      </c>
      <c r="G3749">
        <v>22000000</v>
      </c>
      <c r="H3749">
        <v>6.1</v>
      </c>
      <c r="I3749" t="s">
        <v>38</v>
      </c>
      <c r="J3749" t="s">
        <v>31</v>
      </c>
      <c r="K3749" t="s">
        <v>24</v>
      </c>
    </row>
    <row r="3750" spans="1:13" x14ac:dyDescent="0.25">
      <c r="A3750" t="s">
        <v>4713</v>
      </c>
      <c r="B3750">
        <v>92</v>
      </c>
      <c r="C3750">
        <v>1071240</v>
      </c>
      <c r="D3750" t="s">
        <v>5793</v>
      </c>
      <c r="E3750" t="s">
        <v>13</v>
      </c>
      <c r="F3750" t="s">
        <v>82</v>
      </c>
      <c r="G3750">
        <v>8000000</v>
      </c>
      <c r="H3750">
        <v>6.9</v>
      </c>
      <c r="I3750" t="s">
        <v>42</v>
      </c>
      <c r="J3750" t="s">
        <v>31</v>
      </c>
    </row>
    <row r="3751" spans="1:13" x14ac:dyDescent="0.25">
      <c r="A3751" t="s">
        <v>1221</v>
      </c>
      <c r="B3751">
        <v>102</v>
      </c>
      <c r="C3751">
        <v>1068392</v>
      </c>
      <c r="D3751" t="s">
        <v>5794</v>
      </c>
      <c r="E3751" t="s">
        <v>13</v>
      </c>
      <c r="F3751" t="s">
        <v>910</v>
      </c>
      <c r="G3751">
        <v>36000000</v>
      </c>
      <c r="H3751">
        <v>5.9</v>
      </c>
      <c r="I3751" t="s">
        <v>42</v>
      </c>
      <c r="J3751" t="s">
        <v>31</v>
      </c>
      <c r="K3751" t="s">
        <v>83</v>
      </c>
    </row>
    <row r="3752" spans="1:13" x14ac:dyDescent="0.25">
      <c r="A3752" t="s">
        <v>2854</v>
      </c>
      <c r="B3752">
        <v>111</v>
      </c>
      <c r="C3752">
        <v>1066555</v>
      </c>
      <c r="D3752" t="s">
        <v>5795</v>
      </c>
      <c r="E3752" t="s">
        <v>13</v>
      </c>
      <c r="F3752" t="s">
        <v>14</v>
      </c>
      <c r="G3752">
        <v>11000000</v>
      </c>
      <c r="H3752">
        <v>5.8</v>
      </c>
      <c r="I3752" t="s">
        <v>31</v>
      </c>
      <c r="J3752" t="s">
        <v>64</v>
      </c>
      <c r="K3752" t="s">
        <v>19</v>
      </c>
      <c r="L3752" t="s">
        <v>69</v>
      </c>
    </row>
    <row r="3753" spans="1:13" x14ac:dyDescent="0.25">
      <c r="A3753" t="s">
        <v>5796</v>
      </c>
      <c r="B3753">
        <v>88</v>
      </c>
      <c r="C3753">
        <v>1064277</v>
      </c>
      <c r="D3753" t="s">
        <v>5797</v>
      </c>
      <c r="E3753" t="s">
        <v>13</v>
      </c>
      <c r="F3753" t="s">
        <v>14</v>
      </c>
      <c r="G3753">
        <v>20000000</v>
      </c>
      <c r="H3753">
        <v>6.7</v>
      </c>
      <c r="I3753" t="s">
        <v>28</v>
      </c>
      <c r="J3753" t="s">
        <v>16</v>
      </c>
      <c r="K3753" t="s">
        <v>17</v>
      </c>
      <c r="L3753" t="s">
        <v>59</v>
      </c>
    </row>
    <row r="3754" spans="1:13" x14ac:dyDescent="0.25">
      <c r="A3754" t="s">
        <v>5798</v>
      </c>
      <c r="B3754">
        <v>95</v>
      </c>
      <c r="C3754">
        <v>1060591</v>
      </c>
      <c r="D3754" t="s">
        <v>5799</v>
      </c>
      <c r="E3754" t="s">
        <v>1893</v>
      </c>
      <c r="F3754" t="s">
        <v>295</v>
      </c>
      <c r="G3754">
        <v>1300000</v>
      </c>
      <c r="H3754">
        <v>7.2</v>
      </c>
      <c r="I3754" t="s">
        <v>15</v>
      </c>
      <c r="J3754" t="s">
        <v>31</v>
      </c>
      <c r="K3754" t="s">
        <v>19</v>
      </c>
    </row>
    <row r="3755" spans="1:13" x14ac:dyDescent="0.25">
      <c r="A3755" t="s">
        <v>1761</v>
      </c>
      <c r="B3755">
        <v>104</v>
      </c>
      <c r="C3755">
        <v>1056102</v>
      </c>
      <c r="D3755" t="s">
        <v>5800</v>
      </c>
      <c r="E3755" t="s">
        <v>13</v>
      </c>
      <c r="F3755" t="s">
        <v>14</v>
      </c>
      <c r="G3755">
        <v>5000000</v>
      </c>
      <c r="H3755">
        <v>6.6</v>
      </c>
      <c r="I3755" t="s">
        <v>38</v>
      </c>
      <c r="J3755" t="s">
        <v>31</v>
      </c>
      <c r="K3755" t="s">
        <v>23</v>
      </c>
      <c r="L3755" t="s">
        <v>24</v>
      </c>
    </row>
    <row r="3756" spans="1:13" x14ac:dyDescent="0.25">
      <c r="A3756" t="s">
        <v>3142</v>
      </c>
      <c r="B3756">
        <v>120</v>
      </c>
      <c r="C3756">
        <v>1055654</v>
      </c>
      <c r="D3756" t="s">
        <v>5801</v>
      </c>
      <c r="E3756" t="s">
        <v>13</v>
      </c>
      <c r="F3756" t="s">
        <v>241</v>
      </c>
      <c r="G3756">
        <v>10000000</v>
      </c>
      <c r="H3756">
        <v>7.3</v>
      </c>
      <c r="I3756" t="s">
        <v>31</v>
      </c>
      <c r="J3756" t="s">
        <v>19</v>
      </c>
      <c r="K3756" t="s">
        <v>41</v>
      </c>
    </row>
    <row r="3757" spans="1:13" x14ac:dyDescent="0.25">
      <c r="A3757" t="s">
        <v>675</v>
      </c>
      <c r="B3757">
        <v>96</v>
      </c>
      <c r="C3757">
        <v>1050600</v>
      </c>
      <c r="D3757" t="s">
        <v>5802</v>
      </c>
      <c r="E3757" t="s">
        <v>13</v>
      </c>
      <c r="F3757" t="s">
        <v>14</v>
      </c>
      <c r="G3757">
        <v>250000</v>
      </c>
      <c r="H3757">
        <v>6.6</v>
      </c>
      <c r="I3757" t="s">
        <v>15</v>
      </c>
      <c r="J3757" t="s">
        <v>31</v>
      </c>
    </row>
    <row r="3758" spans="1:13" x14ac:dyDescent="0.25">
      <c r="A3758" t="s">
        <v>5803</v>
      </c>
      <c r="B3758">
        <v>116</v>
      </c>
      <c r="C3758">
        <v>1050445</v>
      </c>
      <c r="D3758" t="s">
        <v>5804</v>
      </c>
      <c r="E3758" t="s">
        <v>473</v>
      </c>
      <c r="F3758" t="s">
        <v>295</v>
      </c>
      <c r="G3758">
        <v>22000000</v>
      </c>
      <c r="H3758">
        <v>7.8</v>
      </c>
      <c r="I3758" t="s">
        <v>31</v>
      </c>
      <c r="J3758" t="s">
        <v>64</v>
      </c>
      <c r="K3758" t="s">
        <v>18</v>
      </c>
      <c r="L3758" t="s">
        <v>19</v>
      </c>
      <c r="M3758" t="s">
        <v>83</v>
      </c>
    </row>
    <row r="3759" spans="1:13" x14ac:dyDescent="0.25">
      <c r="A3759" t="s">
        <v>5805</v>
      </c>
      <c r="B3759">
        <v>97</v>
      </c>
      <c r="C3759">
        <v>1046166</v>
      </c>
      <c r="D3759" t="s">
        <v>5806</v>
      </c>
      <c r="E3759" t="s">
        <v>13</v>
      </c>
      <c r="F3759" t="s">
        <v>241</v>
      </c>
      <c r="G3759">
        <v>9000000</v>
      </c>
      <c r="H3759">
        <v>4.2</v>
      </c>
      <c r="I3759" t="s">
        <v>15</v>
      </c>
      <c r="J3759" t="s">
        <v>18</v>
      </c>
      <c r="K3759" t="s">
        <v>19</v>
      </c>
    </row>
    <row r="3760" spans="1:13" x14ac:dyDescent="0.25">
      <c r="A3760" t="s">
        <v>4282</v>
      </c>
      <c r="B3760">
        <v>124</v>
      </c>
      <c r="C3760">
        <v>1043487</v>
      </c>
      <c r="D3760" t="s">
        <v>5807</v>
      </c>
      <c r="E3760" t="s">
        <v>13</v>
      </c>
      <c r="F3760" t="s">
        <v>82</v>
      </c>
      <c r="G3760">
        <v>39751583.5</v>
      </c>
      <c r="H3760">
        <v>7</v>
      </c>
      <c r="I3760" t="s">
        <v>31</v>
      </c>
      <c r="J3760" t="s">
        <v>18</v>
      </c>
    </row>
    <row r="3761" spans="1:12" x14ac:dyDescent="0.25">
      <c r="A3761" t="s">
        <v>852</v>
      </c>
      <c r="B3761">
        <v>91</v>
      </c>
      <c r="C3761">
        <v>1040879</v>
      </c>
      <c r="D3761" t="s">
        <v>5808</v>
      </c>
      <c r="E3761" t="s">
        <v>13</v>
      </c>
      <c r="F3761" t="s">
        <v>14</v>
      </c>
      <c r="G3761">
        <v>7000000</v>
      </c>
      <c r="H3761">
        <v>7.1</v>
      </c>
      <c r="I3761" t="s">
        <v>15</v>
      </c>
      <c r="J3761" t="s">
        <v>38</v>
      </c>
      <c r="K3761" t="s">
        <v>31</v>
      </c>
    </row>
    <row r="3762" spans="1:12" x14ac:dyDescent="0.25">
      <c r="A3762" t="s">
        <v>5674</v>
      </c>
      <c r="B3762">
        <v>108</v>
      </c>
      <c r="C3762">
        <v>1039869</v>
      </c>
      <c r="D3762" t="s">
        <v>5809</v>
      </c>
      <c r="E3762" t="s">
        <v>13</v>
      </c>
      <c r="F3762" t="s">
        <v>98</v>
      </c>
      <c r="G3762">
        <v>15000000</v>
      </c>
      <c r="H3762">
        <v>6.2</v>
      </c>
      <c r="I3762" t="s">
        <v>42</v>
      </c>
      <c r="J3762" t="s">
        <v>15</v>
      </c>
      <c r="K3762" t="s">
        <v>38</v>
      </c>
      <c r="L3762" t="s">
        <v>31</v>
      </c>
    </row>
    <row r="3763" spans="1:12" x14ac:dyDescent="0.25">
      <c r="A3763" t="s">
        <v>3952</v>
      </c>
      <c r="B3763">
        <v>97</v>
      </c>
      <c r="C3763">
        <v>1029017</v>
      </c>
      <c r="D3763" t="s">
        <v>5810</v>
      </c>
      <c r="E3763" t="s">
        <v>13</v>
      </c>
      <c r="F3763" t="s">
        <v>14</v>
      </c>
      <c r="G3763">
        <v>6500000</v>
      </c>
      <c r="H3763">
        <v>6.8</v>
      </c>
      <c r="I3763" t="s">
        <v>31</v>
      </c>
      <c r="J3763" t="s">
        <v>19</v>
      </c>
    </row>
    <row r="3764" spans="1:12" x14ac:dyDescent="0.25">
      <c r="A3764" t="s">
        <v>1756</v>
      </c>
      <c r="B3764">
        <v>95</v>
      </c>
      <c r="C3764">
        <v>1028658</v>
      </c>
      <c r="D3764" t="s">
        <v>5811</v>
      </c>
      <c r="E3764" t="s">
        <v>13</v>
      </c>
      <c r="F3764" t="s">
        <v>910</v>
      </c>
      <c r="G3764">
        <v>3000000</v>
      </c>
      <c r="H3764">
        <v>7</v>
      </c>
      <c r="I3764" t="s">
        <v>31</v>
      </c>
      <c r="J3764" t="s">
        <v>23</v>
      </c>
      <c r="K3764" t="s">
        <v>24</v>
      </c>
    </row>
    <row r="3765" spans="1:12" x14ac:dyDescent="0.25">
      <c r="A3765" t="s">
        <v>4890</v>
      </c>
      <c r="B3765">
        <v>84</v>
      </c>
      <c r="C3765">
        <v>1028337</v>
      </c>
      <c r="D3765" t="s">
        <v>5812</v>
      </c>
      <c r="E3765" t="s">
        <v>13</v>
      </c>
      <c r="F3765" t="s">
        <v>14</v>
      </c>
      <c r="G3765">
        <v>39751583.5</v>
      </c>
      <c r="H3765">
        <v>6.4</v>
      </c>
      <c r="I3765" t="s">
        <v>31</v>
      </c>
      <c r="J3765" t="s">
        <v>24</v>
      </c>
    </row>
    <row r="3766" spans="1:12" x14ac:dyDescent="0.25">
      <c r="A3766" t="s">
        <v>1781</v>
      </c>
      <c r="B3766">
        <v>125</v>
      </c>
      <c r="C3766">
        <v>1027749</v>
      </c>
      <c r="D3766" t="s">
        <v>5813</v>
      </c>
      <c r="E3766" t="s">
        <v>13</v>
      </c>
      <c r="F3766" t="s">
        <v>45</v>
      </c>
      <c r="G3766">
        <v>40000000</v>
      </c>
      <c r="H3766">
        <v>7.1</v>
      </c>
      <c r="I3766" t="s">
        <v>31</v>
      </c>
      <c r="J3766" t="s">
        <v>83</v>
      </c>
    </row>
    <row r="3767" spans="1:12" x14ac:dyDescent="0.25">
      <c r="A3767" t="s">
        <v>5814</v>
      </c>
      <c r="B3767">
        <v>106</v>
      </c>
      <c r="C3767">
        <v>1027119</v>
      </c>
      <c r="D3767" t="s">
        <v>5815</v>
      </c>
      <c r="E3767" t="s">
        <v>13</v>
      </c>
      <c r="F3767" t="s">
        <v>14</v>
      </c>
      <c r="G3767">
        <v>225000</v>
      </c>
      <c r="H3767">
        <v>7</v>
      </c>
      <c r="I3767" t="s">
        <v>31</v>
      </c>
    </row>
    <row r="3768" spans="1:12" x14ac:dyDescent="0.25">
      <c r="A3768" t="s">
        <v>5816</v>
      </c>
      <c r="B3768">
        <v>88</v>
      </c>
      <c r="C3768">
        <v>1024175</v>
      </c>
      <c r="D3768" t="s">
        <v>5817</v>
      </c>
      <c r="E3768" t="s">
        <v>13</v>
      </c>
      <c r="F3768" t="s">
        <v>82</v>
      </c>
      <c r="G3768">
        <v>13000000</v>
      </c>
      <c r="H3768">
        <v>6.6</v>
      </c>
      <c r="I3768" t="s">
        <v>34</v>
      </c>
      <c r="J3768" t="s">
        <v>15</v>
      </c>
      <c r="K3768" t="s">
        <v>37</v>
      </c>
      <c r="L3768" t="s">
        <v>24</v>
      </c>
    </row>
    <row r="3769" spans="1:12" x14ac:dyDescent="0.25">
      <c r="A3769" t="s">
        <v>5525</v>
      </c>
      <c r="B3769">
        <v>104</v>
      </c>
      <c r="C3769">
        <v>1011054</v>
      </c>
      <c r="D3769" t="s">
        <v>5818</v>
      </c>
      <c r="E3769" t="s">
        <v>13</v>
      </c>
      <c r="F3769" t="s">
        <v>98</v>
      </c>
      <c r="G3769">
        <v>10000000</v>
      </c>
      <c r="H3769">
        <v>7.2</v>
      </c>
      <c r="I3769" t="s">
        <v>38</v>
      </c>
      <c r="J3769" t="s">
        <v>31</v>
      </c>
      <c r="K3769" t="s">
        <v>24</v>
      </c>
    </row>
    <row r="3770" spans="1:12" x14ac:dyDescent="0.25">
      <c r="A3770" t="s">
        <v>3036</v>
      </c>
      <c r="B3770">
        <v>104</v>
      </c>
      <c r="C3770">
        <v>1007962</v>
      </c>
      <c r="D3770" t="s">
        <v>5819</v>
      </c>
      <c r="E3770" t="s">
        <v>13</v>
      </c>
      <c r="F3770" t="s">
        <v>14</v>
      </c>
      <c r="G3770">
        <v>950000</v>
      </c>
      <c r="H3770">
        <v>7.1</v>
      </c>
      <c r="I3770" t="s">
        <v>38</v>
      </c>
      <c r="J3770" t="s">
        <v>31</v>
      </c>
      <c r="K3770" t="s">
        <v>24</v>
      </c>
    </row>
    <row r="3771" spans="1:12" x14ac:dyDescent="0.25">
      <c r="A3771" t="s">
        <v>5476</v>
      </c>
      <c r="B3771">
        <v>99</v>
      </c>
      <c r="C3771">
        <v>1007535</v>
      </c>
      <c r="D3771" t="s">
        <v>5820</v>
      </c>
      <c r="E3771" t="s">
        <v>13</v>
      </c>
      <c r="F3771" t="s">
        <v>14</v>
      </c>
      <c r="G3771">
        <v>39751583.5</v>
      </c>
      <c r="H3771">
        <v>5.7</v>
      </c>
      <c r="I3771" t="s">
        <v>15</v>
      </c>
      <c r="J3771" t="s">
        <v>31</v>
      </c>
      <c r="K3771" t="s">
        <v>19</v>
      </c>
    </row>
    <row r="3772" spans="1:12" x14ac:dyDescent="0.25">
      <c r="A3772" t="s">
        <v>4797</v>
      </c>
      <c r="B3772">
        <v>114</v>
      </c>
      <c r="C3772">
        <v>1001437</v>
      </c>
      <c r="D3772" t="s">
        <v>5821</v>
      </c>
      <c r="E3772" t="s">
        <v>13</v>
      </c>
      <c r="F3772" t="s">
        <v>14</v>
      </c>
      <c r="G3772">
        <v>800000</v>
      </c>
      <c r="H3772">
        <v>7.2</v>
      </c>
      <c r="I3772" t="s">
        <v>31</v>
      </c>
      <c r="J3772" t="s">
        <v>19</v>
      </c>
    </row>
    <row r="3773" spans="1:12" x14ac:dyDescent="0.25">
      <c r="A3773" t="s">
        <v>5822</v>
      </c>
      <c r="B3773">
        <v>127</v>
      </c>
      <c r="C3773">
        <v>1000000</v>
      </c>
      <c r="D3773" t="s">
        <v>5823</v>
      </c>
      <c r="E3773" t="s">
        <v>13</v>
      </c>
      <c r="F3773" t="s">
        <v>4952</v>
      </c>
      <c r="G3773">
        <v>14000000</v>
      </c>
      <c r="H3773">
        <v>6.5</v>
      </c>
      <c r="I3773" t="s">
        <v>34</v>
      </c>
      <c r="J3773" t="s">
        <v>28</v>
      </c>
      <c r="K3773" t="s">
        <v>64</v>
      </c>
    </row>
    <row r="3774" spans="1:12" x14ac:dyDescent="0.25">
      <c r="A3774" t="s">
        <v>5824</v>
      </c>
      <c r="B3774">
        <v>107</v>
      </c>
      <c r="C3774">
        <v>1000000</v>
      </c>
      <c r="D3774" t="s">
        <v>5825</v>
      </c>
      <c r="E3774" t="s">
        <v>13</v>
      </c>
      <c r="F3774" t="s">
        <v>82</v>
      </c>
      <c r="G3774">
        <v>9000000</v>
      </c>
      <c r="H3774">
        <v>6.3</v>
      </c>
      <c r="I3774" t="s">
        <v>28</v>
      </c>
      <c r="J3774" t="s">
        <v>31</v>
      </c>
      <c r="K3774" t="s">
        <v>19</v>
      </c>
      <c r="L3774" t="s">
        <v>83</v>
      </c>
    </row>
    <row r="3775" spans="1:12" x14ac:dyDescent="0.25">
      <c r="A3775" t="s">
        <v>5341</v>
      </c>
      <c r="B3775">
        <v>86</v>
      </c>
      <c r="C3775">
        <v>992238</v>
      </c>
      <c r="D3775" t="s">
        <v>5826</v>
      </c>
      <c r="E3775" t="s">
        <v>13</v>
      </c>
      <c r="F3775" t="s">
        <v>82</v>
      </c>
      <c r="G3775">
        <v>1700000</v>
      </c>
      <c r="H3775">
        <v>6.8</v>
      </c>
      <c r="I3775" t="s">
        <v>31</v>
      </c>
      <c r="J3775" t="s">
        <v>19</v>
      </c>
    </row>
    <row r="3776" spans="1:12" x14ac:dyDescent="0.25">
      <c r="A3776" t="s">
        <v>2183</v>
      </c>
      <c r="B3776">
        <v>111</v>
      </c>
      <c r="C3776">
        <v>985341</v>
      </c>
      <c r="D3776" t="s">
        <v>5827</v>
      </c>
      <c r="E3776" t="s">
        <v>13</v>
      </c>
      <c r="F3776" t="s">
        <v>14</v>
      </c>
      <c r="G3776">
        <v>500000</v>
      </c>
      <c r="H3776">
        <v>7.3</v>
      </c>
      <c r="I3776" t="s">
        <v>31</v>
      </c>
    </row>
    <row r="3777" spans="1:14" x14ac:dyDescent="0.25">
      <c r="A3777" t="s">
        <v>5828</v>
      </c>
      <c r="B3777">
        <v>100</v>
      </c>
      <c r="C3777">
        <v>982214</v>
      </c>
      <c r="D3777" t="s">
        <v>5829</v>
      </c>
      <c r="E3777" t="s">
        <v>13</v>
      </c>
      <c r="F3777" t="s">
        <v>14</v>
      </c>
      <c r="G3777">
        <v>1000000</v>
      </c>
      <c r="H3777">
        <v>7.2</v>
      </c>
      <c r="I3777" t="s">
        <v>31</v>
      </c>
    </row>
    <row r="3778" spans="1:14" x14ac:dyDescent="0.25">
      <c r="A3778" t="s">
        <v>5830</v>
      </c>
      <c r="B3778">
        <v>101</v>
      </c>
      <c r="C3778">
        <v>978908</v>
      </c>
      <c r="D3778" t="s">
        <v>5831</v>
      </c>
      <c r="E3778" t="s">
        <v>13</v>
      </c>
      <c r="F3778" t="s">
        <v>1330</v>
      </c>
      <c r="G3778">
        <v>2400000</v>
      </c>
      <c r="H3778">
        <v>5.0999999999999996</v>
      </c>
      <c r="I3778" t="s">
        <v>31</v>
      </c>
      <c r="J3778" t="s">
        <v>22</v>
      </c>
      <c r="K3778" t="s">
        <v>23</v>
      </c>
      <c r="L3778" t="s">
        <v>24</v>
      </c>
    </row>
    <row r="3779" spans="1:14" x14ac:dyDescent="0.25">
      <c r="A3779" t="s">
        <v>5832</v>
      </c>
      <c r="B3779">
        <v>104</v>
      </c>
      <c r="C3779">
        <v>977600</v>
      </c>
      <c r="D3779" t="s">
        <v>5833</v>
      </c>
      <c r="E3779" t="s">
        <v>13</v>
      </c>
      <c r="F3779" t="s">
        <v>14</v>
      </c>
      <c r="G3779">
        <v>39751583.5</v>
      </c>
      <c r="H3779">
        <v>6.5</v>
      </c>
      <c r="I3779" t="s">
        <v>31</v>
      </c>
      <c r="J3779" t="s">
        <v>69</v>
      </c>
    </row>
    <row r="3780" spans="1:14" x14ac:dyDescent="0.25">
      <c r="A3780" t="s">
        <v>2984</v>
      </c>
      <c r="B3780">
        <v>91</v>
      </c>
      <c r="C3780">
        <v>958319</v>
      </c>
      <c r="D3780" t="s">
        <v>5834</v>
      </c>
      <c r="E3780" t="s">
        <v>13</v>
      </c>
      <c r="F3780" t="s">
        <v>14</v>
      </c>
      <c r="G3780">
        <v>21000000</v>
      </c>
      <c r="H3780">
        <v>6.7</v>
      </c>
      <c r="I3780" t="s">
        <v>31</v>
      </c>
    </row>
    <row r="3781" spans="1:14" x14ac:dyDescent="0.25">
      <c r="A3781" t="s">
        <v>1897</v>
      </c>
      <c r="B3781">
        <v>95</v>
      </c>
      <c r="C3781">
        <v>952620</v>
      </c>
      <c r="D3781" t="s">
        <v>5835</v>
      </c>
      <c r="E3781" t="s">
        <v>13</v>
      </c>
      <c r="F3781" t="s">
        <v>14</v>
      </c>
      <c r="G3781">
        <v>2000000</v>
      </c>
      <c r="H3781">
        <v>5.7</v>
      </c>
      <c r="I3781" t="s">
        <v>22</v>
      </c>
    </row>
    <row r="3782" spans="1:14" x14ac:dyDescent="0.25">
      <c r="A3782" t="s">
        <v>5836</v>
      </c>
      <c r="B3782">
        <v>125</v>
      </c>
      <c r="C3782">
        <v>927107</v>
      </c>
      <c r="D3782" t="s">
        <v>5837</v>
      </c>
      <c r="E3782" t="s">
        <v>1277</v>
      </c>
      <c r="F3782" t="s">
        <v>241</v>
      </c>
      <c r="G3782">
        <v>15000000</v>
      </c>
      <c r="H3782">
        <v>7.3</v>
      </c>
      <c r="I3782" t="s">
        <v>42</v>
      </c>
      <c r="J3782" t="s">
        <v>31</v>
      </c>
      <c r="K3782" t="s">
        <v>19</v>
      </c>
      <c r="L3782" t="s">
        <v>83</v>
      </c>
    </row>
    <row r="3783" spans="1:14" x14ac:dyDescent="0.25">
      <c r="A3783" t="s">
        <v>5838</v>
      </c>
      <c r="B3783">
        <v>89</v>
      </c>
      <c r="C3783">
        <v>925402</v>
      </c>
      <c r="D3783" t="s">
        <v>5839</v>
      </c>
      <c r="E3783" t="s">
        <v>4951</v>
      </c>
      <c r="F3783" t="s">
        <v>4952</v>
      </c>
      <c r="G3783">
        <v>180000</v>
      </c>
      <c r="H3783">
        <v>8.5</v>
      </c>
      <c r="I3783" t="s">
        <v>31</v>
      </c>
      <c r="J3783" t="s">
        <v>16</v>
      </c>
    </row>
    <row r="3784" spans="1:14" x14ac:dyDescent="0.25">
      <c r="A3784" t="s">
        <v>5840</v>
      </c>
      <c r="B3784">
        <v>93</v>
      </c>
      <c r="C3784">
        <v>906666</v>
      </c>
      <c r="D3784" t="s">
        <v>5841</v>
      </c>
      <c r="E3784" t="s">
        <v>13</v>
      </c>
      <c r="F3784" t="s">
        <v>14</v>
      </c>
      <c r="G3784">
        <v>500000</v>
      </c>
      <c r="H3784">
        <v>6.8</v>
      </c>
      <c r="I3784" t="s">
        <v>52</v>
      </c>
    </row>
    <row r="3785" spans="1:14" x14ac:dyDescent="0.25">
      <c r="A3785" t="s">
        <v>5842</v>
      </c>
      <c r="B3785">
        <v>100</v>
      </c>
      <c r="C3785">
        <v>902835</v>
      </c>
      <c r="D3785" t="s">
        <v>5843</v>
      </c>
      <c r="E3785" t="s">
        <v>13</v>
      </c>
      <c r="F3785" t="s">
        <v>14</v>
      </c>
      <c r="G3785">
        <v>250000</v>
      </c>
      <c r="H3785">
        <v>6.7</v>
      </c>
      <c r="I3785" t="s">
        <v>15</v>
      </c>
      <c r="J3785" t="s">
        <v>31</v>
      </c>
      <c r="K3785" t="s">
        <v>19</v>
      </c>
    </row>
    <row r="3786" spans="1:14" x14ac:dyDescent="0.25">
      <c r="A3786" t="s">
        <v>5226</v>
      </c>
      <c r="B3786">
        <v>93</v>
      </c>
      <c r="C3786">
        <v>900926</v>
      </c>
      <c r="D3786" t="s">
        <v>5844</v>
      </c>
      <c r="E3786" t="s">
        <v>13</v>
      </c>
      <c r="F3786" t="s">
        <v>14</v>
      </c>
      <c r="G3786">
        <v>10000000</v>
      </c>
      <c r="H3786">
        <v>5.3</v>
      </c>
      <c r="I3786" t="s">
        <v>15</v>
      </c>
    </row>
    <row r="3787" spans="1:14" x14ac:dyDescent="0.25">
      <c r="A3787" t="s">
        <v>5845</v>
      </c>
      <c r="B3787">
        <v>106</v>
      </c>
      <c r="C3787">
        <v>886410</v>
      </c>
      <c r="D3787" t="s">
        <v>5846</v>
      </c>
      <c r="E3787" t="s">
        <v>1498</v>
      </c>
      <c r="F3787" t="s">
        <v>1901</v>
      </c>
      <c r="G3787">
        <v>3500000</v>
      </c>
      <c r="H3787">
        <v>6.8</v>
      </c>
      <c r="I3787" t="s">
        <v>31</v>
      </c>
      <c r="J3787" t="s">
        <v>64</v>
      </c>
    </row>
    <row r="3788" spans="1:14" x14ac:dyDescent="0.25">
      <c r="A3788" t="s">
        <v>5847</v>
      </c>
      <c r="B3788">
        <v>97</v>
      </c>
      <c r="C3788">
        <v>883887</v>
      </c>
      <c r="D3788" t="s">
        <v>5848</v>
      </c>
      <c r="E3788" t="s">
        <v>13</v>
      </c>
      <c r="F3788" t="s">
        <v>14</v>
      </c>
      <c r="G3788">
        <v>9000000</v>
      </c>
      <c r="H3788">
        <v>6.2</v>
      </c>
      <c r="I3788" t="s">
        <v>31</v>
      </c>
    </row>
    <row r="3789" spans="1:14" x14ac:dyDescent="0.25">
      <c r="A3789" t="s">
        <v>3560</v>
      </c>
      <c r="B3789">
        <v>115</v>
      </c>
      <c r="C3789">
        <v>882710</v>
      </c>
      <c r="D3789" t="s">
        <v>5849</v>
      </c>
      <c r="E3789" t="s">
        <v>13</v>
      </c>
      <c r="F3789" t="s">
        <v>14</v>
      </c>
      <c r="G3789">
        <v>24000000</v>
      </c>
      <c r="H3789">
        <v>6.4</v>
      </c>
      <c r="I3789" t="s">
        <v>38</v>
      </c>
      <c r="J3789" t="s">
        <v>31</v>
      </c>
      <c r="K3789" t="s">
        <v>19</v>
      </c>
      <c r="L3789" t="s">
        <v>24</v>
      </c>
    </row>
    <row r="3790" spans="1:14" x14ac:dyDescent="0.25">
      <c r="A3790" t="s">
        <v>5850</v>
      </c>
      <c r="B3790">
        <v>90</v>
      </c>
      <c r="C3790">
        <v>882290</v>
      </c>
      <c r="D3790" t="s">
        <v>5851</v>
      </c>
      <c r="E3790" t="s">
        <v>13</v>
      </c>
      <c r="F3790" t="s">
        <v>45</v>
      </c>
      <c r="G3790">
        <v>10000000</v>
      </c>
      <c r="H3790">
        <v>6.5</v>
      </c>
      <c r="I3790" t="s">
        <v>34</v>
      </c>
      <c r="J3790" t="s">
        <v>37</v>
      </c>
      <c r="K3790" t="s">
        <v>41</v>
      </c>
    </row>
    <row r="3791" spans="1:14" x14ac:dyDescent="0.25">
      <c r="A3791" t="s">
        <v>4554</v>
      </c>
      <c r="B3791">
        <v>101</v>
      </c>
      <c r="C3791">
        <v>876671</v>
      </c>
      <c r="D3791" t="s">
        <v>5852</v>
      </c>
      <c r="E3791" t="s">
        <v>13</v>
      </c>
      <c r="F3791" t="s">
        <v>14</v>
      </c>
      <c r="G3791">
        <v>25000000</v>
      </c>
      <c r="H3791">
        <v>6.9</v>
      </c>
      <c r="I3791" t="s">
        <v>28</v>
      </c>
      <c r="J3791" t="s">
        <v>15</v>
      </c>
      <c r="K3791" t="s">
        <v>31</v>
      </c>
      <c r="L3791" t="s">
        <v>19</v>
      </c>
      <c r="M3791" t="s">
        <v>24</v>
      </c>
      <c r="N3791" t="s">
        <v>83</v>
      </c>
    </row>
    <row r="3792" spans="1:14" x14ac:dyDescent="0.25">
      <c r="A3792" t="s">
        <v>5853</v>
      </c>
      <c r="B3792">
        <v>153</v>
      </c>
      <c r="C3792">
        <v>872643</v>
      </c>
      <c r="D3792" t="s">
        <v>5854</v>
      </c>
      <c r="E3792" t="s">
        <v>1409</v>
      </c>
      <c r="F3792" t="s">
        <v>14</v>
      </c>
      <c r="G3792">
        <v>6000000</v>
      </c>
      <c r="H3792">
        <v>5.4</v>
      </c>
      <c r="I3792" t="s">
        <v>15</v>
      </c>
      <c r="J3792" t="s">
        <v>16</v>
      </c>
      <c r="K3792" t="s">
        <v>19</v>
      </c>
    </row>
    <row r="3793" spans="1:12" x14ac:dyDescent="0.25">
      <c r="A3793" t="s">
        <v>3219</v>
      </c>
      <c r="B3793">
        <v>122</v>
      </c>
      <c r="C3793">
        <v>871577</v>
      </c>
      <c r="D3793" t="s">
        <v>5855</v>
      </c>
      <c r="E3793" t="s">
        <v>13</v>
      </c>
      <c r="F3793" t="s">
        <v>82</v>
      </c>
      <c r="G3793">
        <v>4500000</v>
      </c>
      <c r="H3793">
        <v>7.7</v>
      </c>
      <c r="I3793" t="s">
        <v>42</v>
      </c>
      <c r="J3793" t="s">
        <v>31</v>
      </c>
      <c r="K3793" t="s">
        <v>18</v>
      </c>
    </row>
    <row r="3794" spans="1:12" x14ac:dyDescent="0.25">
      <c r="A3794" t="s">
        <v>5167</v>
      </c>
      <c r="B3794">
        <v>107</v>
      </c>
      <c r="C3794">
        <v>871527</v>
      </c>
      <c r="D3794" t="s">
        <v>5856</v>
      </c>
      <c r="E3794" t="s">
        <v>13</v>
      </c>
      <c r="F3794" t="s">
        <v>98</v>
      </c>
      <c r="G3794">
        <v>25000000</v>
      </c>
      <c r="H3794">
        <v>6.5</v>
      </c>
      <c r="I3794" t="s">
        <v>38</v>
      </c>
      <c r="J3794" t="s">
        <v>31</v>
      </c>
      <c r="K3794" t="s">
        <v>23</v>
      </c>
      <c r="L3794" t="s">
        <v>24</v>
      </c>
    </row>
    <row r="3795" spans="1:12" x14ac:dyDescent="0.25">
      <c r="A3795" t="s">
        <v>5857</v>
      </c>
      <c r="B3795">
        <v>107</v>
      </c>
      <c r="C3795">
        <v>869325</v>
      </c>
      <c r="D3795" t="s">
        <v>5858</v>
      </c>
      <c r="E3795" t="s">
        <v>13</v>
      </c>
      <c r="F3795" t="s">
        <v>14</v>
      </c>
      <c r="G3795">
        <v>6000000</v>
      </c>
      <c r="H3795">
        <v>3.8</v>
      </c>
      <c r="I3795" t="s">
        <v>34</v>
      </c>
      <c r="J3795" t="s">
        <v>28</v>
      </c>
      <c r="K3795" t="s">
        <v>17</v>
      </c>
      <c r="L3795" t="s">
        <v>37</v>
      </c>
    </row>
    <row r="3796" spans="1:12" x14ac:dyDescent="0.25">
      <c r="A3796" t="s">
        <v>5008</v>
      </c>
      <c r="B3796">
        <v>95</v>
      </c>
      <c r="C3796">
        <v>866778</v>
      </c>
      <c r="D3796" t="s">
        <v>5859</v>
      </c>
      <c r="E3796" t="s">
        <v>13</v>
      </c>
      <c r="F3796" t="s">
        <v>1007</v>
      </c>
      <c r="G3796">
        <v>10000000</v>
      </c>
      <c r="H3796">
        <v>6.7</v>
      </c>
      <c r="I3796" t="s">
        <v>31</v>
      </c>
      <c r="J3796" t="s">
        <v>19</v>
      </c>
    </row>
    <row r="3797" spans="1:12" x14ac:dyDescent="0.25">
      <c r="A3797" t="s">
        <v>5860</v>
      </c>
      <c r="B3797">
        <v>101</v>
      </c>
      <c r="C3797">
        <v>864959</v>
      </c>
      <c r="D3797" t="s">
        <v>5861</v>
      </c>
      <c r="E3797" t="s">
        <v>13</v>
      </c>
      <c r="F3797" t="s">
        <v>82</v>
      </c>
      <c r="G3797">
        <v>4000000</v>
      </c>
      <c r="H3797">
        <v>6.9</v>
      </c>
      <c r="I3797" t="s">
        <v>28</v>
      </c>
      <c r="J3797" t="s">
        <v>17</v>
      </c>
    </row>
    <row r="3798" spans="1:12" x14ac:dyDescent="0.25">
      <c r="A3798" t="s">
        <v>2195</v>
      </c>
      <c r="B3798">
        <v>100</v>
      </c>
      <c r="C3798">
        <v>860002</v>
      </c>
      <c r="D3798" t="s">
        <v>5862</v>
      </c>
      <c r="E3798" t="s">
        <v>13</v>
      </c>
      <c r="F3798" t="s">
        <v>14</v>
      </c>
      <c r="G3798">
        <v>12000000</v>
      </c>
      <c r="H3798">
        <v>7.3</v>
      </c>
      <c r="I3798" t="s">
        <v>28</v>
      </c>
      <c r="J3798" t="s">
        <v>31</v>
      </c>
      <c r="K3798" t="s">
        <v>16</v>
      </c>
    </row>
    <row r="3799" spans="1:12" x14ac:dyDescent="0.25">
      <c r="A3799" t="s">
        <v>5832</v>
      </c>
      <c r="B3799">
        <v>80</v>
      </c>
      <c r="C3799">
        <v>856942</v>
      </c>
      <c r="D3799" t="s">
        <v>5863</v>
      </c>
      <c r="E3799" t="s">
        <v>13</v>
      </c>
      <c r="F3799" t="s">
        <v>14</v>
      </c>
      <c r="G3799">
        <v>200000</v>
      </c>
      <c r="H3799">
        <v>7.1</v>
      </c>
      <c r="I3799" t="s">
        <v>31</v>
      </c>
    </row>
    <row r="3800" spans="1:12" x14ac:dyDescent="0.25">
      <c r="A3800" t="s">
        <v>5864</v>
      </c>
      <c r="B3800">
        <v>109</v>
      </c>
      <c r="C3800">
        <v>841206</v>
      </c>
      <c r="D3800" t="s">
        <v>5865</v>
      </c>
      <c r="E3800" t="s">
        <v>13</v>
      </c>
      <c r="F3800" t="s">
        <v>14</v>
      </c>
      <c r="G3800">
        <v>39751583.5</v>
      </c>
      <c r="H3800">
        <v>6.3</v>
      </c>
      <c r="I3800" t="s">
        <v>31</v>
      </c>
    </row>
    <row r="3801" spans="1:12" x14ac:dyDescent="0.25">
      <c r="A3801" t="s">
        <v>5866</v>
      </c>
      <c r="B3801">
        <v>119</v>
      </c>
      <c r="C3801">
        <v>836641</v>
      </c>
      <c r="D3801" t="s">
        <v>5867</v>
      </c>
      <c r="E3801" t="s">
        <v>13</v>
      </c>
      <c r="F3801" t="s">
        <v>910</v>
      </c>
      <c r="G3801">
        <v>39751583.5</v>
      </c>
      <c r="H3801">
        <v>6.2</v>
      </c>
      <c r="I3801" t="s">
        <v>31</v>
      </c>
    </row>
    <row r="3802" spans="1:12" x14ac:dyDescent="0.25">
      <c r="A3802" t="s">
        <v>5868</v>
      </c>
      <c r="B3802">
        <v>99</v>
      </c>
      <c r="C3802">
        <v>830210</v>
      </c>
      <c r="D3802" t="s">
        <v>5869</v>
      </c>
      <c r="E3802" t="s">
        <v>13</v>
      </c>
      <c r="F3802" t="s">
        <v>14</v>
      </c>
      <c r="G3802">
        <v>5000000</v>
      </c>
      <c r="H3802">
        <v>4.4000000000000004</v>
      </c>
      <c r="I3802" t="s">
        <v>31</v>
      </c>
      <c r="J3802" t="s">
        <v>23</v>
      </c>
      <c r="K3802" t="s">
        <v>37</v>
      </c>
    </row>
    <row r="3803" spans="1:12" x14ac:dyDescent="0.25">
      <c r="A3803" t="s">
        <v>5870</v>
      </c>
      <c r="B3803">
        <v>117</v>
      </c>
      <c r="C3803">
        <v>821997</v>
      </c>
      <c r="D3803" t="s">
        <v>5871</v>
      </c>
      <c r="E3803" t="s">
        <v>13</v>
      </c>
      <c r="F3803" t="s">
        <v>14</v>
      </c>
      <c r="G3803">
        <v>39751583.5</v>
      </c>
      <c r="H3803">
        <v>7</v>
      </c>
      <c r="I3803" t="s">
        <v>31</v>
      </c>
      <c r="J3803" t="s">
        <v>19</v>
      </c>
    </row>
    <row r="3804" spans="1:12" x14ac:dyDescent="0.25">
      <c r="A3804" t="s">
        <v>5872</v>
      </c>
      <c r="B3804">
        <v>107</v>
      </c>
      <c r="C3804">
        <v>819939</v>
      </c>
      <c r="D3804" t="s">
        <v>5873</v>
      </c>
      <c r="E3804" t="s">
        <v>13</v>
      </c>
      <c r="F3804" t="s">
        <v>14</v>
      </c>
      <c r="G3804">
        <v>850000</v>
      </c>
      <c r="H3804">
        <v>7.2</v>
      </c>
      <c r="I3804" t="s">
        <v>15</v>
      </c>
      <c r="J3804" t="s">
        <v>31</v>
      </c>
      <c r="K3804" t="s">
        <v>19</v>
      </c>
    </row>
    <row r="3805" spans="1:12" x14ac:dyDescent="0.25">
      <c r="A3805" t="s">
        <v>5167</v>
      </c>
      <c r="B3805">
        <v>116</v>
      </c>
      <c r="C3805">
        <v>819852</v>
      </c>
      <c r="D3805" t="s">
        <v>5874</v>
      </c>
      <c r="E3805" t="s">
        <v>13</v>
      </c>
      <c r="F3805" t="s">
        <v>98</v>
      </c>
      <c r="G3805">
        <v>39751583.5</v>
      </c>
      <c r="H3805">
        <v>7</v>
      </c>
      <c r="I3805" t="s">
        <v>31</v>
      </c>
      <c r="J3805" t="s">
        <v>24</v>
      </c>
    </row>
    <row r="3806" spans="1:12" x14ac:dyDescent="0.25">
      <c r="A3806" t="s">
        <v>1774</v>
      </c>
      <c r="B3806">
        <v>118</v>
      </c>
      <c r="C3806">
        <v>800000</v>
      </c>
      <c r="D3806" t="s">
        <v>5875</v>
      </c>
      <c r="E3806" t="s">
        <v>13</v>
      </c>
      <c r="F3806" t="s">
        <v>14</v>
      </c>
      <c r="G3806">
        <v>14000000</v>
      </c>
      <c r="H3806">
        <v>5.2</v>
      </c>
      <c r="I3806" t="s">
        <v>28</v>
      </c>
      <c r="J3806" t="s">
        <v>23</v>
      </c>
      <c r="K3806" t="s">
        <v>24</v>
      </c>
    </row>
    <row r="3807" spans="1:12" x14ac:dyDescent="0.25">
      <c r="A3807" t="s">
        <v>5876</v>
      </c>
      <c r="B3807">
        <v>87</v>
      </c>
      <c r="C3807">
        <v>800000</v>
      </c>
      <c r="D3807" t="s">
        <v>5877</v>
      </c>
      <c r="E3807" t="s">
        <v>13</v>
      </c>
      <c r="F3807" t="s">
        <v>14</v>
      </c>
      <c r="G3807">
        <v>4000000</v>
      </c>
      <c r="H3807">
        <v>4.8</v>
      </c>
      <c r="I3807" t="s">
        <v>28</v>
      </c>
      <c r="J3807" t="s">
        <v>17</v>
      </c>
    </row>
    <row r="3808" spans="1:12" x14ac:dyDescent="0.25">
      <c r="A3808" t="s">
        <v>5878</v>
      </c>
      <c r="B3808">
        <v>119</v>
      </c>
      <c r="C3808">
        <v>798341</v>
      </c>
      <c r="D3808" t="s">
        <v>5879</v>
      </c>
      <c r="E3808" t="s">
        <v>13</v>
      </c>
      <c r="F3808" t="s">
        <v>14</v>
      </c>
      <c r="G3808">
        <v>1000000</v>
      </c>
      <c r="H3808">
        <v>7.2</v>
      </c>
      <c r="I3808" t="s">
        <v>38</v>
      </c>
      <c r="J3808" t="s">
        <v>31</v>
      </c>
      <c r="K3808" t="s">
        <v>23</v>
      </c>
    </row>
    <row r="3809" spans="1:12" x14ac:dyDescent="0.25">
      <c r="A3809" t="s">
        <v>5880</v>
      </c>
      <c r="B3809">
        <v>98</v>
      </c>
      <c r="C3809">
        <v>795126</v>
      </c>
      <c r="D3809" t="s">
        <v>5881</v>
      </c>
      <c r="E3809" t="s">
        <v>13</v>
      </c>
      <c r="F3809" t="s">
        <v>98</v>
      </c>
      <c r="G3809">
        <v>6000000</v>
      </c>
      <c r="H3809">
        <v>7.6</v>
      </c>
      <c r="I3809" t="s">
        <v>15</v>
      </c>
      <c r="J3809" t="s">
        <v>31</v>
      </c>
      <c r="K3809" t="s">
        <v>41</v>
      </c>
    </row>
    <row r="3810" spans="1:12" x14ac:dyDescent="0.25">
      <c r="A3810" t="s">
        <v>3305</v>
      </c>
      <c r="B3810">
        <v>103</v>
      </c>
      <c r="C3810">
        <v>793352</v>
      </c>
      <c r="D3810" t="s">
        <v>5882</v>
      </c>
      <c r="E3810" t="s">
        <v>13</v>
      </c>
      <c r="F3810" t="s">
        <v>14</v>
      </c>
      <c r="G3810">
        <v>39751583.5</v>
      </c>
      <c r="H3810">
        <v>5.0999999999999996</v>
      </c>
      <c r="I3810" t="s">
        <v>15</v>
      </c>
      <c r="J3810" t="s">
        <v>31</v>
      </c>
      <c r="K3810" t="s">
        <v>19</v>
      </c>
    </row>
    <row r="3811" spans="1:12" x14ac:dyDescent="0.25">
      <c r="A3811" t="s">
        <v>2563</v>
      </c>
      <c r="B3811">
        <v>96</v>
      </c>
      <c r="C3811">
        <v>792966</v>
      </c>
      <c r="D3811" t="s">
        <v>5883</v>
      </c>
      <c r="E3811" t="s">
        <v>13</v>
      </c>
      <c r="F3811" t="s">
        <v>14</v>
      </c>
      <c r="G3811">
        <v>2300000</v>
      </c>
      <c r="H3811">
        <v>5.0999999999999996</v>
      </c>
      <c r="I3811" t="s">
        <v>34</v>
      </c>
      <c r="J3811" t="s">
        <v>15</v>
      </c>
      <c r="K3811" t="s">
        <v>22</v>
      </c>
      <c r="L3811" t="s">
        <v>37</v>
      </c>
    </row>
    <row r="3812" spans="1:12" x14ac:dyDescent="0.25">
      <c r="A3812" t="s">
        <v>3247</v>
      </c>
      <c r="B3812">
        <v>90</v>
      </c>
      <c r="C3812">
        <v>778565</v>
      </c>
      <c r="D3812" t="s">
        <v>5884</v>
      </c>
      <c r="E3812" t="s">
        <v>13</v>
      </c>
      <c r="F3812" t="s">
        <v>1442</v>
      </c>
      <c r="G3812">
        <v>4800000</v>
      </c>
      <c r="H3812">
        <v>5.7</v>
      </c>
      <c r="I3812" t="s">
        <v>38</v>
      </c>
      <c r="J3812" t="s">
        <v>31</v>
      </c>
    </row>
    <row r="3813" spans="1:12" x14ac:dyDescent="0.25">
      <c r="A3813" t="s">
        <v>5885</v>
      </c>
      <c r="B3813">
        <v>117</v>
      </c>
      <c r="C3813">
        <v>777423</v>
      </c>
      <c r="D3813" t="s">
        <v>5886</v>
      </c>
      <c r="E3813" t="s">
        <v>13</v>
      </c>
      <c r="F3813" t="s">
        <v>14</v>
      </c>
      <c r="G3813">
        <v>25000000</v>
      </c>
      <c r="H3813">
        <v>7.2</v>
      </c>
      <c r="I3813" t="s">
        <v>42</v>
      </c>
      <c r="J3813" t="s">
        <v>31</v>
      </c>
      <c r="K3813" t="s">
        <v>41</v>
      </c>
    </row>
    <row r="3814" spans="1:12" x14ac:dyDescent="0.25">
      <c r="A3814" t="s">
        <v>5887</v>
      </c>
      <c r="B3814">
        <v>156</v>
      </c>
      <c r="C3814">
        <v>770629</v>
      </c>
      <c r="D3814" t="s">
        <v>5888</v>
      </c>
      <c r="E3814" t="s">
        <v>1312</v>
      </c>
      <c r="F3814" t="s">
        <v>1216</v>
      </c>
      <c r="G3814">
        <v>39751583.5</v>
      </c>
      <c r="H3814">
        <v>7.7</v>
      </c>
      <c r="I3814" t="s">
        <v>17</v>
      </c>
      <c r="J3814" t="s">
        <v>22</v>
      </c>
      <c r="K3814" t="s">
        <v>23</v>
      </c>
      <c r="L3814" t="s">
        <v>24</v>
      </c>
    </row>
    <row r="3815" spans="1:12" x14ac:dyDescent="0.25">
      <c r="A3815" t="s">
        <v>73</v>
      </c>
      <c r="B3815">
        <v>107</v>
      </c>
      <c r="C3815">
        <v>768045</v>
      </c>
      <c r="D3815" t="s">
        <v>5889</v>
      </c>
      <c r="E3815" t="s">
        <v>13</v>
      </c>
      <c r="F3815" t="s">
        <v>82</v>
      </c>
      <c r="G3815">
        <v>2000000</v>
      </c>
      <c r="H3815">
        <v>7.7</v>
      </c>
      <c r="I3815" t="s">
        <v>31</v>
      </c>
      <c r="J3815" t="s">
        <v>64</v>
      </c>
      <c r="K3815" t="s">
        <v>83</v>
      </c>
    </row>
    <row r="3816" spans="1:12" x14ac:dyDescent="0.25">
      <c r="A3816" t="s">
        <v>668</v>
      </c>
      <c r="B3816">
        <v>96</v>
      </c>
      <c r="C3816">
        <v>766487</v>
      </c>
      <c r="D3816" t="s">
        <v>5890</v>
      </c>
      <c r="E3816" t="s">
        <v>13</v>
      </c>
      <c r="F3816" t="s">
        <v>14</v>
      </c>
      <c r="G3816">
        <v>5250000</v>
      </c>
      <c r="H3816">
        <v>5</v>
      </c>
      <c r="I3816" t="s">
        <v>15</v>
      </c>
      <c r="J3816" t="s">
        <v>19</v>
      </c>
    </row>
    <row r="3817" spans="1:12" x14ac:dyDescent="0.25">
      <c r="A3817" t="s">
        <v>1137</v>
      </c>
      <c r="B3817">
        <v>120</v>
      </c>
      <c r="C3817">
        <v>763044</v>
      </c>
      <c r="D3817" t="s">
        <v>5891</v>
      </c>
      <c r="E3817" t="s">
        <v>13</v>
      </c>
      <c r="F3817" t="s">
        <v>98</v>
      </c>
      <c r="G3817">
        <v>23000000</v>
      </c>
      <c r="H3817">
        <v>6.2</v>
      </c>
      <c r="I3817" t="s">
        <v>31</v>
      </c>
      <c r="J3817" t="s">
        <v>24</v>
      </c>
    </row>
    <row r="3818" spans="1:12" x14ac:dyDescent="0.25">
      <c r="A3818" t="s">
        <v>5892</v>
      </c>
      <c r="B3818">
        <v>123</v>
      </c>
      <c r="C3818">
        <v>756452</v>
      </c>
      <c r="D3818" t="s">
        <v>5893</v>
      </c>
      <c r="E3818" t="s">
        <v>13</v>
      </c>
      <c r="F3818" t="s">
        <v>82</v>
      </c>
      <c r="G3818">
        <v>39751583.5</v>
      </c>
      <c r="H3818">
        <v>6.2</v>
      </c>
      <c r="I3818" t="s">
        <v>31</v>
      </c>
      <c r="J3818" t="s">
        <v>24</v>
      </c>
      <c r="K3818" t="s">
        <v>83</v>
      </c>
    </row>
    <row r="3819" spans="1:12" x14ac:dyDescent="0.25">
      <c r="A3819" t="s">
        <v>5894</v>
      </c>
      <c r="B3819">
        <v>99</v>
      </c>
      <c r="C3819">
        <v>753501</v>
      </c>
      <c r="D3819" t="s">
        <v>5895</v>
      </c>
      <c r="E3819" t="s">
        <v>473</v>
      </c>
      <c r="F3819" t="s">
        <v>295</v>
      </c>
      <c r="G3819">
        <v>39751583.5</v>
      </c>
      <c r="H3819">
        <v>7.4</v>
      </c>
      <c r="I3819" t="s">
        <v>38</v>
      </c>
      <c r="J3819" t="s">
        <v>31</v>
      </c>
      <c r="K3819" t="s">
        <v>23</v>
      </c>
      <c r="L3819" t="s">
        <v>24</v>
      </c>
    </row>
    <row r="3820" spans="1:12" x14ac:dyDescent="0.25">
      <c r="A3820" t="s">
        <v>5896</v>
      </c>
      <c r="B3820">
        <v>100</v>
      </c>
      <c r="C3820">
        <v>750100</v>
      </c>
      <c r="D3820" t="s">
        <v>5897</v>
      </c>
      <c r="E3820" t="s">
        <v>13</v>
      </c>
      <c r="F3820" t="s">
        <v>14</v>
      </c>
      <c r="G3820">
        <v>39751583.5</v>
      </c>
      <c r="H3820">
        <v>6.3</v>
      </c>
      <c r="I3820" t="s">
        <v>31</v>
      </c>
    </row>
    <row r="3821" spans="1:12" x14ac:dyDescent="0.25">
      <c r="A3821" t="s">
        <v>4349</v>
      </c>
      <c r="B3821">
        <v>133</v>
      </c>
      <c r="C3821">
        <v>727883</v>
      </c>
      <c r="D3821" t="s">
        <v>5898</v>
      </c>
      <c r="E3821" t="s">
        <v>13</v>
      </c>
      <c r="F3821" t="s">
        <v>14</v>
      </c>
      <c r="G3821">
        <v>4500000</v>
      </c>
      <c r="H3821">
        <v>8.1</v>
      </c>
      <c r="I3821" t="s">
        <v>31</v>
      </c>
      <c r="J3821" t="s">
        <v>37</v>
      </c>
      <c r="K3821" t="s">
        <v>24</v>
      </c>
    </row>
    <row r="3822" spans="1:12" x14ac:dyDescent="0.25">
      <c r="A3822" t="s">
        <v>3723</v>
      </c>
      <c r="B3822">
        <v>137</v>
      </c>
      <c r="C3822">
        <v>717753</v>
      </c>
      <c r="D3822" t="s">
        <v>5899</v>
      </c>
      <c r="E3822" t="s">
        <v>13</v>
      </c>
      <c r="F3822" t="s">
        <v>295</v>
      </c>
      <c r="G3822">
        <v>25000000</v>
      </c>
      <c r="H3822">
        <v>6.1</v>
      </c>
      <c r="I3822" t="s">
        <v>28</v>
      </c>
      <c r="J3822" t="s">
        <v>31</v>
      </c>
    </row>
    <row r="3823" spans="1:12" x14ac:dyDescent="0.25">
      <c r="A3823" t="s">
        <v>5900</v>
      </c>
      <c r="B3823">
        <v>122</v>
      </c>
      <c r="C3823">
        <v>713413</v>
      </c>
      <c r="D3823" t="s">
        <v>5901</v>
      </c>
      <c r="E3823" t="s">
        <v>2200</v>
      </c>
      <c r="F3823" t="s">
        <v>1715</v>
      </c>
      <c r="G3823">
        <v>4500000</v>
      </c>
      <c r="H3823">
        <v>7.8</v>
      </c>
      <c r="I3823" t="s">
        <v>38</v>
      </c>
      <c r="J3823" t="s">
        <v>31</v>
      </c>
      <c r="K3823" t="s">
        <v>23</v>
      </c>
    </row>
    <row r="3824" spans="1:12" x14ac:dyDescent="0.25">
      <c r="A3824" t="s">
        <v>5902</v>
      </c>
      <c r="B3824">
        <v>112</v>
      </c>
      <c r="C3824">
        <v>712294</v>
      </c>
      <c r="D3824" t="s">
        <v>5903</v>
      </c>
      <c r="E3824" t="s">
        <v>13</v>
      </c>
      <c r="F3824" t="s">
        <v>14</v>
      </c>
      <c r="G3824">
        <v>1500000</v>
      </c>
      <c r="H3824">
        <v>6.7</v>
      </c>
      <c r="I3824" t="s">
        <v>31</v>
      </c>
    </row>
    <row r="3825" spans="1:13" x14ac:dyDescent="0.25">
      <c r="A3825" t="s">
        <v>5904</v>
      </c>
      <c r="B3825">
        <v>120</v>
      </c>
      <c r="C3825">
        <v>706622</v>
      </c>
      <c r="D3825" t="s">
        <v>5905</v>
      </c>
      <c r="E3825" t="s">
        <v>473</v>
      </c>
      <c r="F3825" t="s">
        <v>295</v>
      </c>
      <c r="G3825">
        <v>39751583.5</v>
      </c>
      <c r="H3825">
        <v>6.4</v>
      </c>
      <c r="I3825" t="s">
        <v>42</v>
      </c>
      <c r="J3825" t="s">
        <v>31</v>
      </c>
      <c r="K3825" t="s">
        <v>18</v>
      </c>
      <c r="L3825" t="s">
        <v>19</v>
      </c>
    </row>
    <row r="3826" spans="1:13" x14ac:dyDescent="0.25">
      <c r="A3826" t="s">
        <v>5906</v>
      </c>
      <c r="B3826">
        <v>86</v>
      </c>
      <c r="C3826">
        <v>703002</v>
      </c>
      <c r="D3826" t="s">
        <v>5907</v>
      </c>
      <c r="E3826" t="s">
        <v>13</v>
      </c>
      <c r="F3826" t="s">
        <v>98</v>
      </c>
      <c r="G3826">
        <v>3000000</v>
      </c>
      <c r="H3826">
        <v>6.1</v>
      </c>
      <c r="I3826" t="s">
        <v>34</v>
      </c>
      <c r="J3826" t="s">
        <v>15</v>
      </c>
      <c r="K3826" t="s">
        <v>24</v>
      </c>
    </row>
    <row r="3827" spans="1:13" x14ac:dyDescent="0.25">
      <c r="A3827" t="s">
        <v>5210</v>
      </c>
      <c r="B3827">
        <v>107</v>
      </c>
      <c r="C3827">
        <v>700000</v>
      </c>
      <c r="D3827" t="s">
        <v>5908</v>
      </c>
      <c r="E3827" t="s">
        <v>473</v>
      </c>
      <c r="F3827" t="s">
        <v>295</v>
      </c>
      <c r="G3827">
        <v>50000000</v>
      </c>
      <c r="H3827">
        <v>7</v>
      </c>
      <c r="I3827" t="s">
        <v>15</v>
      </c>
      <c r="J3827" t="s">
        <v>17</v>
      </c>
      <c r="K3827" t="s">
        <v>37</v>
      </c>
    </row>
    <row r="3828" spans="1:13" x14ac:dyDescent="0.25">
      <c r="A3828" t="s">
        <v>5909</v>
      </c>
      <c r="B3828">
        <v>95</v>
      </c>
      <c r="C3828">
        <v>695229</v>
      </c>
      <c r="D3828" t="s">
        <v>5910</v>
      </c>
      <c r="E3828" t="s">
        <v>13</v>
      </c>
      <c r="F3828" t="s">
        <v>14</v>
      </c>
      <c r="G3828">
        <v>1300000</v>
      </c>
      <c r="H3828">
        <v>7.2</v>
      </c>
      <c r="I3828" t="s">
        <v>15</v>
      </c>
      <c r="J3828" t="s">
        <v>31</v>
      </c>
    </row>
    <row r="3829" spans="1:13" x14ac:dyDescent="0.25">
      <c r="A3829" t="s">
        <v>4364</v>
      </c>
      <c r="B3829">
        <v>105</v>
      </c>
      <c r="C3829">
        <v>687081</v>
      </c>
      <c r="D3829" t="s">
        <v>5911</v>
      </c>
      <c r="E3829" t="s">
        <v>13</v>
      </c>
      <c r="F3829" t="s">
        <v>14</v>
      </c>
      <c r="G3829">
        <v>39751583.5</v>
      </c>
      <c r="H3829">
        <v>6</v>
      </c>
      <c r="I3829" t="s">
        <v>38</v>
      </c>
      <c r="J3829" t="s">
        <v>31</v>
      </c>
      <c r="K3829" t="s">
        <v>18</v>
      </c>
      <c r="L3829" t="s">
        <v>23</v>
      </c>
      <c r="M3829" t="s">
        <v>24</v>
      </c>
    </row>
    <row r="3830" spans="1:13" x14ac:dyDescent="0.25">
      <c r="A3830" t="s">
        <v>5912</v>
      </c>
      <c r="B3830">
        <v>75</v>
      </c>
      <c r="C3830">
        <v>686383</v>
      </c>
      <c r="D3830" t="s">
        <v>5913</v>
      </c>
      <c r="E3830" t="s">
        <v>13</v>
      </c>
      <c r="F3830" t="s">
        <v>295</v>
      </c>
      <c r="G3830">
        <v>6500000</v>
      </c>
      <c r="H3830">
        <v>7.7</v>
      </c>
      <c r="I3830" t="s">
        <v>28</v>
      </c>
      <c r="J3830" t="s">
        <v>46</v>
      </c>
      <c r="K3830" t="s">
        <v>16</v>
      </c>
      <c r="L3830" t="s">
        <v>17</v>
      </c>
    </row>
    <row r="3831" spans="1:13" x14ac:dyDescent="0.25">
      <c r="A3831" t="s">
        <v>156</v>
      </c>
      <c r="B3831">
        <v>103</v>
      </c>
      <c r="C3831">
        <v>676698</v>
      </c>
      <c r="D3831" t="s">
        <v>5914</v>
      </c>
      <c r="E3831" t="s">
        <v>13</v>
      </c>
      <c r="F3831" t="s">
        <v>14</v>
      </c>
      <c r="G3831">
        <v>18000000</v>
      </c>
      <c r="H3831">
        <v>7.2</v>
      </c>
      <c r="I3831" t="s">
        <v>38</v>
      </c>
      <c r="J3831" t="s">
        <v>31</v>
      </c>
      <c r="K3831" t="s">
        <v>23</v>
      </c>
      <c r="L3831" t="s">
        <v>24</v>
      </c>
    </row>
    <row r="3832" spans="1:13" x14ac:dyDescent="0.25">
      <c r="A3832" t="s">
        <v>5915</v>
      </c>
      <c r="B3832">
        <v>90</v>
      </c>
      <c r="C3832">
        <v>673780</v>
      </c>
      <c r="D3832" t="s">
        <v>5916</v>
      </c>
      <c r="E3832" t="s">
        <v>4951</v>
      </c>
      <c r="F3832" t="s">
        <v>4952</v>
      </c>
      <c r="G3832">
        <v>10000</v>
      </c>
      <c r="H3832">
        <v>7.5</v>
      </c>
      <c r="I3832" t="s">
        <v>31</v>
      </c>
    </row>
    <row r="3833" spans="1:13" x14ac:dyDescent="0.25">
      <c r="A3833" t="s">
        <v>1518</v>
      </c>
      <c r="B3833">
        <v>90</v>
      </c>
      <c r="C3833">
        <v>671240</v>
      </c>
      <c r="D3833" t="s">
        <v>5917</v>
      </c>
      <c r="E3833" t="s">
        <v>13</v>
      </c>
      <c r="F3833" t="s">
        <v>82</v>
      </c>
      <c r="G3833">
        <v>7900000</v>
      </c>
      <c r="H3833">
        <v>6.9</v>
      </c>
      <c r="I3833" t="s">
        <v>15</v>
      </c>
      <c r="J3833" t="s">
        <v>31</v>
      </c>
      <c r="K3833" t="s">
        <v>19</v>
      </c>
    </row>
    <row r="3834" spans="1:13" x14ac:dyDescent="0.25">
      <c r="A3834" t="s">
        <v>5918</v>
      </c>
      <c r="B3834">
        <v>80</v>
      </c>
      <c r="C3834">
        <v>669276</v>
      </c>
      <c r="D3834" t="s">
        <v>5919</v>
      </c>
      <c r="E3834" t="s">
        <v>13</v>
      </c>
      <c r="F3834" t="s">
        <v>82</v>
      </c>
      <c r="G3834">
        <v>28000000</v>
      </c>
      <c r="H3834">
        <v>7.2</v>
      </c>
      <c r="I3834" t="s">
        <v>34</v>
      </c>
      <c r="J3834" t="s">
        <v>28</v>
      </c>
      <c r="K3834" t="s">
        <v>46</v>
      </c>
      <c r="L3834" t="s">
        <v>15</v>
      </c>
      <c r="M3834" t="s">
        <v>17</v>
      </c>
    </row>
    <row r="3835" spans="1:13" x14ac:dyDescent="0.25">
      <c r="A3835" t="s">
        <v>5920</v>
      </c>
      <c r="B3835">
        <v>103</v>
      </c>
      <c r="C3835">
        <v>668171</v>
      </c>
      <c r="D3835" t="s">
        <v>5921</v>
      </c>
      <c r="E3835" t="s">
        <v>1300</v>
      </c>
      <c r="F3835" t="s">
        <v>1206</v>
      </c>
      <c r="G3835">
        <v>60000000</v>
      </c>
      <c r="H3835">
        <v>5.6</v>
      </c>
      <c r="I3835" t="s">
        <v>34</v>
      </c>
      <c r="J3835" t="s">
        <v>31</v>
      </c>
      <c r="K3835" t="s">
        <v>17</v>
      </c>
    </row>
    <row r="3836" spans="1:13" x14ac:dyDescent="0.25">
      <c r="A3836" t="s">
        <v>5922</v>
      </c>
      <c r="B3836">
        <v>89</v>
      </c>
      <c r="C3836">
        <v>653621</v>
      </c>
      <c r="D3836" t="s">
        <v>5923</v>
      </c>
      <c r="E3836" t="s">
        <v>13</v>
      </c>
      <c r="F3836" t="s">
        <v>14</v>
      </c>
      <c r="G3836">
        <v>2000000</v>
      </c>
      <c r="H3836">
        <v>6.8</v>
      </c>
      <c r="I3836" t="s">
        <v>42</v>
      </c>
      <c r="J3836" t="s">
        <v>52</v>
      </c>
      <c r="K3836" t="s">
        <v>64</v>
      </c>
    </row>
    <row r="3837" spans="1:13" x14ac:dyDescent="0.25">
      <c r="A3837" t="s">
        <v>950</v>
      </c>
      <c r="B3837">
        <v>93</v>
      </c>
      <c r="C3837">
        <v>652526</v>
      </c>
      <c r="D3837" t="s">
        <v>5924</v>
      </c>
      <c r="E3837" t="s">
        <v>13</v>
      </c>
      <c r="F3837" t="s">
        <v>241</v>
      </c>
      <c r="G3837">
        <v>40000000</v>
      </c>
      <c r="H3837">
        <v>5.0999999999999996</v>
      </c>
      <c r="I3837" t="s">
        <v>34</v>
      </c>
      <c r="J3837" t="s">
        <v>28</v>
      </c>
      <c r="K3837" t="s">
        <v>16</v>
      </c>
      <c r="L3837" t="s">
        <v>24</v>
      </c>
    </row>
    <row r="3838" spans="1:13" x14ac:dyDescent="0.25">
      <c r="A3838" t="s">
        <v>5925</v>
      </c>
      <c r="B3838">
        <v>135</v>
      </c>
      <c r="C3838">
        <v>638951</v>
      </c>
      <c r="D3838" t="s">
        <v>5926</v>
      </c>
      <c r="E3838" t="s">
        <v>5927</v>
      </c>
      <c r="F3838" t="s">
        <v>14</v>
      </c>
      <c r="G3838">
        <v>1592000</v>
      </c>
      <c r="H3838">
        <v>7.4</v>
      </c>
      <c r="I3838" t="s">
        <v>31</v>
      </c>
    </row>
    <row r="3839" spans="1:13" x14ac:dyDescent="0.25">
      <c r="A3839" t="s">
        <v>3546</v>
      </c>
      <c r="B3839">
        <v>90</v>
      </c>
      <c r="C3839">
        <v>638476</v>
      </c>
      <c r="D3839" t="s">
        <v>5928</v>
      </c>
      <c r="E3839" t="s">
        <v>13</v>
      </c>
      <c r="F3839" t="s">
        <v>14</v>
      </c>
      <c r="G3839">
        <v>1500000</v>
      </c>
      <c r="H3839">
        <v>6.6</v>
      </c>
      <c r="I3839" t="s">
        <v>15</v>
      </c>
      <c r="J3839" t="s">
        <v>52</v>
      </c>
    </row>
    <row r="3840" spans="1:13" x14ac:dyDescent="0.25">
      <c r="A3840" t="s">
        <v>1273</v>
      </c>
      <c r="B3840">
        <v>120</v>
      </c>
      <c r="C3840">
        <v>634277</v>
      </c>
      <c r="D3840" t="s">
        <v>5929</v>
      </c>
      <c r="E3840" t="s">
        <v>473</v>
      </c>
      <c r="F3840" t="s">
        <v>295</v>
      </c>
      <c r="G3840">
        <v>16000000</v>
      </c>
      <c r="H3840">
        <v>7.3</v>
      </c>
      <c r="I3840" t="s">
        <v>15</v>
      </c>
      <c r="J3840" t="s">
        <v>64</v>
      </c>
    </row>
    <row r="3841" spans="1:13" x14ac:dyDescent="0.25">
      <c r="A3841" t="s">
        <v>369</v>
      </c>
      <c r="B3841">
        <v>148</v>
      </c>
      <c r="C3841">
        <v>630779</v>
      </c>
      <c r="D3841" t="s">
        <v>5930</v>
      </c>
      <c r="E3841" t="s">
        <v>13</v>
      </c>
      <c r="F3841" t="s">
        <v>14</v>
      </c>
      <c r="G3841">
        <v>35000000</v>
      </c>
      <c r="H3841">
        <v>6.8</v>
      </c>
      <c r="I3841" t="s">
        <v>31</v>
      </c>
      <c r="J3841" t="s">
        <v>19</v>
      </c>
      <c r="K3841" t="s">
        <v>83</v>
      </c>
      <c r="L3841" t="s">
        <v>69</v>
      </c>
    </row>
    <row r="3842" spans="1:13" x14ac:dyDescent="0.25">
      <c r="A3842" t="s">
        <v>3192</v>
      </c>
      <c r="B3842">
        <v>110</v>
      </c>
      <c r="C3842">
        <v>623374</v>
      </c>
      <c r="D3842" t="s">
        <v>5931</v>
      </c>
      <c r="E3842" t="s">
        <v>13</v>
      </c>
      <c r="F3842" t="s">
        <v>14</v>
      </c>
      <c r="G3842">
        <v>38000000</v>
      </c>
      <c r="H3842">
        <v>5.2</v>
      </c>
      <c r="I3842" t="s">
        <v>34</v>
      </c>
      <c r="J3842" t="s">
        <v>28</v>
      </c>
      <c r="K3842" t="s">
        <v>31</v>
      </c>
      <c r="L3842" t="s">
        <v>24</v>
      </c>
      <c r="M3842" t="s">
        <v>69</v>
      </c>
    </row>
    <row r="3843" spans="1:13" x14ac:dyDescent="0.25">
      <c r="A3843" t="s">
        <v>5932</v>
      </c>
      <c r="B3843">
        <v>124</v>
      </c>
      <c r="C3843">
        <v>621240</v>
      </c>
      <c r="D3843" t="s">
        <v>5933</v>
      </c>
      <c r="E3843" t="s">
        <v>1893</v>
      </c>
      <c r="F3843" t="s">
        <v>241</v>
      </c>
      <c r="G3843">
        <v>39751583.5</v>
      </c>
      <c r="H3843">
        <v>7.4</v>
      </c>
      <c r="I3843" t="s">
        <v>38</v>
      </c>
      <c r="J3843" t="s">
        <v>31</v>
      </c>
    </row>
    <row r="3844" spans="1:13" x14ac:dyDescent="0.25">
      <c r="A3844" t="s">
        <v>194</v>
      </c>
      <c r="B3844">
        <v>141</v>
      </c>
      <c r="C3844">
        <v>617840</v>
      </c>
      <c r="D3844" t="s">
        <v>5934</v>
      </c>
      <c r="E3844" t="s">
        <v>13</v>
      </c>
      <c r="F3844" t="s">
        <v>910</v>
      </c>
      <c r="G3844">
        <v>70000000</v>
      </c>
      <c r="H3844">
        <v>7.2</v>
      </c>
      <c r="I3844" t="s">
        <v>28</v>
      </c>
      <c r="J3844" t="s">
        <v>31</v>
      </c>
      <c r="K3844" t="s">
        <v>64</v>
      </c>
      <c r="L3844" t="s">
        <v>19</v>
      </c>
    </row>
    <row r="3845" spans="1:13" x14ac:dyDescent="0.25">
      <c r="A3845" t="s">
        <v>5935</v>
      </c>
      <c r="B3845">
        <v>113</v>
      </c>
      <c r="C3845">
        <v>617228</v>
      </c>
      <c r="D3845" t="s">
        <v>5936</v>
      </c>
      <c r="E3845" t="s">
        <v>5937</v>
      </c>
      <c r="F3845" t="s">
        <v>5610</v>
      </c>
      <c r="G3845">
        <v>84450000</v>
      </c>
      <c r="H3845">
        <v>7.4</v>
      </c>
      <c r="I3845" t="s">
        <v>15</v>
      </c>
      <c r="J3845" t="s">
        <v>31</v>
      </c>
      <c r="K3845" t="s">
        <v>19</v>
      </c>
      <c r="L3845" t="s">
        <v>83</v>
      </c>
    </row>
    <row r="3846" spans="1:13" x14ac:dyDescent="0.25">
      <c r="A3846" t="s">
        <v>5938</v>
      </c>
      <c r="B3846">
        <v>86</v>
      </c>
      <c r="C3846">
        <v>617172</v>
      </c>
      <c r="D3846" t="s">
        <v>5939</v>
      </c>
      <c r="E3846" t="s">
        <v>13</v>
      </c>
      <c r="F3846" t="s">
        <v>14</v>
      </c>
      <c r="G3846">
        <v>375000</v>
      </c>
      <c r="H3846">
        <v>7</v>
      </c>
      <c r="I3846" t="s">
        <v>52</v>
      </c>
    </row>
    <row r="3847" spans="1:13" x14ac:dyDescent="0.25">
      <c r="A3847" t="s">
        <v>5940</v>
      </c>
      <c r="B3847">
        <v>105</v>
      </c>
      <c r="C3847">
        <v>613556</v>
      </c>
      <c r="D3847" t="s">
        <v>5941</v>
      </c>
      <c r="E3847" t="s">
        <v>1300</v>
      </c>
      <c r="F3847" t="s">
        <v>5942</v>
      </c>
      <c r="G3847">
        <v>15000000</v>
      </c>
      <c r="H3847">
        <v>6.4</v>
      </c>
      <c r="I3847" t="s">
        <v>34</v>
      </c>
      <c r="J3847" t="s">
        <v>31</v>
      </c>
    </row>
    <row r="3848" spans="1:13" x14ac:dyDescent="0.25">
      <c r="A3848" t="s">
        <v>5943</v>
      </c>
      <c r="B3848">
        <v>93</v>
      </c>
      <c r="C3848">
        <v>611709</v>
      </c>
      <c r="D3848" t="s">
        <v>5944</v>
      </c>
      <c r="E3848" t="s">
        <v>473</v>
      </c>
      <c r="F3848" t="s">
        <v>5945</v>
      </c>
      <c r="G3848">
        <v>3850000</v>
      </c>
      <c r="H3848">
        <v>7.2</v>
      </c>
      <c r="I3848" t="s">
        <v>15</v>
      </c>
      <c r="J3848" t="s">
        <v>31</v>
      </c>
    </row>
    <row r="3849" spans="1:13" x14ac:dyDescent="0.25">
      <c r="A3849" t="s">
        <v>5946</v>
      </c>
      <c r="B3849">
        <v>167</v>
      </c>
      <c r="C3849">
        <v>610991</v>
      </c>
      <c r="D3849" t="s">
        <v>5947</v>
      </c>
      <c r="E3849" t="s">
        <v>1409</v>
      </c>
      <c r="F3849" t="s">
        <v>1296</v>
      </c>
      <c r="G3849">
        <v>1000000</v>
      </c>
      <c r="H3849">
        <v>6.2</v>
      </c>
      <c r="I3849" t="s">
        <v>31</v>
      </c>
      <c r="J3849" t="s">
        <v>19</v>
      </c>
    </row>
    <row r="3850" spans="1:13" x14ac:dyDescent="0.25">
      <c r="A3850" t="s">
        <v>5677</v>
      </c>
      <c r="B3850">
        <v>115</v>
      </c>
      <c r="C3850">
        <v>610968</v>
      </c>
      <c r="D3850" t="s">
        <v>5948</v>
      </c>
      <c r="E3850" t="s">
        <v>1441</v>
      </c>
      <c r="F3850" t="s">
        <v>1442</v>
      </c>
      <c r="G3850">
        <v>3800000</v>
      </c>
      <c r="H3850">
        <v>8.3000000000000007</v>
      </c>
      <c r="I3850" t="s">
        <v>31</v>
      </c>
    </row>
    <row r="3851" spans="1:13" x14ac:dyDescent="0.25">
      <c r="A3851" t="s">
        <v>5949</v>
      </c>
      <c r="B3851">
        <v>105</v>
      </c>
      <c r="C3851">
        <v>609042</v>
      </c>
      <c r="D3851" t="s">
        <v>5950</v>
      </c>
      <c r="E3851" t="s">
        <v>13</v>
      </c>
      <c r="F3851" t="s">
        <v>14</v>
      </c>
      <c r="G3851">
        <v>1300000</v>
      </c>
      <c r="H3851">
        <v>6.5</v>
      </c>
      <c r="I3851" t="s">
        <v>31</v>
      </c>
    </row>
    <row r="3852" spans="1:13" x14ac:dyDescent="0.25">
      <c r="A3852" t="s">
        <v>5951</v>
      </c>
      <c r="B3852">
        <v>90</v>
      </c>
      <c r="C3852">
        <v>603943</v>
      </c>
      <c r="D3852" t="s">
        <v>5952</v>
      </c>
      <c r="E3852" t="s">
        <v>13</v>
      </c>
      <c r="F3852" t="s">
        <v>14</v>
      </c>
      <c r="G3852">
        <v>500000</v>
      </c>
      <c r="H3852">
        <v>7.3</v>
      </c>
      <c r="I3852" t="s">
        <v>38</v>
      </c>
      <c r="J3852" t="s">
        <v>31</v>
      </c>
    </row>
    <row r="3853" spans="1:13" x14ac:dyDescent="0.25">
      <c r="A3853" t="s">
        <v>2833</v>
      </c>
      <c r="B3853">
        <v>89</v>
      </c>
      <c r="C3853">
        <v>598645</v>
      </c>
      <c r="D3853" t="s">
        <v>5953</v>
      </c>
      <c r="E3853" t="s">
        <v>13</v>
      </c>
      <c r="F3853" t="s">
        <v>82</v>
      </c>
      <c r="G3853">
        <v>10000000</v>
      </c>
      <c r="H3853">
        <v>3.6</v>
      </c>
      <c r="I3853" t="s">
        <v>15</v>
      </c>
      <c r="J3853" t="s">
        <v>19</v>
      </c>
    </row>
    <row r="3854" spans="1:13" x14ac:dyDescent="0.25">
      <c r="A3854" t="s">
        <v>5954</v>
      </c>
      <c r="B3854">
        <v>108</v>
      </c>
      <c r="C3854">
        <v>594904</v>
      </c>
      <c r="D3854" t="s">
        <v>5955</v>
      </c>
      <c r="E3854" t="s">
        <v>13</v>
      </c>
      <c r="F3854" t="s">
        <v>14</v>
      </c>
      <c r="G3854">
        <v>1200000</v>
      </c>
      <c r="H3854">
        <v>6</v>
      </c>
      <c r="I3854" t="s">
        <v>15</v>
      </c>
      <c r="J3854" t="s">
        <v>31</v>
      </c>
    </row>
    <row r="3855" spans="1:13" x14ac:dyDescent="0.25">
      <c r="A3855" t="s">
        <v>5956</v>
      </c>
      <c r="B3855">
        <v>88</v>
      </c>
      <c r="C3855">
        <v>592014</v>
      </c>
      <c r="D3855" t="s">
        <v>5957</v>
      </c>
      <c r="E3855" t="s">
        <v>13</v>
      </c>
      <c r="F3855" t="s">
        <v>14</v>
      </c>
      <c r="G3855">
        <v>218</v>
      </c>
      <c r="H3855">
        <v>7.2</v>
      </c>
      <c r="I3855" t="s">
        <v>42</v>
      </c>
      <c r="J3855" t="s">
        <v>52</v>
      </c>
    </row>
    <row r="3856" spans="1:13" x14ac:dyDescent="0.25">
      <c r="A3856" t="s">
        <v>1069</v>
      </c>
      <c r="B3856">
        <v>92</v>
      </c>
      <c r="C3856">
        <v>582024</v>
      </c>
      <c r="D3856" t="s">
        <v>5958</v>
      </c>
      <c r="E3856" t="s">
        <v>13</v>
      </c>
      <c r="F3856" t="s">
        <v>14</v>
      </c>
      <c r="G3856">
        <v>1000000</v>
      </c>
      <c r="H3856">
        <v>6.2</v>
      </c>
      <c r="I3856" t="s">
        <v>15</v>
      </c>
      <c r="J3856" t="s">
        <v>37</v>
      </c>
    </row>
    <row r="3857" spans="1:13" x14ac:dyDescent="0.25">
      <c r="A3857" t="s">
        <v>5959</v>
      </c>
      <c r="B3857">
        <v>107</v>
      </c>
      <c r="C3857">
        <v>578527</v>
      </c>
      <c r="D3857" t="s">
        <v>5960</v>
      </c>
      <c r="E3857" t="s">
        <v>13</v>
      </c>
      <c r="F3857" t="s">
        <v>14</v>
      </c>
      <c r="G3857">
        <v>10000000</v>
      </c>
      <c r="H3857">
        <v>5.7</v>
      </c>
      <c r="I3857" t="s">
        <v>34</v>
      </c>
      <c r="J3857" t="s">
        <v>15</v>
      </c>
      <c r="K3857" t="s">
        <v>24</v>
      </c>
    </row>
    <row r="3858" spans="1:13" x14ac:dyDescent="0.25">
      <c r="A3858" t="s">
        <v>5961</v>
      </c>
      <c r="B3858">
        <v>101</v>
      </c>
      <c r="C3858">
        <v>578382</v>
      </c>
      <c r="D3858" t="s">
        <v>5962</v>
      </c>
      <c r="E3858" t="s">
        <v>13</v>
      </c>
      <c r="F3858" t="s">
        <v>14</v>
      </c>
      <c r="G3858">
        <v>39751583.5</v>
      </c>
      <c r="H3858">
        <v>6.3</v>
      </c>
      <c r="I3858" t="s">
        <v>38</v>
      </c>
      <c r="J3858" t="s">
        <v>31</v>
      </c>
      <c r="K3858" t="s">
        <v>23</v>
      </c>
      <c r="L3858" t="s">
        <v>19</v>
      </c>
      <c r="M3858" t="s">
        <v>24</v>
      </c>
    </row>
    <row r="3859" spans="1:13" x14ac:dyDescent="0.25">
      <c r="A3859" t="s">
        <v>5963</v>
      </c>
      <c r="B3859">
        <v>108</v>
      </c>
      <c r="C3859">
        <v>568695</v>
      </c>
      <c r="D3859" t="s">
        <v>5964</v>
      </c>
      <c r="E3859" t="s">
        <v>13</v>
      </c>
      <c r="F3859" t="s">
        <v>14</v>
      </c>
      <c r="G3859">
        <v>8000000</v>
      </c>
      <c r="H3859">
        <v>6.5</v>
      </c>
      <c r="I3859" t="s">
        <v>31</v>
      </c>
      <c r="J3859" t="s">
        <v>19</v>
      </c>
      <c r="K3859" t="s">
        <v>24</v>
      </c>
    </row>
    <row r="3860" spans="1:13" x14ac:dyDescent="0.25">
      <c r="A3860" t="s">
        <v>2972</v>
      </c>
      <c r="B3860">
        <v>97</v>
      </c>
      <c r="C3860">
        <v>565592</v>
      </c>
      <c r="D3860" t="s">
        <v>5965</v>
      </c>
      <c r="E3860" t="s">
        <v>13</v>
      </c>
      <c r="F3860" t="s">
        <v>14</v>
      </c>
      <c r="G3860">
        <v>39751583.5</v>
      </c>
      <c r="H3860">
        <v>6.8</v>
      </c>
      <c r="I3860" t="s">
        <v>15</v>
      </c>
      <c r="J3860" t="s">
        <v>31</v>
      </c>
      <c r="K3860" t="s">
        <v>16</v>
      </c>
    </row>
    <row r="3861" spans="1:13" x14ac:dyDescent="0.25">
      <c r="A3861" t="s">
        <v>5966</v>
      </c>
      <c r="B3861">
        <v>128</v>
      </c>
      <c r="C3861">
        <v>563699</v>
      </c>
      <c r="D3861" t="s">
        <v>5967</v>
      </c>
      <c r="E3861" t="s">
        <v>1409</v>
      </c>
      <c r="F3861" t="s">
        <v>1296</v>
      </c>
      <c r="G3861">
        <v>39751583.5</v>
      </c>
      <c r="H3861">
        <v>6.2</v>
      </c>
      <c r="I3861" t="s">
        <v>34</v>
      </c>
      <c r="J3861" t="s">
        <v>38</v>
      </c>
      <c r="K3861" t="s">
        <v>31</v>
      </c>
      <c r="L3861" t="s">
        <v>24</v>
      </c>
    </row>
    <row r="3862" spans="1:13" x14ac:dyDescent="0.25">
      <c r="A3862" t="s">
        <v>5968</v>
      </c>
      <c r="B3862">
        <v>99</v>
      </c>
      <c r="C3862">
        <v>562059</v>
      </c>
      <c r="D3862" t="s">
        <v>5969</v>
      </c>
      <c r="E3862" t="s">
        <v>13</v>
      </c>
      <c r="F3862" t="s">
        <v>14</v>
      </c>
      <c r="G3862">
        <v>4000000</v>
      </c>
      <c r="H3862">
        <v>7</v>
      </c>
      <c r="I3862" t="s">
        <v>31</v>
      </c>
      <c r="J3862" t="s">
        <v>24</v>
      </c>
    </row>
    <row r="3863" spans="1:13" x14ac:dyDescent="0.25">
      <c r="A3863" t="s">
        <v>5970</v>
      </c>
      <c r="B3863">
        <v>110</v>
      </c>
      <c r="C3863">
        <v>560512</v>
      </c>
      <c r="D3863" t="s">
        <v>5971</v>
      </c>
      <c r="E3863" t="s">
        <v>5544</v>
      </c>
      <c r="F3863" t="s">
        <v>14</v>
      </c>
      <c r="G3863">
        <v>39751583.5</v>
      </c>
      <c r="H3863">
        <v>7.8</v>
      </c>
      <c r="I3863" t="s">
        <v>31</v>
      </c>
    </row>
    <row r="3864" spans="1:13" x14ac:dyDescent="0.25">
      <c r="A3864" t="s">
        <v>5972</v>
      </c>
      <c r="B3864">
        <v>97</v>
      </c>
      <c r="C3864">
        <v>549632</v>
      </c>
      <c r="D3864" t="s">
        <v>5973</v>
      </c>
      <c r="E3864" t="s">
        <v>13</v>
      </c>
      <c r="F3864" t="s">
        <v>5974</v>
      </c>
      <c r="G3864">
        <v>39751583.5</v>
      </c>
      <c r="H3864">
        <v>4.8</v>
      </c>
      <c r="I3864" t="s">
        <v>28</v>
      </c>
      <c r="J3864" t="s">
        <v>16</v>
      </c>
      <c r="K3864" t="s">
        <v>17</v>
      </c>
    </row>
    <row r="3865" spans="1:13" x14ac:dyDescent="0.25">
      <c r="A3865" t="s">
        <v>101</v>
      </c>
      <c r="B3865">
        <v>111</v>
      </c>
      <c r="C3865">
        <v>548934</v>
      </c>
      <c r="D3865" t="s">
        <v>5975</v>
      </c>
      <c r="E3865" t="s">
        <v>13</v>
      </c>
      <c r="F3865" t="s">
        <v>1465</v>
      </c>
      <c r="G3865">
        <v>12000000</v>
      </c>
      <c r="H3865">
        <v>6.8</v>
      </c>
      <c r="I3865" t="s">
        <v>31</v>
      </c>
      <c r="J3865" t="s">
        <v>23</v>
      </c>
      <c r="K3865" t="s">
        <v>19</v>
      </c>
    </row>
    <row r="3866" spans="1:13" x14ac:dyDescent="0.25">
      <c r="A3866" t="s">
        <v>310</v>
      </c>
      <c r="B3866">
        <v>108</v>
      </c>
      <c r="C3866">
        <v>548712</v>
      </c>
      <c r="D3866" t="s">
        <v>5976</v>
      </c>
      <c r="E3866" t="s">
        <v>13</v>
      </c>
      <c r="F3866" t="s">
        <v>14</v>
      </c>
      <c r="G3866">
        <v>2500000</v>
      </c>
      <c r="H3866">
        <v>6.9</v>
      </c>
      <c r="I3866" t="s">
        <v>31</v>
      </c>
      <c r="J3866" t="s">
        <v>19</v>
      </c>
    </row>
    <row r="3867" spans="1:13" x14ac:dyDescent="0.25">
      <c r="A3867" t="s">
        <v>5977</v>
      </c>
      <c r="B3867">
        <v>103</v>
      </c>
      <c r="C3867">
        <v>542860</v>
      </c>
      <c r="D3867" t="s">
        <v>5978</v>
      </c>
      <c r="E3867" t="s">
        <v>2200</v>
      </c>
      <c r="F3867" t="s">
        <v>1715</v>
      </c>
      <c r="G3867">
        <v>4000000</v>
      </c>
      <c r="H3867">
        <v>7.1</v>
      </c>
      <c r="I3867" t="s">
        <v>31</v>
      </c>
      <c r="J3867" t="s">
        <v>64</v>
      </c>
      <c r="K3867" t="s">
        <v>83</v>
      </c>
    </row>
    <row r="3868" spans="1:13" x14ac:dyDescent="0.25">
      <c r="A3868" t="s">
        <v>5866</v>
      </c>
      <c r="B3868">
        <v>105</v>
      </c>
      <c r="C3868">
        <v>540085</v>
      </c>
      <c r="D3868" t="s">
        <v>5979</v>
      </c>
      <c r="E3868" t="s">
        <v>13</v>
      </c>
      <c r="F3868" t="s">
        <v>14</v>
      </c>
      <c r="G3868">
        <v>39751583.5</v>
      </c>
      <c r="H3868">
        <v>6.3</v>
      </c>
      <c r="I3868" t="s">
        <v>15</v>
      </c>
      <c r="J3868" t="s">
        <v>59</v>
      </c>
      <c r="K3868" t="s">
        <v>19</v>
      </c>
    </row>
    <row r="3869" spans="1:13" x14ac:dyDescent="0.25">
      <c r="A3869" t="s">
        <v>1084</v>
      </c>
      <c r="B3869">
        <v>129</v>
      </c>
      <c r="C3869">
        <v>537580</v>
      </c>
      <c r="D3869" t="s">
        <v>5980</v>
      </c>
      <c r="E3869" t="s">
        <v>13</v>
      </c>
      <c r="F3869" t="s">
        <v>14</v>
      </c>
      <c r="G3869">
        <v>30000000</v>
      </c>
      <c r="H3869">
        <v>6.8</v>
      </c>
      <c r="I3869" t="s">
        <v>34</v>
      </c>
      <c r="J3869" t="s">
        <v>42</v>
      </c>
      <c r="K3869" t="s">
        <v>38</v>
      </c>
      <c r="L3869" t="s">
        <v>31</v>
      </c>
    </row>
    <row r="3870" spans="1:13" x14ac:dyDescent="0.25">
      <c r="A3870" t="s">
        <v>5981</v>
      </c>
      <c r="B3870">
        <v>87</v>
      </c>
      <c r="C3870">
        <v>536767</v>
      </c>
      <c r="D3870" t="s">
        <v>5982</v>
      </c>
      <c r="E3870" t="s">
        <v>13</v>
      </c>
      <c r="F3870" t="s">
        <v>14</v>
      </c>
      <c r="G3870">
        <v>60000</v>
      </c>
      <c r="H3870">
        <v>5.3</v>
      </c>
      <c r="I3870" t="s">
        <v>42</v>
      </c>
      <c r="J3870" t="s">
        <v>15</v>
      </c>
      <c r="K3870" t="s">
        <v>19</v>
      </c>
    </row>
    <row r="3871" spans="1:13" x14ac:dyDescent="0.25">
      <c r="A3871" t="s">
        <v>5983</v>
      </c>
      <c r="B3871">
        <v>86</v>
      </c>
      <c r="C3871">
        <v>535249</v>
      </c>
      <c r="D3871" t="s">
        <v>5984</v>
      </c>
      <c r="E3871" t="s">
        <v>13</v>
      </c>
      <c r="F3871" t="s">
        <v>14</v>
      </c>
      <c r="G3871">
        <v>3400000</v>
      </c>
      <c r="H3871">
        <v>4.5999999999999996</v>
      </c>
      <c r="I3871" t="s">
        <v>15</v>
      </c>
    </row>
    <row r="3872" spans="1:13" x14ac:dyDescent="0.25">
      <c r="A3872" t="s">
        <v>835</v>
      </c>
      <c r="B3872">
        <v>112</v>
      </c>
      <c r="C3872">
        <v>533344</v>
      </c>
      <c r="D3872" t="s">
        <v>5985</v>
      </c>
      <c r="E3872" t="s">
        <v>13</v>
      </c>
      <c r="F3872" t="s">
        <v>14</v>
      </c>
      <c r="G3872">
        <v>39751583.5</v>
      </c>
      <c r="H3872">
        <v>5.5</v>
      </c>
      <c r="I3872" t="s">
        <v>15</v>
      </c>
      <c r="J3872" t="s">
        <v>31</v>
      </c>
      <c r="K3872" t="s">
        <v>18</v>
      </c>
    </row>
    <row r="3873" spans="1:13" x14ac:dyDescent="0.25">
      <c r="A3873" t="s">
        <v>3438</v>
      </c>
      <c r="B3873">
        <v>103</v>
      </c>
      <c r="C3873">
        <v>532988</v>
      </c>
      <c r="D3873" t="s">
        <v>5986</v>
      </c>
      <c r="E3873" t="s">
        <v>13</v>
      </c>
      <c r="F3873" t="s">
        <v>14</v>
      </c>
      <c r="G3873">
        <v>7000000</v>
      </c>
      <c r="H3873">
        <v>6.5</v>
      </c>
      <c r="I3873" t="s">
        <v>42</v>
      </c>
      <c r="J3873" t="s">
        <v>31</v>
      </c>
      <c r="K3873" t="s">
        <v>19</v>
      </c>
    </row>
    <row r="3874" spans="1:13" x14ac:dyDescent="0.25">
      <c r="A3874" t="s">
        <v>4888</v>
      </c>
      <c r="B3874">
        <v>106</v>
      </c>
      <c r="C3874">
        <v>532190</v>
      </c>
      <c r="D3874" t="s">
        <v>5987</v>
      </c>
      <c r="E3874" t="s">
        <v>13</v>
      </c>
      <c r="F3874" t="s">
        <v>14</v>
      </c>
      <c r="G3874">
        <v>8000000</v>
      </c>
      <c r="H3874">
        <v>6.8</v>
      </c>
      <c r="I3874" t="s">
        <v>42</v>
      </c>
      <c r="J3874" t="s">
        <v>31</v>
      </c>
      <c r="K3874" t="s">
        <v>19</v>
      </c>
      <c r="L3874" t="s">
        <v>41</v>
      </c>
    </row>
    <row r="3875" spans="1:13" x14ac:dyDescent="0.25">
      <c r="A3875" t="s">
        <v>1873</v>
      </c>
      <c r="B3875">
        <v>105</v>
      </c>
      <c r="C3875">
        <v>531806</v>
      </c>
      <c r="D3875" t="s">
        <v>5988</v>
      </c>
      <c r="E3875" t="s">
        <v>13</v>
      </c>
      <c r="F3875" t="s">
        <v>14</v>
      </c>
      <c r="G3875">
        <v>39751583.5</v>
      </c>
      <c r="H3875">
        <v>3.4</v>
      </c>
      <c r="I3875" t="s">
        <v>59</v>
      </c>
    </row>
    <row r="3876" spans="1:13" x14ac:dyDescent="0.25">
      <c r="A3876" t="s">
        <v>5989</v>
      </c>
      <c r="B3876">
        <v>122</v>
      </c>
      <c r="C3876">
        <v>531009</v>
      </c>
      <c r="D3876" t="s">
        <v>5990</v>
      </c>
      <c r="E3876" t="s">
        <v>13</v>
      </c>
      <c r="F3876" t="s">
        <v>14</v>
      </c>
      <c r="G3876">
        <v>10000000</v>
      </c>
      <c r="H3876">
        <v>5.3</v>
      </c>
      <c r="I3876" t="s">
        <v>31</v>
      </c>
      <c r="J3876" t="s">
        <v>19</v>
      </c>
    </row>
    <row r="3877" spans="1:13" x14ac:dyDescent="0.25">
      <c r="A3877" t="s">
        <v>811</v>
      </c>
      <c r="B3877">
        <v>115</v>
      </c>
      <c r="C3877">
        <v>529766</v>
      </c>
      <c r="D3877" t="s">
        <v>5991</v>
      </c>
      <c r="E3877" t="s">
        <v>13</v>
      </c>
      <c r="F3877" t="s">
        <v>14</v>
      </c>
      <c r="G3877">
        <v>7000000</v>
      </c>
      <c r="H3877">
        <v>6.8</v>
      </c>
      <c r="I3877" t="s">
        <v>38</v>
      </c>
      <c r="J3877" t="s">
        <v>31</v>
      </c>
    </row>
    <row r="3878" spans="1:13" x14ac:dyDescent="0.25">
      <c r="A3878" t="s">
        <v>5411</v>
      </c>
      <c r="B3878">
        <v>110</v>
      </c>
      <c r="C3878">
        <v>528972</v>
      </c>
      <c r="D3878" t="s">
        <v>5992</v>
      </c>
      <c r="E3878" t="s">
        <v>1409</v>
      </c>
      <c r="F3878" t="s">
        <v>1296</v>
      </c>
      <c r="G3878">
        <v>39751583.5</v>
      </c>
      <c r="H3878">
        <v>7.8</v>
      </c>
      <c r="I3878" t="s">
        <v>31</v>
      </c>
      <c r="J3878" t="s">
        <v>19</v>
      </c>
      <c r="K3878" t="s">
        <v>83</v>
      </c>
    </row>
    <row r="3879" spans="1:13" x14ac:dyDescent="0.25">
      <c r="A3879" t="s">
        <v>4554</v>
      </c>
      <c r="B3879">
        <v>93</v>
      </c>
      <c r="C3879">
        <v>518134</v>
      </c>
      <c r="D3879" t="s">
        <v>5993</v>
      </c>
      <c r="E3879" t="s">
        <v>13</v>
      </c>
      <c r="F3879" t="s">
        <v>82</v>
      </c>
      <c r="G3879">
        <v>39751583.5</v>
      </c>
      <c r="H3879">
        <v>6.2</v>
      </c>
      <c r="I3879" t="s">
        <v>15</v>
      </c>
      <c r="J3879" t="s">
        <v>38</v>
      </c>
      <c r="K3879" t="s">
        <v>31</v>
      </c>
    </row>
    <row r="3880" spans="1:13" x14ac:dyDescent="0.25">
      <c r="A3880" t="s">
        <v>57</v>
      </c>
      <c r="B3880">
        <v>87</v>
      </c>
      <c r="C3880">
        <v>515005</v>
      </c>
      <c r="D3880" t="s">
        <v>5994</v>
      </c>
      <c r="E3880" t="s">
        <v>13</v>
      </c>
      <c r="F3880" t="s">
        <v>82</v>
      </c>
      <c r="G3880">
        <v>560000</v>
      </c>
      <c r="H3880">
        <v>7.7</v>
      </c>
      <c r="I3880" t="s">
        <v>15</v>
      </c>
      <c r="J3880" t="s">
        <v>59</v>
      </c>
    </row>
    <row r="3881" spans="1:13" x14ac:dyDescent="0.25">
      <c r="A3881" t="s">
        <v>5995</v>
      </c>
      <c r="B3881">
        <v>100</v>
      </c>
      <c r="C3881">
        <v>513836</v>
      </c>
      <c r="D3881" t="s">
        <v>5996</v>
      </c>
      <c r="E3881" t="s">
        <v>473</v>
      </c>
      <c r="F3881" t="s">
        <v>295</v>
      </c>
      <c r="G3881">
        <v>4600000</v>
      </c>
      <c r="H3881">
        <v>7.2</v>
      </c>
      <c r="I3881" t="s">
        <v>15</v>
      </c>
      <c r="J3881" t="s">
        <v>31</v>
      </c>
      <c r="K3881" t="s">
        <v>19</v>
      </c>
    </row>
    <row r="3882" spans="1:13" x14ac:dyDescent="0.25">
      <c r="A3882" t="s">
        <v>5997</v>
      </c>
      <c r="B3882">
        <v>94</v>
      </c>
      <c r="C3882">
        <v>511920</v>
      </c>
      <c r="D3882" t="s">
        <v>5998</v>
      </c>
      <c r="E3882" t="s">
        <v>13</v>
      </c>
      <c r="F3882" t="s">
        <v>14</v>
      </c>
      <c r="G3882">
        <v>40000000</v>
      </c>
      <c r="H3882">
        <v>4.4000000000000004</v>
      </c>
      <c r="I3882" t="s">
        <v>28</v>
      </c>
      <c r="J3882" t="s">
        <v>46</v>
      </c>
      <c r="K3882" t="s">
        <v>15</v>
      </c>
      <c r="L3882" t="s">
        <v>17</v>
      </c>
      <c r="M3882" t="s">
        <v>19</v>
      </c>
    </row>
    <row r="3883" spans="1:13" x14ac:dyDescent="0.25">
      <c r="A3883" t="s">
        <v>4928</v>
      </c>
      <c r="B3883">
        <v>115</v>
      </c>
      <c r="C3883">
        <v>510092</v>
      </c>
      <c r="D3883" t="s">
        <v>5999</v>
      </c>
      <c r="E3883" t="s">
        <v>13</v>
      </c>
      <c r="F3883" t="s">
        <v>14</v>
      </c>
      <c r="G3883">
        <v>39751583.5</v>
      </c>
      <c r="H3883">
        <v>7</v>
      </c>
      <c r="I3883" t="s">
        <v>42</v>
      </c>
      <c r="J3883" t="s">
        <v>38</v>
      </c>
      <c r="K3883" t="s">
        <v>31</v>
      </c>
    </row>
    <row r="3884" spans="1:13" x14ac:dyDescent="0.25">
      <c r="A3884" t="s">
        <v>6000</v>
      </c>
      <c r="B3884">
        <v>94</v>
      </c>
      <c r="C3884">
        <v>508867</v>
      </c>
      <c r="D3884" t="s">
        <v>6001</v>
      </c>
      <c r="E3884" t="s">
        <v>13</v>
      </c>
      <c r="F3884" t="s">
        <v>14</v>
      </c>
      <c r="G3884">
        <v>39751583.5</v>
      </c>
      <c r="H3884">
        <v>6.5</v>
      </c>
      <c r="I3884" t="s">
        <v>31</v>
      </c>
      <c r="J3884" t="s">
        <v>41</v>
      </c>
    </row>
    <row r="3885" spans="1:13" x14ac:dyDescent="0.25">
      <c r="A3885" t="s">
        <v>6002</v>
      </c>
      <c r="B3885">
        <v>108</v>
      </c>
      <c r="C3885">
        <v>505295</v>
      </c>
      <c r="D3885" t="s">
        <v>6003</v>
      </c>
      <c r="E3885" t="s">
        <v>6004</v>
      </c>
      <c r="F3885" t="s">
        <v>45</v>
      </c>
      <c r="G3885">
        <v>1800000</v>
      </c>
      <c r="H3885">
        <v>7.5</v>
      </c>
      <c r="I3885" t="s">
        <v>28</v>
      </c>
      <c r="J3885" t="s">
        <v>31</v>
      </c>
    </row>
    <row r="3886" spans="1:13" x14ac:dyDescent="0.25">
      <c r="A3886" t="s">
        <v>6005</v>
      </c>
      <c r="B3886">
        <v>99</v>
      </c>
      <c r="C3886">
        <v>502028</v>
      </c>
      <c r="D3886" t="s">
        <v>6006</v>
      </c>
      <c r="E3886" t="s">
        <v>1609</v>
      </c>
      <c r="F3886" t="s">
        <v>1610</v>
      </c>
      <c r="G3886">
        <v>39751583.5</v>
      </c>
      <c r="H3886">
        <v>8</v>
      </c>
      <c r="I3886" t="s">
        <v>31</v>
      </c>
      <c r="J3886" t="s">
        <v>23</v>
      </c>
      <c r="K3886" t="s">
        <v>24</v>
      </c>
    </row>
    <row r="3887" spans="1:13" x14ac:dyDescent="0.25">
      <c r="A3887" t="s">
        <v>512</v>
      </c>
      <c r="B3887">
        <v>120</v>
      </c>
      <c r="C3887">
        <v>499263</v>
      </c>
      <c r="D3887" t="s">
        <v>6007</v>
      </c>
      <c r="E3887" t="s">
        <v>6008</v>
      </c>
      <c r="F3887" t="s">
        <v>14</v>
      </c>
      <c r="G3887">
        <v>30000000</v>
      </c>
      <c r="H3887">
        <v>7.1</v>
      </c>
      <c r="I3887" t="s">
        <v>31</v>
      </c>
    </row>
    <row r="3888" spans="1:13" x14ac:dyDescent="0.25">
      <c r="A3888" t="s">
        <v>1415</v>
      </c>
      <c r="B3888">
        <v>90</v>
      </c>
      <c r="C3888">
        <v>489220</v>
      </c>
      <c r="D3888" t="s">
        <v>6009</v>
      </c>
      <c r="E3888" t="s">
        <v>13</v>
      </c>
      <c r="F3888" t="s">
        <v>98</v>
      </c>
      <c r="G3888">
        <v>365000</v>
      </c>
      <c r="H3888">
        <v>7.3</v>
      </c>
      <c r="I3888" t="s">
        <v>23</v>
      </c>
      <c r="J3888" t="s">
        <v>37</v>
      </c>
      <c r="K3888" t="s">
        <v>24</v>
      </c>
    </row>
    <row r="3889" spans="1:12" x14ac:dyDescent="0.25">
      <c r="A3889" t="s">
        <v>4190</v>
      </c>
      <c r="B3889">
        <v>85</v>
      </c>
      <c r="C3889">
        <v>488872</v>
      </c>
      <c r="D3889" t="s">
        <v>6010</v>
      </c>
      <c r="E3889" t="s">
        <v>1946</v>
      </c>
      <c r="F3889" t="s">
        <v>1007</v>
      </c>
      <c r="G3889">
        <v>10000000</v>
      </c>
      <c r="H3889">
        <v>7.3</v>
      </c>
      <c r="I3889" t="s">
        <v>34</v>
      </c>
      <c r="J3889" t="s">
        <v>15</v>
      </c>
      <c r="K3889" t="s">
        <v>41</v>
      </c>
    </row>
    <row r="3890" spans="1:12" x14ac:dyDescent="0.25">
      <c r="A3890" t="s">
        <v>6011</v>
      </c>
      <c r="B3890">
        <v>96</v>
      </c>
      <c r="C3890">
        <v>484221</v>
      </c>
      <c r="D3890" t="s">
        <v>6012</v>
      </c>
      <c r="E3890" t="s">
        <v>5300</v>
      </c>
      <c r="F3890" t="s">
        <v>82</v>
      </c>
      <c r="G3890">
        <v>1000000</v>
      </c>
      <c r="H3890">
        <v>8.1999999999999993</v>
      </c>
      <c r="I3890" t="s">
        <v>42</v>
      </c>
      <c r="J3890" t="s">
        <v>38</v>
      </c>
      <c r="K3890" t="s">
        <v>52</v>
      </c>
      <c r="L3890" t="s">
        <v>64</v>
      </c>
    </row>
    <row r="3891" spans="1:12" x14ac:dyDescent="0.25">
      <c r="A3891" t="s">
        <v>6013</v>
      </c>
      <c r="B3891">
        <v>87</v>
      </c>
      <c r="C3891">
        <v>480314</v>
      </c>
      <c r="D3891" t="s">
        <v>6014</v>
      </c>
      <c r="E3891" t="s">
        <v>13</v>
      </c>
      <c r="F3891" t="s">
        <v>14</v>
      </c>
      <c r="G3891">
        <v>21000000</v>
      </c>
      <c r="H3891">
        <v>4.8</v>
      </c>
      <c r="I3891" t="s">
        <v>34</v>
      </c>
      <c r="J3891" t="s">
        <v>28</v>
      </c>
    </row>
    <row r="3892" spans="1:12" x14ac:dyDescent="0.25">
      <c r="A3892" t="s">
        <v>4472</v>
      </c>
      <c r="B3892">
        <v>184</v>
      </c>
      <c r="C3892">
        <v>476270</v>
      </c>
      <c r="D3892" t="s">
        <v>6015</v>
      </c>
      <c r="E3892" t="s">
        <v>1277</v>
      </c>
      <c r="F3892" t="s">
        <v>241</v>
      </c>
      <c r="G3892">
        <v>20000000</v>
      </c>
      <c r="H3892">
        <v>7.4</v>
      </c>
      <c r="I3892" t="s">
        <v>34</v>
      </c>
      <c r="J3892" t="s">
        <v>42</v>
      </c>
      <c r="K3892" t="s">
        <v>38</v>
      </c>
      <c r="L3892" t="s">
        <v>31</v>
      </c>
    </row>
    <row r="3893" spans="1:12" x14ac:dyDescent="0.25">
      <c r="A3893" t="s">
        <v>6016</v>
      </c>
      <c r="B3893">
        <v>86</v>
      </c>
      <c r="C3893">
        <v>475000</v>
      </c>
      <c r="D3893" t="s">
        <v>6017</v>
      </c>
      <c r="E3893" t="s">
        <v>13</v>
      </c>
      <c r="F3893" t="s">
        <v>14</v>
      </c>
      <c r="G3893">
        <v>2800000</v>
      </c>
      <c r="H3893">
        <v>6</v>
      </c>
      <c r="I3893" t="s">
        <v>15</v>
      </c>
      <c r="J3893" t="s">
        <v>41</v>
      </c>
    </row>
    <row r="3894" spans="1:12" x14ac:dyDescent="0.25">
      <c r="A3894" t="s">
        <v>6018</v>
      </c>
      <c r="B3894">
        <v>97</v>
      </c>
      <c r="C3894">
        <v>469947</v>
      </c>
      <c r="D3894" t="s">
        <v>6019</v>
      </c>
      <c r="E3894" t="s">
        <v>13</v>
      </c>
      <c r="F3894" t="s">
        <v>82</v>
      </c>
      <c r="G3894">
        <v>120000</v>
      </c>
      <c r="H3894">
        <v>7.7</v>
      </c>
      <c r="I3894" t="s">
        <v>31</v>
      </c>
      <c r="J3894" t="s">
        <v>19</v>
      </c>
    </row>
    <row r="3895" spans="1:12" x14ac:dyDescent="0.25">
      <c r="A3895" t="s">
        <v>6020</v>
      </c>
      <c r="B3895">
        <v>97</v>
      </c>
      <c r="C3895">
        <v>466702</v>
      </c>
      <c r="D3895" t="s">
        <v>6021</v>
      </c>
      <c r="E3895" t="s">
        <v>13</v>
      </c>
      <c r="F3895" t="s">
        <v>82</v>
      </c>
      <c r="G3895">
        <v>39751583.5</v>
      </c>
      <c r="H3895">
        <v>7.3</v>
      </c>
      <c r="I3895" t="s">
        <v>15</v>
      </c>
      <c r="J3895" t="s">
        <v>31</v>
      </c>
      <c r="K3895" t="s">
        <v>19</v>
      </c>
    </row>
    <row r="3896" spans="1:12" x14ac:dyDescent="0.25">
      <c r="A3896" t="s">
        <v>6022</v>
      </c>
      <c r="B3896">
        <v>97</v>
      </c>
      <c r="C3896">
        <v>464655</v>
      </c>
      <c r="D3896" t="s">
        <v>6023</v>
      </c>
      <c r="E3896" t="s">
        <v>13</v>
      </c>
      <c r="F3896" t="s">
        <v>14</v>
      </c>
      <c r="G3896">
        <v>1000000</v>
      </c>
      <c r="H3896">
        <v>7</v>
      </c>
      <c r="I3896" t="s">
        <v>15</v>
      </c>
      <c r="J3896" t="s">
        <v>31</v>
      </c>
    </row>
    <row r="3897" spans="1:12" x14ac:dyDescent="0.25">
      <c r="A3897" t="s">
        <v>6024</v>
      </c>
      <c r="B3897">
        <v>88</v>
      </c>
      <c r="C3897">
        <v>464126</v>
      </c>
      <c r="D3897" t="s">
        <v>6025</v>
      </c>
      <c r="E3897" t="s">
        <v>13</v>
      </c>
      <c r="F3897" t="s">
        <v>14</v>
      </c>
      <c r="G3897">
        <v>1000000</v>
      </c>
      <c r="H3897">
        <v>6.7</v>
      </c>
      <c r="I3897" t="s">
        <v>31</v>
      </c>
    </row>
    <row r="3898" spans="1:12" x14ac:dyDescent="0.25">
      <c r="A3898" t="s">
        <v>6026</v>
      </c>
      <c r="B3898">
        <v>93</v>
      </c>
      <c r="C3898">
        <v>463730</v>
      </c>
      <c r="D3898" t="s">
        <v>6027</v>
      </c>
      <c r="E3898" t="s">
        <v>13</v>
      </c>
      <c r="F3898" t="s">
        <v>14</v>
      </c>
      <c r="G3898">
        <v>39751583.5</v>
      </c>
      <c r="H3898">
        <v>5.7</v>
      </c>
      <c r="I3898" t="s">
        <v>15</v>
      </c>
    </row>
    <row r="3899" spans="1:12" x14ac:dyDescent="0.25">
      <c r="A3899" t="s">
        <v>5076</v>
      </c>
      <c r="B3899">
        <v>108</v>
      </c>
      <c r="C3899">
        <v>453079</v>
      </c>
      <c r="D3899" t="s">
        <v>6028</v>
      </c>
      <c r="E3899" t="s">
        <v>13</v>
      </c>
      <c r="F3899" t="s">
        <v>14</v>
      </c>
      <c r="G3899">
        <v>7000000</v>
      </c>
      <c r="H3899">
        <v>5.9</v>
      </c>
      <c r="I3899" t="s">
        <v>15</v>
      </c>
    </row>
    <row r="3900" spans="1:12" x14ac:dyDescent="0.25">
      <c r="A3900" t="s">
        <v>6029</v>
      </c>
      <c r="B3900">
        <v>98</v>
      </c>
      <c r="C3900">
        <v>449558</v>
      </c>
      <c r="D3900" t="s">
        <v>6030</v>
      </c>
      <c r="E3900" t="s">
        <v>13</v>
      </c>
      <c r="F3900" t="s">
        <v>82</v>
      </c>
      <c r="G3900">
        <v>10000000</v>
      </c>
      <c r="H3900">
        <v>7.6</v>
      </c>
      <c r="I3900" t="s">
        <v>42</v>
      </c>
      <c r="J3900" t="s">
        <v>31</v>
      </c>
      <c r="K3900" t="s">
        <v>41</v>
      </c>
    </row>
    <row r="3901" spans="1:12" x14ac:dyDescent="0.25">
      <c r="A3901" t="s">
        <v>6031</v>
      </c>
      <c r="B3901">
        <v>114</v>
      </c>
      <c r="C3901">
        <v>447750</v>
      </c>
      <c r="D3901" t="s">
        <v>6032</v>
      </c>
      <c r="E3901" t="s">
        <v>13</v>
      </c>
      <c r="F3901" t="s">
        <v>14</v>
      </c>
      <c r="G3901">
        <v>10000000</v>
      </c>
      <c r="H3901">
        <v>7.2</v>
      </c>
      <c r="I3901" t="s">
        <v>38</v>
      </c>
      <c r="J3901" t="s">
        <v>31</v>
      </c>
      <c r="K3901" t="s">
        <v>24</v>
      </c>
    </row>
    <row r="3902" spans="1:12" x14ac:dyDescent="0.25">
      <c r="A3902" t="s">
        <v>1230</v>
      </c>
      <c r="B3902">
        <v>55</v>
      </c>
      <c r="C3902">
        <v>447093</v>
      </c>
      <c r="D3902" t="s">
        <v>6033</v>
      </c>
      <c r="E3902" t="s">
        <v>1329</v>
      </c>
      <c r="F3902" t="s">
        <v>1330</v>
      </c>
      <c r="G3902">
        <v>39751583.5</v>
      </c>
      <c r="H3902">
        <v>9.1</v>
      </c>
      <c r="I3902" t="s">
        <v>31</v>
      </c>
    </row>
    <row r="3903" spans="1:12" x14ac:dyDescent="0.25">
      <c r="A3903" t="s">
        <v>1230</v>
      </c>
      <c r="B3903">
        <v>55</v>
      </c>
      <c r="C3903">
        <v>447093</v>
      </c>
      <c r="D3903" t="s">
        <v>6033</v>
      </c>
      <c r="E3903" t="s">
        <v>1329</v>
      </c>
      <c r="F3903" t="s">
        <v>1330</v>
      </c>
      <c r="G3903">
        <v>39751583.5</v>
      </c>
      <c r="H3903">
        <v>9.1</v>
      </c>
      <c r="I3903" t="s">
        <v>31</v>
      </c>
    </row>
    <row r="3904" spans="1:12" x14ac:dyDescent="0.25">
      <c r="A3904" t="s">
        <v>5402</v>
      </c>
      <c r="B3904">
        <v>96</v>
      </c>
      <c r="C3904">
        <v>444354</v>
      </c>
      <c r="D3904" t="s">
        <v>6034</v>
      </c>
      <c r="E3904" t="s">
        <v>13</v>
      </c>
      <c r="F3904" t="s">
        <v>82</v>
      </c>
      <c r="G3904">
        <v>39751583.5</v>
      </c>
      <c r="H3904">
        <v>6.4</v>
      </c>
      <c r="I3904" t="s">
        <v>15</v>
      </c>
      <c r="J3904" t="s">
        <v>31</v>
      </c>
    </row>
    <row r="3905" spans="1:12" x14ac:dyDescent="0.25">
      <c r="A3905" t="s">
        <v>6035</v>
      </c>
      <c r="B3905">
        <v>89</v>
      </c>
      <c r="C3905">
        <v>444044</v>
      </c>
      <c r="D3905" t="s">
        <v>6036</v>
      </c>
      <c r="E3905" t="s">
        <v>13</v>
      </c>
      <c r="F3905" t="s">
        <v>14</v>
      </c>
      <c r="G3905">
        <v>1900000</v>
      </c>
      <c r="H3905">
        <v>7.2</v>
      </c>
      <c r="I3905" t="s">
        <v>31</v>
      </c>
    </row>
    <row r="3906" spans="1:12" x14ac:dyDescent="0.25">
      <c r="A3906" t="s">
        <v>290</v>
      </c>
      <c r="B3906">
        <v>88</v>
      </c>
      <c r="C3906">
        <v>442638</v>
      </c>
      <c r="D3906" t="s">
        <v>6037</v>
      </c>
      <c r="E3906" t="s">
        <v>13</v>
      </c>
      <c r="F3906" t="s">
        <v>14</v>
      </c>
      <c r="G3906">
        <v>850000</v>
      </c>
      <c r="H3906">
        <v>7.3</v>
      </c>
      <c r="I3906" t="s">
        <v>15</v>
      </c>
      <c r="J3906" t="s">
        <v>19</v>
      </c>
      <c r="K3906" t="s">
        <v>41</v>
      </c>
    </row>
    <row r="3907" spans="1:12" x14ac:dyDescent="0.25">
      <c r="A3907" t="s">
        <v>6038</v>
      </c>
      <c r="B3907">
        <v>107</v>
      </c>
      <c r="C3907">
        <v>439958</v>
      </c>
      <c r="D3907" t="s">
        <v>6039</v>
      </c>
      <c r="E3907" t="s">
        <v>4951</v>
      </c>
      <c r="F3907" t="s">
        <v>295</v>
      </c>
      <c r="G3907">
        <v>39751583.5</v>
      </c>
      <c r="H3907">
        <v>5.9</v>
      </c>
      <c r="I3907" t="s">
        <v>31</v>
      </c>
    </row>
    <row r="3908" spans="1:12" x14ac:dyDescent="0.25">
      <c r="A3908" t="s">
        <v>766</v>
      </c>
      <c r="B3908">
        <v>84</v>
      </c>
      <c r="C3908">
        <v>438653</v>
      </c>
      <c r="D3908" t="s">
        <v>6040</v>
      </c>
      <c r="E3908" t="s">
        <v>13</v>
      </c>
      <c r="F3908" t="s">
        <v>14</v>
      </c>
      <c r="G3908">
        <v>39751583.5</v>
      </c>
      <c r="H3908">
        <v>6.6</v>
      </c>
      <c r="I3908" t="s">
        <v>28</v>
      </c>
      <c r="J3908" t="s">
        <v>15</v>
      </c>
      <c r="K3908" t="s">
        <v>37</v>
      </c>
    </row>
    <row r="3909" spans="1:12" x14ac:dyDescent="0.25">
      <c r="A3909" t="s">
        <v>6041</v>
      </c>
      <c r="B3909">
        <v>97</v>
      </c>
      <c r="C3909">
        <v>434417</v>
      </c>
      <c r="D3909" t="s">
        <v>6042</v>
      </c>
      <c r="E3909" t="s">
        <v>13</v>
      </c>
      <c r="F3909" t="s">
        <v>910</v>
      </c>
      <c r="G3909">
        <v>4600000</v>
      </c>
      <c r="H3909">
        <v>5.9</v>
      </c>
      <c r="I3909" t="s">
        <v>31</v>
      </c>
    </row>
    <row r="3910" spans="1:12" x14ac:dyDescent="0.25">
      <c r="A3910" t="s">
        <v>6043</v>
      </c>
      <c r="B3910">
        <v>100</v>
      </c>
      <c r="C3910">
        <v>428535</v>
      </c>
      <c r="D3910" t="s">
        <v>6044</v>
      </c>
      <c r="E3910" t="s">
        <v>13</v>
      </c>
      <c r="F3910" t="s">
        <v>14</v>
      </c>
      <c r="G3910">
        <v>1000000</v>
      </c>
      <c r="H3910">
        <v>3.6</v>
      </c>
      <c r="I3910" t="s">
        <v>15</v>
      </c>
      <c r="J3910" t="s">
        <v>19</v>
      </c>
    </row>
    <row r="3911" spans="1:12" x14ac:dyDescent="0.25">
      <c r="A3911" t="s">
        <v>6045</v>
      </c>
      <c r="B3911">
        <v>92</v>
      </c>
      <c r="C3911">
        <v>425899</v>
      </c>
      <c r="D3911" t="s">
        <v>6046</v>
      </c>
      <c r="E3911" t="s">
        <v>13</v>
      </c>
      <c r="F3911" t="s">
        <v>14</v>
      </c>
      <c r="G3911">
        <v>400000</v>
      </c>
      <c r="H3911">
        <v>5.0999999999999996</v>
      </c>
      <c r="I3911" t="s">
        <v>52</v>
      </c>
    </row>
    <row r="3912" spans="1:12" x14ac:dyDescent="0.25">
      <c r="A3912" t="s">
        <v>6047</v>
      </c>
      <c r="B3912">
        <v>77</v>
      </c>
      <c r="C3912">
        <v>424760</v>
      </c>
      <c r="D3912" t="s">
        <v>6048</v>
      </c>
      <c r="E3912" t="s">
        <v>13</v>
      </c>
      <c r="F3912" t="s">
        <v>14</v>
      </c>
      <c r="G3912">
        <v>7000</v>
      </c>
      <c r="H3912">
        <v>7</v>
      </c>
      <c r="I3912" t="s">
        <v>31</v>
      </c>
      <c r="J3912" t="s">
        <v>37</v>
      </c>
      <c r="K3912" t="s">
        <v>24</v>
      </c>
    </row>
    <row r="3913" spans="1:12" x14ac:dyDescent="0.25">
      <c r="A3913" t="s">
        <v>5017</v>
      </c>
      <c r="B3913">
        <v>99</v>
      </c>
      <c r="C3913">
        <v>418953</v>
      </c>
      <c r="D3913" t="s">
        <v>6049</v>
      </c>
      <c r="E3913" t="s">
        <v>13</v>
      </c>
      <c r="F3913" t="s">
        <v>295</v>
      </c>
      <c r="G3913">
        <v>1500000</v>
      </c>
      <c r="H3913">
        <v>6.5</v>
      </c>
      <c r="I3913" t="s">
        <v>38</v>
      </c>
      <c r="J3913" t="s">
        <v>31</v>
      </c>
      <c r="K3913" t="s">
        <v>24</v>
      </c>
    </row>
    <row r="3914" spans="1:12" x14ac:dyDescent="0.25">
      <c r="A3914" t="s">
        <v>6050</v>
      </c>
      <c r="B3914">
        <v>87</v>
      </c>
      <c r="C3914">
        <v>418268</v>
      </c>
      <c r="D3914" t="s">
        <v>6051</v>
      </c>
      <c r="E3914" t="s">
        <v>13</v>
      </c>
      <c r="F3914" t="s">
        <v>14</v>
      </c>
      <c r="G3914">
        <v>3000000</v>
      </c>
      <c r="H3914">
        <v>5.3</v>
      </c>
      <c r="I3914" t="s">
        <v>15</v>
      </c>
      <c r="J3914" t="s">
        <v>19</v>
      </c>
    </row>
    <row r="3915" spans="1:12" x14ac:dyDescent="0.25">
      <c r="A3915" t="s">
        <v>2276</v>
      </c>
      <c r="B3915">
        <v>106</v>
      </c>
      <c r="C3915">
        <v>410241</v>
      </c>
      <c r="D3915" t="s">
        <v>6052</v>
      </c>
      <c r="E3915" t="s">
        <v>13</v>
      </c>
      <c r="F3915" t="s">
        <v>14</v>
      </c>
      <c r="G3915">
        <v>2000000</v>
      </c>
      <c r="H3915">
        <v>6.8</v>
      </c>
      <c r="I3915" t="s">
        <v>15</v>
      </c>
      <c r="J3915" t="s">
        <v>38</v>
      </c>
      <c r="K3915" t="s">
        <v>31</v>
      </c>
    </row>
    <row r="3916" spans="1:12" x14ac:dyDescent="0.25">
      <c r="A3916" t="s">
        <v>6053</v>
      </c>
      <c r="B3916">
        <v>98</v>
      </c>
      <c r="C3916">
        <v>406035</v>
      </c>
      <c r="D3916" t="s">
        <v>6054</v>
      </c>
      <c r="E3916" t="s">
        <v>13</v>
      </c>
      <c r="F3916" t="s">
        <v>14</v>
      </c>
      <c r="G3916">
        <v>1500000</v>
      </c>
      <c r="H3916">
        <v>7.2</v>
      </c>
      <c r="I3916" t="s">
        <v>31</v>
      </c>
    </row>
    <row r="3917" spans="1:12" x14ac:dyDescent="0.25">
      <c r="A3917" t="s">
        <v>5571</v>
      </c>
      <c r="B3917">
        <v>85</v>
      </c>
      <c r="C3917">
        <v>405614</v>
      </c>
      <c r="D3917" t="s">
        <v>6055</v>
      </c>
      <c r="E3917" t="s">
        <v>13</v>
      </c>
      <c r="F3917" t="s">
        <v>14</v>
      </c>
      <c r="G3917">
        <v>39751583.5</v>
      </c>
      <c r="H3917">
        <v>6.7</v>
      </c>
      <c r="I3917" t="s">
        <v>31</v>
      </c>
      <c r="J3917" t="s">
        <v>23</v>
      </c>
      <c r="K3917" t="s">
        <v>37</v>
      </c>
      <c r="L3917" t="s">
        <v>24</v>
      </c>
    </row>
    <row r="3918" spans="1:12" x14ac:dyDescent="0.25">
      <c r="A3918" t="s">
        <v>1282</v>
      </c>
      <c r="B3918">
        <v>115</v>
      </c>
      <c r="C3918">
        <v>403932</v>
      </c>
      <c r="D3918" t="s">
        <v>6056</v>
      </c>
      <c r="E3918" t="s">
        <v>13</v>
      </c>
      <c r="F3918" t="s">
        <v>82</v>
      </c>
      <c r="G3918">
        <v>20000000</v>
      </c>
      <c r="H3918">
        <v>6.5</v>
      </c>
      <c r="I3918" t="s">
        <v>31</v>
      </c>
      <c r="J3918" t="s">
        <v>19</v>
      </c>
      <c r="K3918" t="s">
        <v>69</v>
      </c>
    </row>
    <row r="3919" spans="1:12" x14ac:dyDescent="0.25">
      <c r="A3919" t="s">
        <v>6057</v>
      </c>
      <c r="B3919">
        <v>104</v>
      </c>
      <c r="C3919">
        <v>403649</v>
      </c>
      <c r="D3919" t="s">
        <v>6058</v>
      </c>
      <c r="E3919" t="s">
        <v>473</v>
      </c>
      <c r="F3919" t="s">
        <v>295</v>
      </c>
      <c r="G3919">
        <v>39751583.5</v>
      </c>
      <c r="H3919">
        <v>6.3</v>
      </c>
      <c r="I3919" t="s">
        <v>31</v>
      </c>
      <c r="J3919" t="s">
        <v>19</v>
      </c>
    </row>
    <row r="3920" spans="1:12" x14ac:dyDescent="0.25">
      <c r="A3920" t="s">
        <v>310</v>
      </c>
      <c r="B3920">
        <v>107</v>
      </c>
      <c r="C3920">
        <v>402820</v>
      </c>
      <c r="D3920" t="s">
        <v>6059</v>
      </c>
      <c r="E3920" t="s">
        <v>13</v>
      </c>
      <c r="F3920" t="s">
        <v>14</v>
      </c>
      <c r="G3920">
        <v>39751583.5</v>
      </c>
      <c r="H3920">
        <v>6.9</v>
      </c>
      <c r="I3920" t="s">
        <v>31</v>
      </c>
      <c r="J3920" t="s">
        <v>19</v>
      </c>
    </row>
    <row r="3921" spans="1:12" x14ac:dyDescent="0.25">
      <c r="A3921" t="s">
        <v>6060</v>
      </c>
      <c r="B3921">
        <v>118</v>
      </c>
      <c r="C3921">
        <v>399879</v>
      </c>
      <c r="D3921" t="s">
        <v>6061</v>
      </c>
      <c r="E3921" t="s">
        <v>13</v>
      </c>
      <c r="F3921" t="s">
        <v>45</v>
      </c>
      <c r="G3921">
        <v>15000000</v>
      </c>
      <c r="H3921">
        <v>6.4</v>
      </c>
      <c r="I3921" t="s">
        <v>38</v>
      </c>
      <c r="J3921" t="s">
        <v>31</v>
      </c>
      <c r="K3921" t="s">
        <v>23</v>
      </c>
      <c r="L3921" t="s">
        <v>24</v>
      </c>
    </row>
    <row r="3922" spans="1:12" x14ac:dyDescent="0.25">
      <c r="A3922" t="s">
        <v>3404</v>
      </c>
      <c r="B3922">
        <v>106</v>
      </c>
      <c r="C3922">
        <v>399793</v>
      </c>
      <c r="D3922" t="s">
        <v>6062</v>
      </c>
      <c r="E3922" t="s">
        <v>13</v>
      </c>
      <c r="F3922" t="s">
        <v>14</v>
      </c>
      <c r="G3922">
        <v>4000000</v>
      </c>
      <c r="H3922">
        <v>5.4</v>
      </c>
      <c r="I3922" t="s">
        <v>31</v>
      </c>
    </row>
    <row r="3923" spans="1:12" x14ac:dyDescent="0.25">
      <c r="A3923" t="s">
        <v>6063</v>
      </c>
      <c r="B3923">
        <v>90</v>
      </c>
      <c r="C3923">
        <v>399611</v>
      </c>
      <c r="D3923" t="s">
        <v>6064</v>
      </c>
      <c r="E3923" t="s">
        <v>13</v>
      </c>
      <c r="F3923" t="s">
        <v>14</v>
      </c>
      <c r="G3923">
        <v>6000000</v>
      </c>
      <c r="H3923">
        <v>5.7</v>
      </c>
      <c r="I3923" t="s">
        <v>42</v>
      </c>
      <c r="J3923" t="s">
        <v>31</v>
      </c>
      <c r="K3923" t="s">
        <v>41</v>
      </c>
    </row>
    <row r="3924" spans="1:12" x14ac:dyDescent="0.25">
      <c r="A3924" t="s">
        <v>4935</v>
      </c>
      <c r="B3924">
        <v>99</v>
      </c>
      <c r="C3924">
        <v>398420</v>
      </c>
      <c r="D3924" t="s">
        <v>6065</v>
      </c>
      <c r="E3924" t="s">
        <v>13</v>
      </c>
      <c r="F3924" t="s">
        <v>14</v>
      </c>
      <c r="G3924">
        <v>8000000</v>
      </c>
      <c r="H3924">
        <v>6.4</v>
      </c>
      <c r="I3924" t="s">
        <v>38</v>
      </c>
      <c r="J3924" t="s">
        <v>31</v>
      </c>
    </row>
    <row r="3925" spans="1:12" x14ac:dyDescent="0.25">
      <c r="A3925" t="s">
        <v>6066</v>
      </c>
      <c r="B3925">
        <v>100</v>
      </c>
      <c r="C3925">
        <v>396035</v>
      </c>
      <c r="D3925" t="s">
        <v>6067</v>
      </c>
      <c r="E3925" t="s">
        <v>13</v>
      </c>
      <c r="F3925" t="s">
        <v>82</v>
      </c>
      <c r="G3925">
        <v>1000000</v>
      </c>
      <c r="H3925">
        <v>6.9</v>
      </c>
      <c r="I3925" t="s">
        <v>31</v>
      </c>
      <c r="J3925" t="s">
        <v>19</v>
      </c>
    </row>
    <row r="3926" spans="1:12" x14ac:dyDescent="0.25">
      <c r="A3926" t="s">
        <v>6068</v>
      </c>
      <c r="B3926">
        <v>106</v>
      </c>
      <c r="C3926">
        <v>395592</v>
      </c>
      <c r="D3926" t="s">
        <v>6069</v>
      </c>
      <c r="E3926" t="s">
        <v>13</v>
      </c>
      <c r="F3926" t="s">
        <v>910</v>
      </c>
      <c r="G3926">
        <v>2000000</v>
      </c>
      <c r="H3926">
        <v>7.6</v>
      </c>
      <c r="I3926" t="s">
        <v>31</v>
      </c>
      <c r="J3926" t="s">
        <v>19</v>
      </c>
    </row>
    <row r="3927" spans="1:12" x14ac:dyDescent="0.25">
      <c r="A3927" t="s">
        <v>6070</v>
      </c>
      <c r="B3927">
        <v>98</v>
      </c>
      <c r="C3927">
        <v>389804</v>
      </c>
      <c r="D3927" t="s">
        <v>6071</v>
      </c>
      <c r="E3927" t="s">
        <v>13</v>
      </c>
      <c r="F3927" t="s">
        <v>14</v>
      </c>
      <c r="G3927">
        <v>65000</v>
      </c>
      <c r="H3927">
        <v>6.3</v>
      </c>
      <c r="I3927" t="s">
        <v>15</v>
      </c>
      <c r="J3927" t="s">
        <v>31</v>
      </c>
      <c r="K3927" t="s">
        <v>19</v>
      </c>
    </row>
    <row r="3928" spans="1:12" x14ac:dyDescent="0.25">
      <c r="A3928" t="s">
        <v>6072</v>
      </c>
      <c r="B3928">
        <v>106</v>
      </c>
      <c r="C3928">
        <v>382946</v>
      </c>
      <c r="D3928" t="s">
        <v>6073</v>
      </c>
      <c r="E3928" t="s">
        <v>13</v>
      </c>
      <c r="F3928" t="s">
        <v>14</v>
      </c>
      <c r="G3928">
        <v>7000000</v>
      </c>
      <c r="H3928">
        <v>7.1</v>
      </c>
      <c r="I3928" t="s">
        <v>31</v>
      </c>
    </row>
    <row r="3929" spans="1:12" x14ac:dyDescent="0.25">
      <c r="A3929" t="s">
        <v>6074</v>
      </c>
      <c r="B3929">
        <v>85</v>
      </c>
      <c r="C3929">
        <v>381225</v>
      </c>
      <c r="D3929" t="s">
        <v>6075</v>
      </c>
      <c r="E3929" t="s">
        <v>13</v>
      </c>
      <c r="F3929" t="s">
        <v>14</v>
      </c>
      <c r="G3929">
        <v>200000</v>
      </c>
      <c r="H3929">
        <v>7.2</v>
      </c>
      <c r="I3929" t="s">
        <v>52</v>
      </c>
    </row>
    <row r="3930" spans="1:12" x14ac:dyDescent="0.25">
      <c r="A3930" t="s">
        <v>5586</v>
      </c>
      <c r="B3930">
        <v>91</v>
      </c>
      <c r="C3930">
        <v>381186</v>
      </c>
      <c r="D3930" t="s">
        <v>6076</v>
      </c>
      <c r="E3930" t="s">
        <v>13</v>
      </c>
      <c r="F3930" t="s">
        <v>14</v>
      </c>
      <c r="G3930">
        <v>900000</v>
      </c>
      <c r="H3930">
        <v>6.4</v>
      </c>
      <c r="I3930" t="s">
        <v>31</v>
      </c>
      <c r="J3930" t="s">
        <v>24</v>
      </c>
    </row>
    <row r="3931" spans="1:12" x14ac:dyDescent="0.25">
      <c r="A3931" t="s">
        <v>6077</v>
      </c>
      <c r="B3931">
        <v>117</v>
      </c>
      <c r="C3931">
        <v>379643</v>
      </c>
      <c r="D3931" t="s">
        <v>6078</v>
      </c>
      <c r="E3931" t="s">
        <v>13</v>
      </c>
      <c r="F3931" t="s">
        <v>14</v>
      </c>
      <c r="G3931">
        <v>2200000</v>
      </c>
      <c r="H3931">
        <v>5.9</v>
      </c>
      <c r="I3931" t="s">
        <v>31</v>
      </c>
    </row>
    <row r="3932" spans="1:12" x14ac:dyDescent="0.25">
      <c r="A3932" t="s">
        <v>6079</v>
      </c>
      <c r="B3932">
        <v>84</v>
      </c>
      <c r="C3932">
        <v>379122</v>
      </c>
      <c r="D3932" t="s">
        <v>6080</v>
      </c>
      <c r="E3932" t="s">
        <v>13</v>
      </c>
      <c r="F3932" t="s">
        <v>82</v>
      </c>
      <c r="G3932">
        <v>450000</v>
      </c>
      <c r="H3932">
        <v>7.1</v>
      </c>
      <c r="I3932" t="s">
        <v>15</v>
      </c>
      <c r="J3932" t="s">
        <v>31</v>
      </c>
      <c r="K3932" t="s">
        <v>19</v>
      </c>
    </row>
    <row r="3933" spans="1:12" x14ac:dyDescent="0.25">
      <c r="A3933" t="s">
        <v>5011</v>
      </c>
      <c r="B3933">
        <v>109</v>
      </c>
      <c r="C3933">
        <v>377420</v>
      </c>
      <c r="D3933" t="s">
        <v>6081</v>
      </c>
      <c r="E3933" t="s">
        <v>1300</v>
      </c>
      <c r="F3933" t="s">
        <v>1206</v>
      </c>
      <c r="G3933">
        <v>39751583.5</v>
      </c>
      <c r="H3933">
        <v>7.3</v>
      </c>
      <c r="I3933" t="s">
        <v>31</v>
      </c>
    </row>
    <row r="3934" spans="1:12" x14ac:dyDescent="0.25">
      <c r="A3934" t="s">
        <v>6082</v>
      </c>
      <c r="B3934">
        <v>112</v>
      </c>
      <c r="C3934">
        <v>375723</v>
      </c>
      <c r="D3934" t="s">
        <v>6083</v>
      </c>
      <c r="E3934" t="s">
        <v>1568</v>
      </c>
      <c r="F3934" t="s">
        <v>1569</v>
      </c>
      <c r="G3934">
        <v>4000000</v>
      </c>
      <c r="H3934">
        <v>7.9</v>
      </c>
      <c r="I3934" t="s">
        <v>15</v>
      </c>
      <c r="J3934" t="s">
        <v>31</v>
      </c>
    </row>
    <row r="3935" spans="1:12" x14ac:dyDescent="0.25">
      <c r="A3935" t="s">
        <v>6084</v>
      </c>
      <c r="B3935">
        <v>101</v>
      </c>
      <c r="C3935">
        <v>375474</v>
      </c>
      <c r="D3935" t="s">
        <v>6085</v>
      </c>
      <c r="E3935" t="s">
        <v>13</v>
      </c>
      <c r="F3935" t="s">
        <v>14</v>
      </c>
      <c r="G3935">
        <v>20000000</v>
      </c>
      <c r="H3935">
        <v>6.2</v>
      </c>
      <c r="I3935" t="s">
        <v>31</v>
      </c>
      <c r="J3935" t="s">
        <v>64</v>
      </c>
      <c r="K3935" t="s">
        <v>41</v>
      </c>
    </row>
    <row r="3936" spans="1:12" x14ac:dyDescent="0.25">
      <c r="A3936" t="s">
        <v>1073</v>
      </c>
      <c r="B3936">
        <v>100</v>
      </c>
      <c r="C3936">
        <v>373967</v>
      </c>
      <c r="D3936" t="s">
        <v>6086</v>
      </c>
      <c r="E3936" t="s">
        <v>13</v>
      </c>
      <c r="F3936" t="s">
        <v>14</v>
      </c>
      <c r="G3936">
        <v>1500000</v>
      </c>
      <c r="H3936">
        <v>6.5</v>
      </c>
      <c r="I3936" t="s">
        <v>22</v>
      </c>
      <c r="J3936" t="s">
        <v>23</v>
      </c>
    </row>
    <row r="3937" spans="1:13" x14ac:dyDescent="0.25">
      <c r="A3937" t="s">
        <v>6087</v>
      </c>
      <c r="B3937">
        <v>123</v>
      </c>
      <c r="C3937">
        <v>373060</v>
      </c>
      <c r="D3937" t="s">
        <v>6088</v>
      </c>
      <c r="E3937" t="s">
        <v>13</v>
      </c>
      <c r="F3937" t="s">
        <v>82</v>
      </c>
      <c r="G3937">
        <v>39751583.5</v>
      </c>
      <c r="H3937">
        <v>7.3</v>
      </c>
      <c r="I3937" t="s">
        <v>31</v>
      </c>
    </row>
    <row r="3938" spans="1:13" x14ac:dyDescent="0.25">
      <c r="A3938" t="s">
        <v>310</v>
      </c>
      <c r="B3938">
        <v>117</v>
      </c>
      <c r="C3938">
        <v>371897</v>
      </c>
      <c r="D3938" t="s">
        <v>6089</v>
      </c>
      <c r="E3938" t="s">
        <v>13</v>
      </c>
      <c r="F3938" t="s">
        <v>14</v>
      </c>
      <c r="G3938">
        <v>4000000</v>
      </c>
      <c r="H3938">
        <v>6.9</v>
      </c>
      <c r="I3938" t="s">
        <v>31</v>
      </c>
    </row>
    <row r="3939" spans="1:13" x14ac:dyDescent="0.25">
      <c r="A3939" t="s">
        <v>6090</v>
      </c>
      <c r="B3939">
        <v>96</v>
      </c>
      <c r="C3939">
        <v>371081</v>
      </c>
      <c r="D3939" t="s">
        <v>6091</v>
      </c>
      <c r="E3939" t="s">
        <v>13</v>
      </c>
      <c r="F3939" t="s">
        <v>14</v>
      </c>
      <c r="G3939">
        <v>6000000</v>
      </c>
      <c r="H3939">
        <v>7</v>
      </c>
      <c r="I3939" t="s">
        <v>15</v>
      </c>
      <c r="J3939" t="s">
        <v>31</v>
      </c>
    </row>
    <row r="3940" spans="1:13" x14ac:dyDescent="0.25">
      <c r="A3940" t="s">
        <v>5546</v>
      </c>
      <c r="B3940">
        <v>93</v>
      </c>
      <c r="C3940">
        <v>365734</v>
      </c>
      <c r="D3940" t="s">
        <v>6092</v>
      </c>
      <c r="E3940" t="s">
        <v>13</v>
      </c>
      <c r="F3940" t="s">
        <v>14</v>
      </c>
      <c r="G3940">
        <v>10000000</v>
      </c>
      <c r="H3940">
        <v>5</v>
      </c>
      <c r="I3940" t="s">
        <v>31</v>
      </c>
    </row>
    <row r="3941" spans="1:13" x14ac:dyDescent="0.25">
      <c r="A3941" t="s">
        <v>348</v>
      </c>
      <c r="B3941">
        <v>102</v>
      </c>
      <c r="C3941">
        <v>354704</v>
      </c>
      <c r="D3941" t="s">
        <v>6093</v>
      </c>
      <c r="E3941" t="s">
        <v>13</v>
      </c>
      <c r="F3941" t="s">
        <v>14</v>
      </c>
      <c r="G3941">
        <v>1300000</v>
      </c>
      <c r="H3941">
        <v>5.9</v>
      </c>
      <c r="I3941" t="s">
        <v>38</v>
      </c>
      <c r="J3941" t="s">
        <v>31</v>
      </c>
      <c r="K3941" t="s">
        <v>22</v>
      </c>
      <c r="L3941" t="s">
        <v>24</v>
      </c>
    </row>
    <row r="3942" spans="1:13" x14ac:dyDescent="0.25">
      <c r="A3942" t="s">
        <v>1702</v>
      </c>
      <c r="B3942">
        <v>98</v>
      </c>
      <c r="C3942">
        <v>353743</v>
      </c>
      <c r="D3942" t="s">
        <v>6094</v>
      </c>
      <c r="E3942" t="s">
        <v>13</v>
      </c>
      <c r="F3942" t="s">
        <v>82</v>
      </c>
      <c r="G3942">
        <v>15000000</v>
      </c>
      <c r="H3942">
        <v>6.9</v>
      </c>
      <c r="I3942" t="s">
        <v>15</v>
      </c>
      <c r="J3942" t="s">
        <v>38</v>
      </c>
      <c r="K3942" t="s">
        <v>31</v>
      </c>
      <c r="L3942" t="s">
        <v>24</v>
      </c>
      <c r="M3942" t="s">
        <v>83</v>
      </c>
    </row>
    <row r="3943" spans="1:13" x14ac:dyDescent="0.25">
      <c r="A3943" t="s">
        <v>6095</v>
      </c>
      <c r="B3943">
        <v>104</v>
      </c>
      <c r="C3943">
        <v>352786</v>
      </c>
      <c r="D3943" t="s">
        <v>6096</v>
      </c>
      <c r="E3943" t="s">
        <v>13</v>
      </c>
      <c r="F3943" t="s">
        <v>14</v>
      </c>
      <c r="G3943">
        <v>11000000</v>
      </c>
      <c r="H3943">
        <v>6.8</v>
      </c>
      <c r="I3943" t="s">
        <v>42</v>
      </c>
      <c r="J3943" t="s">
        <v>31</v>
      </c>
      <c r="K3943" t="s">
        <v>18</v>
      </c>
    </row>
    <row r="3944" spans="1:13" x14ac:dyDescent="0.25">
      <c r="A3944" t="s">
        <v>6097</v>
      </c>
      <c r="B3944">
        <v>141</v>
      </c>
      <c r="C3944">
        <v>352684</v>
      </c>
      <c r="D3944" t="s">
        <v>6098</v>
      </c>
      <c r="E3944" t="s">
        <v>1409</v>
      </c>
      <c r="F3944" t="s">
        <v>1296</v>
      </c>
      <c r="G3944">
        <v>39751583.5</v>
      </c>
      <c r="H3944">
        <v>4.3</v>
      </c>
      <c r="I3944" t="s">
        <v>34</v>
      </c>
      <c r="J3944" t="s">
        <v>15</v>
      </c>
    </row>
    <row r="3945" spans="1:13" x14ac:dyDescent="0.25">
      <c r="A3945" t="s">
        <v>6099</v>
      </c>
      <c r="B3945">
        <v>120</v>
      </c>
      <c r="C3945">
        <v>349618</v>
      </c>
      <c r="D3945" t="s">
        <v>6100</v>
      </c>
      <c r="E3945" t="s">
        <v>13</v>
      </c>
      <c r="F3945" t="s">
        <v>1342</v>
      </c>
      <c r="G3945">
        <v>9000000</v>
      </c>
      <c r="H3945">
        <v>6.1</v>
      </c>
      <c r="I3945" t="s">
        <v>22</v>
      </c>
    </row>
    <row r="3946" spans="1:13" x14ac:dyDescent="0.25">
      <c r="A3946" t="s">
        <v>6101</v>
      </c>
      <c r="B3946">
        <v>94</v>
      </c>
      <c r="C3946">
        <v>347578</v>
      </c>
      <c r="D3946" t="s">
        <v>6102</v>
      </c>
      <c r="E3946" t="s">
        <v>13</v>
      </c>
      <c r="F3946" t="s">
        <v>14</v>
      </c>
      <c r="G3946">
        <v>39751583.5</v>
      </c>
      <c r="H3946">
        <v>5.4</v>
      </c>
      <c r="I3946" t="s">
        <v>15</v>
      </c>
      <c r="J3946" t="s">
        <v>17</v>
      </c>
      <c r="K3946" t="s">
        <v>22</v>
      </c>
      <c r="L3946" t="s">
        <v>24</v>
      </c>
    </row>
    <row r="3947" spans="1:13" x14ac:dyDescent="0.25">
      <c r="A3947" t="s">
        <v>6103</v>
      </c>
      <c r="B3947">
        <v>90</v>
      </c>
      <c r="C3947">
        <v>342936</v>
      </c>
      <c r="D3947" t="s">
        <v>6104</v>
      </c>
      <c r="E3947" t="s">
        <v>13</v>
      </c>
      <c r="F3947" t="s">
        <v>14</v>
      </c>
      <c r="G3947">
        <v>39751583.5</v>
      </c>
      <c r="H3947">
        <v>6.1</v>
      </c>
      <c r="I3947" t="s">
        <v>15</v>
      </c>
      <c r="J3947" t="s">
        <v>31</v>
      </c>
      <c r="K3947" t="s">
        <v>19</v>
      </c>
    </row>
    <row r="3948" spans="1:13" x14ac:dyDescent="0.25">
      <c r="A3948" t="s">
        <v>5894</v>
      </c>
      <c r="B3948">
        <v>161</v>
      </c>
      <c r="C3948">
        <v>336467</v>
      </c>
      <c r="D3948" t="s">
        <v>6105</v>
      </c>
      <c r="E3948" t="s">
        <v>13</v>
      </c>
      <c r="F3948" t="s">
        <v>295</v>
      </c>
      <c r="G3948">
        <v>13000000</v>
      </c>
      <c r="H3948">
        <v>7.3</v>
      </c>
      <c r="I3948" t="s">
        <v>31</v>
      </c>
      <c r="J3948" t="s">
        <v>17</v>
      </c>
    </row>
    <row r="3949" spans="1:13" x14ac:dyDescent="0.25">
      <c r="A3949" t="s">
        <v>6106</v>
      </c>
      <c r="B3949">
        <v>109</v>
      </c>
      <c r="C3949">
        <v>336456</v>
      </c>
      <c r="D3949" t="s">
        <v>6107</v>
      </c>
      <c r="E3949" t="s">
        <v>13</v>
      </c>
      <c r="F3949" t="s">
        <v>14</v>
      </c>
      <c r="G3949">
        <v>8000000</v>
      </c>
      <c r="H3949">
        <v>5.6</v>
      </c>
      <c r="I3949" t="s">
        <v>15</v>
      </c>
      <c r="J3949" t="s">
        <v>38</v>
      </c>
      <c r="K3949" t="s">
        <v>59</v>
      </c>
      <c r="L3949" t="s">
        <v>23</v>
      </c>
    </row>
    <row r="3950" spans="1:13" x14ac:dyDescent="0.25">
      <c r="A3950" t="s">
        <v>5720</v>
      </c>
      <c r="B3950">
        <v>106</v>
      </c>
      <c r="C3950">
        <v>334658</v>
      </c>
      <c r="D3950" t="s">
        <v>6108</v>
      </c>
      <c r="E3950" t="s">
        <v>13</v>
      </c>
      <c r="F3950" t="s">
        <v>14</v>
      </c>
      <c r="G3950">
        <v>39751583.5</v>
      </c>
      <c r="H3950">
        <v>7.3</v>
      </c>
      <c r="I3950" t="s">
        <v>31</v>
      </c>
      <c r="J3950" t="s">
        <v>19</v>
      </c>
      <c r="K3950" t="s">
        <v>37</v>
      </c>
    </row>
    <row r="3951" spans="1:13" x14ac:dyDescent="0.25">
      <c r="A3951" t="s">
        <v>6109</v>
      </c>
      <c r="B3951">
        <v>86</v>
      </c>
      <c r="C3951">
        <v>334041</v>
      </c>
      <c r="D3951" t="s">
        <v>6110</v>
      </c>
      <c r="E3951" t="s">
        <v>13</v>
      </c>
      <c r="F3951" t="s">
        <v>14</v>
      </c>
      <c r="G3951">
        <v>500000</v>
      </c>
      <c r="H3951">
        <v>6.5</v>
      </c>
      <c r="I3951" t="s">
        <v>38</v>
      </c>
      <c r="J3951" t="s">
        <v>31</v>
      </c>
      <c r="K3951" t="s">
        <v>19</v>
      </c>
    </row>
    <row r="3952" spans="1:13" x14ac:dyDescent="0.25">
      <c r="A3952" t="s">
        <v>510</v>
      </c>
      <c r="B3952">
        <v>86</v>
      </c>
      <c r="C3952">
        <v>333976</v>
      </c>
      <c r="D3952" t="s">
        <v>6111</v>
      </c>
      <c r="E3952" t="s">
        <v>13</v>
      </c>
      <c r="F3952" t="s">
        <v>14</v>
      </c>
      <c r="G3952">
        <v>12000000</v>
      </c>
      <c r="H3952">
        <v>6.4</v>
      </c>
      <c r="I3952" t="s">
        <v>15</v>
      </c>
      <c r="J3952" t="s">
        <v>38</v>
      </c>
    </row>
    <row r="3953" spans="1:13" x14ac:dyDescent="0.25">
      <c r="A3953" t="s">
        <v>5312</v>
      </c>
      <c r="B3953">
        <v>34</v>
      </c>
      <c r="C3953">
        <v>333658</v>
      </c>
      <c r="D3953" t="s">
        <v>6112</v>
      </c>
      <c r="E3953" t="s">
        <v>13</v>
      </c>
      <c r="F3953" t="s">
        <v>14</v>
      </c>
      <c r="G3953">
        <v>34000</v>
      </c>
      <c r="H3953">
        <v>7.1</v>
      </c>
      <c r="I3953" t="s">
        <v>15</v>
      </c>
      <c r="J3953" t="s">
        <v>16</v>
      </c>
      <c r="K3953" t="s">
        <v>59</v>
      </c>
      <c r="L3953" t="s">
        <v>19</v>
      </c>
      <c r="M3953" t="s">
        <v>86</v>
      </c>
    </row>
    <row r="3954" spans="1:13" x14ac:dyDescent="0.25">
      <c r="A3954" t="s">
        <v>1454</v>
      </c>
      <c r="B3954">
        <v>101</v>
      </c>
      <c r="C3954">
        <v>327919</v>
      </c>
      <c r="D3954" t="s">
        <v>6113</v>
      </c>
      <c r="E3954" t="s">
        <v>13</v>
      </c>
      <c r="F3954" t="s">
        <v>82</v>
      </c>
      <c r="G3954">
        <v>1500000</v>
      </c>
      <c r="H3954">
        <v>7.7</v>
      </c>
      <c r="I3954" t="s">
        <v>38</v>
      </c>
      <c r="J3954" t="s">
        <v>31</v>
      </c>
    </row>
    <row r="3955" spans="1:13" x14ac:dyDescent="0.25">
      <c r="A3955" t="s">
        <v>5059</v>
      </c>
      <c r="B3955">
        <v>97</v>
      </c>
      <c r="C3955">
        <v>326308</v>
      </c>
      <c r="D3955" t="s">
        <v>6114</v>
      </c>
      <c r="E3955" t="s">
        <v>13</v>
      </c>
      <c r="F3955" t="s">
        <v>14</v>
      </c>
      <c r="G3955">
        <v>5000000</v>
      </c>
      <c r="H3955">
        <v>6.1</v>
      </c>
      <c r="I3955" t="s">
        <v>38</v>
      </c>
      <c r="J3955" t="s">
        <v>31</v>
      </c>
      <c r="K3955" t="s">
        <v>24</v>
      </c>
    </row>
    <row r="3956" spans="1:13" x14ac:dyDescent="0.25">
      <c r="A3956" t="s">
        <v>6115</v>
      </c>
      <c r="B3956">
        <v>116</v>
      </c>
      <c r="C3956">
        <v>325491</v>
      </c>
      <c r="D3956" t="s">
        <v>6116</v>
      </c>
      <c r="E3956" t="s">
        <v>13</v>
      </c>
      <c r="F3956" t="s">
        <v>14</v>
      </c>
      <c r="G3956">
        <v>17500000</v>
      </c>
      <c r="H3956">
        <v>6</v>
      </c>
      <c r="I3956" t="s">
        <v>38</v>
      </c>
      <c r="J3956" t="s">
        <v>31</v>
      </c>
      <c r="K3956" t="s">
        <v>24</v>
      </c>
    </row>
    <row r="3957" spans="1:13" x14ac:dyDescent="0.25">
      <c r="A3957" t="s">
        <v>4892</v>
      </c>
      <c r="B3957">
        <v>96</v>
      </c>
      <c r="C3957">
        <v>322157</v>
      </c>
      <c r="D3957" t="s">
        <v>6117</v>
      </c>
      <c r="E3957" t="s">
        <v>13</v>
      </c>
      <c r="F3957" t="s">
        <v>14</v>
      </c>
      <c r="G3957">
        <v>2500000</v>
      </c>
      <c r="H3957">
        <v>6.8</v>
      </c>
      <c r="I3957" t="s">
        <v>15</v>
      </c>
      <c r="J3957" t="s">
        <v>38</v>
      </c>
      <c r="K3957" t="s">
        <v>31</v>
      </c>
    </row>
    <row r="3958" spans="1:13" x14ac:dyDescent="0.25">
      <c r="A3958" t="s">
        <v>452</v>
      </c>
      <c r="B3958">
        <v>117</v>
      </c>
      <c r="C3958">
        <v>321952</v>
      </c>
      <c r="D3958" t="s">
        <v>6118</v>
      </c>
      <c r="E3958" t="s">
        <v>13</v>
      </c>
      <c r="F3958" t="s">
        <v>14</v>
      </c>
      <c r="G3958">
        <v>39751583.5</v>
      </c>
      <c r="H3958">
        <v>8.1999999999999993</v>
      </c>
      <c r="I3958" t="s">
        <v>52</v>
      </c>
      <c r="J3958" t="s">
        <v>18</v>
      </c>
    </row>
    <row r="3959" spans="1:13" x14ac:dyDescent="0.25">
      <c r="A3959" t="s">
        <v>6119</v>
      </c>
      <c r="B3959">
        <v>90</v>
      </c>
      <c r="C3959">
        <v>318622</v>
      </c>
      <c r="D3959" t="s">
        <v>6120</v>
      </c>
      <c r="E3959" t="s">
        <v>13</v>
      </c>
      <c r="F3959" t="s">
        <v>14</v>
      </c>
      <c r="G3959">
        <v>270000</v>
      </c>
      <c r="H3959">
        <v>6.4</v>
      </c>
      <c r="I3959" t="s">
        <v>42</v>
      </c>
      <c r="J3959" t="s">
        <v>38</v>
      </c>
      <c r="K3959" t="s">
        <v>31</v>
      </c>
      <c r="L3959" t="s">
        <v>24</v>
      </c>
    </row>
    <row r="3960" spans="1:13" x14ac:dyDescent="0.25">
      <c r="A3960" t="s">
        <v>5064</v>
      </c>
      <c r="B3960">
        <v>112</v>
      </c>
      <c r="C3960">
        <v>317125</v>
      </c>
      <c r="D3960" t="s">
        <v>6121</v>
      </c>
      <c r="E3960" t="s">
        <v>13</v>
      </c>
      <c r="F3960" t="s">
        <v>45</v>
      </c>
      <c r="G3960">
        <v>16000000</v>
      </c>
      <c r="H3960">
        <v>6.2</v>
      </c>
      <c r="I3960" t="s">
        <v>31</v>
      </c>
      <c r="J3960" t="s">
        <v>19</v>
      </c>
    </row>
    <row r="3961" spans="1:13" x14ac:dyDescent="0.25">
      <c r="A3961" t="s">
        <v>6122</v>
      </c>
      <c r="B3961">
        <v>102</v>
      </c>
      <c r="C3961">
        <v>317040</v>
      </c>
      <c r="D3961" t="s">
        <v>6123</v>
      </c>
      <c r="E3961" t="s">
        <v>13</v>
      </c>
      <c r="F3961" t="s">
        <v>14</v>
      </c>
      <c r="G3961">
        <v>15500000</v>
      </c>
      <c r="H3961">
        <v>6.8</v>
      </c>
      <c r="I3961" t="s">
        <v>31</v>
      </c>
      <c r="J3961" t="s">
        <v>19</v>
      </c>
    </row>
    <row r="3962" spans="1:13" x14ac:dyDescent="0.25">
      <c r="A3962" t="s">
        <v>3135</v>
      </c>
      <c r="B3962">
        <v>102</v>
      </c>
      <c r="C3962">
        <v>316842</v>
      </c>
      <c r="D3962" t="s">
        <v>6124</v>
      </c>
      <c r="E3962" t="s">
        <v>13</v>
      </c>
      <c r="F3962" t="s">
        <v>14</v>
      </c>
      <c r="G3962">
        <v>39751583.5</v>
      </c>
      <c r="H3962">
        <v>6.4</v>
      </c>
      <c r="I3962" t="s">
        <v>31</v>
      </c>
      <c r="J3962" t="s">
        <v>24</v>
      </c>
    </row>
    <row r="3963" spans="1:13" x14ac:dyDescent="0.25">
      <c r="A3963" t="s">
        <v>6125</v>
      </c>
      <c r="B3963">
        <v>89</v>
      </c>
      <c r="C3963">
        <v>313436</v>
      </c>
      <c r="D3963" t="s">
        <v>6126</v>
      </c>
      <c r="E3963" t="s">
        <v>5755</v>
      </c>
      <c r="F3963" t="s">
        <v>1213</v>
      </c>
      <c r="G3963">
        <v>15500000</v>
      </c>
      <c r="H3963">
        <v>7.6</v>
      </c>
      <c r="I3963" t="s">
        <v>15</v>
      </c>
      <c r="J3963" t="s">
        <v>31</v>
      </c>
    </row>
    <row r="3964" spans="1:13" x14ac:dyDescent="0.25">
      <c r="A3964" t="s">
        <v>6127</v>
      </c>
      <c r="B3964">
        <v>95</v>
      </c>
      <c r="C3964">
        <v>306715</v>
      </c>
      <c r="D3964" t="s">
        <v>6128</v>
      </c>
      <c r="E3964" t="s">
        <v>13</v>
      </c>
      <c r="F3964" t="s">
        <v>14</v>
      </c>
      <c r="G3964">
        <v>10000000</v>
      </c>
      <c r="H3964">
        <v>2.2999999999999998</v>
      </c>
      <c r="I3964" t="s">
        <v>15</v>
      </c>
    </row>
    <row r="3965" spans="1:13" x14ac:dyDescent="0.25">
      <c r="A3965" t="s">
        <v>999</v>
      </c>
      <c r="B3965">
        <v>107</v>
      </c>
      <c r="C3965">
        <v>305070</v>
      </c>
      <c r="D3965" t="s">
        <v>6129</v>
      </c>
      <c r="E3965" t="s">
        <v>13</v>
      </c>
      <c r="F3965" t="s">
        <v>14</v>
      </c>
      <c r="G3965">
        <v>20000000</v>
      </c>
      <c r="H3965">
        <v>6.4</v>
      </c>
      <c r="I3965" t="s">
        <v>34</v>
      </c>
      <c r="J3965" t="s">
        <v>28</v>
      </c>
      <c r="K3965" t="s">
        <v>31</v>
      </c>
      <c r="L3965" t="s">
        <v>64</v>
      </c>
      <c r="M3965" t="s">
        <v>19</v>
      </c>
    </row>
    <row r="3966" spans="1:13" x14ac:dyDescent="0.25">
      <c r="A3966" t="s">
        <v>6130</v>
      </c>
      <c r="B3966">
        <v>97</v>
      </c>
      <c r="C3966">
        <v>304137</v>
      </c>
      <c r="D3966" t="s">
        <v>6131</v>
      </c>
      <c r="E3966" t="s">
        <v>13</v>
      </c>
      <c r="F3966" t="s">
        <v>82</v>
      </c>
      <c r="G3966">
        <v>39751583.5</v>
      </c>
      <c r="H3966">
        <v>7.3</v>
      </c>
      <c r="I3966" t="s">
        <v>15</v>
      </c>
      <c r="J3966" t="s">
        <v>38</v>
      </c>
      <c r="K3966" t="s">
        <v>31</v>
      </c>
    </row>
    <row r="3967" spans="1:13" x14ac:dyDescent="0.25">
      <c r="A3967" t="s">
        <v>6132</v>
      </c>
      <c r="B3967">
        <v>106</v>
      </c>
      <c r="C3967">
        <v>304124</v>
      </c>
      <c r="D3967" t="s">
        <v>6133</v>
      </c>
      <c r="E3967" t="s">
        <v>1498</v>
      </c>
      <c r="F3967" t="s">
        <v>2497</v>
      </c>
      <c r="G3967">
        <v>1400000</v>
      </c>
      <c r="H3967">
        <v>6.7</v>
      </c>
      <c r="I3967" t="s">
        <v>31</v>
      </c>
    </row>
    <row r="3968" spans="1:13" x14ac:dyDescent="0.25">
      <c r="A3968" t="s">
        <v>4516</v>
      </c>
      <c r="B3968">
        <v>90</v>
      </c>
      <c r="C3968">
        <v>303439</v>
      </c>
      <c r="D3968" t="s">
        <v>6134</v>
      </c>
      <c r="E3968" t="s">
        <v>13</v>
      </c>
      <c r="F3968" t="s">
        <v>14</v>
      </c>
      <c r="G3968">
        <v>8000000</v>
      </c>
      <c r="H3968">
        <v>6.4</v>
      </c>
      <c r="I3968" t="s">
        <v>31</v>
      </c>
      <c r="J3968" t="s">
        <v>23</v>
      </c>
      <c r="K3968" t="s">
        <v>24</v>
      </c>
    </row>
    <row r="3969" spans="1:12" x14ac:dyDescent="0.25">
      <c r="A3969" t="s">
        <v>6135</v>
      </c>
      <c r="B3969">
        <v>99</v>
      </c>
      <c r="C3969">
        <v>302204</v>
      </c>
      <c r="D3969" t="s">
        <v>6136</v>
      </c>
      <c r="E3969" t="s">
        <v>13</v>
      </c>
      <c r="F3969" t="s">
        <v>82</v>
      </c>
      <c r="G3969">
        <v>3000000</v>
      </c>
      <c r="H3969">
        <v>6.6</v>
      </c>
      <c r="I3969" t="s">
        <v>15</v>
      </c>
      <c r="J3969" t="s">
        <v>38</v>
      </c>
      <c r="K3969" t="s">
        <v>19</v>
      </c>
    </row>
    <row r="3970" spans="1:12" x14ac:dyDescent="0.25">
      <c r="A3970" t="s">
        <v>5989</v>
      </c>
      <c r="B3970">
        <v>127</v>
      </c>
      <c r="C3970">
        <v>301305</v>
      </c>
      <c r="D3970" t="s">
        <v>6137</v>
      </c>
      <c r="E3970" t="s">
        <v>6138</v>
      </c>
      <c r="F3970" t="s">
        <v>14</v>
      </c>
      <c r="G3970">
        <v>13000000</v>
      </c>
      <c r="H3970">
        <v>4.3</v>
      </c>
      <c r="I3970" t="s">
        <v>31</v>
      </c>
      <c r="J3970" t="s">
        <v>19</v>
      </c>
      <c r="K3970" t="s">
        <v>83</v>
      </c>
    </row>
    <row r="3971" spans="1:12" x14ac:dyDescent="0.25">
      <c r="A3971" t="s">
        <v>6139</v>
      </c>
      <c r="B3971">
        <v>93</v>
      </c>
      <c r="C3971">
        <v>298110</v>
      </c>
      <c r="D3971" t="s">
        <v>6140</v>
      </c>
      <c r="E3971" t="s">
        <v>13</v>
      </c>
      <c r="F3971" t="s">
        <v>98</v>
      </c>
      <c r="G3971">
        <v>8000000</v>
      </c>
      <c r="H3971">
        <v>6.8</v>
      </c>
      <c r="I3971" t="s">
        <v>15</v>
      </c>
      <c r="J3971" t="s">
        <v>31</v>
      </c>
      <c r="K3971" t="s">
        <v>22</v>
      </c>
      <c r="L3971" t="s">
        <v>37</v>
      </c>
    </row>
    <row r="3972" spans="1:12" x14ac:dyDescent="0.25">
      <c r="A3972" t="s">
        <v>5922</v>
      </c>
      <c r="B3972">
        <v>98</v>
      </c>
      <c r="C3972">
        <v>296665</v>
      </c>
      <c r="D3972" t="s">
        <v>6141</v>
      </c>
      <c r="E3972" t="s">
        <v>13</v>
      </c>
      <c r="F3972" t="s">
        <v>14</v>
      </c>
      <c r="G3972">
        <v>5000000</v>
      </c>
      <c r="H3972">
        <v>6.3</v>
      </c>
      <c r="I3972" t="s">
        <v>42</v>
      </c>
      <c r="J3972" t="s">
        <v>38</v>
      </c>
      <c r="K3972" t="s">
        <v>31</v>
      </c>
      <c r="L3972" t="s">
        <v>24</v>
      </c>
    </row>
    <row r="3973" spans="1:12" x14ac:dyDescent="0.25">
      <c r="A3973" t="s">
        <v>6142</v>
      </c>
      <c r="B3973">
        <v>98</v>
      </c>
      <c r="C3973">
        <v>295468</v>
      </c>
      <c r="D3973" t="s">
        <v>6143</v>
      </c>
      <c r="E3973" t="s">
        <v>13</v>
      </c>
      <c r="F3973" t="s">
        <v>14</v>
      </c>
      <c r="G3973">
        <v>500000</v>
      </c>
      <c r="H3973">
        <v>6</v>
      </c>
      <c r="I3973" t="s">
        <v>15</v>
      </c>
      <c r="J3973" t="s">
        <v>19</v>
      </c>
    </row>
    <row r="3974" spans="1:12" x14ac:dyDescent="0.25">
      <c r="A3974" t="s">
        <v>6144</v>
      </c>
      <c r="B3974">
        <v>91</v>
      </c>
      <c r="C3974">
        <v>287761</v>
      </c>
      <c r="D3974" t="s">
        <v>6145</v>
      </c>
      <c r="E3974" t="s">
        <v>13</v>
      </c>
      <c r="F3974" t="s">
        <v>1472</v>
      </c>
      <c r="G3974">
        <v>1000000</v>
      </c>
      <c r="H3974">
        <v>7.6</v>
      </c>
      <c r="I3974" t="s">
        <v>28</v>
      </c>
      <c r="J3974" t="s">
        <v>42</v>
      </c>
      <c r="K3974" t="s">
        <v>52</v>
      </c>
      <c r="L3974" t="s">
        <v>31</v>
      </c>
    </row>
    <row r="3975" spans="1:12" x14ac:dyDescent="0.25">
      <c r="A3975" t="s">
        <v>6146</v>
      </c>
      <c r="B3975">
        <v>79</v>
      </c>
      <c r="C3975">
        <v>279282</v>
      </c>
      <c r="D3975" t="s">
        <v>6147</v>
      </c>
      <c r="E3975" t="s">
        <v>13</v>
      </c>
      <c r="F3975" t="s">
        <v>14</v>
      </c>
      <c r="G3975">
        <v>1000000</v>
      </c>
      <c r="H3975">
        <v>6.1</v>
      </c>
      <c r="I3975" t="s">
        <v>15</v>
      </c>
      <c r="J3975" t="s">
        <v>31</v>
      </c>
      <c r="K3975" t="s">
        <v>19</v>
      </c>
    </row>
    <row r="3976" spans="1:12" x14ac:dyDescent="0.25">
      <c r="A3976" t="s">
        <v>5212</v>
      </c>
      <c r="B3976">
        <v>98</v>
      </c>
      <c r="C3976">
        <v>278821</v>
      </c>
      <c r="D3976" t="s">
        <v>6148</v>
      </c>
      <c r="E3976" t="s">
        <v>13</v>
      </c>
      <c r="F3976" t="s">
        <v>14</v>
      </c>
      <c r="G3976">
        <v>39751583.5</v>
      </c>
      <c r="H3976">
        <v>6.5</v>
      </c>
      <c r="I3976" t="s">
        <v>15</v>
      </c>
      <c r="J3976" t="s">
        <v>31</v>
      </c>
    </row>
    <row r="3977" spans="1:12" x14ac:dyDescent="0.25">
      <c r="A3977" t="s">
        <v>6149</v>
      </c>
      <c r="B3977">
        <v>90</v>
      </c>
      <c r="C3977">
        <v>277233</v>
      </c>
      <c r="D3977" t="s">
        <v>6150</v>
      </c>
      <c r="E3977" t="s">
        <v>13</v>
      </c>
      <c r="F3977" t="s">
        <v>14</v>
      </c>
      <c r="G3977">
        <v>40000</v>
      </c>
      <c r="H3977">
        <v>7.6</v>
      </c>
      <c r="I3977" t="s">
        <v>15</v>
      </c>
      <c r="J3977" t="s">
        <v>19</v>
      </c>
    </row>
    <row r="3978" spans="1:12" x14ac:dyDescent="0.25">
      <c r="A3978" t="s">
        <v>6151</v>
      </c>
      <c r="B3978">
        <v>53</v>
      </c>
      <c r="C3978">
        <v>274661</v>
      </c>
      <c r="D3978" t="s">
        <v>6152</v>
      </c>
      <c r="E3978" t="s">
        <v>13</v>
      </c>
      <c r="F3978" t="s">
        <v>14</v>
      </c>
      <c r="G3978">
        <v>1000000</v>
      </c>
      <c r="H3978">
        <v>7.7</v>
      </c>
      <c r="I3978" t="s">
        <v>38</v>
      </c>
      <c r="J3978" t="s">
        <v>52</v>
      </c>
      <c r="K3978" t="s">
        <v>83</v>
      </c>
    </row>
    <row r="3979" spans="1:12" x14ac:dyDescent="0.25">
      <c r="A3979" t="s">
        <v>6153</v>
      </c>
      <c r="B3979">
        <v>99</v>
      </c>
      <c r="C3979">
        <v>274385</v>
      </c>
      <c r="D3979" t="s">
        <v>6154</v>
      </c>
      <c r="E3979" t="s">
        <v>1277</v>
      </c>
      <c r="F3979" t="s">
        <v>241</v>
      </c>
      <c r="G3979">
        <v>4000000</v>
      </c>
      <c r="H3979">
        <v>7.3</v>
      </c>
      <c r="I3979" t="s">
        <v>15</v>
      </c>
      <c r="J3979" t="s">
        <v>31</v>
      </c>
    </row>
    <row r="3980" spans="1:12" x14ac:dyDescent="0.25">
      <c r="A3980" t="s">
        <v>4349</v>
      </c>
      <c r="B3980">
        <v>160</v>
      </c>
      <c r="C3980">
        <v>273420</v>
      </c>
      <c r="D3980" t="s">
        <v>6155</v>
      </c>
      <c r="E3980" t="s">
        <v>13</v>
      </c>
      <c r="F3980" t="s">
        <v>295</v>
      </c>
      <c r="G3980">
        <v>17000000</v>
      </c>
      <c r="H3980">
        <v>5.5</v>
      </c>
      <c r="I3980" t="s">
        <v>15</v>
      </c>
      <c r="J3980" t="s">
        <v>23</v>
      </c>
      <c r="K3980" t="s">
        <v>37</v>
      </c>
      <c r="L3980" t="s">
        <v>24</v>
      </c>
    </row>
    <row r="3981" spans="1:12" x14ac:dyDescent="0.25">
      <c r="A3981" t="s">
        <v>6156</v>
      </c>
      <c r="B3981">
        <v>202</v>
      </c>
      <c r="C3981">
        <v>269061</v>
      </c>
      <c r="D3981" t="s">
        <v>6157</v>
      </c>
      <c r="E3981" t="s">
        <v>1226</v>
      </c>
      <c r="F3981" t="s">
        <v>27</v>
      </c>
      <c r="G3981">
        <v>2000000</v>
      </c>
      <c r="H3981">
        <v>8.6999999999999993</v>
      </c>
      <c r="I3981" t="s">
        <v>34</v>
      </c>
      <c r="J3981" t="s">
        <v>28</v>
      </c>
      <c r="K3981" t="s">
        <v>31</v>
      </c>
    </row>
    <row r="3982" spans="1:12" x14ac:dyDescent="0.25">
      <c r="A3982" t="s">
        <v>5660</v>
      </c>
      <c r="B3982">
        <v>97</v>
      </c>
      <c r="C3982">
        <v>267194</v>
      </c>
      <c r="D3982" t="s">
        <v>6158</v>
      </c>
      <c r="E3982" t="s">
        <v>13</v>
      </c>
      <c r="F3982" t="s">
        <v>82</v>
      </c>
      <c r="G3982">
        <v>39751583.5</v>
      </c>
      <c r="H3982">
        <v>6.7</v>
      </c>
      <c r="I3982" t="s">
        <v>31</v>
      </c>
    </row>
    <row r="3983" spans="1:12" x14ac:dyDescent="0.25">
      <c r="A3983" t="s">
        <v>6159</v>
      </c>
      <c r="B3983">
        <v>85</v>
      </c>
      <c r="C3983">
        <v>265107</v>
      </c>
      <c r="D3983" t="s">
        <v>6160</v>
      </c>
      <c r="E3983" t="s">
        <v>13</v>
      </c>
      <c r="F3983" t="s">
        <v>45</v>
      </c>
      <c r="G3983">
        <v>1500000</v>
      </c>
      <c r="H3983">
        <v>6.3</v>
      </c>
      <c r="I3983" t="s">
        <v>15</v>
      </c>
      <c r="J3983" t="s">
        <v>22</v>
      </c>
      <c r="K3983" t="s">
        <v>23</v>
      </c>
    </row>
    <row r="3984" spans="1:12" x14ac:dyDescent="0.25">
      <c r="A3984" t="s">
        <v>3701</v>
      </c>
      <c r="B3984">
        <v>110</v>
      </c>
      <c r="C3984">
        <v>263365</v>
      </c>
      <c r="D3984" t="s">
        <v>6161</v>
      </c>
      <c r="E3984" t="s">
        <v>13</v>
      </c>
      <c r="F3984" t="s">
        <v>14</v>
      </c>
      <c r="G3984">
        <v>20000000</v>
      </c>
      <c r="H3984">
        <v>5.4</v>
      </c>
      <c r="I3984" t="s">
        <v>15</v>
      </c>
      <c r="J3984" t="s">
        <v>31</v>
      </c>
      <c r="K3984" t="s">
        <v>17</v>
      </c>
      <c r="L3984" t="s">
        <v>19</v>
      </c>
    </row>
    <row r="3985" spans="1:12" x14ac:dyDescent="0.25">
      <c r="A3985" t="s">
        <v>5008</v>
      </c>
      <c r="B3985">
        <v>129</v>
      </c>
      <c r="C3985">
        <v>261481</v>
      </c>
      <c r="D3985" t="s">
        <v>6162</v>
      </c>
      <c r="E3985" t="s">
        <v>1946</v>
      </c>
      <c r="F3985" t="s">
        <v>1007</v>
      </c>
      <c r="G3985">
        <v>12000000</v>
      </c>
      <c r="H3985">
        <v>7.5</v>
      </c>
      <c r="I3985" t="s">
        <v>31</v>
      </c>
      <c r="J3985" t="s">
        <v>19</v>
      </c>
      <c r="K3985" t="s">
        <v>37</v>
      </c>
    </row>
    <row r="3986" spans="1:12" x14ac:dyDescent="0.25">
      <c r="A3986" t="s">
        <v>5413</v>
      </c>
      <c r="B3986">
        <v>90</v>
      </c>
      <c r="C3986">
        <v>258113</v>
      </c>
      <c r="D3986" t="s">
        <v>6163</v>
      </c>
      <c r="E3986" t="s">
        <v>13</v>
      </c>
      <c r="F3986" t="s">
        <v>14</v>
      </c>
      <c r="G3986">
        <v>1066167</v>
      </c>
      <c r="H3986">
        <v>7.1</v>
      </c>
      <c r="I3986" t="s">
        <v>38</v>
      </c>
      <c r="J3986" t="s">
        <v>31</v>
      </c>
      <c r="K3986" t="s">
        <v>24</v>
      </c>
    </row>
    <row r="3987" spans="1:12" x14ac:dyDescent="0.25">
      <c r="A3987" t="s">
        <v>5832</v>
      </c>
      <c r="B3987">
        <v>76</v>
      </c>
      <c r="C3987">
        <v>255352</v>
      </c>
      <c r="D3987" t="s">
        <v>6164</v>
      </c>
      <c r="E3987" t="s">
        <v>13</v>
      </c>
      <c r="F3987" t="s">
        <v>14</v>
      </c>
      <c r="G3987">
        <v>300000</v>
      </c>
      <c r="H3987">
        <v>6.7</v>
      </c>
      <c r="I3987" t="s">
        <v>31</v>
      </c>
    </row>
    <row r="3988" spans="1:12" x14ac:dyDescent="0.25">
      <c r="A3988" t="s">
        <v>6077</v>
      </c>
      <c r="B3988">
        <v>87</v>
      </c>
      <c r="C3988">
        <v>252726</v>
      </c>
      <c r="D3988" t="s">
        <v>6165</v>
      </c>
      <c r="E3988" t="s">
        <v>13</v>
      </c>
      <c r="F3988" t="s">
        <v>14</v>
      </c>
      <c r="G3988">
        <v>3000000</v>
      </c>
      <c r="H3988">
        <v>7.2</v>
      </c>
      <c r="I3988" t="s">
        <v>31</v>
      </c>
      <c r="J3988" t="s">
        <v>16</v>
      </c>
      <c r="K3988" t="s">
        <v>69</v>
      </c>
    </row>
    <row r="3989" spans="1:12" x14ac:dyDescent="0.25">
      <c r="A3989" t="s">
        <v>6166</v>
      </c>
      <c r="B3989">
        <v>103</v>
      </c>
      <c r="C3989">
        <v>252652</v>
      </c>
      <c r="D3989" t="s">
        <v>6167</v>
      </c>
      <c r="E3989" t="s">
        <v>5755</v>
      </c>
      <c r="F3989" t="s">
        <v>1213</v>
      </c>
      <c r="G3989">
        <v>19900000</v>
      </c>
      <c r="H3989">
        <v>7</v>
      </c>
      <c r="I3989" t="s">
        <v>15</v>
      </c>
      <c r="J3989" t="s">
        <v>31</v>
      </c>
      <c r="K3989" t="s">
        <v>17</v>
      </c>
      <c r="L3989" t="s">
        <v>22</v>
      </c>
    </row>
    <row r="3990" spans="1:12" x14ac:dyDescent="0.25">
      <c r="A3990" t="s">
        <v>6168</v>
      </c>
      <c r="B3990">
        <v>105</v>
      </c>
      <c r="C3990">
        <v>247740</v>
      </c>
      <c r="D3990" t="s">
        <v>6169</v>
      </c>
      <c r="E3990" t="s">
        <v>13</v>
      </c>
      <c r="F3990" t="s">
        <v>14</v>
      </c>
      <c r="G3990">
        <v>39751583.5</v>
      </c>
      <c r="H3990">
        <v>4.7</v>
      </c>
      <c r="I3990" t="s">
        <v>52</v>
      </c>
      <c r="J3990" t="s">
        <v>31</v>
      </c>
    </row>
    <row r="3991" spans="1:12" x14ac:dyDescent="0.25">
      <c r="A3991" t="s">
        <v>6170</v>
      </c>
      <c r="B3991">
        <v>83</v>
      </c>
      <c r="C3991">
        <v>246574</v>
      </c>
      <c r="D3991" t="s">
        <v>6171</v>
      </c>
      <c r="E3991" t="s">
        <v>13</v>
      </c>
      <c r="F3991" t="s">
        <v>14</v>
      </c>
      <c r="G3991">
        <v>39751583.5</v>
      </c>
      <c r="H3991">
        <v>6.9</v>
      </c>
      <c r="I3991" t="s">
        <v>46</v>
      </c>
      <c r="J3991" t="s">
        <v>31</v>
      </c>
    </row>
    <row r="3992" spans="1:12" x14ac:dyDescent="0.25">
      <c r="A3992" t="s">
        <v>6172</v>
      </c>
      <c r="B3992">
        <v>101</v>
      </c>
      <c r="C3992">
        <v>244465</v>
      </c>
      <c r="D3992" t="s">
        <v>6173</v>
      </c>
      <c r="E3992" t="s">
        <v>473</v>
      </c>
      <c r="F3992" t="s">
        <v>295</v>
      </c>
      <c r="G3992">
        <v>39751583.5</v>
      </c>
      <c r="H3992">
        <v>6.8</v>
      </c>
      <c r="I3992" t="s">
        <v>31</v>
      </c>
      <c r="J3992" t="s">
        <v>19</v>
      </c>
    </row>
    <row r="3993" spans="1:12" x14ac:dyDescent="0.25">
      <c r="A3993" t="s">
        <v>6174</v>
      </c>
      <c r="B3993">
        <v>78</v>
      </c>
      <c r="C3993">
        <v>243768</v>
      </c>
      <c r="D3993" t="s">
        <v>6175</v>
      </c>
      <c r="E3993" t="s">
        <v>13</v>
      </c>
      <c r="F3993" t="s">
        <v>14</v>
      </c>
      <c r="G3993">
        <v>30000</v>
      </c>
      <c r="H3993">
        <v>4.0999999999999996</v>
      </c>
      <c r="I3993" t="s">
        <v>69</v>
      </c>
    </row>
    <row r="3994" spans="1:12" x14ac:dyDescent="0.25">
      <c r="A3994" t="s">
        <v>6176</v>
      </c>
      <c r="B3994">
        <v>91</v>
      </c>
      <c r="C3994">
        <v>243347</v>
      </c>
      <c r="D3994" t="s">
        <v>6177</v>
      </c>
      <c r="E3994" t="s">
        <v>13</v>
      </c>
      <c r="F3994" t="s">
        <v>14</v>
      </c>
      <c r="G3994">
        <v>500000</v>
      </c>
      <c r="H3994">
        <v>5.3</v>
      </c>
      <c r="I3994" t="s">
        <v>38</v>
      </c>
      <c r="J3994" t="s">
        <v>31</v>
      </c>
      <c r="K3994" t="s">
        <v>24</v>
      </c>
    </row>
    <row r="3995" spans="1:12" x14ac:dyDescent="0.25">
      <c r="A3995" t="s">
        <v>310</v>
      </c>
      <c r="B3995">
        <v>90</v>
      </c>
      <c r="C3995">
        <v>241816</v>
      </c>
      <c r="D3995" t="s">
        <v>6178</v>
      </c>
      <c r="E3995" t="s">
        <v>13</v>
      </c>
      <c r="F3995" t="s">
        <v>14</v>
      </c>
      <c r="G3995">
        <v>42000</v>
      </c>
      <c r="H3995">
        <v>7.5</v>
      </c>
      <c r="I3995" t="s">
        <v>31</v>
      </c>
    </row>
    <row r="3996" spans="1:12" x14ac:dyDescent="0.25">
      <c r="A3996" t="s">
        <v>6179</v>
      </c>
      <c r="B3996">
        <v>136</v>
      </c>
      <c r="C3996">
        <v>240425</v>
      </c>
      <c r="D3996" t="s">
        <v>6180</v>
      </c>
      <c r="E3996" t="s">
        <v>1409</v>
      </c>
      <c r="F3996" t="s">
        <v>1296</v>
      </c>
      <c r="G3996">
        <v>39751583.5</v>
      </c>
      <c r="H3996">
        <v>7.4</v>
      </c>
      <c r="I3996" t="s">
        <v>42</v>
      </c>
      <c r="J3996" t="s">
        <v>31</v>
      </c>
      <c r="K3996" t="s">
        <v>64</v>
      </c>
    </row>
    <row r="3997" spans="1:12" x14ac:dyDescent="0.25">
      <c r="A3997" t="s">
        <v>6181</v>
      </c>
      <c r="B3997">
        <v>98</v>
      </c>
      <c r="C3997">
        <v>238774</v>
      </c>
      <c r="D3997" t="s">
        <v>6182</v>
      </c>
      <c r="E3997" t="s">
        <v>13</v>
      </c>
      <c r="F3997" t="s">
        <v>82</v>
      </c>
      <c r="G3997">
        <v>39751583.5</v>
      </c>
      <c r="H3997">
        <v>6.8</v>
      </c>
      <c r="I3997" t="s">
        <v>15</v>
      </c>
      <c r="J3997" t="s">
        <v>31</v>
      </c>
    </row>
    <row r="3998" spans="1:12" x14ac:dyDescent="0.25">
      <c r="A3998" t="s">
        <v>6183</v>
      </c>
      <c r="B3998">
        <v>94</v>
      </c>
      <c r="C3998">
        <v>237301</v>
      </c>
      <c r="D3998" t="s">
        <v>6184</v>
      </c>
      <c r="E3998" t="s">
        <v>13</v>
      </c>
      <c r="F3998" t="s">
        <v>82</v>
      </c>
      <c r="G3998">
        <v>500000</v>
      </c>
      <c r="H3998">
        <v>6.4</v>
      </c>
      <c r="I3998" t="s">
        <v>31</v>
      </c>
      <c r="J3998" t="s">
        <v>37</v>
      </c>
      <c r="K3998" t="s">
        <v>24</v>
      </c>
    </row>
    <row r="3999" spans="1:12" x14ac:dyDescent="0.25">
      <c r="A3999" t="s">
        <v>1080</v>
      </c>
      <c r="B3999">
        <v>103</v>
      </c>
      <c r="C3999">
        <v>236266</v>
      </c>
      <c r="D3999" t="s">
        <v>6185</v>
      </c>
      <c r="E3999" t="s">
        <v>13</v>
      </c>
      <c r="F3999" t="s">
        <v>14</v>
      </c>
      <c r="G3999">
        <v>3500000</v>
      </c>
      <c r="H3999">
        <v>6.2</v>
      </c>
      <c r="I3999" t="s">
        <v>28</v>
      </c>
      <c r="J3999" t="s">
        <v>31</v>
      </c>
      <c r="K3999" t="s">
        <v>23</v>
      </c>
    </row>
    <row r="4000" spans="1:12" x14ac:dyDescent="0.25">
      <c r="A4000" t="s">
        <v>6186</v>
      </c>
      <c r="B4000">
        <v>97</v>
      </c>
      <c r="C4000">
        <v>233103</v>
      </c>
      <c r="D4000" t="s">
        <v>6187</v>
      </c>
      <c r="E4000" t="s">
        <v>13</v>
      </c>
      <c r="F4000" t="s">
        <v>82</v>
      </c>
      <c r="G4000">
        <v>7000000</v>
      </c>
      <c r="H4000">
        <v>6.9</v>
      </c>
      <c r="I4000" t="s">
        <v>31</v>
      </c>
    </row>
    <row r="4001" spans="1:14" x14ac:dyDescent="0.25">
      <c r="A4001" t="s">
        <v>6188</v>
      </c>
      <c r="B4001">
        <v>101</v>
      </c>
      <c r="C4001">
        <v>231417</v>
      </c>
      <c r="D4001" t="s">
        <v>6189</v>
      </c>
      <c r="E4001" t="s">
        <v>473</v>
      </c>
      <c r="F4001" t="s">
        <v>295</v>
      </c>
      <c r="G4001">
        <v>60000000</v>
      </c>
      <c r="H4001">
        <v>6.6</v>
      </c>
      <c r="I4001" t="s">
        <v>15</v>
      </c>
      <c r="J4001" t="s">
        <v>38</v>
      </c>
      <c r="K4001" t="s">
        <v>24</v>
      </c>
    </row>
    <row r="4002" spans="1:14" x14ac:dyDescent="0.25">
      <c r="A4002" t="s">
        <v>6190</v>
      </c>
      <c r="B4002">
        <v>76</v>
      </c>
      <c r="C4002">
        <v>231186</v>
      </c>
      <c r="D4002" t="s">
        <v>6191</v>
      </c>
      <c r="E4002" t="s">
        <v>473</v>
      </c>
      <c r="F4002" t="s">
        <v>295</v>
      </c>
      <c r="G4002">
        <v>39751583.5</v>
      </c>
      <c r="H4002">
        <v>6.3</v>
      </c>
      <c r="I4002" t="s">
        <v>38</v>
      </c>
      <c r="J4002" t="s">
        <v>19</v>
      </c>
      <c r="K4002" t="s">
        <v>24</v>
      </c>
    </row>
    <row r="4003" spans="1:14" x14ac:dyDescent="0.25">
      <c r="A4003" t="s">
        <v>6192</v>
      </c>
      <c r="B4003">
        <v>121</v>
      </c>
      <c r="C4003">
        <v>229311</v>
      </c>
      <c r="D4003" t="s">
        <v>6193</v>
      </c>
      <c r="E4003" t="s">
        <v>13</v>
      </c>
      <c r="F4003" t="s">
        <v>910</v>
      </c>
      <c r="G4003">
        <v>11350000</v>
      </c>
      <c r="H4003">
        <v>6.2</v>
      </c>
      <c r="I4003" t="s">
        <v>34</v>
      </c>
      <c r="J4003" t="s">
        <v>31</v>
      </c>
      <c r="K4003" t="s">
        <v>64</v>
      </c>
      <c r="L4003" t="s">
        <v>19</v>
      </c>
      <c r="M4003" t="s">
        <v>83</v>
      </c>
      <c r="N4003" t="s">
        <v>69</v>
      </c>
    </row>
    <row r="4004" spans="1:14" x14ac:dyDescent="0.25">
      <c r="A4004" t="s">
        <v>6194</v>
      </c>
      <c r="B4004">
        <v>84</v>
      </c>
      <c r="C4004">
        <v>229094</v>
      </c>
      <c r="D4004" t="s">
        <v>6195</v>
      </c>
      <c r="E4004" t="s">
        <v>13</v>
      </c>
      <c r="F4004" t="s">
        <v>82</v>
      </c>
      <c r="G4004">
        <v>39751583.5</v>
      </c>
      <c r="H4004">
        <v>6.9</v>
      </c>
      <c r="I4004" t="s">
        <v>69</v>
      </c>
    </row>
    <row r="4005" spans="1:14" x14ac:dyDescent="0.25">
      <c r="A4005" t="s">
        <v>6196</v>
      </c>
      <c r="B4005">
        <v>118</v>
      </c>
      <c r="C4005">
        <v>228830</v>
      </c>
      <c r="D4005" t="s">
        <v>6197</v>
      </c>
      <c r="E4005" t="s">
        <v>13</v>
      </c>
      <c r="F4005" t="s">
        <v>14</v>
      </c>
      <c r="G4005">
        <v>39751583.5</v>
      </c>
      <c r="H4005">
        <v>7.5</v>
      </c>
      <c r="I4005" t="s">
        <v>38</v>
      </c>
      <c r="J4005" t="s">
        <v>52</v>
      </c>
      <c r="K4005" t="s">
        <v>83</v>
      </c>
    </row>
    <row r="4006" spans="1:14" x14ac:dyDescent="0.25">
      <c r="A4006" t="s">
        <v>6198</v>
      </c>
      <c r="B4006">
        <v>111</v>
      </c>
      <c r="C4006">
        <v>228524</v>
      </c>
      <c r="D4006" t="s">
        <v>6199</v>
      </c>
      <c r="E4006" t="s">
        <v>13</v>
      </c>
      <c r="F4006" t="s">
        <v>14</v>
      </c>
      <c r="G4006">
        <v>4000000</v>
      </c>
      <c r="H4006">
        <v>7.3</v>
      </c>
      <c r="I4006" t="s">
        <v>15</v>
      </c>
      <c r="J4006" t="s">
        <v>31</v>
      </c>
    </row>
    <row r="4007" spans="1:14" x14ac:dyDescent="0.25">
      <c r="A4007" t="s">
        <v>6200</v>
      </c>
      <c r="B4007">
        <v>120</v>
      </c>
      <c r="C4007">
        <v>227241</v>
      </c>
      <c r="D4007" t="s">
        <v>6201</v>
      </c>
      <c r="E4007" t="s">
        <v>13</v>
      </c>
      <c r="F4007" t="s">
        <v>14</v>
      </c>
      <c r="G4007">
        <v>39751583.5</v>
      </c>
      <c r="H4007">
        <v>7.4</v>
      </c>
      <c r="I4007" t="s">
        <v>31</v>
      </c>
    </row>
    <row r="4008" spans="1:14" x14ac:dyDescent="0.25">
      <c r="A4008" t="s">
        <v>6202</v>
      </c>
      <c r="B4008">
        <v>86</v>
      </c>
      <c r="C4008">
        <v>226792</v>
      </c>
      <c r="D4008" t="s">
        <v>6203</v>
      </c>
      <c r="E4008" t="s">
        <v>13</v>
      </c>
      <c r="F4008" t="s">
        <v>82</v>
      </c>
      <c r="G4008">
        <v>10000000</v>
      </c>
      <c r="H4008">
        <v>6.2</v>
      </c>
      <c r="I4008" t="s">
        <v>34</v>
      </c>
      <c r="J4008" t="s">
        <v>15</v>
      </c>
      <c r="K4008" t="s">
        <v>31</v>
      </c>
    </row>
    <row r="4009" spans="1:14" x14ac:dyDescent="0.25">
      <c r="A4009" t="s">
        <v>5577</v>
      </c>
      <c r="B4009">
        <v>127</v>
      </c>
      <c r="C4009">
        <v>225377</v>
      </c>
      <c r="D4009" t="s">
        <v>6204</v>
      </c>
      <c r="E4009" t="s">
        <v>473</v>
      </c>
      <c r="F4009" t="s">
        <v>295</v>
      </c>
      <c r="G4009">
        <v>8900000</v>
      </c>
      <c r="H4009">
        <v>7.9</v>
      </c>
      <c r="I4009" t="s">
        <v>31</v>
      </c>
      <c r="J4009" t="s">
        <v>19</v>
      </c>
    </row>
    <row r="4010" spans="1:14" x14ac:dyDescent="0.25">
      <c r="A4010" t="s">
        <v>634</v>
      </c>
      <c r="B4010">
        <v>125</v>
      </c>
      <c r="C4010">
        <v>223878</v>
      </c>
      <c r="D4010" t="s">
        <v>6205</v>
      </c>
      <c r="E4010" t="s">
        <v>1351</v>
      </c>
      <c r="F4010" t="s">
        <v>1342</v>
      </c>
      <c r="G4010">
        <v>5000000</v>
      </c>
      <c r="H4010">
        <v>6.5</v>
      </c>
      <c r="I4010" t="s">
        <v>15</v>
      </c>
      <c r="J4010" t="s">
        <v>31</v>
      </c>
      <c r="K4010" t="s">
        <v>19</v>
      </c>
    </row>
    <row r="4011" spans="1:14" x14ac:dyDescent="0.25">
      <c r="A4011" t="s">
        <v>6206</v>
      </c>
      <c r="B4011">
        <v>89</v>
      </c>
      <c r="C4011">
        <v>223615</v>
      </c>
      <c r="D4011" t="s">
        <v>6207</v>
      </c>
      <c r="E4011" t="s">
        <v>13</v>
      </c>
      <c r="F4011" t="s">
        <v>98</v>
      </c>
      <c r="G4011">
        <v>39751583.5</v>
      </c>
      <c r="H4011">
        <v>7.6</v>
      </c>
      <c r="I4011" t="s">
        <v>15</v>
      </c>
      <c r="J4011" t="s">
        <v>22</v>
      </c>
    </row>
    <row r="4012" spans="1:14" x14ac:dyDescent="0.25">
      <c r="A4012" t="s">
        <v>6208</v>
      </c>
      <c r="B4012">
        <v>99</v>
      </c>
      <c r="C4012">
        <v>221210</v>
      </c>
      <c r="D4012" t="s">
        <v>6209</v>
      </c>
      <c r="E4012" t="s">
        <v>13</v>
      </c>
      <c r="F4012" t="s">
        <v>14</v>
      </c>
      <c r="G4012">
        <v>39751583.5</v>
      </c>
      <c r="H4012">
        <v>6.9</v>
      </c>
      <c r="I4012" t="s">
        <v>15</v>
      </c>
      <c r="J4012" t="s">
        <v>31</v>
      </c>
    </row>
    <row r="4013" spans="1:14" x14ac:dyDescent="0.25">
      <c r="A4013" t="s">
        <v>5310</v>
      </c>
      <c r="B4013">
        <v>122</v>
      </c>
      <c r="C4013">
        <v>220914</v>
      </c>
      <c r="D4013" t="s">
        <v>6210</v>
      </c>
      <c r="E4013" t="s">
        <v>13</v>
      </c>
      <c r="F4013" t="s">
        <v>14</v>
      </c>
      <c r="G4013">
        <v>16800000</v>
      </c>
      <c r="H4013">
        <v>6.5</v>
      </c>
      <c r="I4013" t="s">
        <v>42</v>
      </c>
      <c r="J4013" t="s">
        <v>31</v>
      </c>
      <c r="K4013" t="s">
        <v>19</v>
      </c>
    </row>
    <row r="4014" spans="1:14" x14ac:dyDescent="0.25">
      <c r="A4014" t="s">
        <v>6211</v>
      </c>
      <c r="B4014">
        <v>101</v>
      </c>
      <c r="C4014">
        <v>220234</v>
      </c>
      <c r="D4014" t="s">
        <v>6212</v>
      </c>
      <c r="E4014" t="s">
        <v>13</v>
      </c>
      <c r="F4014" t="s">
        <v>14</v>
      </c>
      <c r="G4014">
        <v>3500000</v>
      </c>
      <c r="H4014">
        <v>6.5</v>
      </c>
      <c r="I4014" t="s">
        <v>15</v>
      </c>
      <c r="J4014" t="s">
        <v>19</v>
      </c>
    </row>
    <row r="4015" spans="1:14" x14ac:dyDescent="0.25">
      <c r="A4015" t="s">
        <v>6213</v>
      </c>
      <c r="B4015">
        <v>86</v>
      </c>
      <c r="C4015">
        <v>215185</v>
      </c>
      <c r="D4015" t="s">
        <v>6214</v>
      </c>
      <c r="E4015" t="s">
        <v>13</v>
      </c>
      <c r="F4015" t="s">
        <v>14</v>
      </c>
      <c r="G4015">
        <v>200000</v>
      </c>
      <c r="H4015">
        <v>7.5</v>
      </c>
      <c r="I4015" t="s">
        <v>52</v>
      </c>
      <c r="J4015" t="s">
        <v>64</v>
      </c>
      <c r="K4015" t="s">
        <v>18</v>
      </c>
    </row>
    <row r="4016" spans="1:14" x14ac:dyDescent="0.25">
      <c r="A4016" t="s">
        <v>1282</v>
      </c>
      <c r="B4016">
        <v>109</v>
      </c>
      <c r="C4016">
        <v>214966</v>
      </c>
      <c r="D4016" t="s">
        <v>6215</v>
      </c>
      <c r="E4016" t="s">
        <v>13</v>
      </c>
      <c r="F4016" t="s">
        <v>14</v>
      </c>
      <c r="G4016">
        <v>13000000</v>
      </c>
      <c r="H4016">
        <v>6.1</v>
      </c>
      <c r="I4016" t="s">
        <v>38</v>
      </c>
      <c r="J4016" t="s">
        <v>31</v>
      </c>
      <c r="K4016" t="s">
        <v>24</v>
      </c>
    </row>
    <row r="4017" spans="1:13" x14ac:dyDescent="0.25">
      <c r="A4017" t="s">
        <v>6216</v>
      </c>
      <c r="B4017">
        <v>120</v>
      </c>
      <c r="C4017">
        <v>214202</v>
      </c>
      <c r="D4017" t="s">
        <v>6217</v>
      </c>
      <c r="E4017" t="s">
        <v>13</v>
      </c>
      <c r="F4017" t="s">
        <v>241</v>
      </c>
      <c r="G4017">
        <v>12000000</v>
      </c>
      <c r="H4017">
        <v>7.5</v>
      </c>
      <c r="I4017" t="s">
        <v>38</v>
      </c>
      <c r="J4017" t="s">
        <v>31</v>
      </c>
      <c r="K4017" t="s">
        <v>24</v>
      </c>
    </row>
    <row r="4018" spans="1:13" x14ac:dyDescent="0.25">
      <c r="A4018" t="s">
        <v>6218</v>
      </c>
      <c r="B4018">
        <v>76</v>
      </c>
      <c r="C4018">
        <v>212285</v>
      </c>
      <c r="D4018" t="s">
        <v>6219</v>
      </c>
      <c r="E4018" t="s">
        <v>13</v>
      </c>
      <c r="F4018" t="s">
        <v>45</v>
      </c>
      <c r="G4018">
        <v>250000</v>
      </c>
      <c r="H4018">
        <v>6.4</v>
      </c>
      <c r="I4018" t="s">
        <v>15</v>
      </c>
      <c r="J4018" t="s">
        <v>19</v>
      </c>
    </row>
    <row r="4019" spans="1:13" x14ac:dyDescent="0.25">
      <c r="A4019" t="s">
        <v>4190</v>
      </c>
      <c r="B4019">
        <v>86</v>
      </c>
      <c r="C4019">
        <v>206678</v>
      </c>
      <c r="D4019" t="s">
        <v>6220</v>
      </c>
      <c r="E4019" t="s">
        <v>1946</v>
      </c>
      <c r="F4019" t="s">
        <v>1007</v>
      </c>
      <c r="G4019">
        <v>39751583.5</v>
      </c>
      <c r="H4019">
        <v>6.5</v>
      </c>
      <c r="I4019" t="s">
        <v>15</v>
      </c>
      <c r="J4019" t="s">
        <v>16</v>
      </c>
      <c r="K4019" t="s">
        <v>37</v>
      </c>
    </row>
    <row r="4020" spans="1:13" x14ac:dyDescent="0.25">
      <c r="A4020" t="s">
        <v>6221</v>
      </c>
      <c r="B4020">
        <v>103</v>
      </c>
      <c r="C4020">
        <v>206400</v>
      </c>
      <c r="D4020" t="s">
        <v>6222</v>
      </c>
      <c r="E4020" t="s">
        <v>473</v>
      </c>
      <c r="F4020" t="s">
        <v>295</v>
      </c>
      <c r="G4020">
        <v>50000000</v>
      </c>
      <c r="H4020">
        <v>6.9</v>
      </c>
      <c r="I4020" t="s">
        <v>15</v>
      </c>
      <c r="J4020" t="s">
        <v>38</v>
      </c>
      <c r="K4020" t="s">
        <v>31</v>
      </c>
      <c r="L4020" t="s">
        <v>19</v>
      </c>
      <c r="M4020" t="s">
        <v>24</v>
      </c>
    </row>
    <row r="4021" spans="1:13" x14ac:dyDescent="0.25">
      <c r="A4021" t="s">
        <v>6223</v>
      </c>
      <c r="B4021">
        <v>75</v>
      </c>
      <c r="C4021">
        <v>203134</v>
      </c>
      <c r="D4021" t="s">
        <v>6224</v>
      </c>
      <c r="E4021" t="s">
        <v>13</v>
      </c>
      <c r="F4021" t="s">
        <v>14</v>
      </c>
      <c r="G4021">
        <v>250000</v>
      </c>
      <c r="H4021">
        <v>7</v>
      </c>
      <c r="I4021" t="s">
        <v>46</v>
      </c>
      <c r="J4021" t="s">
        <v>15</v>
      </c>
      <c r="K4021" t="s">
        <v>31</v>
      </c>
      <c r="L4021" t="s">
        <v>17</v>
      </c>
      <c r="M4021" t="s">
        <v>37</v>
      </c>
    </row>
    <row r="4022" spans="1:13" x14ac:dyDescent="0.25">
      <c r="A4022" t="s">
        <v>6225</v>
      </c>
      <c r="B4022">
        <v>93</v>
      </c>
      <c r="C4022">
        <v>200803</v>
      </c>
      <c r="D4022" t="s">
        <v>6226</v>
      </c>
      <c r="E4022" t="s">
        <v>13</v>
      </c>
      <c r="F4022" t="s">
        <v>14</v>
      </c>
      <c r="G4022">
        <v>3000000</v>
      </c>
      <c r="H4022">
        <v>5.3</v>
      </c>
      <c r="I4022" t="s">
        <v>15</v>
      </c>
    </row>
    <row r="4023" spans="1:13" x14ac:dyDescent="0.25">
      <c r="A4023" t="s">
        <v>6227</v>
      </c>
      <c r="B4023">
        <v>102</v>
      </c>
      <c r="C4023">
        <v>199652</v>
      </c>
      <c r="D4023" t="s">
        <v>6228</v>
      </c>
      <c r="E4023" t="s">
        <v>13</v>
      </c>
      <c r="F4023" t="s">
        <v>910</v>
      </c>
      <c r="G4023">
        <v>39751583.5</v>
      </c>
      <c r="H4023">
        <v>6.6</v>
      </c>
      <c r="I4023" t="s">
        <v>34</v>
      </c>
      <c r="J4023" t="s">
        <v>28</v>
      </c>
      <c r="K4023" t="s">
        <v>69</v>
      </c>
    </row>
    <row r="4024" spans="1:13" x14ac:dyDescent="0.25">
      <c r="A4024" t="s">
        <v>6229</v>
      </c>
      <c r="B4024">
        <v>96</v>
      </c>
      <c r="C4024">
        <v>198407</v>
      </c>
      <c r="D4024" t="s">
        <v>6230</v>
      </c>
      <c r="E4024" t="s">
        <v>13</v>
      </c>
      <c r="F4024" t="s">
        <v>14</v>
      </c>
      <c r="G4024">
        <v>2000000</v>
      </c>
      <c r="H4024">
        <v>6.6</v>
      </c>
      <c r="I4024" t="s">
        <v>31</v>
      </c>
    </row>
    <row r="4025" spans="1:13" x14ac:dyDescent="0.25">
      <c r="A4025" t="s">
        <v>1282</v>
      </c>
      <c r="B4025">
        <v>93</v>
      </c>
      <c r="C4025">
        <v>197148</v>
      </c>
      <c r="D4025" t="s">
        <v>6231</v>
      </c>
      <c r="E4025" t="s">
        <v>13</v>
      </c>
      <c r="F4025" t="s">
        <v>82</v>
      </c>
      <c r="G4025">
        <v>7500000</v>
      </c>
      <c r="H4025">
        <v>6.3</v>
      </c>
      <c r="I4025" t="s">
        <v>31</v>
      </c>
      <c r="J4025" t="s">
        <v>19</v>
      </c>
      <c r="K4025" t="s">
        <v>37</v>
      </c>
      <c r="L4025" t="s">
        <v>24</v>
      </c>
    </row>
    <row r="4026" spans="1:13" x14ac:dyDescent="0.25">
      <c r="A4026" t="s">
        <v>6232</v>
      </c>
      <c r="B4026">
        <v>96</v>
      </c>
      <c r="C4026">
        <v>196067</v>
      </c>
      <c r="D4026" t="s">
        <v>6233</v>
      </c>
      <c r="E4026" t="s">
        <v>13</v>
      </c>
      <c r="F4026" t="s">
        <v>82</v>
      </c>
      <c r="G4026">
        <v>7000000</v>
      </c>
      <c r="H4026">
        <v>6.7</v>
      </c>
      <c r="I4026" t="s">
        <v>31</v>
      </c>
      <c r="J4026" t="s">
        <v>19</v>
      </c>
    </row>
    <row r="4027" spans="1:13" x14ac:dyDescent="0.25">
      <c r="A4027" t="s">
        <v>6234</v>
      </c>
      <c r="B4027">
        <v>80</v>
      </c>
      <c r="C4027">
        <v>194568</v>
      </c>
      <c r="D4027" t="s">
        <v>6235</v>
      </c>
      <c r="E4027" t="s">
        <v>13</v>
      </c>
      <c r="F4027" t="s">
        <v>14</v>
      </c>
      <c r="G4027">
        <v>1500000</v>
      </c>
      <c r="H4027">
        <v>6.2</v>
      </c>
      <c r="I4027" t="s">
        <v>15</v>
      </c>
      <c r="J4027" t="s">
        <v>19</v>
      </c>
    </row>
    <row r="4028" spans="1:13" x14ac:dyDescent="0.25">
      <c r="A4028" t="s">
        <v>4924</v>
      </c>
      <c r="B4028">
        <v>85</v>
      </c>
      <c r="C4028">
        <v>192467</v>
      </c>
      <c r="D4028" t="s">
        <v>6236</v>
      </c>
      <c r="E4028" t="s">
        <v>13</v>
      </c>
      <c r="F4028" t="s">
        <v>14</v>
      </c>
      <c r="G4028">
        <v>15000</v>
      </c>
      <c r="H4028">
        <v>6.6</v>
      </c>
      <c r="I4028" t="s">
        <v>15</v>
      </c>
      <c r="J4028" t="s">
        <v>31</v>
      </c>
      <c r="K4028" t="s">
        <v>19</v>
      </c>
    </row>
    <row r="4029" spans="1:13" x14ac:dyDescent="0.25">
      <c r="A4029" t="s">
        <v>5776</v>
      </c>
      <c r="B4029">
        <v>78</v>
      </c>
      <c r="C4029">
        <v>191309</v>
      </c>
      <c r="D4029" t="s">
        <v>6237</v>
      </c>
      <c r="E4029" t="s">
        <v>13</v>
      </c>
      <c r="F4029" t="s">
        <v>14</v>
      </c>
      <c r="G4029">
        <v>150000</v>
      </c>
      <c r="H4029">
        <v>5.5</v>
      </c>
      <c r="I4029" t="s">
        <v>31</v>
      </c>
      <c r="J4029" t="s">
        <v>23</v>
      </c>
      <c r="K4029" t="s">
        <v>24</v>
      </c>
    </row>
    <row r="4030" spans="1:13" x14ac:dyDescent="0.25">
      <c r="A4030" t="s">
        <v>5011</v>
      </c>
      <c r="B4030">
        <v>95</v>
      </c>
      <c r="C4030">
        <v>190666</v>
      </c>
      <c r="D4030" t="s">
        <v>6238</v>
      </c>
      <c r="E4030" t="s">
        <v>1300</v>
      </c>
      <c r="F4030" t="s">
        <v>1206</v>
      </c>
      <c r="G4030">
        <v>39751583.5</v>
      </c>
      <c r="H4030">
        <v>5.7</v>
      </c>
      <c r="I4030" t="s">
        <v>15</v>
      </c>
      <c r="J4030" t="s">
        <v>31</v>
      </c>
    </row>
    <row r="4031" spans="1:13" x14ac:dyDescent="0.25">
      <c r="A4031" t="s">
        <v>759</v>
      </c>
      <c r="B4031">
        <v>110</v>
      </c>
      <c r="C4031">
        <v>190562</v>
      </c>
      <c r="D4031" t="s">
        <v>6239</v>
      </c>
      <c r="E4031" t="s">
        <v>13</v>
      </c>
      <c r="F4031" t="s">
        <v>82</v>
      </c>
      <c r="G4031">
        <v>90000000</v>
      </c>
      <c r="H4031">
        <v>4.4000000000000004</v>
      </c>
      <c r="I4031" t="s">
        <v>34</v>
      </c>
      <c r="J4031" t="s">
        <v>16</v>
      </c>
      <c r="K4031" t="s">
        <v>17</v>
      </c>
      <c r="L4031" t="s">
        <v>59</v>
      </c>
    </row>
    <row r="4032" spans="1:13" x14ac:dyDescent="0.25">
      <c r="A4032" t="s">
        <v>5749</v>
      </c>
      <c r="B4032">
        <v>124</v>
      </c>
      <c r="C4032">
        <v>188870</v>
      </c>
      <c r="D4032" t="s">
        <v>6240</v>
      </c>
      <c r="E4032" t="s">
        <v>1333</v>
      </c>
      <c r="F4032" t="s">
        <v>1334</v>
      </c>
      <c r="G4032">
        <v>39751583.5</v>
      </c>
      <c r="H4032">
        <v>6.7</v>
      </c>
      <c r="I4032" t="s">
        <v>34</v>
      </c>
      <c r="J4032" t="s">
        <v>38</v>
      </c>
      <c r="K4032" t="s">
        <v>31</v>
      </c>
      <c r="L4032" t="s">
        <v>24</v>
      </c>
    </row>
    <row r="4033" spans="1:12" x14ac:dyDescent="0.25">
      <c r="A4033" t="s">
        <v>5244</v>
      </c>
      <c r="B4033">
        <v>129</v>
      </c>
      <c r="C4033">
        <v>186354</v>
      </c>
      <c r="D4033" t="s">
        <v>6241</v>
      </c>
      <c r="E4033" t="s">
        <v>13</v>
      </c>
      <c r="F4033" t="s">
        <v>14</v>
      </c>
      <c r="G4033">
        <v>13500000</v>
      </c>
      <c r="H4033">
        <v>4.5</v>
      </c>
      <c r="I4033" t="s">
        <v>31</v>
      </c>
    </row>
    <row r="4034" spans="1:12" x14ac:dyDescent="0.25">
      <c r="A4034" t="s">
        <v>3827</v>
      </c>
      <c r="B4034">
        <v>86</v>
      </c>
      <c r="C4034">
        <v>185577</v>
      </c>
      <c r="D4034" t="s">
        <v>6242</v>
      </c>
      <c r="E4034" t="s">
        <v>13</v>
      </c>
      <c r="F4034" t="s">
        <v>82</v>
      </c>
      <c r="G4034">
        <v>4000000</v>
      </c>
      <c r="H4034">
        <v>6.3</v>
      </c>
      <c r="I4034" t="s">
        <v>15</v>
      </c>
    </row>
    <row r="4035" spans="1:12" x14ac:dyDescent="0.25">
      <c r="A4035" t="s">
        <v>6243</v>
      </c>
      <c r="B4035">
        <v>134</v>
      </c>
      <c r="C4035">
        <v>183662</v>
      </c>
      <c r="D4035" t="s">
        <v>6244</v>
      </c>
      <c r="E4035" t="s">
        <v>473</v>
      </c>
      <c r="F4035" t="s">
        <v>295</v>
      </c>
      <c r="G4035">
        <v>25000000</v>
      </c>
      <c r="H4035">
        <v>7.1</v>
      </c>
      <c r="I4035" t="s">
        <v>15</v>
      </c>
      <c r="J4035" t="s">
        <v>31</v>
      </c>
    </row>
    <row r="4036" spans="1:12" x14ac:dyDescent="0.25">
      <c r="A4036" t="s">
        <v>4492</v>
      </c>
      <c r="B4036">
        <v>124</v>
      </c>
      <c r="C4036">
        <v>183490</v>
      </c>
      <c r="D4036" t="s">
        <v>6245</v>
      </c>
      <c r="E4036" t="s">
        <v>13</v>
      </c>
      <c r="F4036" t="s">
        <v>14</v>
      </c>
      <c r="G4036">
        <v>1700000</v>
      </c>
      <c r="H4036">
        <v>5.8</v>
      </c>
      <c r="I4036" t="s">
        <v>31</v>
      </c>
      <c r="J4036" t="s">
        <v>83</v>
      </c>
    </row>
    <row r="4037" spans="1:12" x14ac:dyDescent="0.25">
      <c r="A4037" t="s">
        <v>158</v>
      </c>
      <c r="B4037">
        <v>96</v>
      </c>
      <c r="C4037">
        <v>183125</v>
      </c>
      <c r="D4037" t="s">
        <v>6246</v>
      </c>
      <c r="E4037" t="s">
        <v>13</v>
      </c>
      <c r="F4037" t="s">
        <v>14</v>
      </c>
      <c r="G4037">
        <v>35000000</v>
      </c>
      <c r="H4037">
        <v>5.5</v>
      </c>
      <c r="I4037" t="s">
        <v>34</v>
      </c>
      <c r="J4037" t="s">
        <v>38</v>
      </c>
      <c r="K4037" t="s">
        <v>31</v>
      </c>
      <c r="L4037" t="s">
        <v>24</v>
      </c>
    </row>
    <row r="4038" spans="1:12" x14ac:dyDescent="0.25">
      <c r="A4038" t="s">
        <v>3026</v>
      </c>
      <c r="B4038">
        <v>115</v>
      </c>
      <c r="C4038">
        <v>183088</v>
      </c>
      <c r="D4038" t="s">
        <v>6247</v>
      </c>
      <c r="E4038" t="s">
        <v>13</v>
      </c>
      <c r="F4038" t="s">
        <v>14</v>
      </c>
      <c r="G4038">
        <v>15000000</v>
      </c>
      <c r="H4038">
        <v>7</v>
      </c>
      <c r="I4038" t="s">
        <v>15</v>
      </c>
      <c r="J4038" t="s">
        <v>31</v>
      </c>
      <c r="K4038" t="s">
        <v>83</v>
      </c>
    </row>
    <row r="4039" spans="1:12" x14ac:dyDescent="0.25">
      <c r="A4039" t="s">
        <v>6188</v>
      </c>
      <c r="B4039">
        <v>104</v>
      </c>
      <c r="C4039">
        <v>181798</v>
      </c>
      <c r="D4039" t="s">
        <v>6248</v>
      </c>
      <c r="E4039" t="s">
        <v>473</v>
      </c>
      <c r="F4039" t="s">
        <v>295</v>
      </c>
      <c r="G4039">
        <v>39751583.5</v>
      </c>
      <c r="H4039">
        <v>6.6</v>
      </c>
      <c r="I4039" t="s">
        <v>31</v>
      </c>
    </row>
    <row r="4040" spans="1:12" x14ac:dyDescent="0.25">
      <c r="A4040" t="s">
        <v>6249</v>
      </c>
      <c r="B4040">
        <v>109</v>
      </c>
      <c r="C4040">
        <v>181655</v>
      </c>
      <c r="D4040" t="s">
        <v>6250</v>
      </c>
      <c r="E4040" t="s">
        <v>1609</v>
      </c>
      <c r="F4040" t="s">
        <v>1334</v>
      </c>
      <c r="G4040">
        <v>39751583.5</v>
      </c>
      <c r="H4040">
        <v>7.9</v>
      </c>
      <c r="I4040" t="s">
        <v>38</v>
      </c>
      <c r="J4040" t="s">
        <v>31</v>
      </c>
    </row>
    <row r="4041" spans="1:12" x14ac:dyDescent="0.25">
      <c r="A4041" t="s">
        <v>4884</v>
      </c>
      <c r="B4041">
        <v>108</v>
      </c>
      <c r="C4041">
        <v>180483</v>
      </c>
      <c r="D4041" t="s">
        <v>6251</v>
      </c>
      <c r="E4041" t="s">
        <v>13</v>
      </c>
      <c r="F4041" t="s">
        <v>14</v>
      </c>
      <c r="G4041">
        <v>10000</v>
      </c>
      <c r="H4041">
        <v>6.1</v>
      </c>
      <c r="I4041" t="s">
        <v>15</v>
      </c>
      <c r="J4041" t="s">
        <v>38</v>
      </c>
      <c r="K4041" t="s">
        <v>22</v>
      </c>
    </row>
    <row r="4042" spans="1:12" x14ac:dyDescent="0.25">
      <c r="A4042" t="s">
        <v>6252</v>
      </c>
      <c r="B4042">
        <v>105</v>
      </c>
      <c r="C4042">
        <v>178739</v>
      </c>
      <c r="D4042" t="s">
        <v>6253</v>
      </c>
      <c r="E4042" t="s">
        <v>13</v>
      </c>
      <c r="F4042" t="s">
        <v>14</v>
      </c>
      <c r="G4042">
        <v>2450000</v>
      </c>
      <c r="H4042">
        <v>3.9</v>
      </c>
      <c r="I4042" t="s">
        <v>31</v>
      </c>
      <c r="J4042" t="s">
        <v>59</v>
      </c>
    </row>
    <row r="4043" spans="1:12" x14ac:dyDescent="0.25">
      <c r="A4043" t="s">
        <v>5270</v>
      </c>
      <c r="B4043">
        <v>92</v>
      </c>
      <c r="C4043">
        <v>177840</v>
      </c>
      <c r="D4043" t="s">
        <v>6254</v>
      </c>
      <c r="E4043" t="s">
        <v>13</v>
      </c>
      <c r="F4043" t="s">
        <v>82</v>
      </c>
      <c r="G4043">
        <v>250000</v>
      </c>
      <c r="H4043">
        <v>6.1</v>
      </c>
      <c r="I4043" t="s">
        <v>15</v>
      </c>
      <c r="J4043" t="s">
        <v>18</v>
      </c>
    </row>
    <row r="4044" spans="1:12" x14ac:dyDescent="0.25">
      <c r="A4044" t="s">
        <v>6255</v>
      </c>
      <c r="B4044">
        <v>110</v>
      </c>
      <c r="C4044">
        <v>175370</v>
      </c>
      <c r="D4044" t="s">
        <v>6256</v>
      </c>
      <c r="E4044" t="s">
        <v>13</v>
      </c>
      <c r="F4044" t="s">
        <v>14</v>
      </c>
      <c r="G4044">
        <v>12000000</v>
      </c>
      <c r="H4044">
        <v>4.5999999999999996</v>
      </c>
      <c r="I4044" t="s">
        <v>15</v>
      </c>
    </row>
    <row r="4045" spans="1:12" x14ac:dyDescent="0.25">
      <c r="A4045" t="s">
        <v>6257</v>
      </c>
      <c r="B4045">
        <v>103</v>
      </c>
      <c r="C4045">
        <v>174682</v>
      </c>
      <c r="D4045" t="s">
        <v>6258</v>
      </c>
      <c r="E4045" t="s">
        <v>13</v>
      </c>
      <c r="F4045" t="s">
        <v>14</v>
      </c>
      <c r="G4045">
        <v>200000</v>
      </c>
      <c r="H4045">
        <v>6.9</v>
      </c>
      <c r="I4045" t="s">
        <v>31</v>
      </c>
      <c r="J4045" t="s">
        <v>18</v>
      </c>
    </row>
    <row r="4046" spans="1:12" x14ac:dyDescent="0.25">
      <c r="A4046" t="s">
        <v>6259</v>
      </c>
      <c r="B4046">
        <v>112</v>
      </c>
      <c r="C4046">
        <v>173783</v>
      </c>
      <c r="D4046" t="s">
        <v>6260</v>
      </c>
      <c r="E4046" t="s">
        <v>13</v>
      </c>
      <c r="F4046" t="s">
        <v>14</v>
      </c>
      <c r="G4046">
        <v>2500000</v>
      </c>
      <c r="H4046">
        <v>7.6</v>
      </c>
      <c r="I4046" t="s">
        <v>52</v>
      </c>
    </row>
    <row r="4047" spans="1:12" x14ac:dyDescent="0.25">
      <c r="A4047" t="s">
        <v>6261</v>
      </c>
      <c r="B4047">
        <v>84</v>
      </c>
      <c r="C4047">
        <v>173066</v>
      </c>
      <c r="D4047" t="s">
        <v>6262</v>
      </c>
      <c r="E4047" t="s">
        <v>13</v>
      </c>
      <c r="F4047" t="s">
        <v>14</v>
      </c>
      <c r="G4047">
        <v>1500000</v>
      </c>
      <c r="H4047">
        <v>6.3</v>
      </c>
      <c r="I4047" t="s">
        <v>15</v>
      </c>
      <c r="J4047" t="s">
        <v>17</v>
      </c>
    </row>
    <row r="4048" spans="1:12" x14ac:dyDescent="0.25">
      <c r="A4048" t="s">
        <v>4521</v>
      </c>
      <c r="B4048">
        <v>106</v>
      </c>
      <c r="C4048">
        <v>171988</v>
      </c>
      <c r="D4048" t="s">
        <v>6263</v>
      </c>
      <c r="E4048" t="s">
        <v>13</v>
      </c>
      <c r="F4048" t="s">
        <v>14</v>
      </c>
      <c r="G4048">
        <v>600000</v>
      </c>
      <c r="H4048">
        <v>5.6</v>
      </c>
      <c r="I4048" t="s">
        <v>34</v>
      </c>
      <c r="J4048" t="s">
        <v>38</v>
      </c>
      <c r="K4048" t="s">
        <v>31</v>
      </c>
    </row>
    <row r="4049" spans="1:12" x14ac:dyDescent="0.25">
      <c r="A4049" t="s">
        <v>6264</v>
      </c>
      <c r="B4049">
        <v>127</v>
      </c>
      <c r="C4049">
        <v>171320</v>
      </c>
      <c r="D4049" t="s">
        <v>6265</v>
      </c>
      <c r="E4049" t="s">
        <v>473</v>
      </c>
      <c r="F4049" t="s">
        <v>295</v>
      </c>
      <c r="G4049">
        <v>39751583.5</v>
      </c>
      <c r="H4049">
        <v>7.3</v>
      </c>
      <c r="I4049" t="s">
        <v>38</v>
      </c>
      <c r="J4049" t="s">
        <v>31</v>
      </c>
    </row>
    <row r="4050" spans="1:12" x14ac:dyDescent="0.25">
      <c r="A4050" t="s">
        <v>6266</v>
      </c>
      <c r="B4050">
        <v>90</v>
      </c>
      <c r="C4050">
        <v>169719</v>
      </c>
      <c r="D4050" t="s">
        <v>6267</v>
      </c>
      <c r="E4050" t="s">
        <v>13</v>
      </c>
      <c r="F4050" t="s">
        <v>14</v>
      </c>
      <c r="G4050">
        <v>39751583.5</v>
      </c>
      <c r="H4050">
        <v>5.2</v>
      </c>
      <c r="I4050" t="s">
        <v>17</v>
      </c>
      <c r="J4050" t="s">
        <v>22</v>
      </c>
    </row>
    <row r="4051" spans="1:12" x14ac:dyDescent="0.25">
      <c r="A4051" t="s">
        <v>6268</v>
      </c>
      <c r="B4051">
        <v>125</v>
      </c>
      <c r="C4051">
        <v>169379</v>
      </c>
      <c r="D4051" t="s">
        <v>6269</v>
      </c>
      <c r="E4051" t="s">
        <v>1498</v>
      </c>
      <c r="F4051" t="s">
        <v>1901</v>
      </c>
      <c r="G4051">
        <v>10000000</v>
      </c>
      <c r="H4051">
        <v>6.2</v>
      </c>
      <c r="I4051" t="s">
        <v>31</v>
      </c>
      <c r="J4051" t="s">
        <v>64</v>
      </c>
      <c r="K4051" t="s">
        <v>83</v>
      </c>
    </row>
    <row r="4052" spans="1:12" x14ac:dyDescent="0.25">
      <c r="A4052" t="s">
        <v>4658</v>
      </c>
      <c r="B4052">
        <v>100</v>
      </c>
      <c r="C4052">
        <v>163591</v>
      </c>
      <c r="D4052" t="s">
        <v>6270</v>
      </c>
      <c r="E4052" t="s">
        <v>13</v>
      </c>
      <c r="F4052" t="s">
        <v>1216</v>
      </c>
      <c r="G4052">
        <v>13400000</v>
      </c>
      <c r="H4052">
        <v>3.6</v>
      </c>
      <c r="I4052" t="s">
        <v>15</v>
      </c>
    </row>
    <row r="4053" spans="1:12" x14ac:dyDescent="0.25">
      <c r="A4053" t="s">
        <v>6271</v>
      </c>
      <c r="B4053">
        <v>87</v>
      </c>
      <c r="C4053">
        <v>163245</v>
      </c>
      <c r="D4053" t="s">
        <v>6272</v>
      </c>
      <c r="E4053" t="s">
        <v>13</v>
      </c>
      <c r="F4053" t="s">
        <v>14</v>
      </c>
      <c r="G4053">
        <v>1500000</v>
      </c>
      <c r="H4053">
        <v>8.6</v>
      </c>
      <c r="I4053" t="s">
        <v>15</v>
      </c>
      <c r="J4053" t="s">
        <v>31</v>
      </c>
      <c r="K4053" t="s">
        <v>16</v>
      </c>
    </row>
    <row r="4054" spans="1:12" x14ac:dyDescent="0.25">
      <c r="A4054" t="s">
        <v>6273</v>
      </c>
      <c r="B4054">
        <v>93</v>
      </c>
      <c r="C4054">
        <v>155984</v>
      </c>
      <c r="D4054" t="s">
        <v>6274</v>
      </c>
      <c r="E4054" t="s">
        <v>13</v>
      </c>
      <c r="F4054" t="s">
        <v>14</v>
      </c>
      <c r="G4054">
        <v>160000</v>
      </c>
      <c r="H4054">
        <v>7.4</v>
      </c>
      <c r="I4054" t="s">
        <v>52</v>
      </c>
    </row>
    <row r="4055" spans="1:12" x14ac:dyDescent="0.25">
      <c r="A4055" t="s">
        <v>6275</v>
      </c>
      <c r="B4055">
        <v>90</v>
      </c>
      <c r="C4055">
        <v>155972</v>
      </c>
      <c r="D4055" t="s">
        <v>6276</v>
      </c>
      <c r="E4055" t="s">
        <v>5544</v>
      </c>
      <c r="F4055" t="s">
        <v>5545</v>
      </c>
      <c r="G4055">
        <v>1500000</v>
      </c>
      <c r="H4055">
        <v>7.3</v>
      </c>
      <c r="I4055" t="s">
        <v>15</v>
      </c>
      <c r="J4055" t="s">
        <v>31</v>
      </c>
      <c r="K4055" t="s">
        <v>19</v>
      </c>
    </row>
    <row r="4056" spans="1:12" x14ac:dyDescent="0.25">
      <c r="A4056" t="s">
        <v>5909</v>
      </c>
      <c r="B4056">
        <v>91</v>
      </c>
      <c r="C4056">
        <v>154077</v>
      </c>
      <c r="D4056" t="s">
        <v>6277</v>
      </c>
      <c r="E4056" t="s">
        <v>13</v>
      </c>
      <c r="F4056" t="s">
        <v>14</v>
      </c>
      <c r="G4056">
        <v>500000</v>
      </c>
      <c r="H4056">
        <v>6.6</v>
      </c>
      <c r="I4056" t="s">
        <v>15</v>
      </c>
      <c r="J4056" t="s">
        <v>31</v>
      </c>
    </row>
    <row r="4057" spans="1:12" x14ac:dyDescent="0.25">
      <c r="A4057" t="s">
        <v>6278</v>
      </c>
      <c r="B4057">
        <v>110</v>
      </c>
      <c r="C4057">
        <v>152857</v>
      </c>
      <c r="D4057" t="s">
        <v>6279</v>
      </c>
      <c r="E4057" t="s">
        <v>13</v>
      </c>
      <c r="F4057" t="s">
        <v>82</v>
      </c>
      <c r="G4057">
        <v>39751583.5</v>
      </c>
      <c r="H4057">
        <v>7</v>
      </c>
      <c r="I4057" t="s">
        <v>31</v>
      </c>
    </row>
    <row r="4058" spans="1:12" x14ac:dyDescent="0.25">
      <c r="A4058" t="s">
        <v>6280</v>
      </c>
      <c r="B4058">
        <v>88</v>
      </c>
      <c r="C4058">
        <v>151389</v>
      </c>
      <c r="D4058" t="s">
        <v>6281</v>
      </c>
      <c r="E4058" t="s">
        <v>13</v>
      </c>
      <c r="F4058" t="s">
        <v>14</v>
      </c>
      <c r="G4058">
        <v>500000</v>
      </c>
      <c r="H4058">
        <v>7.1</v>
      </c>
      <c r="I4058" t="s">
        <v>52</v>
      </c>
    </row>
    <row r="4059" spans="1:12" x14ac:dyDescent="0.25">
      <c r="A4059" t="s">
        <v>6282</v>
      </c>
      <c r="B4059">
        <v>113</v>
      </c>
      <c r="C4059">
        <v>146402</v>
      </c>
      <c r="D4059" t="s">
        <v>6283</v>
      </c>
      <c r="E4059" t="s">
        <v>1498</v>
      </c>
      <c r="F4059" t="s">
        <v>910</v>
      </c>
      <c r="G4059">
        <v>4000000</v>
      </c>
      <c r="H4059">
        <v>7.7</v>
      </c>
      <c r="I4059" t="s">
        <v>15</v>
      </c>
      <c r="J4059" t="s">
        <v>31</v>
      </c>
    </row>
    <row r="4060" spans="1:12" x14ac:dyDescent="0.25">
      <c r="A4060" t="s">
        <v>1586</v>
      </c>
      <c r="B4060">
        <v>111</v>
      </c>
      <c r="C4060">
        <v>146083</v>
      </c>
      <c r="D4060" t="s">
        <v>6284</v>
      </c>
      <c r="E4060" t="s">
        <v>13</v>
      </c>
      <c r="F4060" t="s">
        <v>82</v>
      </c>
      <c r="G4060">
        <v>39751583.5</v>
      </c>
      <c r="H4060">
        <v>6.3</v>
      </c>
      <c r="I4060" t="s">
        <v>31</v>
      </c>
      <c r="J4060" t="s">
        <v>19</v>
      </c>
      <c r="K4060" t="s">
        <v>83</v>
      </c>
    </row>
    <row r="4061" spans="1:12" x14ac:dyDescent="0.25">
      <c r="A4061" t="s">
        <v>6285</v>
      </c>
      <c r="B4061">
        <v>93</v>
      </c>
      <c r="C4061">
        <v>145540</v>
      </c>
      <c r="D4061" t="s">
        <v>6286</v>
      </c>
      <c r="E4061" t="s">
        <v>13</v>
      </c>
      <c r="F4061" t="s">
        <v>14</v>
      </c>
      <c r="G4061">
        <v>500000</v>
      </c>
      <c r="H4061">
        <v>6.7</v>
      </c>
      <c r="I4061" t="s">
        <v>31</v>
      </c>
      <c r="J4061" t="s">
        <v>22</v>
      </c>
    </row>
    <row r="4062" spans="1:12" x14ac:dyDescent="0.25">
      <c r="A4062" t="s">
        <v>1230</v>
      </c>
      <c r="B4062">
        <v>334</v>
      </c>
      <c r="C4062">
        <v>145118</v>
      </c>
      <c r="D4062" t="s">
        <v>6287</v>
      </c>
      <c r="E4062" t="s">
        <v>13</v>
      </c>
      <c r="F4062" t="s">
        <v>295</v>
      </c>
      <c r="G4062">
        <v>39751583.5</v>
      </c>
      <c r="H4062">
        <v>7.7</v>
      </c>
      <c r="I4062" t="s">
        <v>42</v>
      </c>
      <c r="J4062" t="s">
        <v>38</v>
      </c>
      <c r="K4062" t="s">
        <v>31</v>
      </c>
      <c r="L4062" t="s">
        <v>24</v>
      </c>
    </row>
    <row r="4063" spans="1:12" x14ac:dyDescent="0.25">
      <c r="A4063" t="s">
        <v>6288</v>
      </c>
      <c r="B4063">
        <v>45</v>
      </c>
      <c r="C4063">
        <v>145109</v>
      </c>
      <c r="D4063" t="s">
        <v>6289</v>
      </c>
      <c r="E4063" t="s">
        <v>1441</v>
      </c>
      <c r="F4063" t="s">
        <v>1442</v>
      </c>
      <c r="G4063">
        <v>45000000</v>
      </c>
      <c r="H4063">
        <v>7.3</v>
      </c>
      <c r="I4063" t="s">
        <v>31</v>
      </c>
      <c r="J4063" t="s">
        <v>64</v>
      </c>
      <c r="K4063" t="s">
        <v>24</v>
      </c>
      <c r="L4063" t="s">
        <v>83</v>
      </c>
    </row>
    <row r="4064" spans="1:12" x14ac:dyDescent="0.25">
      <c r="A4064" t="s">
        <v>4119</v>
      </c>
      <c r="B4064">
        <v>104</v>
      </c>
      <c r="C4064">
        <v>144583</v>
      </c>
      <c r="D4064" t="s">
        <v>6290</v>
      </c>
      <c r="E4064" t="s">
        <v>13</v>
      </c>
      <c r="F4064" t="s">
        <v>295</v>
      </c>
      <c r="G4064">
        <v>800000</v>
      </c>
      <c r="H4064">
        <v>6.5</v>
      </c>
      <c r="I4064" t="s">
        <v>31</v>
      </c>
      <c r="J4064" t="s">
        <v>24</v>
      </c>
    </row>
    <row r="4065" spans="1:12" x14ac:dyDescent="0.25">
      <c r="A4065" t="s">
        <v>6291</v>
      </c>
      <c r="B4065">
        <v>97</v>
      </c>
      <c r="C4065">
        <v>144431</v>
      </c>
      <c r="D4065" t="s">
        <v>6292</v>
      </c>
      <c r="E4065" t="s">
        <v>13</v>
      </c>
      <c r="F4065" t="s">
        <v>82</v>
      </c>
      <c r="G4065">
        <v>1000000</v>
      </c>
      <c r="H4065">
        <v>7.3</v>
      </c>
      <c r="I4065" t="s">
        <v>52</v>
      </c>
      <c r="J4065" t="s">
        <v>41</v>
      </c>
    </row>
    <row r="4066" spans="1:12" x14ac:dyDescent="0.25">
      <c r="A4066" t="s">
        <v>6293</v>
      </c>
      <c r="B4066">
        <v>104</v>
      </c>
      <c r="C4066">
        <v>143653</v>
      </c>
      <c r="D4066" t="s">
        <v>6294</v>
      </c>
      <c r="E4066" t="s">
        <v>13</v>
      </c>
      <c r="F4066" t="s">
        <v>82</v>
      </c>
      <c r="G4066">
        <v>4000000</v>
      </c>
      <c r="H4066">
        <v>6</v>
      </c>
      <c r="I4066" t="s">
        <v>42</v>
      </c>
      <c r="J4066" t="s">
        <v>31</v>
      </c>
    </row>
    <row r="4067" spans="1:12" x14ac:dyDescent="0.25">
      <c r="A4067" t="s">
        <v>6295</v>
      </c>
      <c r="B4067">
        <v>88</v>
      </c>
      <c r="C4067">
        <v>143000</v>
      </c>
      <c r="D4067" t="s">
        <v>6296</v>
      </c>
      <c r="E4067" t="s">
        <v>13</v>
      </c>
      <c r="F4067" t="s">
        <v>14</v>
      </c>
      <c r="G4067">
        <v>5000000</v>
      </c>
      <c r="H4067">
        <v>4.0999999999999996</v>
      </c>
      <c r="I4067" t="s">
        <v>22</v>
      </c>
      <c r="J4067" t="s">
        <v>24</v>
      </c>
    </row>
    <row r="4068" spans="1:12" x14ac:dyDescent="0.25">
      <c r="A4068" t="s">
        <v>1011</v>
      </c>
      <c r="B4068">
        <v>107</v>
      </c>
      <c r="C4068">
        <v>141853</v>
      </c>
      <c r="D4068" t="s">
        <v>6297</v>
      </c>
      <c r="E4068" t="s">
        <v>13</v>
      </c>
      <c r="F4068" t="s">
        <v>45</v>
      </c>
      <c r="G4068">
        <v>12000000</v>
      </c>
      <c r="H4068">
        <v>6</v>
      </c>
      <c r="I4068" t="s">
        <v>15</v>
      </c>
      <c r="J4068" t="s">
        <v>31</v>
      </c>
    </row>
    <row r="4069" spans="1:12" x14ac:dyDescent="0.25">
      <c r="A4069" t="s">
        <v>5788</v>
      </c>
      <c r="B4069">
        <v>94</v>
      </c>
      <c r="C4069">
        <v>140987</v>
      </c>
      <c r="D4069" t="s">
        <v>6298</v>
      </c>
      <c r="E4069" t="s">
        <v>13</v>
      </c>
      <c r="F4069" t="s">
        <v>98</v>
      </c>
      <c r="G4069">
        <v>39751583.5</v>
      </c>
      <c r="H4069">
        <v>4.2</v>
      </c>
      <c r="I4069" t="s">
        <v>31</v>
      </c>
    </row>
    <row r="4070" spans="1:12" x14ac:dyDescent="0.25">
      <c r="A4070" t="s">
        <v>314</v>
      </c>
      <c r="B4070">
        <v>150</v>
      </c>
      <c r="C4070">
        <v>140244</v>
      </c>
      <c r="D4070" t="s">
        <v>6299</v>
      </c>
      <c r="E4070" t="s">
        <v>13</v>
      </c>
      <c r="F4070" t="s">
        <v>14</v>
      </c>
      <c r="G4070">
        <v>8500000</v>
      </c>
      <c r="H4070">
        <v>6.7</v>
      </c>
      <c r="I4070" t="s">
        <v>22</v>
      </c>
      <c r="J4070" t="s">
        <v>59</v>
      </c>
      <c r="K4070" t="s">
        <v>37</v>
      </c>
    </row>
    <row r="4071" spans="1:12" x14ac:dyDescent="0.25">
      <c r="A4071" t="s">
        <v>4924</v>
      </c>
      <c r="B4071">
        <v>84</v>
      </c>
      <c r="C4071">
        <v>140016</v>
      </c>
      <c r="D4071" t="s">
        <v>6300</v>
      </c>
      <c r="E4071" t="s">
        <v>13</v>
      </c>
      <c r="F4071" t="s">
        <v>14</v>
      </c>
      <c r="G4071">
        <v>39751583.5</v>
      </c>
      <c r="H4071">
        <v>6</v>
      </c>
      <c r="I4071" t="s">
        <v>15</v>
      </c>
      <c r="J4071" t="s">
        <v>31</v>
      </c>
      <c r="K4071" t="s">
        <v>22</v>
      </c>
      <c r="L4071" t="s">
        <v>19</v>
      </c>
    </row>
    <row r="4072" spans="1:12" x14ac:dyDescent="0.25">
      <c r="A4072" t="s">
        <v>1024</v>
      </c>
      <c r="B4072">
        <v>94</v>
      </c>
      <c r="C4072">
        <v>137945</v>
      </c>
      <c r="D4072" t="s">
        <v>6301</v>
      </c>
      <c r="E4072" t="s">
        <v>13</v>
      </c>
      <c r="F4072" t="s">
        <v>14</v>
      </c>
      <c r="G4072">
        <v>39751583.5</v>
      </c>
      <c r="H4072">
        <v>5.9</v>
      </c>
      <c r="I4072" t="s">
        <v>15</v>
      </c>
      <c r="J4072" t="s">
        <v>31</v>
      </c>
      <c r="K4072" t="s">
        <v>59</v>
      </c>
      <c r="L4072" t="s">
        <v>19</v>
      </c>
    </row>
    <row r="4073" spans="1:12" x14ac:dyDescent="0.25">
      <c r="A4073" t="s">
        <v>1785</v>
      </c>
      <c r="B4073">
        <v>90</v>
      </c>
      <c r="C4073">
        <v>136432</v>
      </c>
      <c r="D4073" t="s">
        <v>6302</v>
      </c>
      <c r="E4073" t="s">
        <v>13</v>
      </c>
      <c r="F4073" t="s">
        <v>82</v>
      </c>
      <c r="G4073">
        <v>5000000</v>
      </c>
      <c r="H4073">
        <v>6.6</v>
      </c>
      <c r="I4073" t="s">
        <v>15</v>
      </c>
      <c r="J4073" t="s">
        <v>22</v>
      </c>
      <c r="K4073" t="s">
        <v>24</v>
      </c>
    </row>
    <row r="4074" spans="1:12" x14ac:dyDescent="0.25">
      <c r="A4074" t="s">
        <v>5201</v>
      </c>
      <c r="B4074">
        <v>110</v>
      </c>
      <c r="C4074">
        <v>136007</v>
      </c>
      <c r="D4074" t="s">
        <v>6303</v>
      </c>
      <c r="E4074" t="s">
        <v>473</v>
      </c>
      <c r="F4074" t="s">
        <v>295</v>
      </c>
      <c r="G4074">
        <v>4500</v>
      </c>
      <c r="H4074">
        <v>6.9</v>
      </c>
      <c r="I4074" t="s">
        <v>31</v>
      </c>
      <c r="J4074" t="s">
        <v>18</v>
      </c>
      <c r="K4074" t="s">
        <v>19</v>
      </c>
    </row>
    <row r="4075" spans="1:12" x14ac:dyDescent="0.25">
      <c r="A4075" t="s">
        <v>525</v>
      </c>
      <c r="B4075">
        <v>117</v>
      </c>
      <c r="C4075">
        <v>134904</v>
      </c>
      <c r="D4075" t="s">
        <v>6304</v>
      </c>
      <c r="E4075" t="s">
        <v>13</v>
      </c>
      <c r="F4075" t="s">
        <v>14</v>
      </c>
      <c r="G4075">
        <v>25000000</v>
      </c>
      <c r="H4075">
        <v>5.7</v>
      </c>
      <c r="I4075" t="s">
        <v>15</v>
      </c>
      <c r="J4075" t="s">
        <v>31</v>
      </c>
      <c r="K4075" t="s">
        <v>19</v>
      </c>
      <c r="L4075" t="s">
        <v>41</v>
      </c>
    </row>
    <row r="4076" spans="1:12" x14ac:dyDescent="0.25">
      <c r="A4076" t="s">
        <v>6305</v>
      </c>
      <c r="B4076">
        <v>89</v>
      </c>
      <c r="C4076">
        <v>133778</v>
      </c>
      <c r="D4076" t="s">
        <v>6306</v>
      </c>
      <c r="E4076" t="s">
        <v>13</v>
      </c>
      <c r="F4076" t="s">
        <v>14</v>
      </c>
      <c r="G4076">
        <v>500000</v>
      </c>
      <c r="H4076">
        <v>8.4</v>
      </c>
      <c r="I4076" t="s">
        <v>52</v>
      </c>
      <c r="J4076" t="s">
        <v>41</v>
      </c>
    </row>
    <row r="4077" spans="1:12" x14ac:dyDescent="0.25">
      <c r="A4077" t="s">
        <v>4991</v>
      </c>
      <c r="B4077">
        <v>82</v>
      </c>
      <c r="C4077">
        <v>131617</v>
      </c>
      <c r="D4077" t="s">
        <v>6307</v>
      </c>
      <c r="E4077" t="s">
        <v>13</v>
      </c>
      <c r="F4077" t="s">
        <v>14</v>
      </c>
      <c r="G4077">
        <v>10000000</v>
      </c>
      <c r="H4077">
        <v>6.3</v>
      </c>
      <c r="I4077" t="s">
        <v>31</v>
      </c>
      <c r="J4077" t="s">
        <v>24</v>
      </c>
    </row>
    <row r="4078" spans="1:12" x14ac:dyDescent="0.25">
      <c r="A4078" t="s">
        <v>6308</v>
      </c>
      <c r="B4078">
        <v>95</v>
      </c>
      <c r="C4078">
        <v>131175</v>
      </c>
      <c r="D4078" t="s">
        <v>6309</v>
      </c>
      <c r="E4078" t="s">
        <v>13</v>
      </c>
      <c r="F4078" t="s">
        <v>14</v>
      </c>
      <c r="G4078">
        <v>8500000</v>
      </c>
      <c r="H4078">
        <v>5.6</v>
      </c>
      <c r="I4078" t="s">
        <v>31</v>
      </c>
      <c r="J4078" t="s">
        <v>22</v>
      </c>
    </row>
    <row r="4079" spans="1:12" x14ac:dyDescent="0.25">
      <c r="A4079" t="s">
        <v>6310</v>
      </c>
      <c r="B4079">
        <v>107</v>
      </c>
      <c r="C4079">
        <v>129319</v>
      </c>
      <c r="D4079" t="s">
        <v>6311</v>
      </c>
      <c r="E4079" t="s">
        <v>13</v>
      </c>
      <c r="F4079" t="s">
        <v>1296</v>
      </c>
      <c r="G4079">
        <v>70000000</v>
      </c>
      <c r="H4079">
        <v>5.0999999999999996</v>
      </c>
      <c r="I4079" t="s">
        <v>19</v>
      </c>
    </row>
    <row r="4080" spans="1:12" x14ac:dyDescent="0.25">
      <c r="A4080" t="s">
        <v>1661</v>
      </c>
      <c r="B4080">
        <v>100</v>
      </c>
      <c r="C4080">
        <v>129115</v>
      </c>
      <c r="D4080" t="s">
        <v>6312</v>
      </c>
      <c r="E4080" t="s">
        <v>1946</v>
      </c>
      <c r="F4080" t="s">
        <v>1206</v>
      </c>
      <c r="G4080">
        <v>25000000</v>
      </c>
      <c r="H4080">
        <v>6.5</v>
      </c>
      <c r="I4080" t="s">
        <v>34</v>
      </c>
      <c r="J4080" t="s">
        <v>31</v>
      </c>
    </row>
    <row r="4081" spans="1:14" x14ac:dyDescent="0.25">
      <c r="A4081" t="s">
        <v>6313</v>
      </c>
      <c r="B4081">
        <v>113</v>
      </c>
      <c r="C4081">
        <v>128978</v>
      </c>
      <c r="D4081" t="s">
        <v>6314</v>
      </c>
      <c r="E4081" t="s">
        <v>1300</v>
      </c>
      <c r="F4081" t="s">
        <v>1007</v>
      </c>
      <c r="G4081">
        <v>40000000</v>
      </c>
      <c r="H4081">
        <v>7.1</v>
      </c>
      <c r="I4081" t="s">
        <v>34</v>
      </c>
      <c r="J4081" t="s">
        <v>31</v>
      </c>
      <c r="K4081" t="s">
        <v>64</v>
      </c>
      <c r="L4081" t="s">
        <v>19</v>
      </c>
      <c r="M4081" t="s">
        <v>83</v>
      </c>
    </row>
    <row r="4082" spans="1:14" x14ac:dyDescent="0.25">
      <c r="A4082" t="s">
        <v>6315</v>
      </c>
      <c r="B4082">
        <v>86</v>
      </c>
      <c r="C4082">
        <v>128937</v>
      </c>
      <c r="D4082" t="s">
        <v>6316</v>
      </c>
      <c r="E4082" t="s">
        <v>13</v>
      </c>
      <c r="F4082" t="s">
        <v>1465</v>
      </c>
      <c r="G4082">
        <v>39751583.5</v>
      </c>
      <c r="H4082">
        <v>6.2</v>
      </c>
      <c r="I4082" t="s">
        <v>31</v>
      </c>
      <c r="J4082" t="s">
        <v>22</v>
      </c>
      <c r="K4082" t="s">
        <v>19</v>
      </c>
    </row>
    <row r="4083" spans="1:14" x14ac:dyDescent="0.25">
      <c r="A4083" t="s">
        <v>4585</v>
      </c>
      <c r="B4083">
        <v>135</v>
      </c>
      <c r="C4083">
        <v>128486</v>
      </c>
      <c r="D4083" t="s">
        <v>6317</v>
      </c>
      <c r="E4083" t="s">
        <v>1312</v>
      </c>
      <c r="F4083" t="s">
        <v>1216</v>
      </c>
      <c r="G4083">
        <v>10000000</v>
      </c>
      <c r="H4083">
        <v>7.3</v>
      </c>
      <c r="I4083" t="s">
        <v>34</v>
      </c>
      <c r="J4083" t="s">
        <v>28</v>
      </c>
      <c r="K4083" t="s">
        <v>15</v>
      </c>
      <c r="L4083" t="s">
        <v>69</v>
      </c>
    </row>
    <row r="4084" spans="1:14" x14ac:dyDescent="0.25">
      <c r="A4084" t="s">
        <v>6318</v>
      </c>
      <c r="B4084">
        <v>121</v>
      </c>
      <c r="C4084">
        <v>127437</v>
      </c>
      <c r="D4084" t="s">
        <v>6319</v>
      </c>
      <c r="E4084" t="s">
        <v>1300</v>
      </c>
      <c r="F4084" t="s">
        <v>1206</v>
      </c>
      <c r="G4084">
        <v>18000000</v>
      </c>
      <c r="H4084">
        <v>6</v>
      </c>
      <c r="I4084" t="s">
        <v>34</v>
      </c>
      <c r="J4084" t="s">
        <v>28</v>
      </c>
      <c r="K4084" t="s">
        <v>31</v>
      </c>
      <c r="L4084" t="s">
        <v>64</v>
      </c>
      <c r="M4084" t="s">
        <v>83</v>
      </c>
    </row>
    <row r="4085" spans="1:14" x14ac:dyDescent="0.25">
      <c r="A4085" t="s">
        <v>6320</v>
      </c>
      <c r="B4085">
        <v>99</v>
      </c>
      <c r="C4085">
        <v>127144</v>
      </c>
      <c r="D4085" t="s">
        <v>6321</v>
      </c>
      <c r="E4085" t="s">
        <v>13</v>
      </c>
      <c r="F4085" t="s">
        <v>14</v>
      </c>
      <c r="G4085">
        <v>8000000</v>
      </c>
      <c r="H4085">
        <v>5.5</v>
      </c>
      <c r="I4085" t="s">
        <v>15</v>
      </c>
      <c r="J4085" t="s">
        <v>31</v>
      </c>
      <c r="K4085" t="s">
        <v>19</v>
      </c>
    </row>
    <row r="4086" spans="1:14" x14ac:dyDescent="0.25">
      <c r="A4086" t="s">
        <v>6322</v>
      </c>
      <c r="B4086">
        <v>82</v>
      </c>
      <c r="C4086">
        <v>126387</v>
      </c>
      <c r="D4086" t="s">
        <v>6323</v>
      </c>
      <c r="E4086" t="s">
        <v>1351</v>
      </c>
      <c r="F4086" t="s">
        <v>1342</v>
      </c>
      <c r="G4086">
        <v>400000</v>
      </c>
      <c r="H4086">
        <v>6.9</v>
      </c>
      <c r="I4086" t="s">
        <v>22</v>
      </c>
    </row>
    <row r="4087" spans="1:14" x14ac:dyDescent="0.25">
      <c r="A4087" t="s">
        <v>6324</v>
      </c>
      <c r="B4087">
        <v>83</v>
      </c>
      <c r="C4087">
        <v>126247</v>
      </c>
      <c r="D4087" t="s">
        <v>6325</v>
      </c>
      <c r="E4087" t="s">
        <v>13</v>
      </c>
      <c r="F4087" t="s">
        <v>14</v>
      </c>
      <c r="G4087">
        <v>6200000</v>
      </c>
      <c r="H4087">
        <v>3.3</v>
      </c>
      <c r="I4087" t="s">
        <v>15</v>
      </c>
      <c r="J4087" t="s">
        <v>38</v>
      </c>
    </row>
    <row r="4088" spans="1:14" x14ac:dyDescent="0.25">
      <c r="A4088" t="s">
        <v>6326</v>
      </c>
      <c r="B4088">
        <v>99</v>
      </c>
      <c r="C4088">
        <v>125169</v>
      </c>
      <c r="D4088" t="s">
        <v>6327</v>
      </c>
      <c r="E4088" t="s">
        <v>13</v>
      </c>
      <c r="F4088" t="s">
        <v>14</v>
      </c>
      <c r="G4088">
        <v>10500000</v>
      </c>
      <c r="H4088">
        <v>6.4</v>
      </c>
      <c r="I4088" t="s">
        <v>15</v>
      </c>
      <c r="J4088" t="s">
        <v>31</v>
      </c>
    </row>
    <row r="4089" spans="1:14" x14ac:dyDescent="0.25">
      <c r="A4089" t="s">
        <v>6328</v>
      </c>
      <c r="B4089">
        <v>90</v>
      </c>
      <c r="C4089">
        <v>124720</v>
      </c>
      <c r="D4089" t="s">
        <v>6329</v>
      </c>
      <c r="E4089" t="s">
        <v>13</v>
      </c>
      <c r="F4089" t="s">
        <v>14</v>
      </c>
      <c r="G4089">
        <v>5000000</v>
      </c>
      <c r="H4089">
        <v>7.3</v>
      </c>
      <c r="I4089" t="s">
        <v>31</v>
      </c>
      <c r="J4089" t="s">
        <v>19</v>
      </c>
    </row>
    <row r="4090" spans="1:14" x14ac:dyDescent="0.25">
      <c r="A4090" t="s">
        <v>6330</v>
      </c>
      <c r="B4090">
        <v>91</v>
      </c>
      <c r="C4090">
        <v>124494</v>
      </c>
      <c r="D4090" t="s">
        <v>6331</v>
      </c>
      <c r="E4090" t="s">
        <v>13</v>
      </c>
      <c r="F4090" t="s">
        <v>14</v>
      </c>
      <c r="G4090">
        <v>2000000</v>
      </c>
      <c r="H4090">
        <v>6.7</v>
      </c>
      <c r="I4090" t="s">
        <v>34</v>
      </c>
      <c r="J4090" t="s">
        <v>28</v>
      </c>
      <c r="K4090" t="s">
        <v>15</v>
      </c>
      <c r="L4090" t="s">
        <v>31</v>
      </c>
      <c r="M4090" t="s">
        <v>18</v>
      </c>
      <c r="N4090" t="s">
        <v>37</v>
      </c>
    </row>
    <row r="4091" spans="1:14" x14ac:dyDescent="0.25">
      <c r="A4091" t="s">
        <v>6332</v>
      </c>
      <c r="B4091">
        <v>105</v>
      </c>
      <c r="C4091">
        <v>123777</v>
      </c>
      <c r="D4091" t="s">
        <v>6333</v>
      </c>
      <c r="E4091" t="s">
        <v>13</v>
      </c>
      <c r="F4091" t="s">
        <v>98</v>
      </c>
      <c r="G4091">
        <v>3500000</v>
      </c>
      <c r="H4091">
        <v>4.7</v>
      </c>
      <c r="I4091" t="s">
        <v>34</v>
      </c>
      <c r="J4091" t="s">
        <v>42</v>
      </c>
      <c r="K4091" t="s">
        <v>38</v>
      </c>
      <c r="L4091" t="s">
        <v>31</v>
      </c>
      <c r="M4091" t="s">
        <v>16</v>
      </c>
      <c r="N4091" t="s">
        <v>17</v>
      </c>
    </row>
    <row r="4092" spans="1:14" x14ac:dyDescent="0.25">
      <c r="A4092" t="s">
        <v>3681</v>
      </c>
      <c r="B4092">
        <v>97</v>
      </c>
      <c r="C4092">
        <v>122288</v>
      </c>
      <c r="D4092" t="s">
        <v>6334</v>
      </c>
      <c r="E4092" t="s">
        <v>13</v>
      </c>
      <c r="F4092" t="s">
        <v>82</v>
      </c>
      <c r="G4092">
        <v>39751583.5</v>
      </c>
      <c r="H4092">
        <v>6.4</v>
      </c>
      <c r="I4092" t="s">
        <v>34</v>
      </c>
      <c r="J4092" t="s">
        <v>28</v>
      </c>
      <c r="K4092" t="s">
        <v>31</v>
      </c>
      <c r="L4092" t="s">
        <v>64</v>
      </c>
      <c r="M4092" t="s">
        <v>24</v>
      </c>
      <c r="N4092" t="s">
        <v>83</v>
      </c>
    </row>
    <row r="4093" spans="1:14" x14ac:dyDescent="0.25">
      <c r="A4093" t="s">
        <v>6335</v>
      </c>
      <c r="B4093">
        <v>100</v>
      </c>
      <c r="C4093">
        <v>121972</v>
      </c>
      <c r="D4093" t="s">
        <v>6336</v>
      </c>
      <c r="E4093" t="s">
        <v>13</v>
      </c>
      <c r="F4093" t="s">
        <v>14</v>
      </c>
      <c r="G4093">
        <v>22000000</v>
      </c>
      <c r="H4093">
        <v>5.5</v>
      </c>
      <c r="I4093" t="s">
        <v>38</v>
      </c>
      <c r="J4093" t="s">
        <v>31</v>
      </c>
      <c r="K4093" t="s">
        <v>23</v>
      </c>
    </row>
    <row r="4094" spans="1:14" x14ac:dyDescent="0.25">
      <c r="A4094" t="s">
        <v>4972</v>
      </c>
      <c r="B4094">
        <v>90</v>
      </c>
      <c r="C4094">
        <v>120620</v>
      </c>
      <c r="D4094" t="s">
        <v>6337</v>
      </c>
      <c r="E4094" t="s">
        <v>13</v>
      </c>
      <c r="F4094" t="s">
        <v>82</v>
      </c>
      <c r="G4094">
        <v>39751583.5</v>
      </c>
      <c r="H4094">
        <v>7.4</v>
      </c>
      <c r="I4094" t="s">
        <v>42</v>
      </c>
      <c r="J4094" t="s">
        <v>15</v>
      </c>
      <c r="K4094" t="s">
        <v>31</v>
      </c>
      <c r="L4094" t="s">
        <v>18</v>
      </c>
    </row>
    <row r="4095" spans="1:14" x14ac:dyDescent="0.25">
      <c r="A4095" t="s">
        <v>6338</v>
      </c>
      <c r="B4095">
        <v>132</v>
      </c>
      <c r="C4095">
        <v>119922</v>
      </c>
      <c r="D4095" t="s">
        <v>6339</v>
      </c>
      <c r="E4095" t="s">
        <v>1300</v>
      </c>
      <c r="F4095" t="s">
        <v>1206</v>
      </c>
      <c r="G4095">
        <v>12000000</v>
      </c>
      <c r="H4095">
        <v>7.7</v>
      </c>
      <c r="I4095" t="s">
        <v>31</v>
      </c>
      <c r="J4095" t="s">
        <v>64</v>
      </c>
      <c r="K4095" t="s">
        <v>83</v>
      </c>
    </row>
    <row r="4096" spans="1:14" x14ac:dyDescent="0.25">
      <c r="A4096" t="s">
        <v>6340</v>
      </c>
      <c r="B4096">
        <v>91</v>
      </c>
      <c r="C4096">
        <v>119841</v>
      </c>
      <c r="D4096" t="s">
        <v>6341</v>
      </c>
      <c r="E4096" t="s">
        <v>13</v>
      </c>
      <c r="F4096" t="s">
        <v>14</v>
      </c>
      <c r="G4096">
        <v>1500000</v>
      </c>
      <c r="H4096">
        <v>6.5</v>
      </c>
      <c r="I4096" t="s">
        <v>31</v>
      </c>
    </row>
    <row r="4097" spans="1:12" x14ac:dyDescent="0.25">
      <c r="A4097" t="s">
        <v>6342</v>
      </c>
      <c r="B4097">
        <v>100</v>
      </c>
      <c r="C4097">
        <v>118666</v>
      </c>
      <c r="D4097" t="s">
        <v>6343</v>
      </c>
      <c r="E4097" t="s">
        <v>13</v>
      </c>
      <c r="F4097" t="s">
        <v>14</v>
      </c>
      <c r="G4097">
        <v>2500000</v>
      </c>
      <c r="H4097">
        <v>6.6</v>
      </c>
      <c r="I4097" t="s">
        <v>31</v>
      </c>
    </row>
    <row r="4098" spans="1:12" x14ac:dyDescent="0.25">
      <c r="A4098" t="s">
        <v>6344</v>
      </c>
      <c r="B4098">
        <v>97</v>
      </c>
      <c r="C4098">
        <v>117560</v>
      </c>
      <c r="D4098" t="s">
        <v>6345</v>
      </c>
      <c r="E4098" t="s">
        <v>13</v>
      </c>
      <c r="F4098" t="s">
        <v>14</v>
      </c>
      <c r="G4098">
        <v>6000000</v>
      </c>
      <c r="H4098">
        <v>6.2</v>
      </c>
      <c r="I4098" t="s">
        <v>31</v>
      </c>
      <c r="J4098" t="s">
        <v>19</v>
      </c>
    </row>
    <row r="4099" spans="1:12" x14ac:dyDescent="0.25">
      <c r="A4099" t="s">
        <v>899</v>
      </c>
      <c r="B4099">
        <v>98</v>
      </c>
      <c r="C4099">
        <v>117190</v>
      </c>
      <c r="D4099" t="s">
        <v>6346</v>
      </c>
      <c r="E4099" t="s">
        <v>13</v>
      </c>
      <c r="F4099" t="s">
        <v>82</v>
      </c>
      <c r="G4099">
        <v>8000000</v>
      </c>
      <c r="H4099">
        <v>6.9</v>
      </c>
      <c r="I4099" t="s">
        <v>34</v>
      </c>
      <c r="J4099" t="s">
        <v>15</v>
      </c>
      <c r="K4099" t="s">
        <v>38</v>
      </c>
    </row>
    <row r="4100" spans="1:12" x14ac:dyDescent="0.25">
      <c r="A4100" t="s">
        <v>3819</v>
      </c>
      <c r="B4100">
        <v>96</v>
      </c>
      <c r="C4100">
        <v>115862</v>
      </c>
      <c r="D4100" t="s">
        <v>6347</v>
      </c>
      <c r="E4100" t="s">
        <v>13</v>
      </c>
      <c r="F4100" t="s">
        <v>14</v>
      </c>
      <c r="G4100">
        <v>6000000</v>
      </c>
      <c r="H4100">
        <v>6.7</v>
      </c>
      <c r="I4100" t="s">
        <v>31</v>
      </c>
      <c r="J4100" t="s">
        <v>19</v>
      </c>
    </row>
    <row r="4101" spans="1:12" x14ac:dyDescent="0.25">
      <c r="A4101" t="s">
        <v>6348</v>
      </c>
      <c r="B4101">
        <v>106</v>
      </c>
      <c r="C4101">
        <v>115504</v>
      </c>
      <c r="D4101" t="s">
        <v>6349</v>
      </c>
      <c r="E4101" t="s">
        <v>13</v>
      </c>
      <c r="F4101" t="s">
        <v>82</v>
      </c>
      <c r="G4101">
        <v>14000000</v>
      </c>
      <c r="H4101">
        <v>6.2</v>
      </c>
      <c r="I4101" t="s">
        <v>15</v>
      </c>
      <c r="J4101" t="s">
        <v>31</v>
      </c>
      <c r="K4101" t="s">
        <v>19</v>
      </c>
    </row>
    <row r="4102" spans="1:12" x14ac:dyDescent="0.25">
      <c r="A4102" t="s">
        <v>423</v>
      </c>
      <c r="B4102">
        <v>89</v>
      </c>
      <c r="C4102">
        <v>113155</v>
      </c>
      <c r="D4102" t="s">
        <v>6350</v>
      </c>
      <c r="E4102" t="s">
        <v>13</v>
      </c>
      <c r="F4102" t="s">
        <v>14</v>
      </c>
      <c r="G4102">
        <v>39751583.5</v>
      </c>
      <c r="H4102">
        <v>6.1</v>
      </c>
      <c r="I4102" t="s">
        <v>28</v>
      </c>
      <c r="J4102" t="s">
        <v>15</v>
      </c>
      <c r="K4102" t="s">
        <v>37</v>
      </c>
    </row>
    <row r="4103" spans="1:12" x14ac:dyDescent="0.25">
      <c r="A4103" t="s">
        <v>5049</v>
      </c>
      <c r="B4103">
        <v>121</v>
      </c>
      <c r="C4103">
        <v>112935</v>
      </c>
      <c r="D4103" t="s">
        <v>6351</v>
      </c>
      <c r="E4103" t="s">
        <v>13</v>
      </c>
      <c r="F4103" t="s">
        <v>82</v>
      </c>
      <c r="G4103">
        <v>9000000</v>
      </c>
      <c r="H4103">
        <v>7.6</v>
      </c>
      <c r="I4103" t="s">
        <v>31</v>
      </c>
    </row>
    <row r="4104" spans="1:12" x14ac:dyDescent="0.25">
      <c r="A4104" t="s">
        <v>2803</v>
      </c>
      <c r="B4104">
        <v>90</v>
      </c>
      <c r="C4104">
        <v>112521</v>
      </c>
      <c r="D4104" t="s">
        <v>6352</v>
      </c>
      <c r="E4104" t="s">
        <v>13</v>
      </c>
      <c r="F4104" t="s">
        <v>14</v>
      </c>
      <c r="G4104">
        <v>39751583.5</v>
      </c>
      <c r="H4104">
        <v>5.7</v>
      </c>
      <c r="I4104" t="s">
        <v>15</v>
      </c>
      <c r="J4104" t="s">
        <v>31</v>
      </c>
    </row>
    <row r="4105" spans="1:12" x14ac:dyDescent="0.25">
      <c r="A4105" t="s">
        <v>6353</v>
      </c>
      <c r="B4105">
        <v>86</v>
      </c>
      <c r="C4105">
        <v>111300</v>
      </c>
      <c r="D4105" t="s">
        <v>6354</v>
      </c>
      <c r="E4105" t="s">
        <v>13</v>
      </c>
      <c r="F4105" t="s">
        <v>14</v>
      </c>
      <c r="G4105">
        <v>225000</v>
      </c>
      <c r="H4105">
        <v>7.5</v>
      </c>
      <c r="I4105" t="s">
        <v>52</v>
      </c>
    </row>
    <row r="4106" spans="1:12" x14ac:dyDescent="0.25">
      <c r="A4106" t="s">
        <v>6355</v>
      </c>
      <c r="B4106">
        <v>88</v>
      </c>
      <c r="C4106">
        <v>110720</v>
      </c>
      <c r="D4106" t="s">
        <v>6356</v>
      </c>
      <c r="E4106" t="s">
        <v>13</v>
      </c>
      <c r="F4106" t="s">
        <v>14</v>
      </c>
      <c r="G4106">
        <v>1200000</v>
      </c>
      <c r="H4106">
        <v>7.3</v>
      </c>
      <c r="I4106" t="s">
        <v>15</v>
      </c>
    </row>
    <row r="4107" spans="1:12" x14ac:dyDescent="0.25">
      <c r="A4107" t="s">
        <v>6357</v>
      </c>
      <c r="B4107">
        <v>90</v>
      </c>
      <c r="C4107">
        <v>110536</v>
      </c>
      <c r="D4107" t="s">
        <v>6358</v>
      </c>
      <c r="E4107" t="s">
        <v>13</v>
      </c>
      <c r="F4107" t="s">
        <v>14</v>
      </c>
      <c r="G4107">
        <v>40000</v>
      </c>
      <c r="H4107">
        <v>7</v>
      </c>
      <c r="I4107" t="s">
        <v>15</v>
      </c>
      <c r="J4107" t="s">
        <v>22</v>
      </c>
      <c r="K4107" t="s">
        <v>37</v>
      </c>
    </row>
    <row r="4108" spans="1:12" x14ac:dyDescent="0.25">
      <c r="A4108" t="s">
        <v>6359</v>
      </c>
      <c r="B4108">
        <v>94</v>
      </c>
      <c r="C4108">
        <v>110197</v>
      </c>
      <c r="D4108" t="s">
        <v>6360</v>
      </c>
      <c r="E4108" t="s">
        <v>6361</v>
      </c>
      <c r="F4108" t="s">
        <v>5357</v>
      </c>
      <c r="G4108">
        <v>39751583.5</v>
      </c>
      <c r="H4108">
        <v>7.3</v>
      </c>
      <c r="I4108" t="s">
        <v>31</v>
      </c>
      <c r="J4108" t="s">
        <v>24</v>
      </c>
    </row>
    <row r="4109" spans="1:12" x14ac:dyDescent="0.25">
      <c r="A4109" t="s">
        <v>6362</v>
      </c>
      <c r="B4109">
        <v>88</v>
      </c>
      <c r="C4109">
        <v>110029</v>
      </c>
      <c r="D4109" t="s">
        <v>6363</v>
      </c>
      <c r="E4109" t="s">
        <v>13</v>
      </c>
      <c r="F4109" t="s">
        <v>45</v>
      </c>
      <c r="G4109">
        <v>6500000</v>
      </c>
      <c r="H4109">
        <v>6.3</v>
      </c>
      <c r="I4109" t="s">
        <v>15</v>
      </c>
      <c r="J4109" t="s">
        <v>31</v>
      </c>
      <c r="K4109" t="s">
        <v>59</v>
      </c>
    </row>
    <row r="4110" spans="1:12" x14ac:dyDescent="0.25">
      <c r="A4110" t="s">
        <v>6364</v>
      </c>
      <c r="B4110">
        <v>99</v>
      </c>
      <c r="C4110">
        <v>110000</v>
      </c>
      <c r="D4110" t="s">
        <v>6365</v>
      </c>
      <c r="E4110" t="s">
        <v>13</v>
      </c>
      <c r="F4110" t="s">
        <v>14</v>
      </c>
      <c r="G4110">
        <v>39751583.5</v>
      </c>
      <c r="H4110">
        <v>7.3</v>
      </c>
      <c r="I4110" t="s">
        <v>38</v>
      </c>
      <c r="J4110" t="s">
        <v>31</v>
      </c>
      <c r="K4110" t="s">
        <v>19</v>
      </c>
    </row>
    <row r="4111" spans="1:12" x14ac:dyDescent="0.25">
      <c r="A4111" t="s">
        <v>6366</v>
      </c>
      <c r="B4111">
        <v>95</v>
      </c>
      <c r="C4111">
        <v>108662</v>
      </c>
      <c r="D4111" t="s">
        <v>6367</v>
      </c>
      <c r="E4111" t="s">
        <v>13</v>
      </c>
      <c r="F4111" t="s">
        <v>14</v>
      </c>
      <c r="G4111">
        <v>8000000</v>
      </c>
      <c r="H4111">
        <v>6</v>
      </c>
      <c r="I4111" t="s">
        <v>38</v>
      </c>
      <c r="J4111" t="s">
        <v>22</v>
      </c>
      <c r="K4111" t="s">
        <v>24</v>
      </c>
    </row>
    <row r="4112" spans="1:12" x14ac:dyDescent="0.25">
      <c r="A4112" t="s">
        <v>6368</v>
      </c>
      <c r="B4112">
        <v>104</v>
      </c>
      <c r="C4112">
        <v>108229</v>
      </c>
      <c r="D4112" t="s">
        <v>6369</v>
      </c>
      <c r="E4112" t="s">
        <v>13</v>
      </c>
      <c r="F4112" t="s">
        <v>14</v>
      </c>
      <c r="G4112">
        <v>4500000</v>
      </c>
      <c r="H4112">
        <v>5.9</v>
      </c>
      <c r="I4112" t="s">
        <v>31</v>
      </c>
      <c r="J4112" t="s">
        <v>22</v>
      </c>
      <c r="K4112" t="s">
        <v>23</v>
      </c>
      <c r="L4112" t="s">
        <v>24</v>
      </c>
    </row>
    <row r="4113" spans="1:12" x14ac:dyDescent="0.25">
      <c r="A4113" t="s">
        <v>6370</v>
      </c>
      <c r="B4113">
        <v>120</v>
      </c>
      <c r="C4113">
        <v>106869</v>
      </c>
      <c r="D4113" t="s">
        <v>6371</v>
      </c>
      <c r="E4113" t="s">
        <v>13</v>
      </c>
      <c r="F4113" t="s">
        <v>295</v>
      </c>
      <c r="G4113">
        <v>17000000</v>
      </c>
      <c r="H4113">
        <v>6.6</v>
      </c>
      <c r="I4113" t="s">
        <v>38</v>
      </c>
      <c r="J4113" t="s">
        <v>31</v>
      </c>
      <c r="K4113" t="s">
        <v>19</v>
      </c>
      <c r="L4113" t="s">
        <v>24</v>
      </c>
    </row>
    <row r="4114" spans="1:12" x14ac:dyDescent="0.25">
      <c r="A4114" t="s">
        <v>6372</v>
      </c>
      <c r="B4114">
        <v>98</v>
      </c>
      <c r="C4114">
        <v>105943</v>
      </c>
      <c r="D4114" t="s">
        <v>6373</v>
      </c>
      <c r="E4114" t="s">
        <v>13</v>
      </c>
      <c r="F4114" t="s">
        <v>14</v>
      </c>
      <c r="G4114">
        <v>1500000</v>
      </c>
      <c r="H4114">
        <v>6.1</v>
      </c>
      <c r="I4114" t="s">
        <v>15</v>
      </c>
    </row>
    <row r="4115" spans="1:12" x14ac:dyDescent="0.25">
      <c r="A4115" t="s">
        <v>3247</v>
      </c>
      <c r="B4115">
        <v>92</v>
      </c>
      <c r="C4115">
        <v>104792</v>
      </c>
      <c r="D4115" t="s">
        <v>6374</v>
      </c>
      <c r="E4115" t="s">
        <v>13</v>
      </c>
      <c r="F4115" t="s">
        <v>82</v>
      </c>
      <c r="G4115">
        <v>39751583.5</v>
      </c>
      <c r="H4115">
        <v>7.1</v>
      </c>
      <c r="I4115" t="s">
        <v>34</v>
      </c>
      <c r="J4115" t="s">
        <v>42</v>
      </c>
      <c r="K4115" t="s">
        <v>38</v>
      </c>
      <c r="L4115" t="s">
        <v>31</v>
      </c>
    </row>
    <row r="4116" spans="1:12" x14ac:dyDescent="0.25">
      <c r="A4116" t="s">
        <v>6375</v>
      </c>
      <c r="B4116">
        <v>99</v>
      </c>
      <c r="C4116">
        <v>104257</v>
      </c>
      <c r="D4116" t="s">
        <v>6376</v>
      </c>
      <c r="E4116" t="s">
        <v>13</v>
      </c>
      <c r="F4116" t="s">
        <v>82</v>
      </c>
      <c r="G4116">
        <v>2200000</v>
      </c>
      <c r="H4116">
        <v>7.1</v>
      </c>
      <c r="I4116" t="s">
        <v>15</v>
      </c>
      <c r="J4116" t="s">
        <v>18</v>
      </c>
    </row>
    <row r="4117" spans="1:12" x14ac:dyDescent="0.25">
      <c r="A4117" t="s">
        <v>6377</v>
      </c>
      <c r="B4117">
        <v>88</v>
      </c>
      <c r="C4117">
        <v>104077</v>
      </c>
      <c r="D4117" t="s">
        <v>6378</v>
      </c>
      <c r="E4117" t="s">
        <v>13</v>
      </c>
      <c r="F4117" t="s">
        <v>14</v>
      </c>
      <c r="G4117">
        <v>1000000</v>
      </c>
      <c r="H4117">
        <v>7.4</v>
      </c>
      <c r="I4117" t="s">
        <v>15</v>
      </c>
      <c r="J4117" t="s">
        <v>31</v>
      </c>
      <c r="K4117" t="s">
        <v>17</v>
      </c>
      <c r="L4117" t="s">
        <v>19</v>
      </c>
    </row>
    <row r="4118" spans="1:12" x14ac:dyDescent="0.25">
      <c r="A4118" t="s">
        <v>6379</v>
      </c>
      <c r="B4118">
        <v>98</v>
      </c>
      <c r="C4118">
        <v>101228</v>
      </c>
      <c r="D4118" t="s">
        <v>6380</v>
      </c>
      <c r="E4118" t="s">
        <v>13</v>
      </c>
      <c r="F4118" t="s">
        <v>14</v>
      </c>
      <c r="G4118">
        <v>3500000</v>
      </c>
      <c r="H4118">
        <v>6.4</v>
      </c>
      <c r="I4118" t="s">
        <v>15</v>
      </c>
      <c r="J4118" t="s">
        <v>31</v>
      </c>
    </row>
    <row r="4119" spans="1:12" x14ac:dyDescent="0.25">
      <c r="A4119" t="s">
        <v>1897</v>
      </c>
      <c r="B4119">
        <v>90</v>
      </c>
      <c r="C4119">
        <v>101055</v>
      </c>
      <c r="D4119" t="s">
        <v>6381</v>
      </c>
      <c r="E4119" t="s">
        <v>13</v>
      </c>
      <c r="F4119" t="s">
        <v>14</v>
      </c>
      <c r="G4119">
        <v>4000000</v>
      </c>
      <c r="H4119">
        <v>5</v>
      </c>
      <c r="I4119" t="s">
        <v>22</v>
      </c>
    </row>
    <row r="4120" spans="1:12" x14ac:dyDescent="0.25">
      <c r="A4120" t="s">
        <v>6382</v>
      </c>
      <c r="B4120">
        <v>93</v>
      </c>
      <c r="C4120">
        <v>100675</v>
      </c>
      <c r="D4120" t="s">
        <v>6383</v>
      </c>
      <c r="E4120" t="s">
        <v>13</v>
      </c>
      <c r="F4120" t="s">
        <v>14</v>
      </c>
      <c r="G4120">
        <v>3000000</v>
      </c>
      <c r="H4120">
        <v>6.4</v>
      </c>
      <c r="I4120" t="s">
        <v>52</v>
      </c>
    </row>
    <row r="4121" spans="1:12" x14ac:dyDescent="0.25">
      <c r="A4121" t="s">
        <v>6384</v>
      </c>
      <c r="B4121">
        <v>85</v>
      </c>
      <c r="C4121">
        <v>100669</v>
      </c>
      <c r="D4121" t="s">
        <v>6385</v>
      </c>
      <c r="E4121" t="s">
        <v>13</v>
      </c>
      <c r="F4121" t="s">
        <v>14</v>
      </c>
      <c r="G4121">
        <v>3800000</v>
      </c>
      <c r="H4121">
        <v>5.8</v>
      </c>
      <c r="I4121" t="s">
        <v>15</v>
      </c>
      <c r="J4121" t="s">
        <v>31</v>
      </c>
    </row>
    <row r="4122" spans="1:12" x14ac:dyDescent="0.25">
      <c r="A4122" t="s">
        <v>6386</v>
      </c>
      <c r="B4122">
        <v>95</v>
      </c>
      <c r="C4122">
        <v>100659</v>
      </c>
      <c r="D4122" t="s">
        <v>6387</v>
      </c>
      <c r="E4122" t="s">
        <v>13</v>
      </c>
      <c r="F4122" t="s">
        <v>14</v>
      </c>
      <c r="G4122">
        <v>900000</v>
      </c>
      <c r="H4122">
        <v>6.4</v>
      </c>
      <c r="I4122" t="s">
        <v>22</v>
      </c>
    </row>
    <row r="4123" spans="1:12" x14ac:dyDescent="0.25">
      <c r="A4123" t="s">
        <v>6388</v>
      </c>
      <c r="B4123">
        <v>90</v>
      </c>
      <c r="C4123">
        <v>100503</v>
      </c>
      <c r="D4123" t="s">
        <v>6389</v>
      </c>
      <c r="E4123" t="s">
        <v>13</v>
      </c>
      <c r="F4123" t="s">
        <v>14</v>
      </c>
      <c r="G4123">
        <v>8000000</v>
      </c>
      <c r="H4123">
        <v>5.9</v>
      </c>
      <c r="I4123" t="s">
        <v>15</v>
      </c>
      <c r="J4123" t="s">
        <v>19</v>
      </c>
    </row>
    <row r="4124" spans="1:12" x14ac:dyDescent="0.25">
      <c r="A4124" t="s">
        <v>6390</v>
      </c>
      <c r="B4124">
        <v>120</v>
      </c>
      <c r="C4124">
        <v>100412</v>
      </c>
      <c r="D4124" t="s">
        <v>6391</v>
      </c>
      <c r="E4124" t="s">
        <v>1277</v>
      </c>
      <c r="F4124" t="s">
        <v>1901</v>
      </c>
      <c r="G4124">
        <v>4000000</v>
      </c>
      <c r="H4124">
        <v>7.7</v>
      </c>
      <c r="I4124" t="s">
        <v>31</v>
      </c>
    </row>
    <row r="4125" spans="1:12" x14ac:dyDescent="0.25">
      <c r="A4125" t="s">
        <v>6392</v>
      </c>
      <c r="B4125">
        <v>97</v>
      </c>
      <c r="C4125">
        <v>100358</v>
      </c>
      <c r="D4125" t="s">
        <v>6393</v>
      </c>
      <c r="E4125" t="s">
        <v>13</v>
      </c>
      <c r="F4125" t="s">
        <v>1296</v>
      </c>
      <c r="G4125">
        <v>1500000</v>
      </c>
      <c r="H4125">
        <v>3.3</v>
      </c>
      <c r="I4125" t="s">
        <v>15</v>
      </c>
      <c r="J4125" t="s">
        <v>59</v>
      </c>
      <c r="K4125" t="s">
        <v>19</v>
      </c>
    </row>
    <row r="4126" spans="1:12" x14ac:dyDescent="0.25">
      <c r="A4126" t="s">
        <v>6394</v>
      </c>
      <c r="B4126">
        <v>93</v>
      </c>
      <c r="C4126">
        <v>100240</v>
      </c>
      <c r="D4126" t="s">
        <v>6395</v>
      </c>
      <c r="E4126" t="s">
        <v>13</v>
      </c>
      <c r="F4126" t="s">
        <v>1442</v>
      </c>
      <c r="G4126">
        <v>1000000</v>
      </c>
      <c r="H4126">
        <v>6.8</v>
      </c>
      <c r="I4126" t="s">
        <v>52</v>
      </c>
    </row>
    <row r="4127" spans="1:12" x14ac:dyDescent="0.25">
      <c r="A4127" t="s">
        <v>6396</v>
      </c>
      <c r="B4127">
        <v>80</v>
      </c>
      <c r="C4127">
        <v>99851</v>
      </c>
      <c r="D4127" t="s">
        <v>6397</v>
      </c>
      <c r="E4127" t="s">
        <v>13</v>
      </c>
      <c r="F4127" t="s">
        <v>14</v>
      </c>
      <c r="G4127">
        <v>2500000</v>
      </c>
      <c r="H4127">
        <v>7.1</v>
      </c>
      <c r="I4127" t="s">
        <v>52</v>
      </c>
    </row>
    <row r="4128" spans="1:12" x14ac:dyDescent="0.25">
      <c r="A4128" t="s">
        <v>2767</v>
      </c>
      <c r="B4128">
        <v>105</v>
      </c>
      <c r="C4128">
        <v>99462</v>
      </c>
      <c r="D4128" t="s">
        <v>6398</v>
      </c>
      <c r="E4128" t="s">
        <v>13</v>
      </c>
      <c r="F4128" t="s">
        <v>295</v>
      </c>
      <c r="G4128">
        <v>33000000</v>
      </c>
      <c r="H4128">
        <v>7.1</v>
      </c>
      <c r="I4128" t="s">
        <v>34</v>
      </c>
      <c r="J4128" t="s">
        <v>28</v>
      </c>
      <c r="K4128" t="s">
        <v>31</v>
      </c>
      <c r="L4128" t="s">
        <v>16</v>
      </c>
    </row>
    <row r="4129" spans="1:12" x14ac:dyDescent="0.25">
      <c r="A4129" t="s">
        <v>6109</v>
      </c>
      <c r="B4129">
        <v>90</v>
      </c>
      <c r="C4129">
        <v>99147</v>
      </c>
      <c r="D4129" t="s">
        <v>6399</v>
      </c>
      <c r="E4129" t="s">
        <v>13</v>
      </c>
      <c r="F4129" t="s">
        <v>14</v>
      </c>
      <c r="G4129">
        <v>2000000</v>
      </c>
      <c r="H4129">
        <v>6.2</v>
      </c>
      <c r="I4129" t="s">
        <v>31</v>
      </c>
    </row>
    <row r="4130" spans="1:12" x14ac:dyDescent="0.25">
      <c r="A4130" t="s">
        <v>6400</v>
      </c>
      <c r="B4130">
        <v>82</v>
      </c>
      <c r="C4130">
        <v>98017</v>
      </c>
      <c r="D4130" t="s">
        <v>6401</v>
      </c>
      <c r="E4130" t="s">
        <v>13</v>
      </c>
      <c r="F4130" t="s">
        <v>295</v>
      </c>
      <c r="G4130">
        <v>500000</v>
      </c>
      <c r="H4130">
        <v>5.8</v>
      </c>
      <c r="I4130" t="s">
        <v>15</v>
      </c>
      <c r="J4130" t="s">
        <v>17</v>
      </c>
      <c r="K4130" t="s">
        <v>22</v>
      </c>
    </row>
    <row r="4131" spans="1:12" x14ac:dyDescent="0.25">
      <c r="A4131" t="s">
        <v>708</v>
      </c>
      <c r="B4131">
        <v>91</v>
      </c>
      <c r="C4131">
        <v>96793</v>
      </c>
      <c r="D4131" t="s">
        <v>6402</v>
      </c>
      <c r="E4131" t="s">
        <v>13</v>
      </c>
      <c r="F4131" t="s">
        <v>14</v>
      </c>
      <c r="G4131">
        <v>3500000</v>
      </c>
      <c r="H4131">
        <v>5.3</v>
      </c>
      <c r="I4131" t="s">
        <v>34</v>
      </c>
      <c r="J4131" t="s">
        <v>15</v>
      </c>
      <c r="K4131" t="s">
        <v>19</v>
      </c>
    </row>
    <row r="4132" spans="1:12" x14ac:dyDescent="0.25">
      <c r="A4132" t="s">
        <v>6403</v>
      </c>
      <c r="B4132">
        <v>112</v>
      </c>
      <c r="C4132">
        <v>96734</v>
      </c>
      <c r="D4132" t="s">
        <v>6404</v>
      </c>
      <c r="E4132" t="s">
        <v>13</v>
      </c>
      <c r="F4132" t="s">
        <v>14</v>
      </c>
      <c r="G4132">
        <v>1000000</v>
      </c>
      <c r="H4132">
        <v>5.6</v>
      </c>
      <c r="I4132" t="s">
        <v>34</v>
      </c>
      <c r="J4132" t="s">
        <v>31</v>
      </c>
    </row>
    <row r="4133" spans="1:12" x14ac:dyDescent="0.25">
      <c r="A4133" t="s">
        <v>6405</v>
      </c>
      <c r="B4133">
        <v>160</v>
      </c>
      <c r="C4133">
        <v>95236</v>
      </c>
      <c r="D4133" t="s">
        <v>6406</v>
      </c>
      <c r="E4133" t="s">
        <v>1409</v>
      </c>
      <c r="F4133" t="s">
        <v>1296</v>
      </c>
      <c r="G4133">
        <v>39751583.5</v>
      </c>
      <c r="H4133">
        <v>6.4</v>
      </c>
      <c r="I4133" t="s">
        <v>31</v>
      </c>
      <c r="J4133" t="s">
        <v>59</v>
      </c>
    </row>
    <row r="4134" spans="1:12" x14ac:dyDescent="0.25">
      <c r="A4134" t="s">
        <v>6216</v>
      </c>
      <c r="B4134">
        <v>98</v>
      </c>
      <c r="C4134">
        <v>95016</v>
      </c>
      <c r="D4134" t="s">
        <v>6407</v>
      </c>
      <c r="E4134" t="s">
        <v>1277</v>
      </c>
      <c r="F4134" t="s">
        <v>241</v>
      </c>
      <c r="G4134">
        <v>2700000</v>
      </c>
      <c r="H4134">
        <v>7.4</v>
      </c>
      <c r="I4134" t="s">
        <v>15</v>
      </c>
      <c r="J4134" t="s">
        <v>31</v>
      </c>
      <c r="K4134" t="s">
        <v>19</v>
      </c>
      <c r="L4134" t="s">
        <v>41</v>
      </c>
    </row>
    <row r="4135" spans="1:12" x14ac:dyDescent="0.25">
      <c r="A4135" t="s">
        <v>6408</v>
      </c>
      <c r="B4135">
        <v>111</v>
      </c>
      <c r="C4135">
        <v>94596</v>
      </c>
      <c r="D4135" t="s">
        <v>6409</v>
      </c>
      <c r="E4135" t="s">
        <v>1226</v>
      </c>
      <c r="F4135" t="s">
        <v>27</v>
      </c>
      <c r="G4135">
        <v>1000000</v>
      </c>
      <c r="H4135">
        <v>7.4</v>
      </c>
      <c r="I4135" t="s">
        <v>38</v>
      </c>
      <c r="J4135" t="s">
        <v>22</v>
      </c>
      <c r="K4135" t="s">
        <v>23</v>
      </c>
      <c r="L4135" t="s">
        <v>24</v>
      </c>
    </row>
    <row r="4136" spans="1:12" x14ac:dyDescent="0.25">
      <c r="A4136" t="s">
        <v>6410</v>
      </c>
      <c r="B4136">
        <v>90</v>
      </c>
      <c r="C4136">
        <v>92900</v>
      </c>
      <c r="D4136" t="s">
        <v>6411</v>
      </c>
      <c r="E4136" t="s">
        <v>13</v>
      </c>
      <c r="F4136" t="s">
        <v>14</v>
      </c>
      <c r="G4136">
        <v>5000000</v>
      </c>
      <c r="H4136">
        <v>4.7</v>
      </c>
      <c r="I4136" t="s">
        <v>15</v>
      </c>
      <c r="J4136" t="s">
        <v>31</v>
      </c>
    </row>
    <row r="4137" spans="1:12" x14ac:dyDescent="0.25">
      <c r="A4137" t="s">
        <v>6412</v>
      </c>
      <c r="B4137">
        <v>105</v>
      </c>
      <c r="C4137">
        <v>92401</v>
      </c>
      <c r="D4137" t="s">
        <v>6413</v>
      </c>
      <c r="E4137" t="s">
        <v>13</v>
      </c>
      <c r="F4137" t="s">
        <v>14</v>
      </c>
      <c r="G4137">
        <v>2000000</v>
      </c>
      <c r="H4137">
        <v>6.3</v>
      </c>
      <c r="I4137" t="s">
        <v>22</v>
      </c>
      <c r="J4137" t="s">
        <v>24</v>
      </c>
    </row>
    <row r="4138" spans="1:12" x14ac:dyDescent="0.25">
      <c r="A4138" t="s">
        <v>3886</v>
      </c>
      <c r="B4138">
        <v>90</v>
      </c>
      <c r="C4138">
        <v>92362</v>
      </c>
      <c r="D4138" t="s">
        <v>6414</v>
      </c>
      <c r="E4138" t="s">
        <v>13</v>
      </c>
      <c r="F4138" t="s">
        <v>14</v>
      </c>
      <c r="G4138">
        <v>1500000</v>
      </c>
      <c r="H4138">
        <v>4.3</v>
      </c>
      <c r="I4138" t="s">
        <v>15</v>
      </c>
      <c r="J4138" t="s">
        <v>31</v>
      </c>
    </row>
    <row r="4139" spans="1:12" x14ac:dyDescent="0.25">
      <c r="A4139" t="s">
        <v>6415</v>
      </c>
      <c r="B4139">
        <v>99</v>
      </c>
      <c r="C4139">
        <v>92191</v>
      </c>
      <c r="D4139" t="s">
        <v>6416</v>
      </c>
      <c r="E4139" t="s">
        <v>13</v>
      </c>
      <c r="F4139" t="s">
        <v>82</v>
      </c>
      <c r="G4139">
        <v>2500000</v>
      </c>
      <c r="H4139">
        <v>6.5</v>
      </c>
      <c r="I4139" t="s">
        <v>15</v>
      </c>
      <c r="J4139" t="s">
        <v>31</v>
      </c>
      <c r="K4139" t="s">
        <v>41</v>
      </c>
    </row>
    <row r="4140" spans="1:12" x14ac:dyDescent="0.25">
      <c r="A4140" t="s">
        <v>6417</v>
      </c>
      <c r="B4140">
        <v>84</v>
      </c>
      <c r="C4140">
        <v>90820</v>
      </c>
      <c r="D4140" t="s">
        <v>6418</v>
      </c>
      <c r="E4140" t="s">
        <v>13</v>
      </c>
      <c r="F4140" t="s">
        <v>14</v>
      </c>
      <c r="G4140">
        <v>39751583.5</v>
      </c>
      <c r="H4140">
        <v>6</v>
      </c>
      <c r="I4140" t="s">
        <v>31</v>
      </c>
      <c r="J4140" t="s">
        <v>22</v>
      </c>
      <c r="K4140" t="s">
        <v>37</v>
      </c>
      <c r="L4140" t="s">
        <v>24</v>
      </c>
    </row>
    <row r="4141" spans="1:12" x14ac:dyDescent="0.25">
      <c r="A4141" t="s">
        <v>6419</v>
      </c>
      <c r="B4141">
        <v>131</v>
      </c>
      <c r="C4141">
        <v>85433</v>
      </c>
      <c r="D4141" t="s">
        <v>6420</v>
      </c>
      <c r="E4141" t="s">
        <v>13</v>
      </c>
      <c r="F4141" t="s">
        <v>1342</v>
      </c>
      <c r="G4141">
        <v>13500000</v>
      </c>
      <c r="H4141">
        <v>7.8</v>
      </c>
      <c r="I4141" t="s">
        <v>38</v>
      </c>
      <c r="J4141" t="s">
        <v>31</v>
      </c>
      <c r="K4141" t="s">
        <v>23</v>
      </c>
      <c r="L4141" t="s">
        <v>19</v>
      </c>
    </row>
    <row r="4142" spans="1:12" x14ac:dyDescent="0.25">
      <c r="A4142" t="s">
        <v>4521</v>
      </c>
      <c r="B4142">
        <v>90</v>
      </c>
      <c r="C4142">
        <v>85222</v>
      </c>
      <c r="D4142" t="s">
        <v>6421</v>
      </c>
      <c r="E4142" t="s">
        <v>13</v>
      </c>
      <c r="F4142" t="s">
        <v>14</v>
      </c>
      <c r="G4142">
        <v>1100</v>
      </c>
      <c r="H4142">
        <v>6.6</v>
      </c>
      <c r="I4142" t="s">
        <v>52</v>
      </c>
    </row>
    <row r="4143" spans="1:12" x14ac:dyDescent="0.25">
      <c r="A4143" t="s">
        <v>5011</v>
      </c>
      <c r="B4143">
        <v>80</v>
      </c>
      <c r="C4143">
        <v>84961</v>
      </c>
      <c r="D4143" t="s">
        <v>6422</v>
      </c>
      <c r="E4143" t="s">
        <v>1300</v>
      </c>
      <c r="F4143" t="s">
        <v>1206</v>
      </c>
      <c r="G4143">
        <v>31000000</v>
      </c>
      <c r="H4143">
        <v>7.9</v>
      </c>
      <c r="I4143" t="s">
        <v>34</v>
      </c>
      <c r="J4143" t="s">
        <v>28</v>
      </c>
      <c r="K4143" t="s">
        <v>64</v>
      </c>
    </row>
    <row r="4144" spans="1:12" x14ac:dyDescent="0.25">
      <c r="A4144" t="s">
        <v>6423</v>
      </c>
      <c r="B4144">
        <v>90</v>
      </c>
      <c r="C4144">
        <v>84689</v>
      </c>
      <c r="D4144" t="s">
        <v>6424</v>
      </c>
      <c r="E4144" t="s">
        <v>13</v>
      </c>
      <c r="F4144" t="s">
        <v>241</v>
      </c>
      <c r="G4144">
        <v>39751583.5</v>
      </c>
      <c r="H4144">
        <v>7.5</v>
      </c>
      <c r="I4144" t="s">
        <v>52</v>
      </c>
    </row>
    <row r="4145" spans="1:13" x14ac:dyDescent="0.25">
      <c r="A4145" t="s">
        <v>5027</v>
      </c>
      <c r="B4145">
        <v>128</v>
      </c>
      <c r="C4145">
        <v>82739</v>
      </c>
      <c r="D4145" t="s">
        <v>6425</v>
      </c>
      <c r="E4145" t="s">
        <v>13</v>
      </c>
      <c r="F4145" t="s">
        <v>14</v>
      </c>
      <c r="G4145">
        <v>39751583.5</v>
      </c>
      <c r="H4145">
        <v>6.7</v>
      </c>
      <c r="I4145" t="s">
        <v>31</v>
      </c>
    </row>
    <row r="4146" spans="1:13" x14ac:dyDescent="0.25">
      <c r="A4146" t="s">
        <v>6426</v>
      </c>
      <c r="B4146">
        <v>94</v>
      </c>
      <c r="C4146">
        <v>81525</v>
      </c>
      <c r="D4146" t="s">
        <v>6427</v>
      </c>
      <c r="E4146" t="s">
        <v>473</v>
      </c>
      <c r="F4146" t="s">
        <v>295</v>
      </c>
      <c r="G4146">
        <v>15300000</v>
      </c>
      <c r="H4146">
        <v>6.6</v>
      </c>
      <c r="I4146" t="s">
        <v>34</v>
      </c>
      <c r="J4146" t="s">
        <v>15</v>
      </c>
      <c r="K4146" t="s">
        <v>38</v>
      </c>
      <c r="L4146" t="s">
        <v>31</v>
      </c>
      <c r="M4146" t="s">
        <v>24</v>
      </c>
    </row>
    <row r="4147" spans="1:13" x14ac:dyDescent="0.25">
      <c r="A4147" t="s">
        <v>6428</v>
      </c>
      <c r="B4147">
        <v>88</v>
      </c>
      <c r="C4147">
        <v>79043</v>
      </c>
      <c r="D4147" t="s">
        <v>6429</v>
      </c>
      <c r="E4147" t="s">
        <v>13</v>
      </c>
      <c r="F4147" t="s">
        <v>14</v>
      </c>
      <c r="G4147">
        <v>39751583.5</v>
      </c>
      <c r="H4147">
        <v>6.3</v>
      </c>
      <c r="I4147" t="s">
        <v>38</v>
      </c>
      <c r="J4147" t="s">
        <v>31</v>
      </c>
    </row>
    <row r="4148" spans="1:13" x14ac:dyDescent="0.25">
      <c r="A4148" t="s">
        <v>1067</v>
      </c>
      <c r="B4148">
        <v>97</v>
      </c>
      <c r="C4148">
        <v>78030</v>
      </c>
      <c r="D4148" t="s">
        <v>6430</v>
      </c>
      <c r="E4148" t="s">
        <v>13</v>
      </c>
      <c r="F4148" t="s">
        <v>14</v>
      </c>
      <c r="G4148">
        <v>200000</v>
      </c>
      <c r="H4148">
        <v>6.5</v>
      </c>
      <c r="I4148" t="s">
        <v>31</v>
      </c>
    </row>
    <row r="4149" spans="1:13" x14ac:dyDescent="0.25">
      <c r="A4149" t="s">
        <v>6386</v>
      </c>
      <c r="B4149">
        <v>101</v>
      </c>
      <c r="C4149">
        <v>77501</v>
      </c>
      <c r="D4149" t="s">
        <v>6431</v>
      </c>
      <c r="E4149" t="s">
        <v>13</v>
      </c>
      <c r="F4149" t="s">
        <v>14</v>
      </c>
      <c r="G4149">
        <v>750000</v>
      </c>
      <c r="H4149">
        <v>5.5</v>
      </c>
      <c r="I4149" t="s">
        <v>22</v>
      </c>
    </row>
    <row r="4150" spans="1:13" x14ac:dyDescent="0.25">
      <c r="A4150" t="s">
        <v>5115</v>
      </c>
      <c r="B4150">
        <v>112</v>
      </c>
      <c r="C4150">
        <v>77231</v>
      </c>
      <c r="D4150" t="s">
        <v>6432</v>
      </c>
      <c r="E4150" t="s">
        <v>6433</v>
      </c>
      <c r="F4150" t="s">
        <v>295</v>
      </c>
      <c r="G4150">
        <v>25000000</v>
      </c>
      <c r="H4150">
        <v>6</v>
      </c>
      <c r="I4150" t="s">
        <v>31</v>
      </c>
      <c r="J4150" t="s">
        <v>64</v>
      </c>
      <c r="K4150" t="s">
        <v>83</v>
      </c>
    </row>
    <row r="4151" spans="1:13" x14ac:dyDescent="0.25">
      <c r="A4151" t="s">
        <v>6434</v>
      </c>
      <c r="B4151">
        <v>88</v>
      </c>
      <c r="C4151">
        <v>76382</v>
      </c>
      <c r="D4151" t="s">
        <v>6435</v>
      </c>
      <c r="E4151" t="s">
        <v>13</v>
      </c>
      <c r="F4151" t="s">
        <v>14</v>
      </c>
      <c r="G4151">
        <v>15000</v>
      </c>
      <c r="H4151">
        <v>6.2</v>
      </c>
      <c r="I4151" t="s">
        <v>19</v>
      </c>
    </row>
    <row r="4152" spans="1:13" x14ac:dyDescent="0.25">
      <c r="A4152" t="s">
        <v>6436</v>
      </c>
      <c r="B4152">
        <v>90</v>
      </c>
      <c r="C4152">
        <v>75727</v>
      </c>
      <c r="D4152" t="s">
        <v>6437</v>
      </c>
      <c r="E4152" t="s">
        <v>1498</v>
      </c>
      <c r="F4152" t="s">
        <v>14</v>
      </c>
      <c r="G4152">
        <v>2500000</v>
      </c>
      <c r="H4152">
        <v>5.9</v>
      </c>
      <c r="I4152" t="s">
        <v>31</v>
      </c>
      <c r="J4152" t="s">
        <v>19</v>
      </c>
      <c r="K4152" t="s">
        <v>37</v>
      </c>
      <c r="L4152" t="s">
        <v>24</v>
      </c>
    </row>
    <row r="4153" spans="1:13" x14ac:dyDescent="0.25">
      <c r="A4153" t="s">
        <v>371</v>
      </c>
      <c r="B4153">
        <v>103</v>
      </c>
      <c r="C4153">
        <v>75078</v>
      </c>
      <c r="D4153" t="s">
        <v>6438</v>
      </c>
      <c r="E4153" t="s">
        <v>13</v>
      </c>
      <c r="F4153" t="s">
        <v>14</v>
      </c>
      <c r="G4153">
        <v>14000000</v>
      </c>
      <c r="H4153">
        <v>6.3</v>
      </c>
      <c r="I4153" t="s">
        <v>15</v>
      </c>
    </row>
    <row r="4154" spans="1:13" x14ac:dyDescent="0.25">
      <c r="A4154" t="s">
        <v>5291</v>
      </c>
      <c r="B4154">
        <v>139</v>
      </c>
      <c r="C4154">
        <v>74205</v>
      </c>
      <c r="D4154" t="s">
        <v>6439</v>
      </c>
      <c r="E4154" t="s">
        <v>13</v>
      </c>
      <c r="F4154" t="s">
        <v>1442</v>
      </c>
      <c r="G4154">
        <v>14200000</v>
      </c>
      <c r="H4154">
        <v>7.4</v>
      </c>
      <c r="I4154" t="s">
        <v>31</v>
      </c>
    </row>
    <row r="4155" spans="1:13" x14ac:dyDescent="0.25">
      <c r="A4155" t="s">
        <v>6440</v>
      </c>
      <c r="B4155">
        <v>100</v>
      </c>
      <c r="C4155">
        <v>73678</v>
      </c>
      <c r="D4155" t="s">
        <v>6441</v>
      </c>
      <c r="E4155" t="s">
        <v>13</v>
      </c>
      <c r="F4155" t="s">
        <v>14</v>
      </c>
      <c r="G4155">
        <v>3000000</v>
      </c>
      <c r="H4155">
        <v>5.9</v>
      </c>
      <c r="I4155" t="s">
        <v>31</v>
      </c>
      <c r="J4155" t="s">
        <v>64</v>
      </c>
      <c r="K4155" t="s">
        <v>83</v>
      </c>
    </row>
    <row r="4156" spans="1:13" x14ac:dyDescent="0.25">
      <c r="A4156" t="s">
        <v>6442</v>
      </c>
      <c r="B4156">
        <v>103</v>
      </c>
      <c r="C4156">
        <v>73548</v>
      </c>
      <c r="D4156" t="s">
        <v>6443</v>
      </c>
      <c r="E4156" t="s">
        <v>13</v>
      </c>
      <c r="F4156" t="s">
        <v>14</v>
      </c>
      <c r="G4156">
        <v>15000000</v>
      </c>
      <c r="H4156">
        <v>6.1</v>
      </c>
      <c r="I4156" t="s">
        <v>17</v>
      </c>
      <c r="J4156" t="s">
        <v>22</v>
      </c>
      <c r="K4156" t="s">
        <v>23</v>
      </c>
    </row>
    <row r="4157" spans="1:13" x14ac:dyDescent="0.25">
      <c r="A4157" t="s">
        <v>1651</v>
      </c>
      <c r="B4157">
        <v>103</v>
      </c>
      <c r="C4157">
        <v>72413</v>
      </c>
      <c r="D4157" t="s">
        <v>6444</v>
      </c>
      <c r="E4157" t="s">
        <v>1300</v>
      </c>
      <c r="F4157" t="s">
        <v>1206</v>
      </c>
      <c r="G4157">
        <v>65000000</v>
      </c>
      <c r="H4157">
        <v>6.1</v>
      </c>
      <c r="I4157" t="s">
        <v>34</v>
      </c>
      <c r="J4157" t="s">
        <v>28</v>
      </c>
      <c r="K4157" t="s">
        <v>31</v>
      </c>
      <c r="L4157" t="s">
        <v>64</v>
      </c>
    </row>
    <row r="4158" spans="1:13" x14ac:dyDescent="0.25">
      <c r="A4158" t="s">
        <v>6445</v>
      </c>
      <c r="B4158">
        <v>100</v>
      </c>
      <c r="C4158">
        <v>71904</v>
      </c>
      <c r="D4158" t="s">
        <v>6446</v>
      </c>
      <c r="E4158" t="s">
        <v>13</v>
      </c>
      <c r="F4158" t="s">
        <v>14</v>
      </c>
      <c r="G4158">
        <v>2500000</v>
      </c>
      <c r="H4158">
        <v>5.7</v>
      </c>
      <c r="I4158" t="s">
        <v>15</v>
      </c>
      <c r="J4158" t="s">
        <v>31</v>
      </c>
      <c r="K4158" t="s">
        <v>16</v>
      </c>
    </row>
    <row r="4159" spans="1:13" x14ac:dyDescent="0.25">
      <c r="A4159" t="s">
        <v>6447</v>
      </c>
      <c r="B4159">
        <v>80</v>
      </c>
      <c r="C4159">
        <v>71442</v>
      </c>
      <c r="D4159" t="s">
        <v>6448</v>
      </c>
      <c r="E4159" t="s">
        <v>473</v>
      </c>
      <c r="F4159" t="s">
        <v>295</v>
      </c>
      <c r="G4159">
        <v>9600000</v>
      </c>
      <c r="H4159">
        <v>7.9</v>
      </c>
      <c r="I4159" t="s">
        <v>46</v>
      </c>
      <c r="J4159" t="s">
        <v>15</v>
      </c>
      <c r="K4159" t="s">
        <v>38</v>
      </c>
      <c r="L4159" t="s">
        <v>31</v>
      </c>
      <c r="M4159" t="s">
        <v>16</v>
      </c>
    </row>
    <row r="4160" spans="1:13" x14ac:dyDescent="0.25">
      <c r="A4160" t="s">
        <v>6449</v>
      </c>
      <c r="B4160">
        <v>85</v>
      </c>
      <c r="C4160">
        <v>70527</v>
      </c>
      <c r="D4160" t="s">
        <v>6450</v>
      </c>
      <c r="E4160" t="s">
        <v>13</v>
      </c>
      <c r="F4160" t="s">
        <v>14</v>
      </c>
      <c r="G4160">
        <v>6500000</v>
      </c>
      <c r="H4160">
        <v>6.7</v>
      </c>
      <c r="I4160" t="s">
        <v>15</v>
      </c>
      <c r="J4160" t="s">
        <v>31</v>
      </c>
    </row>
    <row r="4161" spans="1:13" x14ac:dyDescent="0.25">
      <c r="A4161" t="s">
        <v>6451</v>
      </c>
      <c r="B4161">
        <v>80</v>
      </c>
      <c r="C4161">
        <v>70071</v>
      </c>
      <c r="D4161" t="s">
        <v>6452</v>
      </c>
      <c r="E4161" t="s">
        <v>13</v>
      </c>
      <c r="F4161" t="s">
        <v>6453</v>
      </c>
      <c r="G4161">
        <v>7000</v>
      </c>
      <c r="H4161">
        <v>6.3</v>
      </c>
      <c r="I4161" t="s">
        <v>24</v>
      </c>
    </row>
    <row r="4162" spans="1:13" x14ac:dyDescent="0.25">
      <c r="A4162" t="s">
        <v>6454</v>
      </c>
      <c r="B4162">
        <v>94</v>
      </c>
      <c r="C4162">
        <v>69582</v>
      </c>
      <c r="D4162" t="s">
        <v>6455</v>
      </c>
      <c r="E4162" t="s">
        <v>13</v>
      </c>
      <c r="F4162" t="s">
        <v>82</v>
      </c>
      <c r="G4162">
        <v>39751583.5</v>
      </c>
      <c r="H4162">
        <v>6.4</v>
      </c>
      <c r="I4162" t="s">
        <v>15</v>
      </c>
    </row>
    <row r="4163" spans="1:13" x14ac:dyDescent="0.25">
      <c r="A4163" t="s">
        <v>6456</v>
      </c>
      <c r="B4163">
        <v>105</v>
      </c>
      <c r="C4163">
        <v>66637</v>
      </c>
      <c r="D4163" t="s">
        <v>6457</v>
      </c>
      <c r="E4163" t="s">
        <v>13</v>
      </c>
      <c r="F4163" t="s">
        <v>14</v>
      </c>
      <c r="G4163">
        <v>6500000</v>
      </c>
      <c r="H4163">
        <v>7.2</v>
      </c>
      <c r="I4163" t="s">
        <v>31</v>
      </c>
      <c r="J4163" t="s">
        <v>19</v>
      </c>
      <c r="K4163" t="s">
        <v>83</v>
      </c>
    </row>
    <row r="4164" spans="1:13" x14ac:dyDescent="0.25">
      <c r="A4164" t="s">
        <v>6458</v>
      </c>
      <c r="B4164">
        <v>95</v>
      </c>
      <c r="C4164">
        <v>65804</v>
      </c>
      <c r="D4164" t="s">
        <v>6459</v>
      </c>
      <c r="E4164" t="s">
        <v>13</v>
      </c>
      <c r="F4164" t="s">
        <v>14</v>
      </c>
      <c r="G4164">
        <v>12000000</v>
      </c>
      <c r="H4164">
        <v>6.3</v>
      </c>
      <c r="I4164" t="s">
        <v>38</v>
      </c>
      <c r="J4164" t="s">
        <v>31</v>
      </c>
      <c r="K4164" t="s">
        <v>24</v>
      </c>
    </row>
    <row r="4165" spans="1:13" x14ac:dyDescent="0.25">
      <c r="A4165" t="s">
        <v>490</v>
      </c>
      <c r="B4165">
        <v>90</v>
      </c>
      <c r="C4165">
        <v>65087</v>
      </c>
      <c r="D4165" t="s">
        <v>6460</v>
      </c>
      <c r="E4165" t="s">
        <v>13</v>
      </c>
      <c r="F4165" t="s">
        <v>14</v>
      </c>
      <c r="G4165">
        <v>5000000</v>
      </c>
      <c r="H4165">
        <v>6.2</v>
      </c>
      <c r="I4165" t="s">
        <v>38</v>
      </c>
      <c r="J4165" t="s">
        <v>24</v>
      </c>
      <c r="K4165" t="s">
        <v>83</v>
      </c>
    </row>
    <row r="4166" spans="1:13" x14ac:dyDescent="0.25">
      <c r="A4166" t="s">
        <v>1051</v>
      </c>
      <c r="B4166">
        <v>93</v>
      </c>
      <c r="C4166">
        <v>64359</v>
      </c>
      <c r="D4166" t="s">
        <v>6461</v>
      </c>
      <c r="E4166" t="s">
        <v>13</v>
      </c>
      <c r="F4166" t="s">
        <v>82</v>
      </c>
      <c r="G4166">
        <v>2500000</v>
      </c>
      <c r="H4166">
        <v>5.9</v>
      </c>
      <c r="I4166" t="s">
        <v>15</v>
      </c>
      <c r="J4166" t="s">
        <v>19</v>
      </c>
    </row>
    <row r="4167" spans="1:13" x14ac:dyDescent="0.25">
      <c r="A4167" t="s">
        <v>350</v>
      </c>
      <c r="B4167">
        <v>123</v>
      </c>
      <c r="C4167">
        <v>64286</v>
      </c>
      <c r="D4167" t="s">
        <v>6462</v>
      </c>
      <c r="E4167" t="s">
        <v>13</v>
      </c>
      <c r="F4167" t="s">
        <v>14</v>
      </c>
      <c r="G4167">
        <v>29000000</v>
      </c>
      <c r="H4167">
        <v>7.9</v>
      </c>
      <c r="I4167" t="s">
        <v>31</v>
      </c>
      <c r="J4167" t="s">
        <v>19</v>
      </c>
    </row>
    <row r="4168" spans="1:13" x14ac:dyDescent="0.25">
      <c r="A4168" t="s">
        <v>6463</v>
      </c>
      <c r="B4168">
        <v>106</v>
      </c>
      <c r="C4168">
        <v>64148</v>
      </c>
      <c r="D4168" t="s">
        <v>6464</v>
      </c>
      <c r="E4168" t="s">
        <v>13</v>
      </c>
      <c r="F4168" t="s">
        <v>82</v>
      </c>
      <c r="G4168">
        <v>6500000</v>
      </c>
      <c r="H4168">
        <v>7.3</v>
      </c>
      <c r="I4168" t="s">
        <v>31</v>
      </c>
    </row>
    <row r="4169" spans="1:13" x14ac:dyDescent="0.25">
      <c r="A4169" t="s">
        <v>6465</v>
      </c>
      <c r="B4169">
        <v>105</v>
      </c>
      <c r="C4169">
        <v>63260</v>
      </c>
      <c r="D4169" t="s">
        <v>6466</v>
      </c>
      <c r="E4169" t="s">
        <v>13</v>
      </c>
      <c r="F4169" t="s">
        <v>295</v>
      </c>
      <c r="G4169">
        <v>14000000</v>
      </c>
      <c r="H4169">
        <v>6.7</v>
      </c>
      <c r="I4169" t="s">
        <v>34</v>
      </c>
      <c r="J4169" t="s">
        <v>46</v>
      </c>
      <c r="K4169" t="s">
        <v>37</v>
      </c>
      <c r="L4169" t="s">
        <v>24</v>
      </c>
    </row>
    <row r="4170" spans="1:13" x14ac:dyDescent="0.25">
      <c r="A4170" t="s">
        <v>6467</v>
      </c>
      <c r="B4170">
        <v>97</v>
      </c>
      <c r="C4170">
        <v>62480</v>
      </c>
      <c r="D4170" t="s">
        <v>6468</v>
      </c>
      <c r="E4170" t="s">
        <v>13</v>
      </c>
      <c r="F4170" t="s">
        <v>14</v>
      </c>
      <c r="G4170">
        <v>1000000</v>
      </c>
      <c r="H4170">
        <v>5.5</v>
      </c>
      <c r="I4170" t="s">
        <v>31</v>
      </c>
      <c r="J4170" t="s">
        <v>37</v>
      </c>
    </row>
    <row r="4171" spans="1:13" x14ac:dyDescent="0.25">
      <c r="A4171" t="s">
        <v>3727</v>
      </c>
      <c r="B4171">
        <v>119</v>
      </c>
      <c r="C4171">
        <v>59774</v>
      </c>
      <c r="D4171" t="s">
        <v>6469</v>
      </c>
      <c r="E4171" t="s">
        <v>1277</v>
      </c>
      <c r="F4171" t="s">
        <v>241</v>
      </c>
      <c r="G4171">
        <v>39751583.5</v>
      </c>
      <c r="H4171">
        <v>6.8</v>
      </c>
      <c r="I4171" t="s">
        <v>15</v>
      </c>
      <c r="J4171" t="s">
        <v>31</v>
      </c>
      <c r="K4171" t="s">
        <v>19</v>
      </c>
    </row>
    <row r="4172" spans="1:13" x14ac:dyDescent="0.25">
      <c r="A4172" t="s">
        <v>6470</v>
      </c>
      <c r="B4172">
        <v>88</v>
      </c>
      <c r="C4172">
        <v>59379</v>
      </c>
      <c r="D4172" t="s">
        <v>6471</v>
      </c>
      <c r="E4172" t="s">
        <v>13</v>
      </c>
      <c r="F4172" t="s">
        <v>14</v>
      </c>
      <c r="G4172">
        <v>200000</v>
      </c>
      <c r="H4172">
        <v>6.8</v>
      </c>
      <c r="I4172" t="s">
        <v>15</v>
      </c>
      <c r="J4172" t="s">
        <v>38</v>
      </c>
      <c r="K4172" t="s">
        <v>31</v>
      </c>
      <c r="L4172" t="s">
        <v>22</v>
      </c>
      <c r="M4172" t="s">
        <v>24</v>
      </c>
    </row>
    <row r="4173" spans="1:13" x14ac:dyDescent="0.25">
      <c r="A4173" t="s">
        <v>6472</v>
      </c>
      <c r="B4173">
        <v>88</v>
      </c>
      <c r="C4173">
        <v>58936</v>
      </c>
      <c r="D4173" t="s">
        <v>6473</v>
      </c>
      <c r="E4173" t="s">
        <v>13</v>
      </c>
      <c r="F4173" t="s">
        <v>14</v>
      </c>
      <c r="G4173">
        <v>1200000</v>
      </c>
      <c r="H4173">
        <v>6.1</v>
      </c>
      <c r="I4173" t="s">
        <v>15</v>
      </c>
      <c r="J4173" t="s">
        <v>18</v>
      </c>
    </row>
    <row r="4174" spans="1:13" x14ac:dyDescent="0.25">
      <c r="A4174" t="s">
        <v>5082</v>
      </c>
      <c r="B4174">
        <v>106</v>
      </c>
      <c r="C4174">
        <v>58214</v>
      </c>
      <c r="D4174" t="s">
        <v>6474</v>
      </c>
      <c r="E4174" t="s">
        <v>13</v>
      </c>
      <c r="F4174" t="s">
        <v>14</v>
      </c>
      <c r="G4174">
        <v>9500000</v>
      </c>
      <c r="H4174">
        <v>7</v>
      </c>
      <c r="I4174" t="s">
        <v>38</v>
      </c>
      <c r="J4174" t="s">
        <v>31</v>
      </c>
      <c r="K4174" t="s">
        <v>24</v>
      </c>
    </row>
    <row r="4175" spans="1:13" x14ac:dyDescent="0.25">
      <c r="A4175" t="s">
        <v>6475</v>
      </c>
      <c r="B4175">
        <v>87</v>
      </c>
      <c r="C4175">
        <v>58163</v>
      </c>
      <c r="D4175" t="s">
        <v>6476</v>
      </c>
      <c r="E4175" t="s">
        <v>13</v>
      </c>
      <c r="F4175" t="s">
        <v>14</v>
      </c>
      <c r="G4175">
        <v>39751583.5</v>
      </c>
      <c r="H4175">
        <v>4.2</v>
      </c>
      <c r="I4175" t="s">
        <v>31</v>
      </c>
    </row>
    <row r="4176" spans="1:13" x14ac:dyDescent="0.25">
      <c r="A4176" t="s">
        <v>4545</v>
      </c>
      <c r="B4176">
        <v>111</v>
      </c>
      <c r="C4176">
        <v>56692</v>
      </c>
      <c r="D4176" t="s">
        <v>6477</v>
      </c>
      <c r="E4176" t="s">
        <v>13</v>
      </c>
      <c r="F4176" t="s">
        <v>14</v>
      </c>
      <c r="G4176">
        <v>25000000</v>
      </c>
      <c r="H4176">
        <v>7.3</v>
      </c>
      <c r="I4176" t="s">
        <v>28</v>
      </c>
      <c r="J4176" t="s">
        <v>31</v>
      </c>
    </row>
    <row r="4177" spans="1:13" x14ac:dyDescent="0.25">
      <c r="A4177" t="s">
        <v>6478</v>
      </c>
      <c r="B4177">
        <v>110</v>
      </c>
      <c r="C4177">
        <v>56129</v>
      </c>
      <c r="D4177" t="s">
        <v>6479</v>
      </c>
      <c r="E4177" t="s">
        <v>13</v>
      </c>
      <c r="F4177" t="s">
        <v>98</v>
      </c>
      <c r="G4177">
        <v>1100000</v>
      </c>
      <c r="H4177">
        <v>6.1</v>
      </c>
      <c r="I4177" t="s">
        <v>37</v>
      </c>
      <c r="J4177" t="s">
        <v>24</v>
      </c>
    </row>
    <row r="4178" spans="1:13" x14ac:dyDescent="0.25">
      <c r="A4178" t="s">
        <v>5635</v>
      </c>
      <c r="B4178">
        <v>99</v>
      </c>
      <c r="C4178">
        <v>56007</v>
      </c>
      <c r="D4178" t="s">
        <v>6480</v>
      </c>
      <c r="E4178" t="s">
        <v>13</v>
      </c>
      <c r="F4178" t="s">
        <v>14</v>
      </c>
      <c r="G4178">
        <v>5500000</v>
      </c>
      <c r="H4178">
        <v>4.9000000000000004</v>
      </c>
      <c r="I4178" t="s">
        <v>15</v>
      </c>
      <c r="J4178" t="s">
        <v>38</v>
      </c>
      <c r="K4178" t="s">
        <v>31</v>
      </c>
      <c r="L4178" t="s">
        <v>19</v>
      </c>
      <c r="M4178" t="s">
        <v>24</v>
      </c>
    </row>
    <row r="4179" spans="1:13" x14ac:dyDescent="0.25">
      <c r="A4179" t="s">
        <v>6481</v>
      </c>
      <c r="B4179">
        <v>93</v>
      </c>
      <c r="C4179">
        <v>55202</v>
      </c>
      <c r="D4179" t="s">
        <v>6482</v>
      </c>
      <c r="E4179" t="s">
        <v>1409</v>
      </c>
      <c r="F4179" t="s">
        <v>1296</v>
      </c>
      <c r="G4179">
        <v>39751583.5</v>
      </c>
      <c r="H4179">
        <v>5.3</v>
      </c>
      <c r="I4179" t="s">
        <v>46</v>
      </c>
      <c r="J4179" t="s">
        <v>15</v>
      </c>
      <c r="K4179" t="s">
        <v>16</v>
      </c>
      <c r="L4179" t="s">
        <v>19</v>
      </c>
    </row>
    <row r="4180" spans="1:13" x14ac:dyDescent="0.25">
      <c r="A4180" t="s">
        <v>194</v>
      </c>
      <c r="B4180">
        <v>106</v>
      </c>
      <c r="C4180">
        <v>54734</v>
      </c>
      <c r="D4180" t="s">
        <v>6483</v>
      </c>
      <c r="E4180" t="s">
        <v>13</v>
      </c>
      <c r="F4180" t="s">
        <v>910</v>
      </c>
      <c r="G4180">
        <v>39751583.5</v>
      </c>
      <c r="H4180">
        <v>5.7</v>
      </c>
      <c r="I4180" t="s">
        <v>38</v>
      </c>
      <c r="J4180" t="s">
        <v>31</v>
      </c>
      <c r="K4180" t="s">
        <v>23</v>
      </c>
      <c r="L4180" t="s">
        <v>24</v>
      </c>
    </row>
    <row r="4181" spans="1:13" x14ac:dyDescent="0.25">
      <c r="A4181" t="s">
        <v>2818</v>
      </c>
      <c r="B4181">
        <v>107</v>
      </c>
      <c r="C4181">
        <v>54606</v>
      </c>
      <c r="D4181" t="s">
        <v>6484</v>
      </c>
      <c r="E4181" t="s">
        <v>13</v>
      </c>
      <c r="F4181" t="s">
        <v>82</v>
      </c>
      <c r="G4181">
        <v>6000000</v>
      </c>
      <c r="H4181">
        <v>6.2</v>
      </c>
      <c r="I4181" t="s">
        <v>15</v>
      </c>
      <c r="J4181" t="s">
        <v>38</v>
      </c>
      <c r="K4181" t="s">
        <v>19</v>
      </c>
    </row>
    <row r="4182" spans="1:13" x14ac:dyDescent="0.25">
      <c r="A4182" t="s">
        <v>6485</v>
      </c>
      <c r="B4182">
        <v>107</v>
      </c>
      <c r="C4182">
        <v>53481</v>
      </c>
      <c r="D4182" t="s">
        <v>6486</v>
      </c>
      <c r="E4182" t="s">
        <v>13</v>
      </c>
      <c r="F4182" t="s">
        <v>14</v>
      </c>
      <c r="G4182">
        <v>8000000</v>
      </c>
      <c r="H4182">
        <v>6.4</v>
      </c>
      <c r="I4182" t="s">
        <v>38</v>
      </c>
      <c r="J4182" t="s">
        <v>31</v>
      </c>
      <c r="K4182" t="s">
        <v>24</v>
      </c>
    </row>
    <row r="4183" spans="1:13" x14ac:dyDescent="0.25">
      <c r="A4183" t="s">
        <v>6487</v>
      </c>
      <c r="B4183">
        <v>97</v>
      </c>
      <c r="C4183">
        <v>52961</v>
      </c>
      <c r="D4183" t="s">
        <v>6488</v>
      </c>
      <c r="E4183" t="s">
        <v>13</v>
      </c>
      <c r="F4183" t="s">
        <v>910</v>
      </c>
      <c r="G4183">
        <v>8000000</v>
      </c>
      <c r="H4183">
        <v>5.3</v>
      </c>
      <c r="I4183" t="s">
        <v>31</v>
      </c>
    </row>
    <row r="4184" spans="1:13" x14ac:dyDescent="0.25">
      <c r="A4184" t="s">
        <v>779</v>
      </c>
      <c r="B4184">
        <v>84</v>
      </c>
      <c r="C4184">
        <v>52850</v>
      </c>
      <c r="D4184" t="s">
        <v>6489</v>
      </c>
      <c r="E4184" t="s">
        <v>13</v>
      </c>
      <c r="F4184" t="s">
        <v>14</v>
      </c>
      <c r="G4184">
        <v>500000</v>
      </c>
      <c r="H4184">
        <v>6.2</v>
      </c>
      <c r="I4184" t="s">
        <v>15</v>
      </c>
    </row>
    <row r="4185" spans="1:13" x14ac:dyDescent="0.25">
      <c r="A4185" t="s">
        <v>6490</v>
      </c>
      <c r="B4185">
        <v>90</v>
      </c>
      <c r="C4185">
        <v>52166</v>
      </c>
      <c r="D4185" t="s">
        <v>6491</v>
      </c>
      <c r="E4185" t="s">
        <v>13</v>
      </c>
      <c r="F4185" t="s">
        <v>14</v>
      </c>
      <c r="G4185">
        <v>2000000</v>
      </c>
      <c r="H4185">
        <v>6.7</v>
      </c>
      <c r="I4185" t="s">
        <v>31</v>
      </c>
    </row>
    <row r="4186" spans="1:13" x14ac:dyDescent="0.25">
      <c r="A4186" t="s">
        <v>3205</v>
      </c>
      <c r="B4186">
        <v>114</v>
      </c>
      <c r="C4186">
        <v>50000</v>
      </c>
      <c r="D4186" t="s">
        <v>6492</v>
      </c>
      <c r="E4186" t="s">
        <v>1303</v>
      </c>
      <c r="F4186" t="s">
        <v>1206</v>
      </c>
      <c r="G4186">
        <v>39751583.5</v>
      </c>
      <c r="H4186">
        <v>5.0999999999999996</v>
      </c>
      <c r="I4186" t="s">
        <v>34</v>
      </c>
      <c r="J4186" t="s">
        <v>28</v>
      </c>
      <c r="K4186" t="s">
        <v>15</v>
      </c>
      <c r="L4186" t="s">
        <v>19</v>
      </c>
    </row>
    <row r="4187" spans="1:13" x14ac:dyDescent="0.25">
      <c r="A4187" t="s">
        <v>6493</v>
      </c>
      <c r="B4187">
        <v>108</v>
      </c>
      <c r="C4187">
        <v>49526</v>
      </c>
      <c r="D4187" t="s">
        <v>6494</v>
      </c>
      <c r="E4187" t="s">
        <v>13</v>
      </c>
      <c r="F4187" t="s">
        <v>14</v>
      </c>
      <c r="G4187">
        <v>6800000</v>
      </c>
      <c r="H4187">
        <v>7</v>
      </c>
      <c r="I4187" t="s">
        <v>15</v>
      </c>
      <c r="J4187" t="s">
        <v>31</v>
      </c>
    </row>
    <row r="4188" spans="1:13" x14ac:dyDescent="0.25">
      <c r="A4188" t="s">
        <v>1711</v>
      </c>
      <c r="B4188">
        <v>99</v>
      </c>
      <c r="C4188">
        <v>49494</v>
      </c>
      <c r="D4188" t="s">
        <v>6495</v>
      </c>
      <c r="E4188" t="s">
        <v>13</v>
      </c>
      <c r="F4188" t="s">
        <v>14</v>
      </c>
      <c r="G4188">
        <v>250000</v>
      </c>
      <c r="H4188">
        <v>3.9</v>
      </c>
      <c r="I4188" t="s">
        <v>31</v>
      </c>
      <c r="J4188" t="s">
        <v>24</v>
      </c>
    </row>
    <row r="4189" spans="1:13" x14ac:dyDescent="0.25">
      <c r="A4189" t="s">
        <v>6496</v>
      </c>
      <c r="B4189">
        <v>110</v>
      </c>
      <c r="C4189">
        <v>49413</v>
      </c>
      <c r="D4189" t="s">
        <v>6497</v>
      </c>
      <c r="E4189" t="s">
        <v>1946</v>
      </c>
      <c r="F4189" t="s">
        <v>1007</v>
      </c>
      <c r="G4189">
        <v>35000000</v>
      </c>
      <c r="H4189">
        <v>7.3</v>
      </c>
      <c r="I4189" t="s">
        <v>34</v>
      </c>
      <c r="J4189" t="s">
        <v>38</v>
      </c>
      <c r="K4189" t="s">
        <v>24</v>
      </c>
    </row>
    <row r="4190" spans="1:13" x14ac:dyDescent="0.25">
      <c r="A4190" t="s">
        <v>6498</v>
      </c>
      <c r="B4190">
        <v>160</v>
      </c>
      <c r="C4190">
        <v>49000</v>
      </c>
      <c r="D4190" t="s">
        <v>6499</v>
      </c>
      <c r="E4190" t="s">
        <v>1409</v>
      </c>
      <c r="F4190" t="s">
        <v>1296</v>
      </c>
      <c r="G4190">
        <v>1500000</v>
      </c>
      <c r="H4190">
        <v>4.8</v>
      </c>
      <c r="I4190" t="s">
        <v>24</v>
      </c>
    </row>
    <row r="4191" spans="1:13" x14ac:dyDescent="0.25">
      <c r="A4191" t="s">
        <v>6156</v>
      </c>
      <c r="B4191">
        <v>134</v>
      </c>
      <c r="C4191">
        <v>48856</v>
      </c>
      <c r="D4191" t="s">
        <v>6500</v>
      </c>
      <c r="E4191" t="s">
        <v>1226</v>
      </c>
      <c r="F4191" t="s">
        <v>27</v>
      </c>
      <c r="G4191">
        <v>11900000</v>
      </c>
      <c r="H4191">
        <v>7.5</v>
      </c>
      <c r="I4191" t="s">
        <v>31</v>
      </c>
    </row>
    <row r="4192" spans="1:13" x14ac:dyDescent="0.25">
      <c r="A4192" t="s">
        <v>6501</v>
      </c>
      <c r="B4192">
        <v>93</v>
      </c>
      <c r="C4192">
        <v>48430</v>
      </c>
      <c r="D4192" t="s">
        <v>6502</v>
      </c>
      <c r="E4192" t="s">
        <v>13</v>
      </c>
      <c r="F4192" t="s">
        <v>14</v>
      </c>
      <c r="G4192">
        <v>500000</v>
      </c>
      <c r="H4192">
        <v>6.8</v>
      </c>
      <c r="I4192" t="s">
        <v>15</v>
      </c>
      <c r="J4192" t="s">
        <v>38</v>
      </c>
      <c r="K4192" t="s">
        <v>24</v>
      </c>
    </row>
    <row r="4193" spans="1:12" x14ac:dyDescent="0.25">
      <c r="A4193" t="s">
        <v>3026</v>
      </c>
      <c r="B4193">
        <v>88</v>
      </c>
      <c r="C4193">
        <v>47329</v>
      </c>
      <c r="D4193" t="s">
        <v>6503</v>
      </c>
      <c r="E4193" t="s">
        <v>13</v>
      </c>
      <c r="F4193" t="s">
        <v>14</v>
      </c>
      <c r="G4193">
        <v>750000</v>
      </c>
      <c r="H4193">
        <v>6.6</v>
      </c>
      <c r="I4193" t="s">
        <v>31</v>
      </c>
    </row>
    <row r="4194" spans="1:12" x14ac:dyDescent="0.25">
      <c r="A4194" t="s">
        <v>6504</v>
      </c>
      <c r="B4194">
        <v>75</v>
      </c>
      <c r="C4194">
        <v>47111</v>
      </c>
      <c r="D4194" t="s">
        <v>6505</v>
      </c>
      <c r="E4194" t="s">
        <v>1946</v>
      </c>
      <c r="F4194" t="s">
        <v>14</v>
      </c>
      <c r="G4194">
        <v>39751583.5</v>
      </c>
      <c r="H4194">
        <v>6.8</v>
      </c>
      <c r="I4194" t="s">
        <v>15</v>
      </c>
      <c r="J4194" t="s">
        <v>31</v>
      </c>
    </row>
    <row r="4195" spans="1:12" x14ac:dyDescent="0.25">
      <c r="A4195" t="s">
        <v>4784</v>
      </c>
      <c r="B4195">
        <v>186</v>
      </c>
      <c r="C4195">
        <v>46495</v>
      </c>
      <c r="D4195" t="s">
        <v>6506</v>
      </c>
      <c r="E4195" t="s">
        <v>13</v>
      </c>
      <c r="F4195" t="s">
        <v>14</v>
      </c>
      <c r="G4195">
        <v>14000000</v>
      </c>
      <c r="H4195">
        <v>6.5</v>
      </c>
      <c r="I4195" t="s">
        <v>31</v>
      </c>
    </row>
    <row r="4196" spans="1:12" x14ac:dyDescent="0.25">
      <c r="A4196" t="s">
        <v>6507</v>
      </c>
      <c r="B4196">
        <v>118</v>
      </c>
      <c r="C4196">
        <v>46451</v>
      </c>
      <c r="D4196" t="s">
        <v>6508</v>
      </c>
      <c r="E4196" t="s">
        <v>13</v>
      </c>
      <c r="F4196" t="s">
        <v>14</v>
      </c>
      <c r="G4196">
        <v>7000000</v>
      </c>
      <c r="H4196">
        <v>6</v>
      </c>
      <c r="I4196" t="s">
        <v>15</v>
      </c>
      <c r="J4196" t="s">
        <v>38</v>
      </c>
      <c r="K4196" t="s">
        <v>24</v>
      </c>
    </row>
    <row r="4197" spans="1:12" x14ac:dyDescent="0.25">
      <c r="A4197" t="s">
        <v>3906</v>
      </c>
      <c r="B4197">
        <v>92</v>
      </c>
      <c r="C4197">
        <v>45661</v>
      </c>
      <c r="D4197" t="s">
        <v>6509</v>
      </c>
      <c r="E4197" t="s">
        <v>13</v>
      </c>
      <c r="F4197" t="s">
        <v>14</v>
      </c>
      <c r="G4197">
        <v>39751583.5</v>
      </c>
      <c r="H4197">
        <v>7.3</v>
      </c>
      <c r="I4197" t="s">
        <v>31</v>
      </c>
      <c r="J4197" t="s">
        <v>24</v>
      </c>
    </row>
    <row r="4198" spans="1:12" x14ac:dyDescent="0.25">
      <c r="A4198" t="s">
        <v>452</v>
      </c>
      <c r="B4198">
        <v>121</v>
      </c>
      <c r="C4198">
        <v>45250</v>
      </c>
      <c r="D4198" t="s">
        <v>6510</v>
      </c>
      <c r="E4198" t="s">
        <v>13</v>
      </c>
      <c r="F4198" t="s">
        <v>14</v>
      </c>
      <c r="G4198">
        <v>18000000</v>
      </c>
      <c r="H4198">
        <v>8.3000000000000007</v>
      </c>
      <c r="I4198" t="s">
        <v>42</v>
      </c>
      <c r="J4198" t="s">
        <v>31</v>
      </c>
      <c r="K4198" t="s">
        <v>41</v>
      </c>
    </row>
    <row r="4199" spans="1:12" x14ac:dyDescent="0.25">
      <c r="A4199" t="s">
        <v>6511</v>
      </c>
      <c r="B4199">
        <v>120</v>
      </c>
      <c r="C4199">
        <v>42880</v>
      </c>
      <c r="D4199" t="s">
        <v>6512</v>
      </c>
      <c r="E4199" t="s">
        <v>13</v>
      </c>
      <c r="F4199" t="s">
        <v>82</v>
      </c>
      <c r="G4199">
        <v>24000000</v>
      </c>
      <c r="H4199">
        <v>5.0999999999999996</v>
      </c>
      <c r="I4199" t="s">
        <v>31</v>
      </c>
      <c r="J4199" t="s">
        <v>19</v>
      </c>
    </row>
    <row r="4200" spans="1:12" x14ac:dyDescent="0.25">
      <c r="A4200" t="s">
        <v>958</v>
      </c>
      <c r="B4200">
        <v>91</v>
      </c>
      <c r="C4200">
        <v>41709</v>
      </c>
      <c r="D4200" t="s">
        <v>6513</v>
      </c>
      <c r="E4200" t="s">
        <v>5755</v>
      </c>
      <c r="F4200" t="s">
        <v>1213</v>
      </c>
      <c r="G4200">
        <v>800000</v>
      </c>
      <c r="H4200">
        <v>6.4</v>
      </c>
      <c r="I4200" t="s">
        <v>15</v>
      </c>
      <c r="J4200" t="s">
        <v>22</v>
      </c>
    </row>
    <row r="4201" spans="1:12" x14ac:dyDescent="0.25">
      <c r="A4201" t="s">
        <v>6243</v>
      </c>
      <c r="B4201">
        <v>144</v>
      </c>
      <c r="C4201">
        <v>41229</v>
      </c>
      <c r="D4201" t="s">
        <v>6514</v>
      </c>
      <c r="E4201" t="s">
        <v>13</v>
      </c>
      <c r="F4201" t="s">
        <v>295</v>
      </c>
      <c r="G4201">
        <v>25500000</v>
      </c>
      <c r="H4201">
        <v>6.5</v>
      </c>
      <c r="I4201" t="s">
        <v>38</v>
      </c>
      <c r="J4201" t="s">
        <v>31</v>
      </c>
      <c r="K4201" t="s">
        <v>24</v>
      </c>
    </row>
    <row r="4202" spans="1:12" x14ac:dyDescent="0.25">
      <c r="A4202" t="s">
        <v>6515</v>
      </c>
      <c r="B4202">
        <v>82</v>
      </c>
      <c r="C4202">
        <v>40557</v>
      </c>
      <c r="D4202" t="s">
        <v>6516</v>
      </c>
      <c r="E4202" t="s">
        <v>13</v>
      </c>
      <c r="F4202" t="s">
        <v>14</v>
      </c>
      <c r="G4202">
        <v>60000</v>
      </c>
      <c r="H4202">
        <v>5.6</v>
      </c>
      <c r="I4202" t="s">
        <v>15</v>
      </c>
    </row>
    <row r="4203" spans="1:12" x14ac:dyDescent="0.25">
      <c r="A4203" t="s">
        <v>3768</v>
      </c>
      <c r="B4203">
        <v>94</v>
      </c>
      <c r="C4203">
        <v>40542</v>
      </c>
      <c r="D4203" t="s">
        <v>6517</v>
      </c>
      <c r="E4203" t="s">
        <v>13</v>
      </c>
      <c r="F4203" t="s">
        <v>14</v>
      </c>
      <c r="G4203">
        <v>300000</v>
      </c>
      <c r="H4203">
        <v>5.5</v>
      </c>
      <c r="I4203" t="s">
        <v>31</v>
      </c>
      <c r="J4203" t="s">
        <v>19</v>
      </c>
    </row>
    <row r="4204" spans="1:12" x14ac:dyDescent="0.25">
      <c r="A4204" t="s">
        <v>6518</v>
      </c>
      <c r="B4204">
        <v>97</v>
      </c>
      <c r="C4204">
        <v>39852</v>
      </c>
      <c r="D4204" t="s">
        <v>6519</v>
      </c>
      <c r="E4204" t="s">
        <v>13</v>
      </c>
      <c r="F4204" t="s">
        <v>14</v>
      </c>
      <c r="G4204">
        <v>3000000</v>
      </c>
      <c r="H4204">
        <v>6.7</v>
      </c>
      <c r="I4204" t="s">
        <v>15</v>
      </c>
      <c r="J4204" t="s">
        <v>31</v>
      </c>
    </row>
    <row r="4205" spans="1:12" x14ac:dyDescent="0.25">
      <c r="A4205" t="s">
        <v>6520</v>
      </c>
      <c r="B4205">
        <v>73</v>
      </c>
      <c r="C4205">
        <v>39659</v>
      </c>
      <c r="D4205" t="s">
        <v>6521</v>
      </c>
      <c r="E4205" t="s">
        <v>13</v>
      </c>
      <c r="F4205" t="s">
        <v>98</v>
      </c>
      <c r="G4205">
        <v>1600000</v>
      </c>
      <c r="H4205">
        <v>7</v>
      </c>
      <c r="I4205" t="s">
        <v>15</v>
      </c>
      <c r="J4205" t="s">
        <v>22</v>
      </c>
      <c r="K4205" t="s">
        <v>59</v>
      </c>
    </row>
    <row r="4206" spans="1:12" x14ac:dyDescent="0.25">
      <c r="A4206" t="s">
        <v>6522</v>
      </c>
      <c r="B4206">
        <v>66</v>
      </c>
      <c r="C4206">
        <v>38108</v>
      </c>
      <c r="D4206" t="s">
        <v>6523</v>
      </c>
      <c r="E4206" t="s">
        <v>1498</v>
      </c>
      <c r="F4206" t="s">
        <v>910</v>
      </c>
      <c r="G4206">
        <v>2600000</v>
      </c>
      <c r="H4206">
        <v>7.2</v>
      </c>
      <c r="I4206" t="s">
        <v>22</v>
      </c>
      <c r="J4206" t="s">
        <v>23</v>
      </c>
      <c r="K4206" t="s">
        <v>37</v>
      </c>
      <c r="L4206" t="s">
        <v>24</v>
      </c>
    </row>
    <row r="4207" spans="1:12" x14ac:dyDescent="0.25">
      <c r="A4207" t="s">
        <v>6524</v>
      </c>
      <c r="B4207">
        <v>95</v>
      </c>
      <c r="C4207">
        <v>37606</v>
      </c>
      <c r="D4207" t="s">
        <v>6525</v>
      </c>
      <c r="E4207" t="s">
        <v>13</v>
      </c>
      <c r="F4207" t="s">
        <v>98</v>
      </c>
      <c r="G4207">
        <v>3500000</v>
      </c>
      <c r="H4207">
        <v>6.8</v>
      </c>
      <c r="I4207" t="s">
        <v>15</v>
      </c>
      <c r="J4207" t="s">
        <v>38</v>
      </c>
      <c r="K4207" t="s">
        <v>31</v>
      </c>
    </row>
    <row r="4208" spans="1:12" x14ac:dyDescent="0.25">
      <c r="A4208" t="s">
        <v>6526</v>
      </c>
      <c r="B4208">
        <v>105</v>
      </c>
      <c r="C4208">
        <v>37440</v>
      </c>
      <c r="D4208" t="s">
        <v>6527</v>
      </c>
      <c r="E4208" t="s">
        <v>13</v>
      </c>
      <c r="F4208" t="s">
        <v>14</v>
      </c>
      <c r="G4208">
        <v>5000000</v>
      </c>
      <c r="H4208">
        <v>7.5</v>
      </c>
      <c r="I4208" t="s">
        <v>15</v>
      </c>
      <c r="J4208" t="s">
        <v>31</v>
      </c>
      <c r="K4208" t="s">
        <v>18</v>
      </c>
    </row>
    <row r="4209" spans="1:12" x14ac:dyDescent="0.25">
      <c r="A4209" t="s">
        <v>6528</v>
      </c>
      <c r="B4209">
        <v>94</v>
      </c>
      <c r="C4209">
        <v>36830</v>
      </c>
      <c r="D4209" t="s">
        <v>6529</v>
      </c>
      <c r="E4209" t="s">
        <v>13</v>
      </c>
      <c r="F4209" t="s">
        <v>82</v>
      </c>
      <c r="G4209">
        <v>1400000</v>
      </c>
      <c r="H4209">
        <v>6.6</v>
      </c>
      <c r="I4209" t="s">
        <v>28</v>
      </c>
      <c r="J4209" t="s">
        <v>15</v>
      </c>
      <c r="K4209" t="s">
        <v>22</v>
      </c>
    </row>
    <row r="4210" spans="1:12" x14ac:dyDescent="0.25">
      <c r="A4210" t="s">
        <v>6530</v>
      </c>
      <c r="B4210">
        <v>85</v>
      </c>
      <c r="C4210">
        <v>36497</v>
      </c>
      <c r="D4210" t="s">
        <v>6531</v>
      </c>
      <c r="E4210" t="s">
        <v>13</v>
      </c>
      <c r="F4210" t="s">
        <v>14</v>
      </c>
      <c r="G4210">
        <v>6000000</v>
      </c>
      <c r="H4210">
        <v>4.7</v>
      </c>
      <c r="I4210" t="s">
        <v>15</v>
      </c>
    </row>
    <row r="4211" spans="1:12" x14ac:dyDescent="0.25">
      <c r="A4211" t="s">
        <v>6532</v>
      </c>
      <c r="B4211">
        <v>93</v>
      </c>
      <c r="C4211">
        <v>35688</v>
      </c>
      <c r="D4211" t="s">
        <v>6533</v>
      </c>
      <c r="E4211" t="s">
        <v>13</v>
      </c>
      <c r="F4211" t="s">
        <v>14</v>
      </c>
      <c r="G4211">
        <v>600000</v>
      </c>
      <c r="H4211">
        <v>5.0999999999999996</v>
      </c>
      <c r="I4211" t="s">
        <v>15</v>
      </c>
    </row>
    <row r="4212" spans="1:12" x14ac:dyDescent="0.25">
      <c r="A4212" t="s">
        <v>6534</v>
      </c>
      <c r="B4212">
        <v>84</v>
      </c>
      <c r="C4212">
        <v>34151</v>
      </c>
      <c r="D4212" t="s">
        <v>6535</v>
      </c>
      <c r="E4212" t="s">
        <v>5544</v>
      </c>
      <c r="F4212" t="s">
        <v>5545</v>
      </c>
      <c r="G4212">
        <v>450000</v>
      </c>
      <c r="H4212">
        <v>7.2</v>
      </c>
      <c r="I4212" t="s">
        <v>52</v>
      </c>
      <c r="J4212" t="s">
        <v>64</v>
      </c>
    </row>
    <row r="4213" spans="1:12" x14ac:dyDescent="0.25">
      <c r="A4213" t="s">
        <v>6536</v>
      </c>
      <c r="B4213">
        <v>86</v>
      </c>
      <c r="C4213">
        <v>33598</v>
      </c>
      <c r="D4213" t="s">
        <v>6537</v>
      </c>
      <c r="E4213" t="s">
        <v>13</v>
      </c>
      <c r="F4213" t="s">
        <v>14</v>
      </c>
      <c r="G4213">
        <v>39751583.5</v>
      </c>
      <c r="H4213">
        <v>5.4</v>
      </c>
      <c r="I4213" t="s">
        <v>15</v>
      </c>
      <c r="J4213" t="s">
        <v>19</v>
      </c>
    </row>
    <row r="4214" spans="1:12" x14ac:dyDescent="0.25">
      <c r="A4214" t="s">
        <v>452</v>
      </c>
      <c r="B4214">
        <v>112</v>
      </c>
      <c r="C4214">
        <v>32645</v>
      </c>
      <c r="D4214" t="s">
        <v>6538</v>
      </c>
      <c r="E4214" t="s">
        <v>13</v>
      </c>
      <c r="F4214" t="s">
        <v>14</v>
      </c>
      <c r="G4214">
        <v>500000</v>
      </c>
      <c r="H4214">
        <v>7.4</v>
      </c>
      <c r="I4214" t="s">
        <v>38</v>
      </c>
      <c r="J4214" t="s">
        <v>31</v>
      </c>
      <c r="K4214" t="s">
        <v>19</v>
      </c>
      <c r="L4214" t="s">
        <v>24</v>
      </c>
    </row>
    <row r="4215" spans="1:12" x14ac:dyDescent="0.25">
      <c r="A4215" t="s">
        <v>6539</v>
      </c>
      <c r="B4215">
        <v>104</v>
      </c>
      <c r="C4215">
        <v>32631</v>
      </c>
      <c r="D4215" t="s">
        <v>6540</v>
      </c>
      <c r="E4215" t="s">
        <v>13</v>
      </c>
      <c r="F4215" t="s">
        <v>6541</v>
      </c>
      <c r="G4215">
        <v>39751583.5</v>
      </c>
      <c r="H4215">
        <v>7.5</v>
      </c>
      <c r="I4215" t="s">
        <v>52</v>
      </c>
    </row>
    <row r="4216" spans="1:12" x14ac:dyDescent="0.25">
      <c r="A4216" t="s">
        <v>5872</v>
      </c>
      <c r="B4216">
        <v>100</v>
      </c>
      <c r="C4216">
        <v>31937</v>
      </c>
      <c r="D4216" t="s">
        <v>6542</v>
      </c>
      <c r="E4216" t="s">
        <v>13</v>
      </c>
      <c r="F4216" t="s">
        <v>14</v>
      </c>
      <c r="G4216">
        <v>500000</v>
      </c>
      <c r="H4216">
        <v>5.7</v>
      </c>
      <c r="I4216" t="s">
        <v>15</v>
      </c>
      <c r="J4216" t="s">
        <v>19</v>
      </c>
    </row>
    <row r="4217" spans="1:12" x14ac:dyDescent="0.25">
      <c r="A4217" t="s">
        <v>6543</v>
      </c>
      <c r="B4217">
        <v>115</v>
      </c>
      <c r="C4217">
        <v>31662</v>
      </c>
      <c r="D4217" t="s">
        <v>6544</v>
      </c>
      <c r="E4217" t="s">
        <v>13</v>
      </c>
      <c r="F4217" t="s">
        <v>1216</v>
      </c>
      <c r="G4217">
        <v>12620000</v>
      </c>
      <c r="H4217">
        <v>6.8</v>
      </c>
      <c r="I4217" t="s">
        <v>34</v>
      </c>
      <c r="J4217" t="s">
        <v>31</v>
      </c>
      <c r="K4217" t="s">
        <v>64</v>
      </c>
      <c r="L4217" t="s">
        <v>83</v>
      </c>
    </row>
    <row r="4218" spans="1:12" x14ac:dyDescent="0.25">
      <c r="A4218" t="s">
        <v>6103</v>
      </c>
      <c r="B4218">
        <v>82</v>
      </c>
      <c r="C4218">
        <v>30084</v>
      </c>
      <c r="D4218" t="s">
        <v>6545</v>
      </c>
      <c r="E4218" t="s">
        <v>13</v>
      </c>
      <c r="F4218" t="s">
        <v>14</v>
      </c>
      <c r="G4218">
        <v>70000</v>
      </c>
      <c r="H4218">
        <v>5.6</v>
      </c>
      <c r="I4218" t="s">
        <v>15</v>
      </c>
      <c r="J4218" t="s">
        <v>31</v>
      </c>
    </row>
    <row r="4219" spans="1:12" x14ac:dyDescent="0.25">
      <c r="A4219" t="s">
        <v>5265</v>
      </c>
      <c r="B4219">
        <v>100</v>
      </c>
      <c r="C4219">
        <v>29233</v>
      </c>
      <c r="D4219" t="s">
        <v>6546</v>
      </c>
      <c r="E4219" t="s">
        <v>13</v>
      </c>
      <c r="F4219" t="s">
        <v>14</v>
      </c>
      <c r="G4219">
        <v>3500000</v>
      </c>
      <c r="H4219">
        <v>7</v>
      </c>
      <c r="I4219" t="s">
        <v>52</v>
      </c>
    </row>
    <row r="4220" spans="1:12" x14ac:dyDescent="0.25">
      <c r="A4220" t="s">
        <v>6547</v>
      </c>
      <c r="B4220">
        <v>90</v>
      </c>
      <c r="C4220">
        <v>28870</v>
      </c>
      <c r="D4220" t="s">
        <v>6548</v>
      </c>
      <c r="E4220" t="s">
        <v>13</v>
      </c>
      <c r="F4220" t="s">
        <v>14</v>
      </c>
      <c r="G4220">
        <v>15000000</v>
      </c>
      <c r="H4220">
        <v>5.0999999999999996</v>
      </c>
      <c r="I4220" t="s">
        <v>38</v>
      </c>
      <c r="J4220" t="s">
        <v>31</v>
      </c>
      <c r="K4220" t="s">
        <v>24</v>
      </c>
    </row>
    <row r="4221" spans="1:12" x14ac:dyDescent="0.25">
      <c r="A4221" t="s">
        <v>6549</v>
      </c>
      <c r="B4221">
        <v>96</v>
      </c>
      <c r="C4221">
        <v>27445</v>
      </c>
      <c r="D4221" t="s">
        <v>6550</v>
      </c>
      <c r="E4221" t="s">
        <v>13</v>
      </c>
      <c r="F4221" t="s">
        <v>14</v>
      </c>
      <c r="G4221">
        <v>9000000</v>
      </c>
      <c r="H4221">
        <v>5.3</v>
      </c>
      <c r="I4221" t="s">
        <v>34</v>
      </c>
      <c r="J4221" t="s">
        <v>15</v>
      </c>
      <c r="K4221" t="s">
        <v>31</v>
      </c>
      <c r="L4221" t="s">
        <v>24</v>
      </c>
    </row>
    <row r="4222" spans="1:12" x14ac:dyDescent="0.25">
      <c r="A4222" t="s">
        <v>2005</v>
      </c>
      <c r="B4222">
        <v>85</v>
      </c>
      <c r="C4222">
        <v>27024</v>
      </c>
      <c r="D4222" t="s">
        <v>6551</v>
      </c>
      <c r="E4222" t="s">
        <v>1498</v>
      </c>
      <c r="F4222" t="s">
        <v>910</v>
      </c>
      <c r="G4222">
        <v>5600000</v>
      </c>
      <c r="H4222">
        <v>6.6</v>
      </c>
      <c r="I4222" t="s">
        <v>22</v>
      </c>
    </row>
    <row r="4223" spans="1:12" x14ac:dyDescent="0.25">
      <c r="A4223" t="s">
        <v>1649</v>
      </c>
      <c r="B4223">
        <v>95</v>
      </c>
      <c r="C4223">
        <v>27012</v>
      </c>
      <c r="D4223" t="s">
        <v>6552</v>
      </c>
      <c r="E4223" t="s">
        <v>13</v>
      </c>
      <c r="F4223" t="s">
        <v>14</v>
      </c>
      <c r="G4223">
        <v>39751583.5</v>
      </c>
      <c r="H4223">
        <v>5.9</v>
      </c>
      <c r="I4223" t="s">
        <v>31</v>
      </c>
    </row>
    <row r="4224" spans="1:12" x14ac:dyDescent="0.25">
      <c r="A4224" t="s">
        <v>6553</v>
      </c>
      <c r="B4224">
        <v>123</v>
      </c>
      <c r="C4224">
        <v>26893</v>
      </c>
      <c r="D4224" t="s">
        <v>6554</v>
      </c>
      <c r="E4224" t="s">
        <v>473</v>
      </c>
      <c r="F4224" t="s">
        <v>295</v>
      </c>
      <c r="G4224">
        <v>1600000</v>
      </c>
      <c r="H4224">
        <v>7.2</v>
      </c>
      <c r="I4224" t="s">
        <v>38</v>
      </c>
      <c r="J4224" t="s">
        <v>31</v>
      </c>
      <c r="K4224" t="s">
        <v>19</v>
      </c>
    </row>
    <row r="4225" spans="1:12" x14ac:dyDescent="0.25">
      <c r="A4225" t="s">
        <v>6555</v>
      </c>
      <c r="B4225">
        <v>145</v>
      </c>
      <c r="C4225">
        <v>26435</v>
      </c>
      <c r="D4225" t="s">
        <v>6556</v>
      </c>
      <c r="E4225" t="s">
        <v>1277</v>
      </c>
      <c r="F4225" t="s">
        <v>241</v>
      </c>
      <c r="G4225">
        <v>6000000</v>
      </c>
      <c r="H4225">
        <v>8.3000000000000007</v>
      </c>
      <c r="I4225" t="s">
        <v>31</v>
      </c>
      <c r="J4225" t="s">
        <v>37</v>
      </c>
    </row>
    <row r="4226" spans="1:12" x14ac:dyDescent="0.25">
      <c r="A4226" t="s">
        <v>2474</v>
      </c>
      <c r="B4226">
        <v>112</v>
      </c>
      <c r="C4226">
        <v>26345</v>
      </c>
      <c r="D4226" t="s">
        <v>6557</v>
      </c>
      <c r="E4226" t="s">
        <v>13</v>
      </c>
      <c r="F4226" t="s">
        <v>82</v>
      </c>
      <c r="G4226">
        <v>3000000</v>
      </c>
      <c r="H4226">
        <v>6.1</v>
      </c>
      <c r="I4226" t="s">
        <v>34</v>
      </c>
      <c r="J4226" t="s">
        <v>38</v>
      </c>
      <c r="K4226" t="s">
        <v>31</v>
      </c>
    </row>
    <row r="4227" spans="1:12" x14ac:dyDescent="0.25">
      <c r="A4227" t="s">
        <v>6558</v>
      </c>
      <c r="B4227">
        <v>95</v>
      </c>
      <c r="C4227">
        <v>26297</v>
      </c>
      <c r="D4227" t="s">
        <v>6559</v>
      </c>
      <c r="E4227" t="s">
        <v>13</v>
      </c>
      <c r="F4227" t="s">
        <v>82</v>
      </c>
      <c r="G4227">
        <v>500000</v>
      </c>
      <c r="H4227">
        <v>6.3</v>
      </c>
      <c r="I4227" t="s">
        <v>38</v>
      </c>
      <c r="J4227" t="s">
        <v>22</v>
      </c>
      <c r="K4227" t="s">
        <v>24</v>
      </c>
    </row>
    <row r="4228" spans="1:12" x14ac:dyDescent="0.25">
      <c r="A4228" t="s">
        <v>6560</v>
      </c>
      <c r="B4228">
        <v>84</v>
      </c>
      <c r="C4228">
        <v>25918</v>
      </c>
      <c r="D4228" t="s">
        <v>6561</v>
      </c>
      <c r="E4228" t="s">
        <v>13</v>
      </c>
      <c r="F4228" t="s">
        <v>14</v>
      </c>
      <c r="G4228">
        <v>39751583.5</v>
      </c>
      <c r="H4228">
        <v>5.8</v>
      </c>
      <c r="I4228" t="s">
        <v>31</v>
      </c>
      <c r="J4228" t="s">
        <v>22</v>
      </c>
      <c r="K4228" t="s">
        <v>23</v>
      </c>
      <c r="L4228" t="s">
        <v>24</v>
      </c>
    </row>
    <row r="4229" spans="1:12" x14ac:dyDescent="0.25">
      <c r="A4229" t="s">
        <v>1768</v>
      </c>
      <c r="B4229">
        <v>97</v>
      </c>
      <c r="C4229">
        <v>24784</v>
      </c>
      <c r="D4229" t="s">
        <v>6562</v>
      </c>
      <c r="E4229" t="s">
        <v>13</v>
      </c>
      <c r="F4229" t="s">
        <v>98</v>
      </c>
      <c r="G4229">
        <v>1200000</v>
      </c>
      <c r="H4229">
        <v>7.4</v>
      </c>
      <c r="I4229" t="s">
        <v>52</v>
      </c>
    </row>
    <row r="4230" spans="1:12" x14ac:dyDescent="0.25">
      <c r="A4230" t="s">
        <v>6563</v>
      </c>
      <c r="B4230">
        <v>79</v>
      </c>
      <c r="C4230">
        <v>24705</v>
      </c>
      <c r="D4230" t="s">
        <v>6564</v>
      </c>
      <c r="E4230" t="s">
        <v>13</v>
      </c>
      <c r="F4230" t="s">
        <v>14</v>
      </c>
      <c r="G4230">
        <v>39751583.5</v>
      </c>
      <c r="H4230">
        <v>6.3</v>
      </c>
      <c r="I4230" t="s">
        <v>31</v>
      </c>
    </row>
    <row r="4231" spans="1:12" x14ac:dyDescent="0.25">
      <c r="A4231" t="s">
        <v>6565</v>
      </c>
      <c r="B4231">
        <v>120</v>
      </c>
      <c r="C4231">
        <v>23947</v>
      </c>
      <c r="D4231" t="s">
        <v>6566</v>
      </c>
      <c r="E4231" t="s">
        <v>13</v>
      </c>
      <c r="F4231" t="s">
        <v>14</v>
      </c>
      <c r="G4231">
        <v>13000000</v>
      </c>
      <c r="H4231">
        <v>7.7</v>
      </c>
      <c r="I4231" t="s">
        <v>37</v>
      </c>
      <c r="J4231" t="s">
        <v>24</v>
      </c>
    </row>
    <row r="4232" spans="1:12" x14ac:dyDescent="0.25">
      <c r="A4232" t="s">
        <v>6567</v>
      </c>
      <c r="B4232">
        <v>98</v>
      </c>
      <c r="C4232">
        <v>23838</v>
      </c>
      <c r="D4232" t="s">
        <v>6568</v>
      </c>
      <c r="E4232" t="s">
        <v>13</v>
      </c>
      <c r="F4232" t="s">
        <v>82</v>
      </c>
      <c r="G4232">
        <v>7000000</v>
      </c>
      <c r="H4232">
        <v>5.5</v>
      </c>
      <c r="I4232" t="s">
        <v>22</v>
      </c>
      <c r="J4232" t="s">
        <v>37</v>
      </c>
      <c r="K4232" t="s">
        <v>24</v>
      </c>
    </row>
    <row r="4233" spans="1:12" x14ac:dyDescent="0.25">
      <c r="A4233" t="s">
        <v>1659</v>
      </c>
      <c r="B4233">
        <v>152</v>
      </c>
      <c r="C4233">
        <v>23807</v>
      </c>
      <c r="D4233" t="s">
        <v>6569</v>
      </c>
      <c r="E4233" t="s">
        <v>13</v>
      </c>
      <c r="F4233" t="s">
        <v>14</v>
      </c>
      <c r="G4233">
        <v>39751583.5</v>
      </c>
      <c r="H4233">
        <v>8.3000000000000007</v>
      </c>
      <c r="I4233" t="s">
        <v>52</v>
      </c>
    </row>
    <row r="4234" spans="1:12" x14ac:dyDescent="0.25">
      <c r="A4234" t="s">
        <v>6570</v>
      </c>
      <c r="B4234">
        <v>103</v>
      </c>
      <c r="C4234">
        <v>23616</v>
      </c>
      <c r="D4234" t="s">
        <v>6571</v>
      </c>
      <c r="E4234" t="s">
        <v>13</v>
      </c>
      <c r="F4234" t="s">
        <v>14</v>
      </c>
      <c r="G4234">
        <v>600000</v>
      </c>
      <c r="H4234">
        <v>5.6</v>
      </c>
      <c r="I4234" t="s">
        <v>23</v>
      </c>
      <c r="J4234" t="s">
        <v>24</v>
      </c>
    </row>
    <row r="4235" spans="1:12" x14ac:dyDescent="0.25">
      <c r="A4235" t="s">
        <v>5677</v>
      </c>
      <c r="B4235">
        <v>102</v>
      </c>
      <c r="C4235">
        <v>23106</v>
      </c>
      <c r="D4235" t="s">
        <v>6572</v>
      </c>
      <c r="E4235" t="s">
        <v>13</v>
      </c>
      <c r="F4235" t="s">
        <v>1342</v>
      </c>
      <c r="G4235">
        <v>50000000</v>
      </c>
      <c r="H4235">
        <v>6.6</v>
      </c>
      <c r="I4235" t="s">
        <v>15</v>
      </c>
      <c r="J4235" t="s">
        <v>38</v>
      </c>
      <c r="K4235" t="s">
        <v>31</v>
      </c>
      <c r="L4235" t="s">
        <v>19</v>
      </c>
    </row>
    <row r="4236" spans="1:12" x14ac:dyDescent="0.25">
      <c r="A4236" t="s">
        <v>6573</v>
      </c>
      <c r="B4236">
        <v>92</v>
      </c>
      <c r="C4236">
        <v>23091</v>
      </c>
      <c r="D4236" t="s">
        <v>6574</v>
      </c>
      <c r="E4236" t="s">
        <v>13</v>
      </c>
      <c r="F4236" t="s">
        <v>82</v>
      </c>
      <c r="G4236">
        <v>15000000</v>
      </c>
      <c r="H4236">
        <v>6.2</v>
      </c>
      <c r="I4236" t="s">
        <v>31</v>
      </c>
      <c r="J4236" t="s">
        <v>19</v>
      </c>
      <c r="K4236" t="s">
        <v>83</v>
      </c>
    </row>
    <row r="4237" spans="1:12" x14ac:dyDescent="0.25">
      <c r="A4237" t="s">
        <v>6575</v>
      </c>
      <c r="B4237">
        <v>103</v>
      </c>
      <c r="C4237">
        <v>23000</v>
      </c>
      <c r="D4237" t="s">
        <v>6576</v>
      </c>
      <c r="E4237" t="s">
        <v>13</v>
      </c>
      <c r="F4237" t="s">
        <v>14</v>
      </c>
      <c r="G4237">
        <v>500000</v>
      </c>
      <c r="H4237">
        <v>6.2</v>
      </c>
      <c r="I4237" t="s">
        <v>15</v>
      </c>
      <c r="J4237" t="s">
        <v>22</v>
      </c>
      <c r="K4237" t="s">
        <v>59</v>
      </c>
    </row>
    <row r="4238" spans="1:12" x14ac:dyDescent="0.25">
      <c r="A4238" t="s">
        <v>6577</v>
      </c>
      <c r="B4238">
        <v>99</v>
      </c>
      <c r="C4238">
        <v>22770</v>
      </c>
      <c r="D4238" t="s">
        <v>6578</v>
      </c>
      <c r="E4238" t="s">
        <v>1226</v>
      </c>
      <c r="F4238" t="s">
        <v>27</v>
      </c>
      <c r="G4238">
        <v>5500000</v>
      </c>
      <c r="H4238">
        <v>6.1</v>
      </c>
      <c r="I4238" t="s">
        <v>15</v>
      </c>
      <c r="J4238" t="s">
        <v>31</v>
      </c>
    </row>
    <row r="4239" spans="1:12" x14ac:dyDescent="0.25">
      <c r="A4239" t="s">
        <v>6458</v>
      </c>
      <c r="B4239">
        <v>105</v>
      </c>
      <c r="C4239">
        <v>22723</v>
      </c>
      <c r="D4239" t="s">
        <v>6579</v>
      </c>
      <c r="E4239" t="s">
        <v>13</v>
      </c>
      <c r="F4239" t="s">
        <v>241</v>
      </c>
      <c r="G4239">
        <v>25000000</v>
      </c>
      <c r="H4239">
        <v>4.5</v>
      </c>
      <c r="I4239" t="s">
        <v>34</v>
      </c>
      <c r="J4239" t="s">
        <v>15</v>
      </c>
      <c r="K4239" t="s">
        <v>31</v>
      </c>
      <c r="L4239" t="s">
        <v>83</v>
      </c>
    </row>
    <row r="4240" spans="1:12" x14ac:dyDescent="0.25">
      <c r="A4240" t="s">
        <v>6580</v>
      </c>
      <c r="B4240">
        <v>118</v>
      </c>
      <c r="C4240">
        <v>22451</v>
      </c>
      <c r="D4240" t="s">
        <v>6581</v>
      </c>
      <c r="E4240" t="s">
        <v>13</v>
      </c>
      <c r="F4240" t="s">
        <v>14</v>
      </c>
      <c r="G4240">
        <v>60000000</v>
      </c>
      <c r="H4240">
        <v>6.2</v>
      </c>
      <c r="I4240" t="s">
        <v>31</v>
      </c>
      <c r="J4240" t="s">
        <v>17</v>
      </c>
      <c r="K4240" t="s">
        <v>23</v>
      </c>
      <c r="L4240" t="s">
        <v>19</v>
      </c>
    </row>
    <row r="4241" spans="1:13" x14ac:dyDescent="0.25">
      <c r="A4241" t="s">
        <v>6582</v>
      </c>
      <c r="B4241">
        <v>98</v>
      </c>
      <c r="C4241">
        <v>22434</v>
      </c>
      <c r="D4241" t="s">
        <v>6583</v>
      </c>
      <c r="E4241" t="s">
        <v>13</v>
      </c>
      <c r="F4241" t="s">
        <v>14</v>
      </c>
      <c r="G4241">
        <v>39751583.5</v>
      </c>
      <c r="H4241">
        <v>6.9</v>
      </c>
      <c r="I4241" t="s">
        <v>15</v>
      </c>
      <c r="J4241" t="s">
        <v>31</v>
      </c>
    </row>
    <row r="4242" spans="1:13" x14ac:dyDescent="0.25">
      <c r="A4242" t="s">
        <v>3033</v>
      </c>
      <c r="B4242">
        <v>122</v>
      </c>
      <c r="C4242">
        <v>22000</v>
      </c>
      <c r="D4242" t="s">
        <v>6584</v>
      </c>
      <c r="E4242" t="s">
        <v>13</v>
      </c>
      <c r="F4242" t="s">
        <v>241</v>
      </c>
      <c r="G4242">
        <v>3000000</v>
      </c>
      <c r="H4242">
        <v>5.8</v>
      </c>
      <c r="I4242" t="s">
        <v>31</v>
      </c>
      <c r="J4242" t="s">
        <v>37</v>
      </c>
      <c r="K4242" t="s">
        <v>24</v>
      </c>
    </row>
    <row r="4243" spans="1:13" x14ac:dyDescent="0.25">
      <c r="A4243" t="s">
        <v>305</v>
      </c>
      <c r="B4243">
        <v>88</v>
      </c>
      <c r="C4243">
        <v>21210</v>
      </c>
      <c r="D4243" t="s">
        <v>6585</v>
      </c>
      <c r="E4243" t="s">
        <v>13</v>
      </c>
      <c r="F4243" t="s">
        <v>14</v>
      </c>
      <c r="G4243">
        <v>1000000</v>
      </c>
      <c r="H4243">
        <v>6.1</v>
      </c>
      <c r="I4243" t="s">
        <v>15</v>
      </c>
      <c r="J4243" t="s">
        <v>38</v>
      </c>
    </row>
    <row r="4244" spans="1:13" x14ac:dyDescent="0.25">
      <c r="A4244" t="s">
        <v>6586</v>
      </c>
      <c r="B4244">
        <v>82</v>
      </c>
      <c r="C4244">
        <v>21199</v>
      </c>
      <c r="D4244" t="s">
        <v>6587</v>
      </c>
      <c r="E4244" t="s">
        <v>13</v>
      </c>
      <c r="F4244" t="s">
        <v>14</v>
      </c>
      <c r="G4244">
        <v>500000</v>
      </c>
      <c r="H4244">
        <v>6.8</v>
      </c>
      <c r="I4244" t="s">
        <v>34</v>
      </c>
      <c r="J4244" t="s">
        <v>42</v>
      </c>
      <c r="K4244" t="s">
        <v>52</v>
      </c>
      <c r="L4244" t="s">
        <v>41</v>
      </c>
    </row>
    <row r="4245" spans="1:13" x14ac:dyDescent="0.25">
      <c r="A4245" t="s">
        <v>6588</v>
      </c>
      <c r="B4245">
        <v>93</v>
      </c>
      <c r="C4245">
        <v>20380</v>
      </c>
      <c r="D4245" t="s">
        <v>6589</v>
      </c>
      <c r="E4245" t="s">
        <v>13</v>
      </c>
      <c r="F4245" t="s">
        <v>14</v>
      </c>
      <c r="G4245">
        <v>15000000</v>
      </c>
      <c r="H4245">
        <v>5.9</v>
      </c>
      <c r="I4245" t="s">
        <v>15</v>
      </c>
      <c r="J4245" t="s">
        <v>31</v>
      </c>
      <c r="K4245" t="s">
        <v>17</v>
      </c>
      <c r="L4245" t="s">
        <v>18</v>
      </c>
      <c r="M4245" t="s">
        <v>19</v>
      </c>
    </row>
    <row r="4246" spans="1:13" x14ac:dyDescent="0.25">
      <c r="A4246" t="s">
        <v>6590</v>
      </c>
      <c r="B4246">
        <v>106</v>
      </c>
      <c r="C4246">
        <v>20262</v>
      </c>
      <c r="D4246" t="s">
        <v>6591</v>
      </c>
      <c r="E4246" t="s">
        <v>1568</v>
      </c>
      <c r="F4246" t="s">
        <v>1569</v>
      </c>
      <c r="G4246">
        <v>4000000</v>
      </c>
      <c r="H4246">
        <v>6.1</v>
      </c>
      <c r="I4246" t="s">
        <v>31</v>
      </c>
    </row>
    <row r="4247" spans="1:13" x14ac:dyDescent="0.25">
      <c r="A4247" t="s">
        <v>5575</v>
      </c>
      <c r="B4247">
        <v>88</v>
      </c>
      <c r="C4247">
        <v>20218</v>
      </c>
      <c r="D4247" t="s">
        <v>6592</v>
      </c>
      <c r="E4247" t="s">
        <v>13</v>
      </c>
      <c r="F4247" t="s">
        <v>14</v>
      </c>
      <c r="G4247">
        <v>24000000</v>
      </c>
      <c r="H4247">
        <v>5.3</v>
      </c>
      <c r="I4247" t="s">
        <v>34</v>
      </c>
      <c r="J4247" t="s">
        <v>15</v>
      </c>
      <c r="K4247" t="s">
        <v>38</v>
      </c>
      <c r="L4247" t="s">
        <v>24</v>
      </c>
    </row>
    <row r="4248" spans="1:13" x14ac:dyDescent="0.25">
      <c r="A4248" t="s">
        <v>6593</v>
      </c>
      <c r="B4248">
        <v>86</v>
      </c>
      <c r="C4248">
        <v>20200</v>
      </c>
      <c r="D4248" t="s">
        <v>6594</v>
      </c>
      <c r="E4248" t="s">
        <v>13</v>
      </c>
      <c r="F4248" t="s">
        <v>14</v>
      </c>
      <c r="G4248">
        <v>6000000</v>
      </c>
      <c r="H4248">
        <v>5.8</v>
      </c>
      <c r="I4248" t="s">
        <v>31</v>
      </c>
      <c r="J4248" t="s">
        <v>18</v>
      </c>
    </row>
    <row r="4249" spans="1:13" x14ac:dyDescent="0.25">
      <c r="A4249" t="s">
        <v>6595</v>
      </c>
      <c r="B4249">
        <v>100</v>
      </c>
      <c r="C4249">
        <v>20186</v>
      </c>
      <c r="D4249" t="s">
        <v>6596</v>
      </c>
      <c r="E4249" t="s">
        <v>13</v>
      </c>
      <c r="F4249" t="s">
        <v>14</v>
      </c>
      <c r="G4249">
        <v>930000</v>
      </c>
      <c r="H4249">
        <v>5.7</v>
      </c>
      <c r="I4249" t="s">
        <v>15</v>
      </c>
    </row>
    <row r="4250" spans="1:13" x14ac:dyDescent="0.25">
      <c r="A4250" t="s">
        <v>6597</v>
      </c>
      <c r="B4250">
        <v>99</v>
      </c>
      <c r="C4250">
        <v>19959</v>
      </c>
      <c r="D4250" t="s">
        <v>6598</v>
      </c>
      <c r="E4250" t="s">
        <v>13</v>
      </c>
      <c r="F4250" t="s">
        <v>1272</v>
      </c>
      <c r="G4250">
        <v>3800000</v>
      </c>
      <c r="H4250">
        <v>6.9</v>
      </c>
      <c r="I4250" t="s">
        <v>31</v>
      </c>
    </row>
    <row r="4251" spans="1:13" x14ac:dyDescent="0.25">
      <c r="A4251" t="s">
        <v>6599</v>
      </c>
      <c r="B4251">
        <v>87</v>
      </c>
      <c r="C4251">
        <v>19539</v>
      </c>
      <c r="D4251" t="s">
        <v>6600</v>
      </c>
      <c r="E4251" t="s">
        <v>13</v>
      </c>
      <c r="F4251" t="s">
        <v>14</v>
      </c>
      <c r="G4251">
        <v>1000000</v>
      </c>
      <c r="H4251">
        <v>6.2</v>
      </c>
      <c r="I4251" t="s">
        <v>15</v>
      </c>
    </row>
    <row r="4252" spans="1:13" x14ac:dyDescent="0.25">
      <c r="A4252" t="s">
        <v>6601</v>
      </c>
      <c r="B4252">
        <v>91</v>
      </c>
      <c r="C4252">
        <v>19348</v>
      </c>
      <c r="D4252" t="s">
        <v>6602</v>
      </c>
      <c r="E4252" t="s">
        <v>13</v>
      </c>
      <c r="F4252" t="s">
        <v>14</v>
      </c>
      <c r="G4252">
        <v>10000000</v>
      </c>
      <c r="H4252">
        <v>5.5</v>
      </c>
      <c r="I4252" t="s">
        <v>15</v>
      </c>
      <c r="J4252" t="s">
        <v>31</v>
      </c>
    </row>
    <row r="4253" spans="1:13" x14ac:dyDescent="0.25">
      <c r="A4253" t="s">
        <v>6603</v>
      </c>
      <c r="B4253">
        <v>98</v>
      </c>
      <c r="C4253">
        <v>18469</v>
      </c>
      <c r="D4253" t="s">
        <v>6604</v>
      </c>
      <c r="E4253" t="s">
        <v>13</v>
      </c>
      <c r="F4253" t="s">
        <v>14</v>
      </c>
      <c r="G4253">
        <v>650000</v>
      </c>
      <c r="H4253">
        <v>6.5</v>
      </c>
      <c r="I4253" t="s">
        <v>31</v>
      </c>
      <c r="J4253" t="s">
        <v>22</v>
      </c>
      <c r="K4253" t="s">
        <v>37</v>
      </c>
    </row>
    <row r="4254" spans="1:13" x14ac:dyDescent="0.25">
      <c r="A4254" t="s">
        <v>6605</v>
      </c>
      <c r="B4254">
        <v>95</v>
      </c>
      <c r="C4254">
        <v>18435</v>
      </c>
      <c r="D4254" t="s">
        <v>6606</v>
      </c>
      <c r="E4254" t="s">
        <v>473</v>
      </c>
      <c r="F4254" t="s">
        <v>295</v>
      </c>
      <c r="G4254">
        <v>1400000</v>
      </c>
      <c r="H4254">
        <v>5.8</v>
      </c>
      <c r="I4254" t="s">
        <v>31</v>
      </c>
    </row>
    <row r="4255" spans="1:13" x14ac:dyDescent="0.25">
      <c r="A4255" t="s">
        <v>1454</v>
      </c>
      <c r="B4255">
        <v>90</v>
      </c>
      <c r="C4255">
        <v>18434</v>
      </c>
      <c r="D4255" t="s">
        <v>6607</v>
      </c>
      <c r="E4255" t="s">
        <v>13</v>
      </c>
      <c r="F4255" t="s">
        <v>82</v>
      </c>
      <c r="G4255">
        <v>39751583.5</v>
      </c>
      <c r="H4255">
        <v>7.7</v>
      </c>
      <c r="I4255" t="s">
        <v>15</v>
      </c>
      <c r="J4255" t="s">
        <v>31</v>
      </c>
    </row>
    <row r="4256" spans="1:13" x14ac:dyDescent="0.25">
      <c r="A4256" t="s">
        <v>6608</v>
      </c>
      <c r="B4256">
        <v>99</v>
      </c>
      <c r="C4256">
        <v>18378</v>
      </c>
      <c r="D4256" t="s">
        <v>6609</v>
      </c>
      <c r="E4256" t="s">
        <v>13</v>
      </c>
      <c r="F4256" t="s">
        <v>82</v>
      </c>
      <c r="G4256">
        <v>900000</v>
      </c>
      <c r="H4256">
        <v>5.2</v>
      </c>
      <c r="I4256" t="s">
        <v>38</v>
      </c>
      <c r="J4256" t="s">
        <v>31</v>
      </c>
      <c r="K4256" t="s">
        <v>22</v>
      </c>
      <c r="L4256" t="s">
        <v>24</v>
      </c>
    </row>
    <row r="4257" spans="1:11" x14ac:dyDescent="0.25">
      <c r="A4257" t="s">
        <v>6610</v>
      </c>
      <c r="B4257">
        <v>81</v>
      </c>
      <c r="C4257">
        <v>18195</v>
      </c>
      <c r="D4257" t="s">
        <v>6611</v>
      </c>
      <c r="E4257" t="s">
        <v>13</v>
      </c>
      <c r="F4257" t="s">
        <v>14</v>
      </c>
      <c r="G4257">
        <v>250000</v>
      </c>
      <c r="H4257">
        <v>6.3</v>
      </c>
      <c r="I4257" t="s">
        <v>37</v>
      </c>
    </row>
    <row r="4258" spans="1:11" x14ac:dyDescent="0.25">
      <c r="A4258" t="s">
        <v>6612</v>
      </c>
      <c r="B4258">
        <v>95</v>
      </c>
      <c r="C4258">
        <v>17580</v>
      </c>
      <c r="D4258" t="s">
        <v>6613</v>
      </c>
      <c r="E4258" t="s">
        <v>13</v>
      </c>
      <c r="F4258" t="s">
        <v>14</v>
      </c>
      <c r="G4258">
        <v>1500000</v>
      </c>
      <c r="H4258">
        <v>6.2</v>
      </c>
      <c r="I4258" t="s">
        <v>31</v>
      </c>
    </row>
    <row r="4259" spans="1:11" x14ac:dyDescent="0.25">
      <c r="A4259" t="s">
        <v>6024</v>
      </c>
      <c r="B4259">
        <v>93</v>
      </c>
      <c r="C4259">
        <v>17311</v>
      </c>
      <c r="D4259" t="s">
        <v>6614</v>
      </c>
      <c r="E4259" t="s">
        <v>13</v>
      </c>
      <c r="F4259" t="s">
        <v>14</v>
      </c>
      <c r="G4259">
        <v>39751583.5</v>
      </c>
      <c r="H4259">
        <v>6.7</v>
      </c>
      <c r="I4259" t="s">
        <v>38</v>
      </c>
      <c r="J4259" t="s">
        <v>31</v>
      </c>
      <c r="K4259" t="s">
        <v>23</v>
      </c>
    </row>
    <row r="4260" spans="1:11" x14ac:dyDescent="0.25">
      <c r="A4260" t="s">
        <v>348</v>
      </c>
      <c r="B4260">
        <v>113</v>
      </c>
      <c r="C4260">
        <v>17149</v>
      </c>
      <c r="D4260" t="s">
        <v>6615</v>
      </c>
      <c r="E4260" t="s">
        <v>13</v>
      </c>
      <c r="F4260" t="s">
        <v>6616</v>
      </c>
      <c r="G4260">
        <v>20000000</v>
      </c>
      <c r="H4260">
        <v>5.6</v>
      </c>
      <c r="I4260" t="s">
        <v>34</v>
      </c>
      <c r="J4260" t="s">
        <v>31</v>
      </c>
      <c r="K4260" t="s">
        <v>83</v>
      </c>
    </row>
    <row r="4261" spans="1:11" x14ac:dyDescent="0.25">
      <c r="A4261" t="s">
        <v>2527</v>
      </c>
      <c r="B4261">
        <v>102</v>
      </c>
      <c r="C4261">
        <v>16892</v>
      </c>
      <c r="D4261" t="s">
        <v>6617</v>
      </c>
      <c r="E4261" t="s">
        <v>13</v>
      </c>
      <c r="F4261" t="s">
        <v>1296</v>
      </c>
      <c r="G4261">
        <v>300000</v>
      </c>
      <c r="H4261">
        <v>7.6</v>
      </c>
      <c r="I4261" t="s">
        <v>52</v>
      </c>
    </row>
    <row r="4262" spans="1:11" x14ac:dyDescent="0.25">
      <c r="A4262" t="s">
        <v>6618</v>
      </c>
      <c r="B4262">
        <v>103</v>
      </c>
      <c r="C4262">
        <v>16066</v>
      </c>
      <c r="D4262" t="s">
        <v>6619</v>
      </c>
      <c r="E4262" t="s">
        <v>13</v>
      </c>
      <c r="F4262" t="s">
        <v>241</v>
      </c>
      <c r="G4262">
        <v>5000000</v>
      </c>
      <c r="H4262">
        <v>3.3</v>
      </c>
      <c r="I4262" t="s">
        <v>23</v>
      </c>
      <c r="J4262" t="s">
        <v>19</v>
      </c>
      <c r="K4262" t="s">
        <v>24</v>
      </c>
    </row>
    <row r="4263" spans="1:11" x14ac:dyDescent="0.25">
      <c r="A4263" t="s">
        <v>6620</v>
      </c>
      <c r="B4263">
        <v>102</v>
      </c>
      <c r="C4263">
        <v>15593</v>
      </c>
      <c r="D4263" t="s">
        <v>6621</v>
      </c>
      <c r="E4263" t="s">
        <v>13</v>
      </c>
      <c r="F4263" t="s">
        <v>14</v>
      </c>
      <c r="G4263">
        <v>21000000</v>
      </c>
      <c r="H4263">
        <v>5.8</v>
      </c>
      <c r="I4263" t="s">
        <v>15</v>
      </c>
      <c r="J4263" t="s">
        <v>31</v>
      </c>
      <c r="K4263" t="s">
        <v>19</v>
      </c>
    </row>
    <row r="4264" spans="1:11" x14ac:dyDescent="0.25">
      <c r="A4264" t="s">
        <v>6622</v>
      </c>
      <c r="B4264">
        <v>86</v>
      </c>
      <c r="C4264">
        <v>15542</v>
      </c>
      <c r="D4264" t="s">
        <v>6623</v>
      </c>
      <c r="E4264" t="s">
        <v>13</v>
      </c>
      <c r="F4264" t="s">
        <v>14</v>
      </c>
      <c r="G4264">
        <v>39751583.5</v>
      </c>
      <c r="H4264">
        <v>6.5</v>
      </c>
      <c r="I4264" t="s">
        <v>15</v>
      </c>
      <c r="J4264" t="s">
        <v>31</v>
      </c>
      <c r="K4264" t="s">
        <v>19</v>
      </c>
    </row>
    <row r="4265" spans="1:11" x14ac:dyDescent="0.25">
      <c r="A4265" t="s">
        <v>6624</v>
      </c>
      <c r="B4265">
        <v>86</v>
      </c>
      <c r="C4265">
        <v>15447</v>
      </c>
      <c r="D4265" t="s">
        <v>6625</v>
      </c>
      <c r="E4265" t="s">
        <v>13</v>
      </c>
      <c r="F4265" t="s">
        <v>14</v>
      </c>
      <c r="G4265">
        <v>10000000</v>
      </c>
      <c r="H4265">
        <v>3.5</v>
      </c>
      <c r="I4265" t="s">
        <v>15</v>
      </c>
    </row>
    <row r="4266" spans="1:11" x14ac:dyDescent="0.25">
      <c r="A4266" t="s">
        <v>6626</v>
      </c>
      <c r="B4266">
        <v>95</v>
      </c>
      <c r="C4266">
        <v>15278</v>
      </c>
      <c r="D4266" t="s">
        <v>6627</v>
      </c>
      <c r="E4266" t="s">
        <v>13</v>
      </c>
      <c r="F4266" t="s">
        <v>14</v>
      </c>
      <c r="G4266">
        <v>825000</v>
      </c>
      <c r="H4266">
        <v>5.6</v>
      </c>
      <c r="I4266" t="s">
        <v>31</v>
      </c>
      <c r="J4266" t="s">
        <v>17</v>
      </c>
      <c r="K4266" t="s">
        <v>37</v>
      </c>
    </row>
    <row r="4267" spans="1:11" x14ac:dyDescent="0.25">
      <c r="A4267" t="s">
        <v>6628</v>
      </c>
      <c r="B4267">
        <v>88</v>
      </c>
      <c r="C4267">
        <v>15059</v>
      </c>
      <c r="D4267" t="s">
        <v>6629</v>
      </c>
      <c r="E4267" t="s">
        <v>13</v>
      </c>
      <c r="F4267" t="s">
        <v>14</v>
      </c>
      <c r="G4267">
        <v>39751583.5</v>
      </c>
      <c r="H4267">
        <v>5.4</v>
      </c>
      <c r="I4267" t="s">
        <v>31</v>
      </c>
      <c r="J4267" t="s">
        <v>24</v>
      </c>
    </row>
    <row r="4268" spans="1:11" x14ac:dyDescent="0.25">
      <c r="A4268" t="s">
        <v>1959</v>
      </c>
      <c r="B4268">
        <v>152</v>
      </c>
      <c r="C4268">
        <v>14873</v>
      </c>
      <c r="D4268" t="s">
        <v>6630</v>
      </c>
      <c r="E4268" t="s">
        <v>13</v>
      </c>
      <c r="F4268" t="s">
        <v>14</v>
      </c>
      <c r="G4268">
        <v>3800000</v>
      </c>
      <c r="H4268">
        <v>6.8</v>
      </c>
      <c r="I4268" t="s">
        <v>28</v>
      </c>
      <c r="J4268" t="s">
        <v>83</v>
      </c>
      <c r="K4268" t="s">
        <v>69</v>
      </c>
    </row>
    <row r="4269" spans="1:11" x14ac:dyDescent="0.25">
      <c r="A4269" t="s">
        <v>6631</v>
      </c>
      <c r="B4269">
        <v>111</v>
      </c>
      <c r="C4269">
        <v>14616</v>
      </c>
      <c r="D4269" t="s">
        <v>6632</v>
      </c>
      <c r="E4269" t="s">
        <v>13</v>
      </c>
      <c r="F4269" t="s">
        <v>14</v>
      </c>
      <c r="G4269">
        <v>12000000</v>
      </c>
      <c r="H4269">
        <v>7.5</v>
      </c>
      <c r="I4269" t="s">
        <v>31</v>
      </c>
    </row>
    <row r="4270" spans="1:11" x14ac:dyDescent="0.25">
      <c r="A4270" t="s">
        <v>2818</v>
      </c>
      <c r="B4270">
        <v>86</v>
      </c>
      <c r="C4270">
        <v>13751</v>
      </c>
      <c r="D4270" t="s">
        <v>6633</v>
      </c>
      <c r="E4270" t="s">
        <v>13</v>
      </c>
      <c r="F4270" t="s">
        <v>45</v>
      </c>
      <c r="G4270">
        <v>11400000</v>
      </c>
      <c r="H4270">
        <v>6.6</v>
      </c>
      <c r="I4270" t="s">
        <v>31</v>
      </c>
      <c r="J4270" t="s">
        <v>16</v>
      </c>
    </row>
    <row r="4271" spans="1:11" x14ac:dyDescent="0.25">
      <c r="A4271" t="s">
        <v>6634</v>
      </c>
      <c r="B4271">
        <v>90</v>
      </c>
      <c r="C4271">
        <v>13493</v>
      </c>
      <c r="D4271" t="s">
        <v>6635</v>
      </c>
      <c r="E4271" t="s">
        <v>13</v>
      </c>
      <c r="F4271" t="s">
        <v>14</v>
      </c>
      <c r="G4271">
        <v>600000</v>
      </c>
      <c r="H4271">
        <v>6.6</v>
      </c>
      <c r="I4271" t="s">
        <v>31</v>
      </c>
    </row>
    <row r="4272" spans="1:11" x14ac:dyDescent="0.25">
      <c r="A4272" t="s">
        <v>6636</v>
      </c>
      <c r="B4272">
        <v>102</v>
      </c>
      <c r="C4272">
        <v>13220</v>
      </c>
      <c r="D4272" t="s">
        <v>6637</v>
      </c>
      <c r="E4272" t="s">
        <v>13</v>
      </c>
      <c r="F4272" t="s">
        <v>14</v>
      </c>
      <c r="G4272">
        <v>39751583.5</v>
      </c>
      <c r="H4272">
        <v>3.9</v>
      </c>
      <c r="I4272" t="s">
        <v>24</v>
      </c>
    </row>
    <row r="4273" spans="1:13" x14ac:dyDescent="0.25">
      <c r="A4273" t="s">
        <v>6638</v>
      </c>
      <c r="B4273">
        <v>112</v>
      </c>
      <c r="C4273">
        <v>13134</v>
      </c>
      <c r="D4273" t="s">
        <v>6639</v>
      </c>
      <c r="E4273" t="s">
        <v>13</v>
      </c>
      <c r="F4273" t="s">
        <v>14</v>
      </c>
      <c r="G4273">
        <v>500000</v>
      </c>
      <c r="H4273">
        <v>6.1</v>
      </c>
      <c r="I4273" t="s">
        <v>31</v>
      </c>
      <c r="J4273" t="s">
        <v>41</v>
      </c>
    </row>
    <row r="4274" spans="1:13" x14ac:dyDescent="0.25">
      <c r="A4274" t="s">
        <v>3692</v>
      </c>
      <c r="B4274">
        <v>82</v>
      </c>
      <c r="C4274">
        <v>12996</v>
      </c>
      <c r="D4274" t="s">
        <v>6640</v>
      </c>
      <c r="E4274" t="s">
        <v>13</v>
      </c>
      <c r="F4274" t="s">
        <v>14</v>
      </c>
      <c r="G4274">
        <v>1000000</v>
      </c>
      <c r="H4274">
        <v>6</v>
      </c>
      <c r="I4274" t="s">
        <v>34</v>
      </c>
      <c r="J4274" t="s">
        <v>15</v>
      </c>
      <c r="K4274" t="s">
        <v>17</v>
      </c>
      <c r="L4274" t="s">
        <v>37</v>
      </c>
    </row>
    <row r="4275" spans="1:13" x14ac:dyDescent="0.25">
      <c r="A4275" t="s">
        <v>6641</v>
      </c>
      <c r="B4275">
        <v>89</v>
      </c>
      <c r="C4275">
        <v>12843</v>
      </c>
      <c r="D4275" t="s">
        <v>6642</v>
      </c>
      <c r="E4275" t="s">
        <v>13</v>
      </c>
      <c r="F4275" t="s">
        <v>295</v>
      </c>
      <c r="G4275">
        <v>6000000</v>
      </c>
      <c r="H4275">
        <v>6.1</v>
      </c>
      <c r="I4275" t="s">
        <v>22</v>
      </c>
      <c r="J4275" t="s">
        <v>24</v>
      </c>
    </row>
    <row r="4276" spans="1:13" x14ac:dyDescent="0.25">
      <c r="A4276" t="s">
        <v>2808</v>
      </c>
      <c r="B4276">
        <v>92</v>
      </c>
      <c r="C4276">
        <v>12836</v>
      </c>
      <c r="D4276" t="s">
        <v>6643</v>
      </c>
      <c r="E4276" t="s">
        <v>13</v>
      </c>
      <c r="F4276" t="s">
        <v>14</v>
      </c>
      <c r="G4276">
        <v>4000000</v>
      </c>
      <c r="H4276">
        <v>5.8</v>
      </c>
      <c r="I4276" t="s">
        <v>42</v>
      </c>
      <c r="J4276" t="s">
        <v>31</v>
      </c>
    </row>
    <row r="4277" spans="1:13" x14ac:dyDescent="0.25">
      <c r="A4277" t="s">
        <v>6644</v>
      </c>
      <c r="B4277">
        <v>92</v>
      </c>
      <c r="C4277">
        <v>12667</v>
      </c>
      <c r="D4277" t="s">
        <v>6645</v>
      </c>
      <c r="E4277" t="s">
        <v>13</v>
      </c>
      <c r="F4277" t="s">
        <v>82</v>
      </c>
      <c r="G4277">
        <v>14000</v>
      </c>
      <c r="H4277">
        <v>6.6</v>
      </c>
      <c r="I4277" t="s">
        <v>31</v>
      </c>
      <c r="J4277" t="s">
        <v>19</v>
      </c>
    </row>
    <row r="4278" spans="1:13" x14ac:dyDescent="0.25">
      <c r="A4278" t="s">
        <v>4713</v>
      </c>
      <c r="B4278">
        <v>100</v>
      </c>
      <c r="C4278">
        <v>12561</v>
      </c>
      <c r="D4278" t="s">
        <v>6646</v>
      </c>
      <c r="E4278" t="s">
        <v>13</v>
      </c>
      <c r="F4278" t="s">
        <v>14</v>
      </c>
      <c r="G4278">
        <v>19000000</v>
      </c>
      <c r="H4278">
        <v>6.4</v>
      </c>
      <c r="I4278" t="s">
        <v>15</v>
      </c>
      <c r="J4278" t="s">
        <v>19</v>
      </c>
    </row>
    <row r="4279" spans="1:13" x14ac:dyDescent="0.25">
      <c r="A4279" t="s">
        <v>6647</v>
      </c>
      <c r="B4279">
        <v>95</v>
      </c>
      <c r="C4279">
        <v>12438</v>
      </c>
      <c r="D4279" t="s">
        <v>6648</v>
      </c>
      <c r="E4279" t="s">
        <v>13</v>
      </c>
      <c r="F4279" t="s">
        <v>14</v>
      </c>
      <c r="G4279">
        <v>160000</v>
      </c>
      <c r="H4279">
        <v>8.1</v>
      </c>
      <c r="I4279" t="s">
        <v>31</v>
      </c>
      <c r="J4279" t="s">
        <v>19</v>
      </c>
    </row>
    <row r="4280" spans="1:13" x14ac:dyDescent="0.25">
      <c r="A4280" t="s">
        <v>6649</v>
      </c>
      <c r="B4280">
        <v>91</v>
      </c>
      <c r="C4280">
        <v>12055</v>
      </c>
      <c r="D4280" t="s">
        <v>6650</v>
      </c>
      <c r="E4280" t="s">
        <v>13</v>
      </c>
      <c r="F4280" t="s">
        <v>14</v>
      </c>
      <c r="G4280">
        <v>500000</v>
      </c>
      <c r="H4280">
        <v>6.5</v>
      </c>
      <c r="I4280" t="s">
        <v>15</v>
      </c>
    </row>
    <row r="4281" spans="1:13" x14ac:dyDescent="0.25">
      <c r="A4281" t="s">
        <v>6651</v>
      </c>
      <c r="B4281">
        <v>81</v>
      </c>
      <c r="C4281">
        <v>11835</v>
      </c>
      <c r="D4281" t="s">
        <v>6652</v>
      </c>
      <c r="E4281" t="s">
        <v>1271</v>
      </c>
      <c r="F4281" t="s">
        <v>1272</v>
      </c>
      <c r="G4281">
        <v>10000000</v>
      </c>
      <c r="H4281">
        <v>6.9</v>
      </c>
      <c r="I4281" t="s">
        <v>15</v>
      </c>
      <c r="J4281" t="s">
        <v>31</v>
      </c>
      <c r="K4281" t="s">
        <v>19</v>
      </c>
    </row>
    <row r="4282" spans="1:13" x14ac:dyDescent="0.25">
      <c r="A4282" t="s">
        <v>6653</v>
      </c>
      <c r="B4282">
        <v>96</v>
      </c>
      <c r="C4282">
        <v>11798</v>
      </c>
      <c r="D4282" t="s">
        <v>6654</v>
      </c>
      <c r="E4282" t="s">
        <v>13</v>
      </c>
      <c r="F4282" t="s">
        <v>14</v>
      </c>
      <c r="G4282">
        <v>100000</v>
      </c>
      <c r="H4282">
        <v>4.7</v>
      </c>
      <c r="I4282" t="s">
        <v>15</v>
      </c>
      <c r="J4282" t="s">
        <v>17</v>
      </c>
      <c r="K4282" t="s">
        <v>22</v>
      </c>
      <c r="L4282" t="s">
        <v>59</v>
      </c>
    </row>
    <row r="4283" spans="1:13" x14ac:dyDescent="0.25">
      <c r="A4283" t="s">
        <v>6655</v>
      </c>
      <c r="B4283">
        <v>89</v>
      </c>
      <c r="C4283">
        <v>11278</v>
      </c>
      <c r="D4283" t="s">
        <v>6656</v>
      </c>
      <c r="E4283" t="s">
        <v>1498</v>
      </c>
      <c r="F4283" t="s">
        <v>1901</v>
      </c>
      <c r="G4283">
        <v>1300000</v>
      </c>
      <c r="H4283">
        <v>7</v>
      </c>
      <c r="I4283" t="s">
        <v>15</v>
      </c>
      <c r="J4283" t="s">
        <v>31</v>
      </c>
    </row>
    <row r="4284" spans="1:13" x14ac:dyDescent="0.25">
      <c r="A4284" t="s">
        <v>6657</v>
      </c>
      <c r="B4284">
        <v>101</v>
      </c>
      <c r="C4284">
        <v>10696</v>
      </c>
      <c r="D4284" t="s">
        <v>6658</v>
      </c>
      <c r="E4284" t="s">
        <v>13</v>
      </c>
      <c r="F4284" t="s">
        <v>14</v>
      </c>
      <c r="G4284">
        <v>6800000</v>
      </c>
      <c r="H4284">
        <v>6.4</v>
      </c>
      <c r="I4284" t="s">
        <v>38</v>
      </c>
      <c r="J4284" t="s">
        <v>24</v>
      </c>
    </row>
    <row r="4285" spans="1:13" x14ac:dyDescent="0.25">
      <c r="A4285" t="s">
        <v>6659</v>
      </c>
      <c r="B4285">
        <v>107</v>
      </c>
      <c r="C4285">
        <v>10508</v>
      </c>
      <c r="D4285" t="s">
        <v>6660</v>
      </c>
      <c r="E4285" t="s">
        <v>13</v>
      </c>
      <c r="F4285" t="s">
        <v>14</v>
      </c>
      <c r="G4285">
        <v>700000</v>
      </c>
      <c r="H4285">
        <v>6.5</v>
      </c>
      <c r="I4285" t="s">
        <v>31</v>
      </c>
    </row>
    <row r="4286" spans="1:13" x14ac:dyDescent="0.25">
      <c r="A4286" t="s">
        <v>6661</v>
      </c>
      <c r="B4286">
        <v>100</v>
      </c>
      <c r="C4286">
        <v>10443</v>
      </c>
      <c r="D4286" t="s">
        <v>6662</v>
      </c>
      <c r="E4286" t="s">
        <v>13</v>
      </c>
      <c r="F4286" t="s">
        <v>14</v>
      </c>
      <c r="G4286">
        <v>39751583.5</v>
      </c>
      <c r="H4286">
        <v>6.3</v>
      </c>
      <c r="I4286" t="s">
        <v>15</v>
      </c>
      <c r="J4286" t="s">
        <v>31</v>
      </c>
      <c r="K4286" t="s">
        <v>19</v>
      </c>
    </row>
    <row r="4287" spans="1:13" x14ac:dyDescent="0.25">
      <c r="A4287" t="s">
        <v>2965</v>
      </c>
      <c r="B4287">
        <v>114</v>
      </c>
      <c r="C4287">
        <v>10230</v>
      </c>
      <c r="D4287" t="s">
        <v>6663</v>
      </c>
      <c r="E4287" t="s">
        <v>1568</v>
      </c>
      <c r="F4287" t="s">
        <v>82</v>
      </c>
      <c r="G4287">
        <v>39751583.5</v>
      </c>
      <c r="H4287">
        <v>7.2</v>
      </c>
      <c r="I4287" t="s">
        <v>28</v>
      </c>
      <c r="J4287" t="s">
        <v>38</v>
      </c>
      <c r="K4287" t="s">
        <v>31</v>
      </c>
      <c r="L4287" t="s">
        <v>23</v>
      </c>
      <c r="M4287" t="s">
        <v>24</v>
      </c>
    </row>
    <row r="4288" spans="1:13" x14ac:dyDescent="0.25">
      <c r="A4288" t="s">
        <v>6664</v>
      </c>
      <c r="B4288">
        <v>78</v>
      </c>
      <c r="C4288">
        <v>10018</v>
      </c>
      <c r="D4288" t="s">
        <v>6665</v>
      </c>
      <c r="E4288" t="s">
        <v>13</v>
      </c>
      <c r="F4288" t="s">
        <v>14</v>
      </c>
      <c r="G4288">
        <v>1000000</v>
      </c>
      <c r="H4288">
        <v>6.1</v>
      </c>
      <c r="I4288" t="s">
        <v>38</v>
      </c>
      <c r="J4288" t="s">
        <v>31</v>
      </c>
      <c r="K4288" t="s">
        <v>24</v>
      </c>
    </row>
    <row r="4289" spans="1:13" x14ac:dyDescent="0.25">
      <c r="A4289" t="s">
        <v>6666</v>
      </c>
      <c r="B4289">
        <v>110</v>
      </c>
      <c r="C4289">
        <v>9950</v>
      </c>
      <c r="D4289" t="s">
        <v>6667</v>
      </c>
      <c r="E4289" t="s">
        <v>1277</v>
      </c>
      <c r="F4289" t="s">
        <v>241</v>
      </c>
      <c r="G4289">
        <v>39751583.5</v>
      </c>
      <c r="H4289">
        <v>8</v>
      </c>
      <c r="I4289" t="s">
        <v>38</v>
      </c>
      <c r="J4289" t="s">
        <v>31</v>
      </c>
      <c r="K4289" t="s">
        <v>19</v>
      </c>
    </row>
    <row r="4290" spans="1:13" x14ac:dyDescent="0.25">
      <c r="A4290" t="s">
        <v>6668</v>
      </c>
      <c r="B4290">
        <v>133</v>
      </c>
      <c r="C4290">
        <v>9910</v>
      </c>
      <c r="D4290" t="s">
        <v>6669</v>
      </c>
      <c r="E4290" t="s">
        <v>1333</v>
      </c>
      <c r="F4290" t="s">
        <v>1334</v>
      </c>
      <c r="G4290">
        <v>25000000</v>
      </c>
      <c r="H4290">
        <v>7.6</v>
      </c>
      <c r="I4290" t="s">
        <v>15</v>
      </c>
      <c r="J4290" t="s">
        <v>31</v>
      </c>
      <c r="K4290" t="s">
        <v>18</v>
      </c>
      <c r="L4290" t="s">
        <v>19</v>
      </c>
    </row>
    <row r="4291" spans="1:13" x14ac:dyDescent="0.25">
      <c r="A4291" t="s">
        <v>6558</v>
      </c>
      <c r="B4291">
        <v>93</v>
      </c>
      <c r="C4291">
        <v>9609</v>
      </c>
      <c r="D4291" t="s">
        <v>6670</v>
      </c>
      <c r="E4291" t="s">
        <v>13</v>
      </c>
      <c r="F4291" t="s">
        <v>82</v>
      </c>
      <c r="G4291">
        <v>39751583.5</v>
      </c>
      <c r="H4291">
        <v>6.5</v>
      </c>
      <c r="I4291" t="s">
        <v>15</v>
      </c>
      <c r="J4291" t="s">
        <v>38</v>
      </c>
      <c r="K4291" t="s">
        <v>31</v>
      </c>
    </row>
    <row r="4292" spans="1:13" x14ac:dyDescent="0.25">
      <c r="A4292" t="s">
        <v>1934</v>
      </c>
      <c r="B4292">
        <v>103</v>
      </c>
      <c r="C4292">
        <v>8691</v>
      </c>
      <c r="D4292" t="s">
        <v>6671</v>
      </c>
      <c r="E4292" t="s">
        <v>13</v>
      </c>
      <c r="F4292" t="s">
        <v>14</v>
      </c>
      <c r="G4292">
        <v>4500000</v>
      </c>
      <c r="H4292">
        <v>5.8</v>
      </c>
      <c r="I4292" t="s">
        <v>34</v>
      </c>
      <c r="J4292" t="s">
        <v>28</v>
      </c>
    </row>
    <row r="4293" spans="1:13" x14ac:dyDescent="0.25">
      <c r="A4293" t="s">
        <v>6672</v>
      </c>
      <c r="B4293">
        <v>65</v>
      </c>
      <c r="C4293">
        <v>8231</v>
      </c>
      <c r="D4293" t="s">
        <v>6673</v>
      </c>
      <c r="E4293" t="s">
        <v>13</v>
      </c>
      <c r="F4293" t="s">
        <v>14</v>
      </c>
      <c r="G4293">
        <v>27000</v>
      </c>
      <c r="H4293">
        <v>6.7</v>
      </c>
      <c r="I4293" t="s">
        <v>31</v>
      </c>
      <c r="J4293" t="s">
        <v>17</v>
      </c>
    </row>
    <row r="4294" spans="1:13" x14ac:dyDescent="0.25">
      <c r="A4294" t="s">
        <v>6674</v>
      </c>
      <c r="B4294">
        <v>115</v>
      </c>
      <c r="C4294">
        <v>8060</v>
      </c>
      <c r="D4294" t="s">
        <v>6675</v>
      </c>
      <c r="E4294" t="s">
        <v>1568</v>
      </c>
      <c r="F4294" t="s">
        <v>1569</v>
      </c>
      <c r="G4294">
        <v>4000000</v>
      </c>
      <c r="H4294">
        <v>8.1</v>
      </c>
      <c r="I4294" t="s">
        <v>34</v>
      </c>
      <c r="J4294" t="s">
        <v>38</v>
      </c>
      <c r="K4294" t="s">
        <v>31</v>
      </c>
      <c r="L4294" t="s">
        <v>24</v>
      </c>
    </row>
    <row r="4295" spans="1:13" x14ac:dyDescent="0.25">
      <c r="A4295" t="s">
        <v>6676</v>
      </c>
      <c r="B4295">
        <v>92</v>
      </c>
      <c r="C4295">
        <v>7927</v>
      </c>
      <c r="D4295" t="s">
        <v>6677</v>
      </c>
      <c r="E4295" t="s">
        <v>13</v>
      </c>
      <c r="F4295" t="s">
        <v>14</v>
      </c>
      <c r="G4295">
        <v>2300000</v>
      </c>
      <c r="H4295">
        <v>7.7</v>
      </c>
      <c r="I4295" t="s">
        <v>38</v>
      </c>
      <c r="J4295" t="s">
        <v>31</v>
      </c>
      <c r="K4295" t="s">
        <v>75</v>
      </c>
      <c r="L4295" t="s">
        <v>23</v>
      </c>
      <c r="M4295" t="s">
        <v>24</v>
      </c>
    </row>
    <row r="4296" spans="1:13" x14ac:dyDescent="0.25">
      <c r="A4296" t="s">
        <v>6678</v>
      </c>
      <c r="B4296">
        <v>85</v>
      </c>
      <c r="C4296">
        <v>7826</v>
      </c>
      <c r="D4296" t="s">
        <v>6679</v>
      </c>
      <c r="E4296" t="s">
        <v>13</v>
      </c>
      <c r="F4296" t="s">
        <v>14</v>
      </c>
      <c r="G4296">
        <v>1200000</v>
      </c>
      <c r="H4296">
        <v>6.2</v>
      </c>
      <c r="I4296" t="s">
        <v>15</v>
      </c>
      <c r="J4296" t="s">
        <v>52</v>
      </c>
    </row>
    <row r="4297" spans="1:13" x14ac:dyDescent="0.25">
      <c r="A4297" t="s">
        <v>6680</v>
      </c>
      <c r="B4297">
        <v>92</v>
      </c>
      <c r="C4297">
        <v>7680</v>
      </c>
      <c r="D4297" t="s">
        <v>6681</v>
      </c>
      <c r="E4297" t="s">
        <v>13</v>
      </c>
      <c r="F4297" t="s">
        <v>14</v>
      </c>
      <c r="G4297">
        <v>2000000</v>
      </c>
      <c r="H4297">
        <v>6.4</v>
      </c>
      <c r="I4297" t="s">
        <v>31</v>
      </c>
      <c r="J4297" t="s">
        <v>19</v>
      </c>
    </row>
    <row r="4298" spans="1:13" x14ac:dyDescent="0.25">
      <c r="A4298" t="s">
        <v>6682</v>
      </c>
      <c r="B4298">
        <v>101</v>
      </c>
      <c r="C4298">
        <v>6643</v>
      </c>
      <c r="D4298" t="s">
        <v>6683</v>
      </c>
      <c r="E4298" t="s">
        <v>13</v>
      </c>
      <c r="F4298" t="s">
        <v>14</v>
      </c>
      <c r="G4298">
        <v>900000</v>
      </c>
      <c r="H4298">
        <v>6.4</v>
      </c>
      <c r="I4298" t="s">
        <v>15</v>
      </c>
      <c r="J4298" t="s">
        <v>17</v>
      </c>
      <c r="K4298" t="s">
        <v>24</v>
      </c>
    </row>
    <row r="4299" spans="1:13" x14ac:dyDescent="0.25">
      <c r="A4299" t="s">
        <v>6684</v>
      </c>
      <c r="B4299">
        <v>81</v>
      </c>
      <c r="C4299">
        <v>6387</v>
      </c>
      <c r="D4299" t="s">
        <v>6685</v>
      </c>
      <c r="E4299" t="s">
        <v>13</v>
      </c>
      <c r="F4299" t="s">
        <v>14</v>
      </c>
      <c r="G4299">
        <v>1000000</v>
      </c>
      <c r="H4299">
        <v>6.9</v>
      </c>
      <c r="I4299" t="s">
        <v>15</v>
      </c>
      <c r="J4299" t="s">
        <v>31</v>
      </c>
      <c r="K4299" t="s">
        <v>37</v>
      </c>
    </row>
    <row r="4300" spans="1:13" x14ac:dyDescent="0.25">
      <c r="A4300" t="s">
        <v>1454</v>
      </c>
      <c r="B4300">
        <v>90</v>
      </c>
      <c r="C4300">
        <v>6013</v>
      </c>
      <c r="D4300" t="s">
        <v>6686</v>
      </c>
      <c r="E4300" t="s">
        <v>13</v>
      </c>
      <c r="F4300" t="s">
        <v>82</v>
      </c>
      <c r="G4300">
        <v>695393</v>
      </c>
      <c r="H4300">
        <v>7.7</v>
      </c>
      <c r="I4300" t="s">
        <v>38</v>
      </c>
      <c r="J4300" t="s">
        <v>31</v>
      </c>
      <c r="K4300" t="s">
        <v>24</v>
      </c>
    </row>
    <row r="4301" spans="1:13" x14ac:dyDescent="0.25">
      <c r="A4301" t="s">
        <v>6687</v>
      </c>
      <c r="B4301">
        <v>80</v>
      </c>
      <c r="C4301">
        <v>5858</v>
      </c>
      <c r="D4301" t="s">
        <v>6688</v>
      </c>
      <c r="E4301" t="s">
        <v>13</v>
      </c>
      <c r="F4301" t="s">
        <v>14</v>
      </c>
      <c r="G4301">
        <v>150000</v>
      </c>
      <c r="H4301">
        <v>7.1</v>
      </c>
      <c r="I4301" t="s">
        <v>52</v>
      </c>
    </row>
    <row r="4302" spans="1:13" x14ac:dyDescent="0.25">
      <c r="A4302" t="s">
        <v>993</v>
      </c>
      <c r="B4302">
        <v>91</v>
      </c>
      <c r="C4302">
        <v>5824</v>
      </c>
      <c r="D4302" t="s">
        <v>6689</v>
      </c>
      <c r="E4302" t="s">
        <v>13</v>
      </c>
      <c r="F4302" t="s">
        <v>82</v>
      </c>
      <c r="G4302">
        <v>39751583.5</v>
      </c>
      <c r="H4302">
        <v>6.8</v>
      </c>
      <c r="I4302" t="s">
        <v>22</v>
      </c>
      <c r="J4302" t="s">
        <v>24</v>
      </c>
    </row>
    <row r="4303" spans="1:13" x14ac:dyDescent="0.25">
      <c r="A4303" t="s">
        <v>6458</v>
      </c>
      <c r="B4303">
        <v>103</v>
      </c>
      <c r="C4303">
        <v>5725</v>
      </c>
      <c r="D4303" t="s">
        <v>6690</v>
      </c>
      <c r="E4303" t="s">
        <v>1277</v>
      </c>
      <c r="F4303" t="s">
        <v>241</v>
      </c>
      <c r="G4303">
        <v>8400000</v>
      </c>
      <c r="H4303">
        <v>6.1</v>
      </c>
      <c r="I4303" t="s">
        <v>22</v>
      </c>
      <c r="J4303" t="s">
        <v>24</v>
      </c>
    </row>
    <row r="4304" spans="1:13" x14ac:dyDescent="0.25">
      <c r="A4304" t="s">
        <v>5263</v>
      </c>
      <c r="B4304">
        <v>93</v>
      </c>
      <c r="C4304">
        <v>5561</v>
      </c>
      <c r="D4304" t="s">
        <v>6691</v>
      </c>
      <c r="E4304" t="s">
        <v>13</v>
      </c>
      <c r="F4304" t="s">
        <v>14</v>
      </c>
      <c r="G4304">
        <v>10000000</v>
      </c>
      <c r="H4304">
        <v>3.9</v>
      </c>
      <c r="I4304" t="s">
        <v>15</v>
      </c>
      <c r="J4304" t="s">
        <v>19</v>
      </c>
    </row>
    <row r="4305" spans="1:13" x14ac:dyDescent="0.25">
      <c r="A4305" t="s">
        <v>5443</v>
      </c>
      <c r="B4305">
        <v>90</v>
      </c>
      <c r="C4305">
        <v>5494</v>
      </c>
      <c r="D4305" t="s">
        <v>6692</v>
      </c>
      <c r="E4305" t="s">
        <v>13</v>
      </c>
      <c r="F4305" t="s">
        <v>14</v>
      </c>
      <c r="G4305">
        <v>39751583.5</v>
      </c>
      <c r="H4305">
        <v>5.6</v>
      </c>
      <c r="I4305" t="s">
        <v>15</v>
      </c>
      <c r="J4305" t="s">
        <v>31</v>
      </c>
    </row>
    <row r="4306" spans="1:13" x14ac:dyDescent="0.25">
      <c r="A4306" t="s">
        <v>6693</v>
      </c>
      <c r="B4306">
        <v>109</v>
      </c>
      <c r="C4306">
        <v>5199</v>
      </c>
      <c r="D4306" t="s">
        <v>6694</v>
      </c>
      <c r="E4306" t="s">
        <v>13</v>
      </c>
      <c r="F4306" t="s">
        <v>14</v>
      </c>
      <c r="G4306">
        <v>200000</v>
      </c>
      <c r="H4306">
        <v>6.6</v>
      </c>
      <c r="I4306" t="s">
        <v>31</v>
      </c>
      <c r="J4306" t="s">
        <v>41</v>
      </c>
    </row>
    <row r="4307" spans="1:13" x14ac:dyDescent="0.25">
      <c r="A4307" t="s">
        <v>6695</v>
      </c>
      <c r="B4307">
        <v>96</v>
      </c>
      <c r="C4307">
        <v>5005</v>
      </c>
      <c r="D4307" t="s">
        <v>6696</v>
      </c>
      <c r="E4307" t="s">
        <v>13</v>
      </c>
      <c r="F4307" t="s">
        <v>14</v>
      </c>
      <c r="G4307">
        <v>3000000</v>
      </c>
      <c r="H4307">
        <v>5.9</v>
      </c>
      <c r="I4307" t="s">
        <v>31</v>
      </c>
    </row>
    <row r="4308" spans="1:13" x14ac:dyDescent="0.25">
      <c r="A4308" t="s">
        <v>6697</v>
      </c>
      <c r="B4308">
        <v>119</v>
      </c>
      <c r="C4308">
        <v>4958</v>
      </c>
      <c r="D4308" t="s">
        <v>6698</v>
      </c>
      <c r="E4308" t="s">
        <v>13</v>
      </c>
      <c r="F4308" t="s">
        <v>1682</v>
      </c>
      <c r="G4308">
        <v>2000000</v>
      </c>
      <c r="H4308">
        <v>7.8</v>
      </c>
      <c r="I4308" t="s">
        <v>34</v>
      </c>
      <c r="J4308" t="s">
        <v>38</v>
      </c>
      <c r="K4308" t="s">
        <v>31</v>
      </c>
    </row>
    <row r="4309" spans="1:13" x14ac:dyDescent="0.25">
      <c r="A4309" t="s">
        <v>6699</v>
      </c>
      <c r="B4309">
        <v>72</v>
      </c>
      <c r="C4309">
        <v>4914</v>
      </c>
      <c r="D4309" t="s">
        <v>6700</v>
      </c>
      <c r="E4309" t="s">
        <v>13</v>
      </c>
      <c r="F4309" t="s">
        <v>14</v>
      </c>
      <c r="G4309">
        <v>150000</v>
      </c>
      <c r="H4309">
        <v>7</v>
      </c>
      <c r="I4309" t="s">
        <v>28</v>
      </c>
      <c r="J4309" t="s">
        <v>52</v>
      </c>
    </row>
    <row r="4310" spans="1:13" x14ac:dyDescent="0.25">
      <c r="A4310" t="s">
        <v>6701</v>
      </c>
      <c r="B4310">
        <v>100</v>
      </c>
      <c r="C4310">
        <v>4756</v>
      </c>
      <c r="D4310" t="s">
        <v>6702</v>
      </c>
      <c r="E4310" t="s">
        <v>13</v>
      </c>
      <c r="F4310" t="s">
        <v>82</v>
      </c>
      <c r="G4310">
        <v>25000000</v>
      </c>
      <c r="H4310">
        <v>5.4</v>
      </c>
      <c r="I4310" t="s">
        <v>28</v>
      </c>
      <c r="J4310" t="s">
        <v>16</v>
      </c>
      <c r="K4310" t="s">
        <v>17</v>
      </c>
    </row>
    <row r="4311" spans="1:13" x14ac:dyDescent="0.25">
      <c r="A4311" t="s">
        <v>2078</v>
      </c>
      <c r="B4311">
        <v>95</v>
      </c>
      <c r="C4311">
        <v>4584</v>
      </c>
      <c r="D4311" t="s">
        <v>6703</v>
      </c>
      <c r="E4311" t="s">
        <v>13</v>
      </c>
      <c r="F4311" t="s">
        <v>14</v>
      </c>
      <c r="G4311">
        <v>9000</v>
      </c>
      <c r="H4311">
        <v>6.4</v>
      </c>
      <c r="I4311" t="s">
        <v>15</v>
      </c>
      <c r="J4311" t="s">
        <v>31</v>
      </c>
    </row>
    <row r="4312" spans="1:13" x14ac:dyDescent="0.25">
      <c r="A4312" t="s">
        <v>6704</v>
      </c>
      <c r="B4312">
        <v>107</v>
      </c>
      <c r="C4312">
        <v>4556</v>
      </c>
      <c r="D4312" t="s">
        <v>6705</v>
      </c>
      <c r="E4312" t="s">
        <v>13</v>
      </c>
      <c r="F4312" t="s">
        <v>14</v>
      </c>
      <c r="G4312">
        <v>39751583.5</v>
      </c>
      <c r="H4312">
        <v>5.6</v>
      </c>
      <c r="I4312" t="s">
        <v>15</v>
      </c>
      <c r="J4312" t="s">
        <v>31</v>
      </c>
    </row>
    <row r="4313" spans="1:13" x14ac:dyDescent="0.25">
      <c r="A4313" t="s">
        <v>6706</v>
      </c>
      <c r="B4313">
        <v>85</v>
      </c>
      <c r="C4313">
        <v>4091</v>
      </c>
      <c r="D4313" t="s">
        <v>6707</v>
      </c>
      <c r="E4313" t="s">
        <v>13</v>
      </c>
      <c r="F4313" t="s">
        <v>1223</v>
      </c>
      <c r="G4313">
        <v>34000000</v>
      </c>
      <c r="H4313">
        <v>6.3</v>
      </c>
      <c r="I4313" t="s">
        <v>28</v>
      </c>
      <c r="J4313" t="s">
        <v>46</v>
      </c>
      <c r="K4313" t="s">
        <v>15</v>
      </c>
      <c r="L4313" t="s">
        <v>16</v>
      </c>
      <c r="M4313" t="s">
        <v>17</v>
      </c>
    </row>
    <row r="4314" spans="1:13" x14ac:dyDescent="0.25">
      <c r="A4314" t="s">
        <v>6708</v>
      </c>
      <c r="B4314">
        <v>93</v>
      </c>
      <c r="C4314">
        <v>4063</v>
      </c>
      <c r="D4314" t="s">
        <v>6709</v>
      </c>
      <c r="E4314" t="s">
        <v>13</v>
      </c>
      <c r="F4314" t="s">
        <v>98</v>
      </c>
      <c r="G4314">
        <v>4000000</v>
      </c>
      <c r="H4314">
        <v>5.2</v>
      </c>
      <c r="I4314" t="s">
        <v>31</v>
      </c>
      <c r="J4314" t="s">
        <v>23</v>
      </c>
      <c r="K4314" t="s">
        <v>19</v>
      </c>
      <c r="L4314" t="s">
        <v>24</v>
      </c>
    </row>
    <row r="4315" spans="1:13" x14ac:dyDescent="0.25">
      <c r="A4315" t="s">
        <v>6710</v>
      </c>
      <c r="B4315">
        <v>110</v>
      </c>
      <c r="C4315">
        <v>3830</v>
      </c>
      <c r="D4315" t="s">
        <v>6711</v>
      </c>
      <c r="E4315" t="s">
        <v>1498</v>
      </c>
      <c r="F4315" t="s">
        <v>14</v>
      </c>
      <c r="G4315">
        <v>1200000</v>
      </c>
      <c r="H4315">
        <v>7.2</v>
      </c>
      <c r="I4315" t="s">
        <v>15</v>
      </c>
      <c r="J4315" t="s">
        <v>31</v>
      </c>
    </row>
    <row r="4316" spans="1:13" x14ac:dyDescent="0.25">
      <c r="A4316" t="s">
        <v>6712</v>
      </c>
      <c r="B4316">
        <v>104</v>
      </c>
      <c r="C4316">
        <v>3607</v>
      </c>
      <c r="D4316" t="s">
        <v>6713</v>
      </c>
      <c r="E4316" t="s">
        <v>13</v>
      </c>
      <c r="F4316" t="s">
        <v>910</v>
      </c>
      <c r="G4316">
        <v>10000000</v>
      </c>
      <c r="H4316">
        <v>6.1</v>
      </c>
      <c r="I4316" t="s">
        <v>38</v>
      </c>
      <c r="J4316" t="s">
        <v>23</v>
      </c>
      <c r="K4316" t="s">
        <v>24</v>
      </c>
    </row>
    <row r="4317" spans="1:13" x14ac:dyDescent="0.25">
      <c r="A4317" t="s">
        <v>6714</v>
      </c>
      <c r="B4317">
        <v>95</v>
      </c>
      <c r="C4317">
        <v>3478</v>
      </c>
      <c r="D4317" t="s">
        <v>6715</v>
      </c>
      <c r="E4317" t="s">
        <v>13</v>
      </c>
      <c r="F4317" t="s">
        <v>98</v>
      </c>
      <c r="G4317">
        <v>1500000</v>
      </c>
      <c r="H4317">
        <v>6.7</v>
      </c>
      <c r="I4317" t="s">
        <v>17</v>
      </c>
      <c r="J4317" t="s">
        <v>22</v>
      </c>
    </row>
    <row r="4318" spans="1:13" x14ac:dyDescent="0.25">
      <c r="A4318" t="s">
        <v>6716</v>
      </c>
      <c r="B4318">
        <v>125</v>
      </c>
      <c r="C4318">
        <v>3330</v>
      </c>
      <c r="D4318" t="s">
        <v>6717</v>
      </c>
      <c r="E4318" t="s">
        <v>13</v>
      </c>
      <c r="F4318" t="s">
        <v>14</v>
      </c>
      <c r="G4318">
        <v>2100000</v>
      </c>
      <c r="H4318">
        <v>7.2</v>
      </c>
      <c r="I4318" t="s">
        <v>38</v>
      </c>
      <c r="J4318" t="s">
        <v>31</v>
      </c>
    </row>
    <row r="4319" spans="1:13" x14ac:dyDescent="0.25">
      <c r="A4319" t="s">
        <v>923</v>
      </c>
      <c r="B4319">
        <v>92</v>
      </c>
      <c r="C4319">
        <v>2964</v>
      </c>
      <c r="D4319" t="s">
        <v>6718</v>
      </c>
      <c r="E4319" t="s">
        <v>13</v>
      </c>
      <c r="F4319" t="s">
        <v>14</v>
      </c>
      <c r="G4319">
        <v>16000000</v>
      </c>
      <c r="H4319">
        <v>5.0999999999999996</v>
      </c>
      <c r="I4319" t="s">
        <v>15</v>
      </c>
      <c r="J4319" t="s">
        <v>22</v>
      </c>
      <c r="K4319" t="s">
        <v>19</v>
      </c>
    </row>
    <row r="4320" spans="1:13" x14ac:dyDescent="0.25">
      <c r="A4320" t="s">
        <v>6719</v>
      </c>
      <c r="B4320">
        <v>105</v>
      </c>
      <c r="C4320">
        <v>2874</v>
      </c>
      <c r="D4320" t="s">
        <v>6720</v>
      </c>
      <c r="E4320" t="s">
        <v>473</v>
      </c>
      <c r="F4320" t="s">
        <v>295</v>
      </c>
      <c r="G4320">
        <v>39751583.5</v>
      </c>
      <c r="H4320">
        <v>6</v>
      </c>
      <c r="I4320" t="s">
        <v>31</v>
      </c>
    </row>
    <row r="4321" spans="1:14" x14ac:dyDescent="0.25">
      <c r="A4321" t="s">
        <v>3127</v>
      </c>
      <c r="B4321">
        <v>99</v>
      </c>
      <c r="C4321">
        <v>2843</v>
      </c>
      <c r="D4321" t="s">
        <v>6721</v>
      </c>
      <c r="E4321" t="s">
        <v>13</v>
      </c>
      <c r="F4321" t="s">
        <v>14</v>
      </c>
      <c r="G4321">
        <v>39751583.5</v>
      </c>
      <c r="H4321">
        <v>5.4</v>
      </c>
      <c r="I4321" t="s">
        <v>24</v>
      </c>
    </row>
    <row r="4322" spans="1:14" x14ac:dyDescent="0.25">
      <c r="A4322" t="s">
        <v>6722</v>
      </c>
      <c r="B4322">
        <v>111</v>
      </c>
      <c r="C4322">
        <v>2580</v>
      </c>
      <c r="D4322" t="s">
        <v>6723</v>
      </c>
      <c r="E4322" t="s">
        <v>13</v>
      </c>
      <c r="F4322" t="s">
        <v>14</v>
      </c>
      <c r="G4322">
        <v>1650000</v>
      </c>
      <c r="H4322">
        <v>5.4</v>
      </c>
      <c r="I4322" t="s">
        <v>31</v>
      </c>
      <c r="J4322" t="s">
        <v>23</v>
      </c>
    </row>
    <row r="4323" spans="1:14" x14ac:dyDescent="0.25">
      <c r="A4323" t="s">
        <v>6724</v>
      </c>
      <c r="B4323">
        <v>95</v>
      </c>
      <c r="C4323">
        <v>2468</v>
      </c>
      <c r="D4323" t="s">
        <v>6725</v>
      </c>
      <c r="E4323" t="s">
        <v>13</v>
      </c>
      <c r="F4323" t="s">
        <v>14</v>
      </c>
      <c r="G4323">
        <v>300000</v>
      </c>
      <c r="H4323">
        <v>4.8</v>
      </c>
      <c r="I4323" t="s">
        <v>24</v>
      </c>
    </row>
    <row r="4324" spans="1:14" x14ac:dyDescent="0.25">
      <c r="A4324" t="s">
        <v>6726</v>
      </c>
      <c r="B4324">
        <v>106</v>
      </c>
      <c r="C4324">
        <v>2436</v>
      </c>
      <c r="D4324" t="s">
        <v>6727</v>
      </c>
      <c r="E4324" t="s">
        <v>13</v>
      </c>
      <c r="F4324" t="s">
        <v>14</v>
      </c>
      <c r="G4324">
        <v>2000000</v>
      </c>
      <c r="H4324">
        <v>5.7</v>
      </c>
      <c r="I4324" t="s">
        <v>15</v>
      </c>
      <c r="J4324" t="s">
        <v>17</v>
      </c>
      <c r="K4324" t="s">
        <v>59</v>
      </c>
      <c r="L4324" t="s">
        <v>37</v>
      </c>
    </row>
    <row r="4325" spans="1:14" x14ac:dyDescent="0.25">
      <c r="A4325" t="s">
        <v>6728</v>
      </c>
      <c r="B4325">
        <v>80</v>
      </c>
      <c r="C4325">
        <v>2245</v>
      </c>
      <c r="D4325" t="s">
        <v>6729</v>
      </c>
      <c r="E4325" t="s">
        <v>13</v>
      </c>
      <c r="F4325" t="s">
        <v>14</v>
      </c>
      <c r="G4325">
        <v>560000</v>
      </c>
      <c r="H4325">
        <v>7.2</v>
      </c>
      <c r="I4325" t="s">
        <v>52</v>
      </c>
    </row>
    <row r="4326" spans="1:14" x14ac:dyDescent="0.25">
      <c r="A4326" t="s">
        <v>6730</v>
      </c>
      <c r="B4326">
        <v>110</v>
      </c>
      <c r="C4326">
        <v>1711</v>
      </c>
      <c r="D4326" t="s">
        <v>6731</v>
      </c>
      <c r="E4326" t="s">
        <v>13</v>
      </c>
      <c r="F4326" t="s">
        <v>14</v>
      </c>
      <c r="G4326">
        <v>39751583.5</v>
      </c>
      <c r="H4326">
        <v>6.6</v>
      </c>
      <c r="I4326" t="s">
        <v>31</v>
      </c>
      <c r="J4326" t="s">
        <v>18</v>
      </c>
    </row>
    <row r="4327" spans="1:14" x14ac:dyDescent="0.25">
      <c r="A4327" t="s">
        <v>6732</v>
      </c>
      <c r="B4327">
        <v>83</v>
      </c>
      <c r="C4327">
        <v>1521</v>
      </c>
      <c r="D4327" t="s">
        <v>6733</v>
      </c>
      <c r="E4327" t="s">
        <v>13</v>
      </c>
      <c r="F4327" t="s">
        <v>98</v>
      </c>
      <c r="G4327">
        <v>1500000</v>
      </c>
      <c r="H4327">
        <v>5.7</v>
      </c>
      <c r="I4327" t="s">
        <v>15</v>
      </c>
      <c r="J4327" t="s">
        <v>22</v>
      </c>
    </row>
    <row r="4328" spans="1:14" x14ac:dyDescent="0.25">
      <c r="A4328" t="s">
        <v>6734</v>
      </c>
      <c r="B4328">
        <v>87</v>
      </c>
      <c r="C4328">
        <v>1332</v>
      </c>
      <c r="D4328" t="s">
        <v>6735</v>
      </c>
      <c r="E4328" t="s">
        <v>13</v>
      </c>
      <c r="F4328" t="s">
        <v>14</v>
      </c>
      <c r="G4328">
        <v>500000</v>
      </c>
      <c r="H4328">
        <v>4.5999999999999996</v>
      </c>
      <c r="I4328" t="s">
        <v>15</v>
      </c>
      <c r="J4328" t="s">
        <v>22</v>
      </c>
    </row>
    <row r="4329" spans="1:14" x14ac:dyDescent="0.25">
      <c r="A4329" t="s">
        <v>6736</v>
      </c>
      <c r="B4329">
        <v>106</v>
      </c>
      <c r="C4329">
        <v>1111</v>
      </c>
      <c r="D4329" t="s">
        <v>6737</v>
      </c>
      <c r="E4329" t="s">
        <v>13</v>
      </c>
      <c r="F4329" t="s">
        <v>14</v>
      </c>
      <c r="G4329">
        <v>200000</v>
      </c>
      <c r="H4329">
        <v>7.7</v>
      </c>
      <c r="I4329" t="s">
        <v>38</v>
      </c>
      <c r="J4329" t="s">
        <v>52</v>
      </c>
    </row>
    <row r="4330" spans="1:14" x14ac:dyDescent="0.25">
      <c r="A4330" t="s">
        <v>6738</v>
      </c>
      <c r="B4330">
        <v>88</v>
      </c>
      <c r="C4330">
        <v>828</v>
      </c>
      <c r="D4330" t="s">
        <v>6739</v>
      </c>
      <c r="E4330" t="s">
        <v>13</v>
      </c>
      <c r="F4330" t="s">
        <v>1465</v>
      </c>
      <c r="G4330">
        <v>39751583.5</v>
      </c>
      <c r="H4330">
        <v>6.4</v>
      </c>
      <c r="I4330" t="s">
        <v>34</v>
      </c>
      <c r="J4330" t="s">
        <v>15</v>
      </c>
      <c r="K4330" t="s">
        <v>38</v>
      </c>
      <c r="L4330" t="s">
        <v>31</v>
      </c>
      <c r="M4330" t="s">
        <v>19</v>
      </c>
      <c r="N4330" t="s">
        <v>24</v>
      </c>
    </row>
    <row r="4331" spans="1:14" x14ac:dyDescent="0.25">
      <c r="A4331" t="s">
        <v>6740</v>
      </c>
      <c r="B4331">
        <v>100</v>
      </c>
      <c r="C4331">
        <v>728</v>
      </c>
      <c r="D4331" t="s">
        <v>2239</v>
      </c>
      <c r="E4331" t="s">
        <v>13</v>
      </c>
      <c r="F4331" t="s">
        <v>1472</v>
      </c>
      <c r="G4331">
        <v>39751583.5</v>
      </c>
      <c r="H4331">
        <v>7.3</v>
      </c>
      <c r="I4331" t="s">
        <v>38</v>
      </c>
      <c r="J4331" t="s">
        <v>31</v>
      </c>
    </row>
    <row r="4332" spans="1:14" x14ac:dyDescent="0.25">
      <c r="A4332" t="s">
        <v>1791</v>
      </c>
      <c r="B4332">
        <v>88</v>
      </c>
      <c r="C4332">
        <v>721</v>
      </c>
      <c r="D4332" t="s">
        <v>6741</v>
      </c>
      <c r="E4332" t="s">
        <v>13</v>
      </c>
      <c r="F4332" t="s">
        <v>241</v>
      </c>
      <c r="G4332">
        <v>1000000</v>
      </c>
      <c r="H4332">
        <v>4.0999999999999996</v>
      </c>
      <c r="I4332" t="s">
        <v>34</v>
      </c>
      <c r="J4332" t="s">
        <v>31</v>
      </c>
    </row>
    <row r="4333" spans="1:14" x14ac:dyDescent="0.25">
      <c r="A4333" t="s">
        <v>6742</v>
      </c>
      <c r="B4333">
        <v>96</v>
      </c>
      <c r="C4333">
        <v>703</v>
      </c>
      <c r="D4333" t="s">
        <v>6743</v>
      </c>
      <c r="E4333" t="s">
        <v>13</v>
      </c>
      <c r="F4333" t="s">
        <v>14</v>
      </c>
      <c r="G4333">
        <v>1500000</v>
      </c>
      <c r="H4333">
        <v>5.4</v>
      </c>
      <c r="I4333" t="s">
        <v>15</v>
      </c>
      <c r="J4333" t="s">
        <v>31</v>
      </c>
    </row>
    <row r="4334" spans="1:14" x14ac:dyDescent="0.25">
      <c r="A4334" t="s">
        <v>6744</v>
      </c>
      <c r="B4334">
        <v>96</v>
      </c>
      <c r="C4334">
        <v>162</v>
      </c>
      <c r="D4334" t="s">
        <v>6745</v>
      </c>
      <c r="E4334" t="s">
        <v>13</v>
      </c>
      <c r="F4334" t="s">
        <v>5974</v>
      </c>
      <c r="G4334">
        <v>9000000</v>
      </c>
      <c r="H4334">
        <v>5.7</v>
      </c>
      <c r="I4334" t="s">
        <v>34</v>
      </c>
      <c r="J4334" t="s">
        <v>38</v>
      </c>
      <c r="K433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imdb_clean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 Varshney</dc:creator>
  <cp:lastModifiedBy>Vishesh Varshney</cp:lastModifiedBy>
  <dcterms:created xsi:type="dcterms:W3CDTF">2024-05-14T14:55:21Z</dcterms:created>
  <dcterms:modified xsi:type="dcterms:W3CDTF">2024-05-14T14:58:08Z</dcterms:modified>
</cp:coreProperties>
</file>